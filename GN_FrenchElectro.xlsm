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8988\Desktop\MusicDOKU\Categories\"/>
    </mc:Choice>
  </mc:AlternateContent>
  <xr:revisionPtr revIDLastSave="0" documentId="13_ncr:1_{36BC62A5-3684-4A9F-8600-A77E352A76E4}" xr6:coauthVersionLast="47" xr6:coauthVersionMax="47" xr10:uidLastSave="{00000000-0000-0000-0000-000000000000}"/>
  <bookViews>
    <workbookView xWindow="-108" yWindow="-108" windowWidth="23256" windowHeight="12456" activeTab="2" xr2:uid="{8B9FF2E9-F8DE-46D3-8CBF-474CA8DDF351}"/>
  </bookViews>
  <sheets>
    <sheet name="Source (2)" sheetId="6" r:id="rId1"/>
    <sheet name="Album" sheetId="1" r:id="rId2"/>
    <sheet name="Source" sheetId="2" r:id="rId3"/>
    <sheet name="Artists" sheetId="5" r:id="rId4"/>
    <sheet name="Sheet2" sheetId="7" r:id="rId5"/>
    <sheet name="Button" sheetId="3" r:id="rId6"/>
  </sheets>
  <definedNames>
    <definedName name="_xlnm._FilterDatabase" localSheetId="3" hidden="1">Artists!$A$1:$C$1</definedName>
    <definedName name="_xlnm._FilterDatabase" localSheetId="2" hidden="1">Source!$A$1:$AH$1</definedName>
    <definedName name="_xlnm._FilterDatabase" localSheetId="0" hidden="1">'Source (2)'!$A$1:$AF$1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774" i="2" l="1"/>
  <c r="Z774" i="2" s="1"/>
  <c r="AB774" i="2"/>
  <c r="Y774" i="2"/>
  <c r="X774" i="2"/>
  <c r="AC773" i="2"/>
  <c r="Y773" i="2"/>
  <c r="X773" i="2"/>
  <c r="AB773" i="2" s="1"/>
  <c r="Z773" i="2" s="1"/>
  <c r="AC772" i="2"/>
  <c r="AB772" i="2"/>
  <c r="Y772" i="2"/>
  <c r="X772" i="2"/>
  <c r="AC771" i="2"/>
  <c r="Y771" i="2"/>
  <c r="X771" i="2"/>
  <c r="AB771" i="2" s="1"/>
  <c r="Z771" i="2" s="1"/>
  <c r="AC770" i="2"/>
  <c r="AB770" i="2"/>
  <c r="Y770" i="2"/>
  <c r="X770" i="2"/>
  <c r="AC769" i="2"/>
  <c r="Y769" i="2"/>
  <c r="X769" i="2"/>
  <c r="AB769" i="2" s="1"/>
  <c r="AC768" i="2"/>
  <c r="Z768" i="2" s="1"/>
  <c r="Y768" i="2"/>
  <c r="X768" i="2"/>
  <c r="AB768" i="2" s="1"/>
  <c r="AC767" i="2"/>
  <c r="AB767" i="2"/>
  <c r="Y767" i="2"/>
  <c r="X767" i="2"/>
  <c r="AC766" i="2"/>
  <c r="AB766" i="2"/>
  <c r="Z766" i="2" s="1"/>
  <c r="Y766" i="2"/>
  <c r="X766" i="2"/>
  <c r="AC765" i="2"/>
  <c r="AB765" i="2"/>
  <c r="Z765" i="2" s="1"/>
  <c r="Y765" i="2"/>
  <c r="X765" i="2"/>
  <c r="AC764" i="2"/>
  <c r="Y764" i="2"/>
  <c r="X764" i="2"/>
  <c r="AB764" i="2" s="1"/>
  <c r="AC763" i="2"/>
  <c r="Y763" i="2"/>
  <c r="AB763" i="2" s="1"/>
  <c r="X763" i="2"/>
  <c r="AC762" i="2"/>
  <c r="AB762" i="2"/>
  <c r="Y762" i="2"/>
  <c r="X762" i="2"/>
  <c r="AC761" i="2"/>
  <c r="Y761" i="2"/>
  <c r="AB761" i="2" s="1"/>
  <c r="Z761" i="2" s="1"/>
  <c r="X761" i="2"/>
  <c r="AC760" i="2"/>
  <c r="AB760" i="2"/>
  <c r="Y760" i="2"/>
  <c r="X760" i="2"/>
  <c r="AC759" i="2"/>
  <c r="Y759" i="2"/>
  <c r="X759" i="2"/>
  <c r="AB759" i="2" s="1"/>
  <c r="Z759" i="2" s="1"/>
  <c r="AC758" i="2"/>
  <c r="AB758" i="2"/>
  <c r="Z758" i="2" s="1"/>
  <c r="Y758" i="2"/>
  <c r="X758" i="2"/>
  <c r="AC757" i="2"/>
  <c r="Y757" i="2"/>
  <c r="X757" i="2"/>
  <c r="AB757" i="2" s="1"/>
  <c r="AC756" i="2"/>
  <c r="AB756" i="2"/>
  <c r="Y756" i="2"/>
  <c r="X756" i="2"/>
  <c r="AC755" i="2"/>
  <c r="Z755" i="2" s="1"/>
  <c r="AB755" i="2"/>
  <c r="Y755" i="2"/>
  <c r="X755" i="2"/>
  <c r="AC754" i="2"/>
  <c r="Y754" i="2"/>
  <c r="X754" i="2"/>
  <c r="AB754" i="2" s="1"/>
  <c r="Z754" i="2" s="1"/>
  <c r="AC753" i="2"/>
  <c r="AB753" i="2"/>
  <c r="Z753" i="2"/>
  <c r="Y753" i="2"/>
  <c r="X753" i="2"/>
  <c r="AC752" i="2"/>
  <c r="Y752" i="2"/>
  <c r="X752" i="2"/>
  <c r="AB752" i="2" s="1"/>
  <c r="AC751" i="2"/>
  <c r="Y751" i="2"/>
  <c r="X751" i="2"/>
  <c r="AB751" i="2" s="1"/>
  <c r="Z751" i="2" s="1"/>
  <c r="AC750" i="2"/>
  <c r="AB750" i="2"/>
  <c r="Y750" i="2"/>
  <c r="X750" i="2"/>
  <c r="AC749" i="2"/>
  <c r="AB749" i="2"/>
  <c r="Z749" i="2" s="1"/>
  <c r="Y749" i="2"/>
  <c r="X749" i="2"/>
  <c r="AC748" i="2"/>
  <c r="AB748" i="2"/>
  <c r="Y748" i="2"/>
  <c r="X748" i="2"/>
  <c r="AC747" i="2"/>
  <c r="Y747" i="2"/>
  <c r="X747" i="2"/>
  <c r="AC746" i="2"/>
  <c r="AB746" i="2"/>
  <c r="Y746" i="2"/>
  <c r="X746" i="2"/>
  <c r="AC745" i="2"/>
  <c r="Y745" i="2"/>
  <c r="X745" i="2"/>
  <c r="AB745" i="2" s="1"/>
  <c r="AC744" i="2"/>
  <c r="AB744" i="2"/>
  <c r="Z744" i="2"/>
  <c r="Y744" i="2"/>
  <c r="X744" i="2"/>
  <c r="AC743" i="2"/>
  <c r="AB743" i="2"/>
  <c r="Y743" i="2"/>
  <c r="X743" i="2"/>
  <c r="AC742" i="2"/>
  <c r="Y742" i="2"/>
  <c r="X742" i="2"/>
  <c r="AB742" i="2" s="1"/>
  <c r="Z742" i="2" s="1"/>
  <c r="AC741" i="2"/>
  <c r="AB741" i="2"/>
  <c r="Y741" i="2"/>
  <c r="X741" i="2"/>
  <c r="AC740" i="2"/>
  <c r="Y740" i="2"/>
  <c r="X740" i="2"/>
  <c r="AB740" i="2" s="1"/>
  <c r="AC739" i="2"/>
  <c r="Y739" i="2"/>
  <c r="X739" i="2"/>
  <c r="AB739" i="2" s="1"/>
  <c r="Z739" i="2" s="1"/>
  <c r="AC738" i="2"/>
  <c r="AB738" i="2"/>
  <c r="Y738" i="2"/>
  <c r="X738" i="2"/>
  <c r="AC737" i="2"/>
  <c r="Y737" i="2"/>
  <c r="X737" i="2"/>
  <c r="AB737" i="2" s="1"/>
  <c r="Z737" i="2" s="1"/>
  <c r="AC736" i="2"/>
  <c r="AB736" i="2"/>
  <c r="Y736" i="2"/>
  <c r="X736" i="2"/>
  <c r="AC735" i="2"/>
  <c r="Y735" i="2"/>
  <c r="X735" i="2"/>
  <c r="AB735" i="2" s="1"/>
  <c r="Z735" i="2" s="1"/>
  <c r="AC734" i="2"/>
  <c r="AB734" i="2"/>
  <c r="Y734" i="2"/>
  <c r="X734" i="2"/>
  <c r="AC733" i="2"/>
  <c r="Z733" i="2" s="1"/>
  <c r="Y733" i="2"/>
  <c r="X733" i="2"/>
  <c r="AB733" i="2" s="1"/>
  <c r="AC732" i="2"/>
  <c r="Y732" i="2"/>
  <c r="X732" i="2"/>
  <c r="AB732" i="2" s="1"/>
  <c r="AC731" i="2"/>
  <c r="AB731" i="2"/>
  <c r="Y731" i="2"/>
  <c r="X731" i="2"/>
  <c r="AC730" i="2"/>
  <c r="AB730" i="2"/>
  <c r="Z730" i="2" s="1"/>
  <c r="Y730" i="2"/>
  <c r="X730" i="2"/>
  <c r="AC729" i="2"/>
  <c r="AB729" i="2"/>
  <c r="Z729" i="2"/>
  <c r="Y729" i="2"/>
  <c r="X729" i="2"/>
  <c r="AC728" i="2"/>
  <c r="Y728" i="2"/>
  <c r="X728" i="2"/>
  <c r="AB728" i="2" s="1"/>
  <c r="AC727" i="2"/>
  <c r="Y727" i="2"/>
  <c r="AB727" i="2" s="1"/>
  <c r="X727" i="2"/>
  <c r="AC726" i="2"/>
  <c r="Z726" i="2" s="1"/>
  <c r="AB726" i="2"/>
  <c r="Y726" i="2"/>
  <c r="X726" i="2"/>
  <c r="AC725" i="2"/>
  <c r="Y725" i="2"/>
  <c r="AB725" i="2" s="1"/>
  <c r="Z725" i="2" s="1"/>
  <c r="X725" i="2"/>
  <c r="AC724" i="2"/>
  <c r="AB724" i="2"/>
  <c r="Y724" i="2"/>
  <c r="X724" i="2"/>
  <c r="AC723" i="2"/>
  <c r="Y723" i="2"/>
  <c r="X723" i="2"/>
  <c r="AB723" i="2" s="1"/>
  <c r="Z723" i="2" s="1"/>
  <c r="AC722" i="2"/>
  <c r="AB722" i="2"/>
  <c r="Z722" i="2"/>
  <c r="Y722" i="2"/>
  <c r="X722" i="2"/>
  <c r="AC721" i="2"/>
  <c r="Y721" i="2"/>
  <c r="X721" i="2"/>
  <c r="AB721" i="2" s="1"/>
  <c r="AC720" i="2"/>
  <c r="AB720" i="2"/>
  <c r="Y720" i="2"/>
  <c r="X720" i="2"/>
  <c r="AC719" i="2"/>
  <c r="AB719" i="2"/>
  <c r="Y719" i="2"/>
  <c r="X719" i="2"/>
  <c r="AC718" i="2"/>
  <c r="Y718" i="2"/>
  <c r="X718" i="2"/>
  <c r="AB718" i="2" s="1"/>
  <c r="Z718" i="2" s="1"/>
  <c r="AC717" i="2"/>
  <c r="AB717" i="2"/>
  <c r="Z717" i="2"/>
  <c r="Y717" i="2"/>
  <c r="X717" i="2"/>
  <c r="AC716" i="2"/>
  <c r="Y716" i="2"/>
  <c r="X716" i="2"/>
  <c r="AB716" i="2" s="1"/>
  <c r="AC715" i="2"/>
  <c r="Y715" i="2"/>
  <c r="X715" i="2"/>
  <c r="AB715" i="2" s="1"/>
  <c r="Z715" i="2" s="1"/>
  <c r="AC714" i="2"/>
  <c r="AB714" i="2"/>
  <c r="Y714" i="2"/>
  <c r="X714" i="2"/>
  <c r="AC713" i="2"/>
  <c r="AB713" i="2"/>
  <c r="Z713" i="2"/>
  <c r="Y713" i="2"/>
  <c r="X713" i="2"/>
  <c r="AC712" i="2"/>
  <c r="AB712" i="2"/>
  <c r="Y712" i="2"/>
  <c r="X712" i="2"/>
  <c r="AC711" i="2"/>
  <c r="Y711" i="2"/>
  <c r="X711" i="2"/>
  <c r="AC710" i="2"/>
  <c r="AB710" i="2"/>
  <c r="Y710" i="2"/>
  <c r="X710" i="2"/>
  <c r="AC709" i="2"/>
  <c r="Y709" i="2"/>
  <c r="X709" i="2"/>
  <c r="AB709" i="2" s="1"/>
  <c r="AC708" i="2"/>
  <c r="AB708" i="2"/>
  <c r="Y708" i="2"/>
  <c r="X708" i="2"/>
  <c r="AC707" i="2"/>
  <c r="Z707" i="2" s="1"/>
  <c r="AB707" i="2"/>
  <c r="Y707" i="2"/>
  <c r="X707" i="2"/>
  <c r="AC706" i="2"/>
  <c r="Y706" i="2"/>
  <c r="X706" i="2"/>
  <c r="AB706" i="2" s="1"/>
  <c r="Z706" i="2" s="1"/>
  <c r="AC705" i="2"/>
  <c r="AB705" i="2"/>
  <c r="Y705" i="2"/>
  <c r="X705" i="2"/>
  <c r="AC704" i="2"/>
  <c r="Y704" i="2"/>
  <c r="X704" i="2"/>
  <c r="AB704" i="2" s="1"/>
  <c r="AC703" i="2"/>
  <c r="Y703" i="2"/>
  <c r="X703" i="2"/>
  <c r="AC702" i="2"/>
  <c r="AB702" i="2"/>
  <c r="Y702" i="2"/>
  <c r="X702" i="2"/>
  <c r="AC701" i="2"/>
  <c r="Y701" i="2"/>
  <c r="X701" i="2"/>
  <c r="AB701" i="2" s="1"/>
  <c r="Z701" i="2" s="1"/>
  <c r="AC700" i="2"/>
  <c r="AB700" i="2"/>
  <c r="Y700" i="2"/>
  <c r="X700" i="2"/>
  <c r="AC699" i="2"/>
  <c r="Y699" i="2"/>
  <c r="X699" i="2"/>
  <c r="AB699" i="2" s="1"/>
  <c r="Z699" i="2" s="1"/>
  <c r="AC698" i="2"/>
  <c r="AB698" i="2"/>
  <c r="Y698" i="2"/>
  <c r="X698" i="2"/>
  <c r="AC697" i="2"/>
  <c r="Y697" i="2"/>
  <c r="X697" i="2"/>
  <c r="AB697" i="2" s="1"/>
  <c r="AC696" i="2"/>
  <c r="Y696" i="2"/>
  <c r="X696" i="2"/>
  <c r="AB696" i="2" s="1"/>
  <c r="AC695" i="2"/>
  <c r="AB695" i="2"/>
  <c r="Y695" i="2"/>
  <c r="X695" i="2"/>
  <c r="AC694" i="2"/>
  <c r="AB694" i="2"/>
  <c r="Z694" i="2" s="1"/>
  <c r="Y694" i="2"/>
  <c r="X694" i="2"/>
  <c r="AC693" i="2"/>
  <c r="AB693" i="2"/>
  <c r="Z693" i="2"/>
  <c r="Y693" i="2"/>
  <c r="X693" i="2"/>
  <c r="AC692" i="2"/>
  <c r="Y692" i="2"/>
  <c r="X692" i="2"/>
  <c r="AB692" i="2" s="1"/>
  <c r="AC691" i="2"/>
  <c r="Y691" i="2"/>
  <c r="AB691" i="2" s="1"/>
  <c r="X691" i="2"/>
  <c r="AC690" i="2"/>
  <c r="AB690" i="2"/>
  <c r="Y690" i="2"/>
  <c r="X690" i="2"/>
  <c r="AC689" i="2"/>
  <c r="AB689" i="2"/>
  <c r="Z689" i="2" s="1"/>
  <c r="Y689" i="2"/>
  <c r="X689" i="2"/>
  <c r="AC688" i="2"/>
  <c r="AB688" i="2"/>
  <c r="Y688" i="2"/>
  <c r="X688" i="2"/>
  <c r="AC687" i="2"/>
  <c r="Y687" i="2"/>
  <c r="X687" i="2"/>
  <c r="AB687" i="2" s="1"/>
  <c r="Z687" i="2" s="1"/>
  <c r="AC686" i="2"/>
  <c r="AB686" i="2"/>
  <c r="Y686" i="2"/>
  <c r="X686" i="2"/>
  <c r="AC685" i="2"/>
  <c r="Z685" i="2" s="1"/>
  <c r="Y685" i="2"/>
  <c r="X685" i="2"/>
  <c r="AB685" i="2" s="1"/>
  <c r="AC684" i="2"/>
  <c r="Y684" i="2"/>
  <c r="X684" i="2"/>
  <c r="AB684" i="2" s="1"/>
  <c r="AC683" i="2"/>
  <c r="AB683" i="2"/>
  <c r="Y683" i="2"/>
  <c r="X683" i="2"/>
  <c r="AC682" i="2"/>
  <c r="Y682" i="2"/>
  <c r="X682" i="2"/>
  <c r="AB682" i="2" s="1"/>
  <c r="Z682" i="2" s="1"/>
  <c r="AC681" i="2"/>
  <c r="AB681" i="2"/>
  <c r="Z681" i="2"/>
  <c r="Y681" i="2"/>
  <c r="X681" i="2"/>
  <c r="AC680" i="2"/>
  <c r="Y680" i="2"/>
  <c r="X680" i="2"/>
  <c r="AB680" i="2" s="1"/>
  <c r="AC679" i="2"/>
  <c r="Y679" i="2"/>
  <c r="X679" i="2"/>
  <c r="AB679" i="2" s="1"/>
  <c r="Z679" i="2" s="1"/>
  <c r="AC678" i="2"/>
  <c r="AB678" i="2"/>
  <c r="Y678" i="2"/>
  <c r="X678" i="2"/>
  <c r="AC677" i="2"/>
  <c r="AB677" i="2"/>
  <c r="Z677" i="2"/>
  <c r="Y677" i="2"/>
  <c r="X677" i="2"/>
  <c r="AC676" i="2"/>
  <c r="AB676" i="2"/>
  <c r="Y676" i="2"/>
  <c r="X676" i="2"/>
  <c r="AC675" i="2"/>
  <c r="Y675" i="2"/>
  <c r="X675" i="2"/>
  <c r="AC674" i="2"/>
  <c r="AB674" i="2"/>
  <c r="Y674" i="2"/>
  <c r="X674" i="2"/>
  <c r="AC673" i="2"/>
  <c r="Y673" i="2"/>
  <c r="X673" i="2"/>
  <c r="AB673" i="2" s="1"/>
  <c r="AC672" i="2"/>
  <c r="AB672" i="2"/>
  <c r="Z672" i="2"/>
  <c r="Y672" i="2"/>
  <c r="X672" i="2"/>
  <c r="AC671" i="2"/>
  <c r="AB671" i="2"/>
  <c r="Y671" i="2"/>
  <c r="X671" i="2"/>
  <c r="AC670" i="2"/>
  <c r="Y670" i="2"/>
  <c r="X670" i="2"/>
  <c r="AB670" i="2" s="1"/>
  <c r="Z670" i="2" s="1"/>
  <c r="AC669" i="2"/>
  <c r="AB669" i="2"/>
  <c r="Y669" i="2"/>
  <c r="X669" i="2"/>
  <c r="AC668" i="2"/>
  <c r="Y668" i="2"/>
  <c r="X668" i="2"/>
  <c r="AB668" i="2" s="1"/>
  <c r="AC667" i="2"/>
  <c r="Y667" i="2"/>
  <c r="X667" i="2"/>
  <c r="AC666" i="2"/>
  <c r="AB666" i="2"/>
  <c r="Y666" i="2"/>
  <c r="X666" i="2"/>
  <c r="AC665" i="2"/>
  <c r="Y665" i="2"/>
  <c r="X665" i="2"/>
  <c r="AB665" i="2" s="1"/>
  <c r="Z665" i="2" s="1"/>
  <c r="AC664" i="2"/>
  <c r="AB664" i="2"/>
  <c r="Y664" i="2"/>
  <c r="X664" i="2"/>
  <c r="AC663" i="2"/>
  <c r="Y663" i="2"/>
  <c r="X663" i="2"/>
  <c r="AB663" i="2" s="1"/>
  <c r="Z663" i="2" s="1"/>
  <c r="AC662" i="2"/>
  <c r="Y662" i="2"/>
  <c r="AB662" i="2" s="1"/>
  <c r="Z662" i="2" s="1"/>
  <c r="X662" i="2"/>
  <c r="AC661" i="2"/>
  <c r="Y661" i="2"/>
  <c r="X661" i="2"/>
  <c r="AB661" i="2" s="1"/>
  <c r="AC660" i="2"/>
  <c r="Y660" i="2"/>
  <c r="X660" i="2"/>
  <c r="AB660" i="2" s="1"/>
  <c r="AC659" i="2"/>
  <c r="AB659" i="2"/>
  <c r="Y659" i="2"/>
  <c r="X659" i="2"/>
  <c r="AC658" i="2"/>
  <c r="AB658" i="2"/>
  <c r="Z658" i="2" s="1"/>
  <c r="Y658" i="2"/>
  <c r="X658" i="2"/>
  <c r="AC657" i="2"/>
  <c r="AB657" i="2"/>
  <c r="Z657" i="2"/>
  <c r="Y657" i="2"/>
  <c r="X657" i="2"/>
  <c r="AC656" i="2"/>
  <c r="Y656" i="2"/>
  <c r="X656" i="2"/>
  <c r="AB656" i="2" s="1"/>
  <c r="AC655" i="2"/>
  <c r="Y655" i="2"/>
  <c r="AB655" i="2" s="1"/>
  <c r="X655" i="2"/>
  <c r="AC654" i="2"/>
  <c r="AB654" i="2"/>
  <c r="Y654" i="2"/>
  <c r="X654" i="2"/>
  <c r="AC653" i="2"/>
  <c r="AB653" i="2"/>
  <c r="Z653" i="2" s="1"/>
  <c r="Y653" i="2"/>
  <c r="X653" i="2"/>
  <c r="AC652" i="2"/>
  <c r="AB652" i="2"/>
  <c r="Y652" i="2"/>
  <c r="X652" i="2"/>
  <c r="AC651" i="2"/>
  <c r="Y651" i="2"/>
  <c r="X651" i="2"/>
  <c r="AB651" i="2" s="1"/>
  <c r="Z651" i="2" s="1"/>
  <c r="AC650" i="2"/>
  <c r="AB650" i="2"/>
  <c r="Y650" i="2"/>
  <c r="X650" i="2"/>
  <c r="AC649" i="2"/>
  <c r="Y649" i="2"/>
  <c r="X649" i="2"/>
  <c r="AB649" i="2" s="1"/>
  <c r="AC648" i="2"/>
  <c r="Y648" i="2"/>
  <c r="X648" i="2"/>
  <c r="AB648" i="2" s="1"/>
  <c r="AC647" i="2"/>
  <c r="AB647" i="2"/>
  <c r="Y647" i="2"/>
  <c r="X647" i="2"/>
  <c r="AC646" i="2"/>
  <c r="Y646" i="2"/>
  <c r="X646" i="2"/>
  <c r="AC645" i="2"/>
  <c r="AB645" i="2"/>
  <c r="Z645" i="2" s="1"/>
  <c r="Y645" i="2"/>
  <c r="X645" i="2"/>
  <c r="AC644" i="2"/>
  <c r="Y644" i="2"/>
  <c r="X644" i="2"/>
  <c r="AB644" i="2" s="1"/>
  <c r="AC643" i="2"/>
  <c r="Y643" i="2"/>
  <c r="X643" i="2"/>
  <c r="AC642" i="2"/>
  <c r="AB642" i="2"/>
  <c r="Y642" i="2"/>
  <c r="X642" i="2"/>
  <c r="AC641" i="2"/>
  <c r="Y641" i="2"/>
  <c r="X641" i="2"/>
  <c r="AB641" i="2" s="1"/>
  <c r="Z641" i="2" s="1"/>
  <c r="AC640" i="2"/>
  <c r="AB640" i="2"/>
  <c r="Y640" i="2"/>
  <c r="X640" i="2"/>
  <c r="AC639" i="2"/>
  <c r="Y639" i="2"/>
  <c r="X639" i="2"/>
  <c r="AC638" i="2"/>
  <c r="AB638" i="2"/>
  <c r="Y638" i="2"/>
  <c r="X638" i="2"/>
  <c r="AC637" i="2"/>
  <c r="Y637" i="2"/>
  <c r="X637" i="2"/>
  <c r="AB637" i="2" s="1"/>
  <c r="AC636" i="2"/>
  <c r="AB636" i="2"/>
  <c r="Z636" i="2"/>
  <c r="Y636" i="2"/>
  <c r="X636" i="2"/>
  <c r="AC635" i="2"/>
  <c r="AB635" i="2"/>
  <c r="Y635" i="2"/>
  <c r="X635" i="2"/>
  <c r="AC634" i="2"/>
  <c r="Y634" i="2"/>
  <c r="AB634" i="2" s="1"/>
  <c r="Z634" i="2" s="1"/>
  <c r="X634" i="2"/>
  <c r="AC633" i="2"/>
  <c r="AB633" i="2"/>
  <c r="Y633" i="2"/>
  <c r="X633" i="2"/>
  <c r="AC632" i="2"/>
  <c r="Y632" i="2"/>
  <c r="X632" i="2"/>
  <c r="AB632" i="2" s="1"/>
  <c r="AC631" i="2"/>
  <c r="Y631" i="2"/>
  <c r="AB631" i="2" s="1"/>
  <c r="Z631" i="2" s="1"/>
  <c r="X631" i="2"/>
  <c r="AC630" i="2"/>
  <c r="AB630" i="2"/>
  <c r="Y630" i="2"/>
  <c r="X630" i="2"/>
  <c r="AC629" i="2"/>
  <c r="AB629" i="2"/>
  <c r="Z629" i="2"/>
  <c r="Y629" i="2"/>
  <c r="X629" i="2"/>
  <c r="AC628" i="2"/>
  <c r="AB628" i="2"/>
  <c r="Y628" i="2"/>
  <c r="X628" i="2"/>
  <c r="AC627" i="2"/>
  <c r="Y627" i="2"/>
  <c r="X627" i="2"/>
  <c r="AB627" i="2" s="1"/>
  <c r="Z627" i="2" s="1"/>
  <c r="AC626" i="2"/>
  <c r="AB626" i="2"/>
  <c r="Y626" i="2"/>
  <c r="X626" i="2"/>
  <c r="AC625" i="2"/>
  <c r="Z625" i="2" s="1"/>
  <c r="Y625" i="2"/>
  <c r="X625" i="2"/>
  <c r="AB625" i="2" s="1"/>
  <c r="AC624" i="2"/>
  <c r="Y624" i="2"/>
  <c r="X624" i="2"/>
  <c r="AB624" i="2" s="1"/>
  <c r="AC623" i="2"/>
  <c r="AB623" i="2"/>
  <c r="Y623" i="2"/>
  <c r="X623" i="2"/>
  <c r="AC622" i="2"/>
  <c r="AB622" i="2"/>
  <c r="Z622" i="2" s="1"/>
  <c r="Y622" i="2"/>
  <c r="X622" i="2"/>
  <c r="AC621" i="2"/>
  <c r="AB621" i="2"/>
  <c r="Z621" i="2"/>
  <c r="Y621" i="2"/>
  <c r="X621" i="2"/>
  <c r="AC620" i="2"/>
  <c r="Y620" i="2"/>
  <c r="X620" i="2"/>
  <c r="AC619" i="2"/>
  <c r="Y619" i="2"/>
  <c r="AB619" i="2" s="1"/>
  <c r="X619" i="2"/>
  <c r="AC618" i="2"/>
  <c r="Z618" i="2" s="1"/>
  <c r="AB618" i="2"/>
  <c r="Y618" i="2"/>
  <c r="X618" i="2"/>
  <c r="AC617" i="2"/>
  <c r="Y617" i="2"/>
  <c r="AB617" i="2" s="1"/>
  <c r="Z617" i="2" s="1"/>
  <c r="X617" i="2"/>
  <c r="AC616" i="2"/>
  <c r="AB616" i="2"/>
  <c r="Y616" i="2"/>
  <c r="X616" i="2"/>
  <c r="AC615" i="2"/>
  <c r="Y615" i="2"/>
  <c r="X615" i="2"/>
  <c r="AB615" i="2" s="1"/>
  <c r="Z615" i="2" s="1"/>
  <c r="AC614" i="2"/>
  <c r="AB614" i="2"/>
  <c r="Z614" i="2"/>
  <c r="Y614" i="2"/>
  <c r="X614" i="2"/>
  <c r="AC613" i="2"/>
  <c r="Y613" i="2"/>
  <c r="X613" i="2"/>
  <c r="AB613" i="2" s="1"/>
  <c r="AC612" i="2"/>
  <c r="Y612" i="2"/>
  <c r="X612" i="2"/>
  <c r="AB612" i="2" s="1"/>
  <c r="AC611" i="2"/>
  <c r="AB611" i="2"/>
  <c r="Y611" i="2"/>
  <c r="X611" i="2"/>
  <c r="AC610" i="2"/>
  <c r="Y610" i="2"/>
  <c r="X610" i="2"/>
  <c r="AC609" i="2"/>
  <c r="AB609" i="2"/>
  <c r="Y609" i="2"/>
  <c r="X609" i="2"/>
  <c r="AC608" i="2"/>
  <c r="Y608" i="2"/>
  <c r="X608" i="2"/>
  <c r="AB608" i="2" s="1"/>
  <c r="AC607" i="2"/>
  <c r="Y607" i="2"/>
  <c r="X607" i="2"/>
  <c r="AC606" i="2"/>
  <c r="AB606" i="2"/>
  <c r="Y606" i="2"/>
  <c r="X606" i="2"/>
  <c r="AC605" i="2"/>
  <c r="Z605" i="2"/>
  <c r="Y605" i="2"/>
  <c r="X605" i="2"/>
  <c r="AB605" i="2" s="1"/>
  <c r="AC604" i="2"/>
  <c r="AB604" i="2"/>
  <c r="Y604" i="2"/>
  <c r="X604" i="2"/>
  <c r="AC603" i="2"/>
  <c r="Y603" i="2"/>
  <c r="X603" i="2"/>
  <c r="AC602" i="2"/>
  <c r="AB602" i="2"/>
  <c r="Y602" i="2"/>
  <c r="X602" i="2"/>
  <c r="AC601" i="2"/>
  <c r="Y601" i="2"/>
  <c r="X601" i="2"/>
  <c r="AB601" i="2" s="1"/>
  <c r="AC600" i="2"/>
  <c r="AB600" i="2"/>
  <c r="Z600" i="2" s="1"/>
  <c r="Y600" i="2"/>
  <c r="X600" i="2"/>
  <c r="AC599" i="2"/>
  <c r="AB599" i="2"/>
  <c r="Y599" i="2"/>
  <c r="X599" i="2"/>
  <c r="AC598" i="2"/>
  <c r="Y598" i="2"/>
  <c r="X598" i="2"/>
  <c r="AB598" i="2" s="1"/>
  <c r="Z598" i="2" s="1"/>
  <c r="AC597" i="2"/>
  <c r="AB597" i="2"/>
  <c r="Y597" i="2"/>
  <c r="X597" i="2"/>
  <c r="AC596" i="2"/>
  <c r="Y596" i="2"/>
  <c r="X596" i="2"/>
  <c r="AC595" i="2"/>
  <c r="Y595" i="2"/>
  <c r="X595" i="2"/>
  <c r="AB595" i="2" s="1"/>
  <c r="Z595" i="2" s="1"/>
  <c r="AC594" i="2"/>
  <c r="AB594" i="2"/>
  <c r="Y594" i="2"/>
  <c r="X594" i="2"/>
  <c r="AC593" i="2"/>
  <c r="AB593" i="2"/>
  <c r="Z593" i="2" s="1"/>
  <c r="Y593" i="2"/>
  <c r="X593" i="2"/>
  <c r="AC592" i="2"/>
  <c r="AB592" i="2"/>
  <c r="Z592" i="2" s="1"/>
  <c r="Y592" i="2"/>
  <c r="X592" i="2"/>
  <c r="AC591" i="2"/>
  <c r="Y591" i="2"/>
  <c r="X591" i="2"/>
  <c r="AB591" i="2" s="1"/>
  <c r="Z591" i="2" s="1"/>
  <c r="AC590" i="2"/>
  <c r="Y590" i="2"/>
  <c r="X590" i="2"/>
  <c r="AB590" i="2" s="1"/>
  <c r="AC589" i="2"/>
  <c r="Y589" i="2"/>
  <c r="X589" i="2"/>
  <c r="AB589" i="2" s="1"/>
  <c r="AC588" i="2"/>
  <c r="Y588" i="2"/>
  <c r="X588" i="2"/>
  <c r="AB588" i="2" s="1"/>
  <c r="AC587" i="2"/>
  <c r="AB587" i="2"/>
  <c r="Y587" i="2"/>
  <c r="X587" i="2"/>
  <c r="AC586" i="2"/>
  <c r="Y586" i="2"/>
  <c r="X586" i="2"/>
  <c r="AB586" i="2" s="1"/>
  <c r="Z586" i="2" s="1"/>
  <c r="AC585" i="2"/>
  <c r="Z585" i="2"/>
  <c r="Y585" i="2"/>
  <c r="X585" i="2"/>
  <c r="AB585" i="2" s="1"/>
  <c r="AC584" i="2"/>
  <c r="Y584" i="2"/>
  <c r="X584" i="2"/>
  <c r="AC583" i="2"/>
  <c r="Y583" i="2"/>
  <c r="X583" i="2"/>
  <c r="AB583" i="2" s="1"/>
  <c r="AC582" i="2"/>
  <c r="Y582" i="2"/>
  <c r="X582" i="2"/>
  <c r="AB582" i="2" s="1"/>
  <c r="Z582" i="2" s="1"/>
  <c r="AC581" i="2"/>
  <c r="Y581" i="2"/>
  <c r="X581" i="2"/>
  <c r="AB581" i="2" s="1"/>
  <c r="Z581" i="2" s="1"/>
  <c r="AC580" i="2"/>
  <c r="Y580" i="2"/>
  <c r="X580" i="2"/>
  <c r="AB580" i="2" s="1"/>
  <c r="Z580" i="2" s="1"/>
  <c r="AC579" i="2"/>
  <c r="AB579" i="2"/>
  <c r="Z579" i="2" s="1"/>
  <c r="Y579" i="2"/>
  <c r="X579" i="2"/>
  <c r="AC578" i="2"/>
  <c r="Y578" i="2"/>
  <c r="X578" i="2"/>
  <c r="AC577" i="2"/>
  <c r="Y577" i="2"/>
  <c r="X577" i="2"/>
  <c r="AB577" i="2" s="1"/>
  <c r="AC576" i="2"/>
  <c r="Y576" i="2"/>
  <c r="X576" i="2"/>
  <c r="AB576" i="2" s="1"/>
  <c r="Z576" i="2" s="1"/>
  <c r="AC575" i="2"/>
  <c r="AB575" i="2"/>
  <c r="Z575" i="2"/>
  <c r="Y575" i="2"/>
  <c r="X575" i="2"/>
  <c r="AC574" i="2"/>
  <c r="Y574" i="2"/>
  <c r="X574" i="2"/>
  <c r="AB574" i="2" s="1"/>
  <c r="AC573" i="2"/>
  <c r="Y573" i="2"/>
  <c r="X573" i="2"/>
  <c r="AB573" i="2" s="1"/>
  <c r="Z573" i="2" s="1"/>
  <c r="AC572" i="2"/>
  <c r="Y572" i="2"/>
  <c r="X572" i="2"/>
  <c r="AB572" i="2" s="1"/>
  <c r="Z572" i="2" s="1"/>
  <c r="AC571" i="2"/>
  <c r="Y571" i="2"/>
  <c r="X571" i="2"/>
  <c r="AB571" i="2" s="1"/>
  <c r="Z571" i="2" s="1"/>
  <c r="AC570" i="2"/>
  <c r="AB570" i="2"/>
  <c r="Y570" i="2"/>
  <c r="X570" i="2"/>
  <c r="AC569" i="2"/>
  <c r="Y569" i="2"/>
  <c r="X569" i="2"/>
  <c r="AB569" i="2" s="1"/>
  <c r="AC568" i="2"/>
  <c r="Y568" i="2"/>
  <c r="X568" i="2"/>
  <c r="AC567" i="2"/>
  <c r="Y567" i="2"/>
  <c r="AB567" i="2" s="1"/>
  <c r="Z567" i="2" s="1"/>
  <c r="X567" i="2"/>
  <c r="AC566" i="2"/>
  <c r="AB566" i="2"/>
  <c r="Z566" i="2" s="1"/>
  <c r="Y566" i="2"/>
  <c r="X566" i="2"/>
  <c r="AC565" i="2"/>
  <c r="Y565" i="2"/>
  <c r="X565" i="2"/>
  <c r="AB565" i="2" s="1"/>
  <c r="AC564" i="2"/>
  <c r="Y564" i="2"/>
  <c r="X564" i="2"/>
  <c r="AB564" i="2" s="1"/>
  <c r="AC563" i="2"/>
  <c r="Y563" i="2"/>
  <c r="AB563" i="2" s="1"/>
  <c r="Z563" i="2" s="1"/>
  <c r="X563" i="2"/>
  <c r="AC562" i="2"/>
  <c r="Y562" i="2"/>
  <c r="AB562" i="2" s="1"/>
  <c r="Z562" i="2" s="1"/>
  <c r="X562" i="2"/>
  <c r="AC561" i="2"/>
  <c r="AB561" i="2"/>
  <c r="Y561" i="2"/>
  <c r="X561" i="2"/>
  <c r="AC560" i="2"/>
  <c r="Y560" i="2"/>
  <c r="X560" i="2"/>
  <c r="AB560" i="2" s="1"/>
  <c r="Z560" i="2" s="1"/>
  <c r="AC559" i="2"/>
  <c r="Y559" i="2"/>
  <c r="AB559" i="2" s="1"/>
  <c r="X559" i="2"/>
  <c r="AC558" i="2"/>
  <c r="Y558" i="2"/>
  <c r="X558" i="2"/>
  <c r="AB558" i="2" s="1"/>
  <c r="Z558" i="2" s="1"/>
  <c r="AC557" i="2"/>
  <c r="Y557" i="2"/>
  <c r="AB557" i="2" s="1"/>
  <c r="X557" i="2"/>
  <c r="AC556" i="2"/>
  <c r="AB556" i="2"/>
  <c r="Y556" i="2"/>
  <c r="X556" i="2"/>
  <c r="AC555" i="2"/>
  <c r="Y555" i="2"/>
  <c r="X555" i="2"/>
  <c r="AB555" i="2" s="1"/>
  <c r="Z555" i="2" s="1"/>
  <c r="AC554" i="2"/>
  <c r="Y554" i="2"/>
  <c r="AB554" i="2" s="1"/>
  <c r="Z554" i="2" s="1"/>
  <c r="X554" i="2"/>
  <c r="AC553" i="2"/>
  <c r="Y553" i="2"/>
  <c r="X553" i="2"/>
  <c r="AB553" i="2" s="1"/>
  <c r="AC552" i="2"/>
  <c r="Y552" i="2"/>
  <c r="AB552" i="2" s="1"/>
  <c r="X552" i="2"/>
  <c r="AC551" i="2"/>
  <c r="AB551" i="2"/>
  <c r="Y551" i="2"/>
  <c r="X551" i="2"/>
  <c r="AC550" i="2"/>
  <c r="Y550" i="2"/>
  <c r="AB550" i="2" s="1"/>
  <c r="Z550" i="2" s="1"/>
  <c r="X550" i="2"/>
  <c r="AC549" i="2"/>
  <c r="Y549" i="2"/>
  <c r="AB549" i="2" s="1"/>
  <c r="X549" i="2"/>
  <c r="AC548" i="2"/>
  <c r="Y548" i="2"/>
  <c r="X548" i="2"/>
  <c r="AC547" i="2"/>
  <c r="AB547" i="2"/>
  <c r="Z547" i="2"/>
  <c r="Y547" i="2"/>
  <c r="X547" i="2"/>
  <c r="AC546" i="2"/>
  <c r="Y546" i="2"/>
  <c r="X546" i="2"/>
  <c r="AB546" i="2" s="1"/>
  <c r="AC545" i="2"/>
  <c r="Z545" i="2" s="1"/>
  <c r="AB545" i="2"/>
  <c r="Y545" i="2"/>
  <c r="X545" i="2"/>
  <c r="AC544" i="2"/>
  <c r="Y544" i="2"/>
  <c r="AB544" i="2" s="1"/>
  <c r="X544" i="2"/>
  <c r="AC543" i="2"/>
  <c r="AB543" i="2"/>
  <c r="Z543" i="2" s="1"/>
  <c r="Y543" i="2"/>
  <c r="X543" i="2"/>
  <c r="AC542" i="2"/>
  <c r="AB542" i="2"/>
  <c r="Z542" i="2"/>
  <c r="Y542" i="2"/>
  <c r="X542" i="2"/>
  <c r="AC541" i="2"/>
  <c r="Y541" i="2"/>
  <c r="X541" i="2"/>
  <c r="AB541" i="2" s="1"/>
  <c r="AC540" i="2"/>
  <c r="Y540" i="2"/>
  <c r="AB540" i="2" s="1"/>
  <c r="X540" i="2"/>
  <c r="AC539" i="2"/>
  <c r="Y539" i="2"/>
  <c r="AB539" i="2" s="1"/>
  <c r="Z539" i="2" s="1"/>
  <c r="X539" i="2"/>
  <c r="AC538" i="2"/>
  <c r="Y538" i="2"/>
  <c r="AB538" i="2" s="1"/>
  <c r="Z538" i="2" s="1"/>
  <c r="X538" i="2"/>
  <c r="AC537" i="2"/>
  <c r="AB537" i="2"/>
  <c r="Y537" i="2"/>
  <c r="X537" i="2"/>
  <c r="AC536" i="2"/>
  <c r="Y536" i="2"/>
  <c r="X536" i="2"/>
  <c r="AB536" i="2" s="1"/>
  <c r="AC535" i="2"/>
  <c r="Y535" i="2"/>
  <c r="AB535" i="2" s="1"/>
  <c r="Z535" i="2" s="1"/>
  <c r="X535" i="2"/>
  <c r="AC534" i="2"/>
  <c r="AB534" i="2"/>
  <c r="Y534" i="2"/>
  <c r="X534" i="2"/>
  <c r="AC533" i="2"/>
  <c r="Y533" i="2"/>
  <c r="X533" i="2"/>
  <c r="AB533" i="2" s="1"/>
  <c r="Z533" i="2" s="1"/>
  <c r="AC532" i="2"/>
  <c r="AB532" i="2"/>
  <c r="Z532" i="2"/>
  <c r="Y532" i="2"/>
  <c r="X532" i="2"/>
  <c r="AC531" i="2"/>
  <c r="Y531" i="2"/>
  <c r="X531" i="2"/>
  <c r="AC530" i="2"/>
  <c r="Y530" i="2"/>
  <c r="X530" i="2"/>
  <c r="AB530" i="2" s="1"/>
  <c r="Z530" i="2" s="1"/>
  <c r="AC529" i="2"/>
  <c r="AB529" i="2"/>
  <c r="Y529" i="2"/>
  <c r="X529" i="2"/>
  <c r="AC528" i="2"/>
  <c r="Y528" i="2"/>
  <c r="X528" i="2"/>
  <c r="AB528" i="2" s="1"/>
  <c r="Z528" i="2" s="1"/>
  <c r="AC527" i="2"/>
  <c r="AB527" i="2"/>
  <c r="Y527" i="2"/>
  <c r="X527" i="2"/>
  <c r="AC526" i="2"/>
  <c r="Y526" i="2"/>
  <c r="X526" i="2"/>
  <c r="AB526" i="2" s="1"/>
  <c r="AC525" i="2"/>
  <c r="Y525" i="2"/>
  <c r="X525" i="2"/>
  <c r="AB525" i="2" s="1"/>
  <c r="Z525" i="2" s="1"/>
  <c r="AC524" i="2"/>
  <c r="Y524" i="2"/>
  <c r="X524" i="2"/>
  <c r="AC523" i="2"/>
  <c r="Y523" i="2"/>
  <c r="AB523" i="2" s="1"/>
  <c r="Z523" i="2" s="1"/>
  <c r="X523" i="2"/>
  <c r="AC522" i="2"/>
  <c r="Y522" i="2"/>
  <c r="X522" i="2"/>
  <c r="AB522" i="2" s="1"/>
  <c r="Z522" i="2" s="1"/>
  <c r="AC521" i="2"/>
  <c r="Y521" i="2"/>
  <c r="X521" i="2"/>
  <c r="AC520" i="2"/>
  <c r="Y520" i="2"/>
  <c r="X520" i="2"/>
  <c r="AB520" i="2" s="1"/>
  <c r="Z520" i="2" s="1"/>
  <c r="AC519" i="2"/>
  <c r="AB519" i="2"/>
  <c r="Z519" i="2"/>
  <c r="Y519" i="2"/>
  <c r="X519" i="2"/>
  <c r="AC518" i="2"/>
  <c r="Y518" i="2"/>
  <c r="X518" i="2"/>
  <c r="AB518" i="2" s="1"/>
  <c r="AC517" i="2"/>
  <c r="AB517" i="2"/>
  <c r="Y517" i="2"/>
  <c r="X517" i="2"/>
  <c r="AC516" i="2"/>
  <c r="Y516" i="2"/>
  <c r="X516" i="2"/>
  <c r="AB516" i="2" s="1"/>
  <c r="AC515" i="2"/>
  <c r="Y515" i="2"/>
  <c r="AB515" i="2" s="1"/>
  <c r="X515" i="2"/>
  <c r="AC514" i="2"/>
  <c r="AB514" i="2"/>
  <c r="Z514" i="2" s="1"/>
  <c r="Y514" i="2"/>
  <c r="X514" i="2"/>
  <c r="AC513" i="2"/>
  <c r="AB513" i="2"/>
  <c r="Z513" i="2"/>
  <c r="Y513" i="2"/>
  <c r="X513" i="2"/>
  <c r="AC512" i="2"/>
  <c r="Y512" i="2"/>
  <c r="X512" i="2"/>
  <c r="AB512" i="2" s="1"/>
  <c r="Z512" i="2" s="1"/>
  <c r="AC511" i="2"/>
  <c r="Y511" i="2"/>
  <c r="X511" i="2"/>
  <c r="AC510" i="2"/>
  <c r="AB510" i="2"/>
  <c r="Z510" i="2"/>
  <c r="Y510" i="2"/>
  <c r="X510" i="2"/>
  <c r="AC509" i="2"/>
  <c r="AB509" i="2"/>
  <c r="Z509" i="2" s="1"/>
  <c r="Y509" i="2"/>
  <c r="X509" i="2"/>
  <c r="AC508" i="2"/>
  <c r="Z508" i="2" s="1"/>
  <c r="AB508" i="2"/>
  <c r="Y508" i="2"/>
  <c r="X508" i="2"/>
  <c r="AC507" i="2"/>
  <c r="Y507" i="2"/>
  <c r="X507" i="2"/>
  <c r="AB507" i="2" s="1"/>
  <c r="Z507" i="2" s="1"/>
  <c r="AC506" i="2"/>
  <c r="Y506" i="2"/>
  <c r="X506" i="2"/>
  <c r="AB506" i="2" s="1"/>
  <c r="Z506" i="2" s="1"/>
  <c r="AC505" i="2"/>
  <c r="AB505" i="2"/>
  <c r="Y505" i="2"/>
  <c r="X505" i="2"/>
  <c r="AC504" i="2"/>
  <c r="AB504" i="2"/>
  <c r="Z504" i="2"/>
  <c r="Y504" i="2"/>
  <c r="X504" i="2"/>
  <c r="AC503" i="2"/>
  <c r="AB503" i="2"/>
  <c r="Z503" i="2"/>
  <c r="Y503" i="2"/>
  <c r="X503" i="2"/>
  <c r="AC502" i="2"/>
  <c r="Z502" i="2" s="1"/>
  <c r="AB502" i="2"/>
  <c r="Y502" i="2"/>
  <c r="X502" i="2"/>
  <c r="AC501" i="2"/>
  <c r="Y501" i="2"/>
  <c r="X501" i="2"/>
  <c r="AB501" i="2" s="1"/>
  <c r="Z501" i="2" s="1"/>
  <c r="AC500" i="2"/>
  <c r="Y500" i="2"/>
  <c r="X500" i="2"/>
  <c r="AC499" i="2"/>
  <c r="AB499" i="2"/>
  <c r="Z499" i="2" s="1"/>
  <c r="Y499" i="2"/>
  <c r="X499" i="2"/>
  <c r="AC498" i="2"/>
  <c r="Y498" i="2"/>
  <c r="X498" i="2"/>
  <c r="AB498" i="2" s="1"/>
  <c r="AC497" i="2"/>
  <c r="Y497" i="2"/>
  <c r="X497" i="2"/>
  <c r="AC496" i="2"/>
  <c r="Y496" i="2"/>
  <c r="X496" i="2"/>
  <c r="AB496" i="2" s="1"/>
  <c r="Z496" i="2" s="1"/>
  <c r="AC495" i="2"/>
  <c r="Y495" i="2"/>
  <c r="AB495" i="2" s="1"/>
  <c r="Z495" i="2" s="1"/>
  <c r="X495" i="2"/>
  <c r="AC494" i="2"/>
  <c r="Z494" i="2" s="1"/>
  <c r="AB494" i="2"/>
  <c r="Y494" i="2"/>
  <c r="X494" i="2"/>
  <c r="AC493" i="2"/>
  <c r="Y493" i="2"/>
  <c r="AB493" i="2" s="1"/>
  <c r="X493" i="2"/>
  <c r="AC492" i="2"/>
  <c r="Y492" i="2"/>
  <c r="X492" i="2"/>
  <c r="AB492" i="2" s="1"/>
  <c r="AC491" i="2"/>
  <c r="Y491" i="2"/>
  <c r="AB491" i="2" s="1"/>
  <c r="Z491" i="2" s="1"/>
  <c r="X491" i="2"/>
  <c r="AC490" i="2"/>
  <c r="AB490" i="2"/>
  <c r="Z490" i="2"/>
  <c r="Y490" i="2"/>
  <c r="X490" i="2"/>
  <c r="AC489" i="2"/>
  <c r="Y489" i="2"/>
  <c r="X489" i="2"/>
  <c r="AB489" i="2" s="1"/>
  <c r="AC488" i="2"/>
  <c r="Z488" i="2"/>
  <c r="Y488" i="2"/>
  <c r="X488" i="2"/>
  <c r="AB488" i="2" s="1"/>
  <c r="AC487" i="2"/>
  <c r="AB487" i="2"/>
  <c r="Y487" i="2"/>
  <c r="X487" i="2"/>
  <c r="AC486" i="2"/>
  <c r="Y486" i="2"/>
  <c r="X486" i="2"/>
  <c r="AB486" i="2" s="1"/>
  <c r="Z486" i="2" s="1"/>
  <c r="AC485" i="2"/>
  <c r="AB485" i="2"/>
  <c r="Y485" i="2"/>
  <c r="X485" i="2"/>
  <c r="AC484" i="2"/>
  <c r="Y484" i="2"/>
  <c r="X484" i="2"/>
  <c r="AB484" i="2" s="1"/>
  <c r="AC483" i="2"/>
  <c r="Y483" i="2"/>
  <c r="X483" i="2"/>
  <c r="AB483" i="2" s="1"/>
  <c r="Z483" i="2" s="1"/>
  <c r="AC482" i="2"/>
  <c r="Y482" i="2"/>
  <c r="AB482" i="2" s="1"/>
  <c r="Z482" i="2" s="1"/>
  <c r="X482" i="2"/>
  <c r="AC481" i="2"/>
  <c r="AB481" i="2"/>
  <c r="Y481" i="2"/>
  <c r="X481" i="2"/>
  <c r="AC480" i="2"/>
  <c r="Y480" i="2"/>
  <c r="AB480" i="2" s="1"/>
  <c r="X480" i="2"/>
  <c r="AC479" i="2"/>
  <c r="AB479" i="2"/>
  <c r="Y479" i="2"/>
  <c r="X479" i="2"/>
  <c r="AC478" i="2"/>
  <c r="Y478" i="2"/>
  <c r="X478" i="2"/>
  <c r="AB478" i="2" s="1"/>
  <c r="AC477" i="2"/>
  <c r="Z477" i="2"/>
  <c r="Y477" i="2"/>
  <c r="AB477" i="2" s="1"/>
  <c r="X477" i="2"/>
  <c r="AC476" i="2"/>
  <c r="Y476" i="2"/>
  <c r="X476" i="2"/>
  <c r="AB476" i="2" s="1"/>
  <c r="Z476" i="2" s="1"/>
  <c r="AC475" i="2"/>
  <c r="Y475" i="2"/>
  <c r="AB475" i="2" s="1"/>
  <c r="X475" i="2"/>
  <c r="AC474" i="2"/>
  <c r="Y474" i="2"/>
  <c r="X474" i="2"/>
  <c r="AB474" i="2" s="1"/>
  <c r="AC473" i="2"/>
  <c r="Y473" i="2"/>
  <c r="X473" i="2"/>
  <c r="AB473" i="2" s="1"/>
  <c r="Z473" i="2" s="1"/>
  <c r="AC472" i="2"/>
  <c r="Y472" i="2"/>
  <c r="AB472" i="2" s="1"/>
  <c r="X472" i="2"/>
  <c r="AC471" i="2"/>
  <c r="Y471" i="2"/>
  <c r="AB471" i="2" s="1"/>
  <c r="Z471" i="2" s="1"/>
  <c r="X471" i="2"/>
  <c r="AC470" i="2"/>
  <c r="AB470" i="2"/>
  <c r="Z470" i="2" s="1"/>
  <c r="Y470" i="2"/>
  <c r="X470" i="2"/>
  <c r="AC469" i="2"/>
  <c r="Y469" i="2"/>
  <c r="X469" i="2"/>
  <c r="AB469" i="2" s="1"/>
  <c r="AC468" i="2"/>
  <c r="Y468" i="2"/>
  <c r="X468" i="2"/>
  <c r="AB468" i="2" s="1"/>
  <c r="Z468" i="2" s="1"/>
  <c r="AC467" i="2"/>
  <c r="Y467" i="2"/>
  <c r="AB467" i="2" s="1"/>
  <c r="X467" i="2"/>
  <c r="AC466" i="2"/>
  <c r="AB466" i="2"/>
  <c r="Z466" i="2" s="1"/>
  <c r="Y466" i="2"/>
  <c r="X466" i="2"/>
  <c r="AC465" i="2"/>
  <c r="Y465" i="2"/>
  <c r="X465" i="2"/>
  <c r="AB465" i="2" s="1"/>
  <c r="Z465" i="2" s="1"/>
  <c r="AC464" i="2"/>
  <c r="Y464" i="2"/>
  <c r="X464" i="2"/>
  <c r="AB464" i="2" s="1"/>
  <c r="AC463" i="2"/>
  <c r="Z463" i="2" s="1"/>
  <c r="Y463" i="2"/>
  <c r="X463" i="2"/>
  <c r="AB463" i="2" s="1"/>
  <c r="AC462" i="2"/>
  <c r="AB462" i="2"/>
  <c r="Z462" i="2"/>
  <c r="Y462" i="2"/>
  <c r="X462" i="2"/>
  <c r="AC461" i="2"/>
  <c r="AB461" i="2"/>
  <c r="Z461" i="2" s="1"/>
  <c r="Y461" i="2"/>
  <c r="X461" i="2"/>
  <c r="AC460" i="2"/>
  <c r="AB460" i="2"/>
  <c r="Y460" i="2"/>
  <c r="X460" i="2"/>
  <c r="AC459" i="2"/>
  <c r="Y459" i="2"/>
  <c r="X459" i="2"/>
  <c r="AC458" i="2"/>
  <c r="Y458" i="2"/>
  <c r="X458" i="2"/>
  <c r="AB458" i="2" s="1"/>
  <c r="AC457" i="2"/>
  <c r="Y457" i="2"/>
  <c r="AB457" i="2" s="1"/>
  <c r="X457" i="2"/>
  <c r="AC456" i="2"/>
  <c r="Y456" i="2"/>
  <c r="X456" i="2"/>
  <c r="AC455" i="2"/>
  <c r="AB455" i="2"/>
  <c r="Z455" i="2"/>
  <c r="Y455" i="2"/>
  <c r="X455" i="2"/>
  <c r="AC454" i="2"/>
  <c r="Y454" i="2"/>
  <c r="X454" i="2"/>
  <c r="AB454" i="2" s="1"/>
  <c r="AC453" i="2"/>
  <c r="Y453" i="2"/>
  <c r="AB453" i="2" s="1"/>
  <c r="Z453" i="2" s="1"/>
  <c r="X453" i="2"/>
  <c r="AC452" i="2"/>
  <c r="Y452" i="2"/>
  <c r="X452" i="2"/>
  <c r="AC451" i="2"/>
  <c r="Y451" i="2"/>
  <c r="X451" i="2"/>
  <c r="AB451" i="2" s="1"/>
  <c r="Z451" i="2" s="1"/>
  <c r="AC450" i="2"/>
  <c r="AB450" i="2"/>
  <c r="Y450" i="2"/>
  <c r="X450" i="2"/>
  <c r="AC449" i="2"/>
  <c r="Z449" i="2" s="1"/>
  <c r="Y449" i="2"/>
  <c r="X449" i="2"/>
  <c r="AB449" i="2" s="1"/>
  <c r="AC448" i="2"/>
  <c r="Y448" i="2"/>
  <c r="X448" i="2"/>
  <c r="AB448" i="2" s="1"/>
  <c r="Z448" i="2" s="1"/>
  <c r="AC447" i="2"/>
  <c r="AB447" i="2"/>
  <c r="Z447" i="2"/>
  <c r="Y447" i="2"/>
  <c r="X447" i="2"/>
  <c r="AC446" i="2"/>
  <c r="Y446" i="2"/>
  <c r="X446" i="2"/>
  <c r="AB446" i="2" s="1"/>
  <c r="Z446" i="2" s="1"/>
  <c r="AC445" i="2"/>
  <c r="AB445" i="2"/>
  <c r="Y445" i="2"/>
  <c r="X445" i="2"/>
  <c r="AC444" i="2"/>
  <c r="Y444" i="2"/>
  <c r="X444" i="2"/>
  <c r="AB444" i="2" s="1"/>
  <c r="AC443" i="2"/>
  <c r="AB443" i="2"/>
  <c r="Z443" i="2" s="1"/>
  <c r="Y443" i="2"/>
  <c r="X443" i="2"/>
  <c r="AC442" i="2"/>
  <c r="AB442" i="2"/>
  <c r="Z442" i="2"/>
  <c r="Y442" i="2"/>
  <c r="X442" i="2"/>
  <c r="AC441" i="2"/>
  <c r="Y441" i="2"/>
  <c r="AB441" i="2" s="1"/>
  <c r="X441" i="2"/>
  <c r="AC440" i="2"/>
  <c r="Z440" i="2"/>
  <c r="Y440" i="2"/>
  <c r="X440" i="2"/>
  <c r="AB440" i="2" s="1"/>
  <c r="AC439" i="2"/>
  <c r="Y439" i="2"/>
  <c r="X439" i="2"/>
  <c r="AB439" i="2" s="1"/>
  <c r="AC438" i="2"/>
  <c r="Y438" i="2"/>
  <c r="X438" i="2"/>
  <c r="AB438" i="2" s="1"/>
  <c r="AC437" i="2"/>
  <c r="AB437" i="2"/>
  <c r="Z437" i="2"/>
  <c r="Y437" i="2"/>
  <c r="X437" i="2"/>
  <c r="AC436" i="2"/>
  <c r="Y436" i="2"/>
  <c r="AB436" i="2" s="1"/>
  <c r="Z436" i="2" s="1"/>
  <c r="X436" i="2"/>
  <c r="AC435" i="2"/>
  <c r="Y435" i="2"/>
  <c r="AB435" i="2" s="1"/>
  <c r="Z435" i="2" s="1"/>
  <c r="X435" i="2"/>
  <c r="AC434" i="2"/>
  <c r="Y434" i="2"/>
  <c r="X434" i="2"/>
  <c r="AC433" i="2"/>
  <c r="Y433" i="2"/>
  <c r="AB433" i="2" s="1"/>
  <c r="X433" i="2"/>
  <c r="AC432" i="2"/>
  <c r="AB432" i="2"/>
  <c r="Z432" i="2" s="1"/>
  <c r="Y432" i="2"/>
  <c r="X432" i="2"/>
  <c r="AC431" i="2"/>
  <c r="AB431" i="2"/>
  <c r="Y431" i="2"/>
  <c r="X431" i="2"/>
  <c r="AC430" i="2"/>
  <c r="Y430" i="2"/>
  <c r="X430" i="2"/>
  <c r="AB430" i="2" s="1"/>
  <c r="AC429" i="2"/>
  <c r="Y429" i="2"/>
  <c r="X429" i="2"/>
  <c r="AC428" i="2"/>
  <c r="Y428" i="2"/>
  <c r="X428" i="2"/>
  <c r="AB428" i="2" s="1"/>
  <c r="AC427" i="2"/>
  <c r="AB427" i="2"/>
  <c r="Z427" i="2"/>
  <c r="Y427" i="2"/>
  <c r="X427" i="2"/>
  <c r="AC426" i="2"/>
  <c r="AB426" i="2"/>
  <c r="Z426" i="2"/>
  <c r="Y426" i="2"/>
  <c r="X426" i="2"/>
  <c r="AC425" i="2"/>
  <c r="AB425" i="2"/>
  <c r="Y425" i="2"/>
  <c r="X425" i="2"/>
  <c r="AC424" i="2"/>
  <c r="Y424" i="2"/>
  <c r="X424" i="2"/>
  <c r="AC423" i="2"/>
  <c r="AB423" i="2"/>
  <c r="Z423" i="2" s="1"/>
  <c r="Y423" i="2"/>
  <c r="X423" i="2"/>
  <c r="AC422" i="2"/>
  <c r="Y422" i="2"/>
  <c r="X422" i="2"/>
  <c r="AB422" i="2" s="1"/>
  <c r="AC421" i="2"/>
  <c r="Y421" i="2"/>
  <c r="X421" i="2"/>
  <c r="AB421" i="2" s="1"/>
  <c r="AC420" i="2"/>
  <c r="AB420" i="2"/>
  <c r="Y420" i="2"/>
  <c r="X420" i="2"/>
  <c r="AC419" i="2"/>
  <c r="Y419" i="2"/>
  <c r="AB419" i="2" s="1"/>
  <c r="Z419" i="2" s="1"/>
  <c r="X419" i="2"/>
  <c r="AC418" i="2"/>
  <c r="Y418" i="2"/>
  <c r="AB418" i="2" s="1"/>
  <c r="Z418" i="2" s="1"/>
  <c r="X418" i="2"/>
  <c r="AC417" i="2"/>
  <c r="Y417" i="2"/>
  <c r="X417" i="2"/>
  <c r="AB417" i="2" s="1"/>
  <c r="AC416" i="2"/>
  <c r="Y416" i="2"/>
  <c r="X416" i="2"/>
  <c r="AB416" i="2" s="1"/>
  <c r="AC415" i="2"/>
  <c r="Y415" i="2"/>
  <c r="X415" i="2"/>
  <c r="AB415" i="2" s="1"/>
  <c r="AC414" i="2"/>
  <c r="Y414" i="2"/>
  <c r="X414" i="2"/>
  <c r="AB414" i="2" s="1"/>
  <c r="Z414" i="2" s="1"/>
  <c r="AC413" i="2"/>
  <c r="Y413" i="2"/>
  <c r="AB413" i="2" s="1"/>
  <c r="Z413" i="2" s="1"/>
  <c r="X413" i="2"/>
  <c r="AC412" i="2"/>
  <c r="Y412" i="2"/>
  <c r="X412" i="2"/>
  <c r="AB412" i="2" s="1"/>
  <c r="AC411" i="2"/>
  <c r="Y411" i="2"/>
  <c r="AB411" i="2" s="1"/>
  <c r="Z411" i="2" s="1"/>
  <c r="X411" i="2"/>
  <c r="AC410" i="2"/>
  <c r="Y410" i="2"/>
  <c r="AB410" i="2" s="1"/>
  <c r="Z410" i="2" s="1"/>
  <c r="X410" i="2"/>
  <c r="AC409" i="2"/>
  <c r="Y409" i="2"/>
  <c r="AB409" i="2" s="1"/>
  <c r="X409" i="2"/>
  <c r="AC408" i="2"/>
  <c r="AB408" i="2"/>
  <c r="Z408" i="2"/>
  <c r="Y408" i="2"/>
  <c r="X408" i="2"/>
  <c r="AC407" i="2"/>
  <c r="AB407" i="2"/>
  <c r="Y407" i="2"/>
  <c r="X407" i="2"/>
  <c r="AC406" i="2"/>
  <c r="Y406" i="2"/>
  <c r="X406" i="2"/>
  <c r="AB406" i="2" s="1"/>
  <c r="AC405" i="2"/>
  <c r="Y405" i="2"/>
  <c r="AB405" i="2" s="1"/>
  <c r="X405" i="2"/>
  <c r="AC404" i="2"/>
  <c r="Y404" i="2"/>
  <c r="X404" i="2"/>
  <c r="AC403" i="2"/>
  <c r="Y403" i="2"/>
  <c r="AB403" i="2" s="1"/>
  <c r="X403" i="2"/>
  <c r="AC402" i="2"/>
  <c r="Y402" i="2"/>
  <c r="X402" i="2"/>
  <c r="AB402" i="2" s="1"/>
  <c r="AC401" i="2"/>
  <c r="Y401" i="2"/>
  <c r="AB401" i="2" s="1"/>
  <c r="X401" i="2"/>
  <c r="AC400" i="2"/>
  <c r="Y400" i="2"/>
  <c r="AB400" i="2" s="1"/>
  <c r="Z400" i="2" s="1"/>
  <c r="X400" i="2"/>
  <c r="AC399" i="2"/>
  <c r="AB399" i="2"/>
  <c r="Z399" i="2" s="1"/>
  <c r="Y399" i="2"/>
  <c r="X399" i="2"/>
  <c r="AC398" i="2"/>
  <c r="Y398" i="2"/>
  <c r="X398" i="2"/>
  <c r="AB398" i="2" s="1"/>
  <c r="AC397" i="2"/>
  <c r="Y397" i="2"/>
  <c r="X397" i="2"/>
  <c r="AB397" i="2" s="1"/>
  <c r="AC396" i="2"/>
  <c r="AB396" i="2"/>
  <c r="Y396" i="2"/>
  <c r="X396" i="2"/>
  <c r="AC395" i="2"/>
  <c r="Y395" i="2"/>
  <c r="AB395" i="2" s="1"/>
  <c r="X395" i="2"/>
  <c r="AC394" i="2"/>
  <c r="Y394" i="2"/>
  <c r="X394" i="2"/>
  <c r="AB394" i="2" s="1"/>
  <c r="Z394" i="2" s="1"/>
  <c r="AC393" i="2"/>
  <c r="Z393" i="2" s="1"/>
  <c r="AB393" i="2"/>
  <c r="Y393" i="2"/>
  <c r="X393" i="2"/>
  <c r="AC392" i="2"/>
  <c r="Y392" i="2"/>
  <c r="X392" i="2"/>
  <c r="AB392" i="2" s="1"/>
  <c r="AC391" i="2"/>
  <c r="Y391" i="2"/>
  <c r="X391" i="2"/>
  <c r="AB391" i="2" s="1"/>
  <c r="Z391" i="2" s="1"/>
  <c r="AC390" i="2"/>
  <c r="Z390" i="2" s="1"/>
  <c r="AB390" i="2"/>
  <c r="Y390" i="2"/>
  <c r="X390" i="2"/>
  <c r="AC389" i="2"/>
  <c r="Y389" i="2"/>
  <c r="X389" i="2"/>
  <c r="AB389" i="2" s="1"/>
  <c r="Z389" i="2" s="1"/>
  <c r="AC388" i="2"/>
  <c r="Y388" i="2"/>
  <c r="X388" i="2"/>
  <c r="AB388" i="2" s="1"/>
  <c r="Z388" i="2" s="1"/>
  <c r="AC387" i="2"/>
  <c r="Y387" i="2"/>
  <c r="X387" i="2"/>
  <c r="AB387" i="2" s="1"/>
  <c r="Z387" i="2" s="1"/>
  <c r="AC386" i="2"/>
  <c r="Y386" i="2"/>
  <c r="X386" i="2"/>
  <c r="AB386" i="2" s="1"/>
  <c r="AC385" i="2"/>
  <c r="Y385" i="2"/>
  <c r="AB385" i="2" s="1"/>
  <c r="X385" i="2"/>
  <c r="AC384" i="2"/>
  <c r="Y384" i="2"/>
  <c r="AB384" i="2" s="1"/>
  <c r="Z384" i="2" s="1"/>
  <c r="X384" i="2"/>
  <c r="AC383" i="2"/>
  <c r="AB383" i="2"/>
  <c r="Z383" i="2" s="1"/>
  <c r="Y383" i="2"/>
  <c r="X383" i="2"/>
  <c r="AC382" i="2"/>
  <c r="Y382" i="2"/>
  <c r="X382" i="2"/>
  <c r="AC381" i="2"/>
  <c r="Y381" i="2"/>
  <c r="X381" i="2"/>
  <c r="AB381" i="2" s="1"/>
  <c r="Z381" i="2" s="1"/>
  <c r="AC380" i="2"/>
  <c r="Y380" i="2"/>
  <c r="X380" i="2"/>
  <c r="AC379" i="2"/>
  <c r="Y379" i="2"/>
  <c r="X379" i="2"/>
  <c r="AB379" i="2" s="1"/>
  <c r="Z379" i="2" s="1"/>
  <c r="AC378" i="2"/>
  <c r="Y378" i="2"/>
  <c r="X378" i="2"/>
  <c r="AB378" i="2" s="1"/>
  <c r="AC377" i="2"/>
  <c r="Y377" i="2"/>
  <c r="X377" i="2"/>
  <c r="AC376" i="2"/>
  <c r="Y376" i="2"/>
  <c r="X376" i="2"/>
  <c r="AB376" i="2" s="1"/>
  <c r="AC375" i="2"/>
  <c r="AB375" i="2"/>
  <c r="Z375" i="2" s="1"/>
  <c r="Y375" i="2"/>
  <c r="X375" i="2"/>
  <c r="AC374" i="2"/>
  <c r="AB374" i="2"/>
  <c r="Z374" i="2"/>
  <c r="Y374" i="2"/>
  <c r="X374" i="2"/>
  <c r="AC373" i="2"/>
  <c r="Y373" i="2"/>
  <c r="X373" i="2"/>
  <c r="AB373" i="2" s="1"/>
  <c r="AC372" i="2"/>
  <c r="Y372" i="2"/>
  <c r="X372" i="2"/>
  <c r="AB372" i="2" s="1"/>
  <c r="AC371" i="2"/>
  <c r="AB371" i="2"/>
  <c r="Z371" i="2"/>
  <c r="Y371" i="2"/>
  <c r="X371" i="2"/>
  <c r="AC370" i="2"/>
  <c r="AB370" i="2"/>
  <c r="Z370" i="2" s="1"/>
  <c r="Y370" i="2"/>
  <c r="X370" i="2"/>
  <c r="AC369" i="2"/>
  <c r="Y369" i="2"/>
  <c r="X369" i="2"/>
  <c r="AB369" i="2" s="1"/>
  <c r="Z369" i="2" s="1"/>
  <c r="AC368" i="2"/>
  <c r="Y368" i="2"/>
  <c r="X368" i="2"/>
  <c r="AB368" i="2" s="1"/>
  <c r="Z368" i="2" s="1"/>
  <c r="AC367" i="2"/>
  <c r="Y367" i="2"/>
  <c r="X367" i="2"/>
  <c r="AB367" i="2" s="1"/>
  <c r="AC366" i="2"/>
  <c r="Y366" i="2"/>
  <c r="X366" i="2"/>
  <c r="AB366" i="2" s="1"/>
  <c r="AC365" i="2"/>
  <c r="AB365" i="2"/>
  <c r="Z365" i="2" s="1"/>
  <c r="Y365" i="2"/>
  <c r="X365" i="2"/>
  <c r="AC364" i="2"/>
  <c r="AB364" i="2"/>
  <c r="Y364" i="2"/>
  <c r="X364" i="2"/>
  <c r="AC363" i="2"/>
  <c r="AB363" i="2"/>
  <c r="Z363" i="2" s="1"/>
  <c r="Y363" i="2"/>
  <c r="X363" i="2"/>
  <c r="AC362" i="2"/>
  <c r="Y362" i="2"/>
  <c r="X362" i="2"/>
  <c r="AB362" i="2" s="1"/>
  <c r="Z362" i="2" s="1"/>
  <c r="AC361" i="2"/>
  <c r="AB361" i="2"/>
  <c r="Y361" i="2"/>
  <c r="X361" i="2"/>
  <c r="AC360" i="2"/>
  <c r="AB360" i="2"/>
  <c r="Z360" i="2" s="1"/>
  <c r="Y360" i="2"/>
  <c r="X360" i="2"/>
  <c r="AC359" i="2"/>
  <c r="Y359" i="2"/>
  <c r="AB359" i="2" s="1"/>
  <c r="Z359" i="2" s="1"/>
  <c r="X359" i="2"/>
  <c r="AC358" i="2"/>
  <c r="AB358" i="2"/>
  <c r="Y358" i="2"/>
  <c r="X358" i="2"/>
  <c r="AC357" i="2"/>
  <c r="Y357" i="2"/>
  <c r="X357" i="2"/>
  <c r="AC356" i="2"/>
  <c r="Y356" i="2"/>
  <c r="X356" i="2"/>
  <c r="AC355" i="2"/>
  <c r="AB355" i="2"/>
  <c r="Z355" i="2" s="1"/>
  <c r="Y355" i="2"/>
  <c r="X355" i="2"/>
  <c r="AC354" i="2"/>
  <c r="Y354" i="2"/>
  <c r="X354" i="2"/>
  <c r="AB354" i="2" s="1"/>
  <c r="Z354" i="2" s="1"/>
  <c r="AC353" i="2"/>
  <c r="Y353" i="2"/>
  <c r="X353" i="2"/>
  <c r="AB353" i="2" s="1"/>
  <c r="AC352" i="2"/>
  <c r="Y352" i="2"/>
  <c r="X352" i="2"/>
  <c r="AB352" i="2" s="1"/>
  <c r="Z352" i="2" s="1"/>
  <c r="AC351" i="2"/>
  <c r="Y351" i="2"/>
  <c r="AB351" i="2" s="1"/>
  <c r="Z351" i="2" s="1"/>
  <c r="X351" i="2"/>
  <c r="AC350" i="2"/>
  <c r="Y350" i="2"/>
  <c r="X350" i="2"/>
  <c r="AB350" i="2" s="1"/>
  <c r="AC349" i="2"/>
  <c r="Z349" i="2" s="1"/>
  <c r="Y349" i="2"/>
  <c r="X349" i="2"/>
  <c r="AB349" i="2" s="1"/>
  <c r="AC348" i="2"/>
  <c r="Y348" i="2"/>
  <c r="X348" i="2"/>
  <c r="AC347" i="2"/>
  <c r="Y347" i="2"/>
  <c r="AB347" i="2" s="1"/>
  <c r="Z347" i="2" s="1"/>
  <c r="X347" i="2"/>
  <c r="AC346" i="2"/>
  <c r="Y346" i="2"/>
  <c r="AB346" i="2" s="1"/>
  <c r="X346" i="2"/>
  <c r="AC345" i="2"/>
  <c r="Y345" i="2"/>
  <c r="X345" i="2"/>
  <c r="AB345" i="2" s="1"/>
  <c r="AC344" i="2"/>
  <c r="Y344" i="2"/>
  <c r="X344" i="2"/>
  <c r="AB344" i="2" s="1"/>
  <c r="Z344" i="2" s="1"/>
  <c r="AC343" i="2"/>
  <c r="Y343" i="2"/>
  <c r="X343" i="2"/>
  <c r="AB343" i="2" s="1"/>
  <c r="AC342" i="2"/>
  <c r="Y342" i="2"/>
  <c r="X342" i="2"/>
  <c r="AB342" i="2" s="1"/>
  <c r="Z342" i="2" s="1"/>
  <c r="AC341" i="2"/>
  <c r="Y341" i="2"/>
  <c r="AB341" i="2" s="1"/>
  <c r="Z341" i="2" s="1"/>
  <c r="X341" i="2"/>
  <c r="AC340" i="2"/>
  <c r="AB340" i="2"/>
  <c r="Y340" i="2"/>
  <c r="X340" i="2"/>
  <c r="AC339" i="2"/>
  <c r="Y339" i="2"/>
  <c r="X339" i="2"/>
  <c r="AB339" i="2" s="1"/>
  <c r="Z339" i="2" s="1"/>
  <c r="AC338" i="2"/>
  <c r="Y338" i="2"/>
  <c r="AB338" i="2" s="1"/>
  <c r="Z338" i="2" s="1"/>
  <c r="X338" i="2"/>
  <c r="AC337" i="2"/>
  <c r="AB337" i="2"/>
  <c r="Y337" i="2"/>
  <c r="X337" i="2"/>
  <c r="AC336" i="2"/>
  <c r="AB336" i="2"/>
  <c r="Z336" i="2"/>
  <c r="Y336" i="2"/>
  <c r="X336" i="2"/>
  <c r="AC335" i="2"/>
  <c r="AB335" i="2"/>
  <c r="Y335" i="2"/>
  <c r="X335" i="2"/>
  <c r="AC334" i="2"/>
  <c r="Y334" i="2"/>
  <c r="X334" i="2"/>
  <c r="AC333" i="2"/>
  <c r="Y333" i="2"/>
  <c r="AB333" i="2" s="1"/>
  <c r="Z333" i="2" s="1"/>
  <c r="X333" i="2"/>
  <c r="AC332" i="2"/>
  <c r="Y332" i="2"/>
  <c r="X332" i="2"/>
  <c r="AB332" i="2" s="1"/>
  <c r="Z332" i="2" s="1"/>
  <c r="AC331" i="2"/>
  <c r="AB331" i="2"/>
  <c r="Z331" i="2" s="1"/>
  <c r="Y331" i="2"/>
  <c r="X331" i="2"/>
  <c r="AC330" i="2"/>
  <c r="AB330" i="2"/>
  <c r="Y330" i="2"/>
  <c r="X330" i="2"/>
  <c r="AC329" i="2"/>
  <c r="Y329" i="2"/>
  <c r="X329" i="2"/>
  <c r="AB329" i="2" s="1"/>
  <c r="Z329" i="2" s="1"/>
  <c r="AC328" i="2"/>
  <c r="Y328" i="2"/>
  <c r="AB328" i="2" s="1"/>
  <c r="X328" i="2"/>
  <c r="AC327" i="2"/>
  <c r="Y327" i="2"/>
  <c r="X327" i="2"/>
  <c r="AB327" i="2" s="1"/>
  <c r="Z327" i="2" s="1"/>
  <c r="AC326" i="2"/>
  <c r="Y326" i="2"/>
  <c r="X326" i="2"/>
  <c r="AB326" i="2" s="1"/>
  <c r="Z326" i="2" s="1"/>
  <c r="AC325" i="2"/>
  <c r="Y325" i="2"/>
  <c r="X325" i="2"/>
  <c r="AB325" i="2" s="1"/>
  <c r="AC324" i="2"/>
  <c r="Y324" i="2"/>
  <c r="X324" i="2"/>
  <c r="AC323" i="2"/>
  <c r="Y323" i="2"/>
  <c r="AB323" i="2" s="1"/>
  <c r="Z323" i="2" s="1"/>
  <c r="X323" i="2"/>
  <c r="AC322" i="2"/>
  <c r="AB322" i="2"/>
  <c r="Z322" i="2"/>
  <c r="Y322" i="2"/>
  <c r="X322" i="2"/>
  <c r="AC321" i="2"/>
  <c r="Y321" i="2"/>
  <c r="X321" i="2"/>
  <c r="AB321" i="2" s="1"/>
  <c r="Z321" i="2" s="1"/>
  <c r="AC320" i="2"/>
  <c r="Y320" i="2"/>
  <c r="X320" i="2"/>
  <c r="AB320" i="2" s="1"/>
  <c r="AC319" i="2"/>
  <c r="AB319" i="2"/>
  <c r="Y319" i="2"/>
  <c r="X319" i="2"/>
  <c r="AC318" i="2"/>
  <c r="AB318" i="2"/>
  <c r="Y318" i="2"/>
  <c r="X318" i="2"/>
  <c r="AC317" i="2"/>
  <c r="AB317" i="2"/>
  <c r="Z317" i="2" s="1"/>
  <c r="Y317" i="2"/>
  <c r="X317" i="2"/>
  <c r="AC316" i="2"/>
  <c r="AB316" i="2"/>
  <c r="Z316" i="2"/>
  <c r="Y316" i="2"/>
  <c r="X316" i="2"/>
  <c r="AC315" i="2"/>
  <c r="Y315" i="2"/>
  <c r="X315" i="2"/>
  <c r="AB315" i="2" s="1"/>
  <c r="Z315" i="2" s="1"/>
  <c r="AC314" i="2"/>
  <c r="AB314" i="2"/>
  <c r="Y314" i="2"/>
  <c r="X314" i="2"/>
  <c r="AC313" i="2"/>
  <c r="Y313" i="2"/>
  <c r="AB313" i="2" s="1"/>
  <c r="X313" i="2"/>
  <c r="AC312" i="2"/>
  <c r="Y312" i="2"/>
  <c r="X312" i="2"/>
  <c r="AC311" i="2"/>
  <c r="AB311" i="2"/>
  <c r="Y311" i="2"/>
  <c r="X311" i="2"/>
  <c r="AC310" i="2"/>
  <c r="Y310" i="2"/>
  <c r="X310" i="2"/>
  <c r="AB310" i="2" s="1"/>
  <c r="AC309" i="2"/>
  <c r="Y309" i="2"/>
  <c r="X309" i="2"/>
  <c r="AC308" i="2"/>
  <c r="Y308" i="2"/>
  <c r="X308" i="2"/>
  <c r="AC307" i="2"/>
  <c r="Y307" i="2"/>
  <c r="X307" i="2"/>
  <c r="AC306" i="2"/>
  <c r="AB306" i="2"/>
  <c r="Z306" i="2" s="1"/>
  <c r="Y306" i="2"/>
  <c r="X306" i="2"/>
  <c r="AC305" i="2"/>
  <c r="Y305" i="2"/>
  <c r="X305" i="2"/>
  <c r="AC304" i="2"/>
  <c r="Y304" i="2"/>
  <c r="X304" i="2"/>
  <c r="AB304" i="2" s="1"/>
  <c r="Z304" i="2" s="1"/>
  <c r="AC303" i="2"/>
  <c r="AB303" i="2"/>
  <c r="Z303" i="2"/>
  <c r="Y303" i="2"/>
  <c r="X303" i="2"/>
  <c r="AC302" i="2"/>
  <c r="Y302" i="2"/>
  <c r="X302" i="2"/>
  <c r="AB302" i="2" s="1"/>
  <c r="AC301" i="2"/>
  <c r="Y301" i="2"/>
  <c r="X301" i="2"/>
  <c r="AB301" i="2" s="1"/>
  <c r="AC300" i="2"/>
  <c r="Y300" i="2"/>
  <c r="X300" i="2"/>
  <c r="AB300" i="2" s="1"/>
  <c r="AC299" i="2"/>
  <c r="AB299" i="2"/>
  <c r="Y299" i="2"/>
  <c r="X299" i="2"/>
  <c r="AC298" i="2"/>
  <c r="AB298" i="2"/>
  <c r="Z298" i="2" s="1"/>
  <c r="Y298" i="2"/>
  <c r="X298" i="2"/>
  <c r="AC297" i="2"/>
  <c r="Y297" i="2"/>
  <c r="AB297" i="2" s="1"/>
  <c r="Z297" i="2" s="1"/>
  <c r="X297" i="2"/>
  <c r="AC296" i="2"/>
  <c r="Y296" i="2"/>
  <c r="X296" i="2"/>
  <c r="AB296" i="2" s="1"/>
  <c r="AC295" i="2"/>
  <c r="Y295" i="2"/>
  <c r="X295" i="2"/>
  <c r="AC294" i="2"/>
  <c r="AB294" i="2"/>
  <c r="Z294" i="2"/>
  <c r="Y294" i="2"/>
  <c r="X294" i="2"/>
  <c r="AC293" i="2"/>
  <c r="AB293" i="2"/>
  <c r="Z293" i="2"/>
  <c r="Y293" i="2"/>
  <c r="X293" i="2"/>
  <c r="AC292" i="2"/>
  <c r="Y292" i="2"/>
  <c r="AB292" i="2" s="1"/>
  <c r="X292" i="2"/>
  <c r="AC291" i="2"/>
  <c r="Y291" i="2"/>
  <c r="X291" i="2"/>
  <c r="AB291" i="2" s="1"/>
  <c r="Z291" i="2" s="1"/>
  <c r="AC290" i="2"/>
  <c r="Y290" i="2"/>
  <c r="X290" i="2"/>
  <c r="AB290" i="2" s="1"/>
  <c r="Z290" i="2" s="1"/>
  <c r="AC289" i="2"/>
  <c r="Y289" i="2"/>
  <c r="X289" i="2"/>
  <c r="AB289" i="2" s="1"/>
  <c r="AC288" i="2"/>
  <c r="AB288" i="2"/>
  <c r="Z288" i="2"/>
  <c r="Y288" i="2"/>
  <c r="X288" i="2"/>
  <c r="AC287" i="2"/>
  <c r="Y287" i="2"/>
  <c r="AB287" i="2" s="1"/>
  <c r="Z287" i="2" s="1"/>
  <c r="X287" i="2"/>
  <c r="AC286" i="2"/>
  <c r="Y286" i="2"/>
  <c r="AB286" i="2" s="1"/>
  <c r="X286" i="2"/>
  <c r="AC285" i="2"/>
  <c r="Y285" i="2"/>
  <c r="X285" i="2"/>
  <c r="AC284" i="2"/>
  <c r="Y284" i="2"/>
  <c r="X284" i="2"/>
  <c r="AC283" i="2"/>
  <c r="AB283" i="2"/>
  <c r="Z283" i="2" s="1"/>
  <c r="Y283" i="2"/>
  <c r="X283" i="2"/>
  <c r="AC282" i="2"/>
  <c r="AB282" i="2"/>
  <c r="Y282" i="2"/>
  <c r="X282" i="2"/>
  <c r="AC281" i="2"/>
  <c r="Y281" i="2"/>
  <c r="X281" i="2"/>
  <c r="AB281" i="2" s="1"/>
  <c r="AC280" i="2"/>
  <c r="Y280" i="2"/>
  <c r="X280" i="2"/>
  <c r="AB280" i="2" s="1"/>
  <c r="Z280" i="2" s="1"/>
  <c r="AC279" i="2"/>
  <c r="AB279" i="2"/>
  <c r="Z279" i="2" s="1"/>
  <c r="Y279" i="2"/>
  <c r="X279" i="2"/>
  <c r="AC278" i="2"/>
  <c r="Y278" i="2"/>
  <c r="X278" i="2"/>
  <c r="AB278" i="2" s="1"/>
  <c r="AC277" i="2"/>
  <c r="Y277" i="2"/>
  <c r="X277" i="2"/>
  <c r="AB277" i="2" s="1"/>
  <c r="AC276" i="2"/>
  <c r="Z276" i="2" s="1"/>
  <c r="AB276" i="2"/>
  <c r="Y276" i="2"/>
  <c r="X276" i="2"/>
  <c r="AC275" i="2"/>
  <c r="Y275" i="2"/>
  <c r="AB275" i="2" s="1"/>
  <c r="Z275" i="2" s="1"/>
  <c r="X275" i="2"/>
  <c r="AC274" i="2"/>
  <c r="Y274" i="2"/>
  <c r="AB274" i="2" s="1"/>
  <c r="Z274" i="2" s="1"/>
  <c r="X274" i="2"/>
  <c r="AC273" i="2"/>
  <c r="AB273" i="2"/>
  <c r="Y273" i="2"/>
  <c r="X273" i="2"/>
  <c r="AC272" i="2"/>
  <c r="Y272" i="2"/>
  <c r="X272" i="2"/>
  <c r="AC271" i="2"/>
  <c r="Y271" i="2"/>
  <c r="X271" i="2"/>
  <c r="AB271" i="2" s="1"/>
  <c r="AC270" i="2"/>
  <c r="Z270" i="2"/>
  <c r="Y270" i="2"/>
  <c r="X270" i="2"/>
  <c r="AB270" i="2" s="1"/>
  <c r="AC269" i="2"/>
  <c r="AB269" i="2"/>
  <c r="Z269" i="2"/>
  <c r="Y269" i="2"/>
  <c r="X269" i="2"/>
  <c r="AC268" i="2"/>
  <c r="Y268" i="2"/>
  <c r="X268" i="2"/>
  <c r="AB268" i="2" s="1"/>
  <c r="AC267" i="2"/>
  <c r="Y267" i="2"/>
  <c r="X267" i="2"/>
  <c r="AB267" i="2" s="1"/>
  <c r="Z267" i="2" s="1"/>
  <c r="AC266" i="2"/>
  <c r="Y266" i="2"/>
  <c r="AB266" i="2" s="1"/>
  <c r="X266" i="2"/>
  <c r="AC265" i="2"/>
  <c r="Y265" i="2"/>
  <c r="X265" i="2"/>
  <c r="AB265" i="2" s="1"/>
  <c r="AC264" i="2"/>
  <c r="Y264" i="2"/>
  <c r="AB264" i="2" s="1"/>
  <c r="X264" i="2"/>
  <c r="AC263" i="2"/>
  <c r="Y263" i="2"/>
  <c r="X263" i="2"/>
  <c r="AB263" i="2" s="1"/>
  <c r="AC262" i="2"/>
  <c r="Y262" i="2"/>
  <c r="AB262" i="2" s="1"/>
  <c r="Z262" i="2" s="1"/>
  <c r="X262" i="2"/>
  <c r="AC261" i="2"/>
  <c r="Y261" i="2"/>
  <c r="AB261" i="2" s="1"/>
  <c r="X261" i="2"/>
  <c r="AC260" i="2"/>
  <c r="Y260" i="2"/>
  <c r="X260" i="2"/>
  <c r="AB260" i="2" s="1"/>
  <c r="Z260" i="2" s="1"/>
  <c r="AC259" i="2"/>
  <c r="AB259" i="2"/>
  <c r="Y259" i="2"/>
  <c r="X259" i="2"/>
  <c r="AC258" i="2"/>
  <c r="Y258" i="2"/>
  <c r="X258" i="2"/>
  <c r="AB258" i="2" s="1"/>
  <c r="AC257" i="2"/>
  <c r="Y257" i="2"/>
  <c r="X257" i="2"/>
  <c r="AB257" i="2" s="1"/>
  <c r="Z257" i="2" s="1"/>
  <c r="AC256" i="2"/>
  <c r="AB256" i="2"/>
  <c r="Z256" i="2"/>
  <c r="Y256" i="2"/>
  <c r="X256" i="2"/>
  <c r="AC255" i="2"/>
  <c r="Y255" i="2"/>
  <c r="X255" i="2"/>
  <c r="AB255" i="2" s="1"/>
  <c r="Z255" i="2" s="1"/>
  <c r="AC254" i="2"/>
  <c r="AB254" i="2"/>
  <c r="Y254" i="2"/>
  <c r="X254" i="2"/>
  <c r="AC253" i="2"/>
  <c r="Y253" i="2"/>
  <c r="X253" i="2"/>
  <c r="AC252" i="2"/>
  <c r="Y252" i="2"/>
  <c r="AB252" i="2" s="1"/>
  <c r="Z252" i="2" s="1"/>
  <c r="X252" i="2"/>
  <c r="AC251" i="2"/>
  <c r="AB251" i="2"/>
  <c r="Y251" i="2"/>
  <c r="X251" i="2"/>
  <c r="AC250" i="2"/>
  <c r="Y250" i="2"/>
  <c r="X250" i="2"/>
  <c r="AB250" i="2" s="1"/>
  <c r="AC249" i="2"/>
  <c r="Y249" i="2"/>
  <c r="AB249" i="2" s="1"/>
  <c r="Z249" i="2" s="1"/>
  <c r="X249" i="2"/>
  <c r="AC248" i="2"/>
  <c r="Y248" i="2"/>
  <c r="X248" i="2"/>
  <c r="AB248" i="2" s="1"/>
  <c r="Z248" i="2" s="1"/>
  <c r="AC247" i="2"/>
  <c r="Y247" i="2"/>
  <c r="X247" i="2"/>
  <c r="AB247" i="2" s="1"/>
  <c r="Z247" i="2" s="1"/>
  <c r="AC246" i="2"/>
  <c r="Y246" i="2"/>
  <c r="X246" i="2"/>
  <c r="AC245" i="2"/>
  <c r="Y245" i="2"/>
  <c r="AB245" i="2" s="1"/>
  <c r="Z245" i="2" s="1"/>
  <c r="X245" i="2"/>
  <c r="AC244" i="2"/>
  <c r="AB244" i="2"/>
  <c r="Z244" i="2"/>
  <c r="Y244" i="2"/>
  <c r="X244" i="2"/>
  <c r="AC243" i="2"/>
  <c r="Y243" i="2"/>
  <c r="X243" i="2"/>
  <c r="AB243" i="2" s="1"/>
  <c r="AC242" i="2"/>
  <c r="Y242" i="2"/>
  <c r="X242" i="2"/>
  <c r="AC241" i="2"/>
  <c r="Y241" i="2"/>
  <c r="X241" i="2"/>
  <c r="AC240" i="2"/>
  <c r="Y240" i="2"/>
  <c r="AB240" i="2" s="1"/>
  <c r="Z240" i="2" s="1"/>
  <c r="X240" i="2"/>
  <c r="AC239" i="2"/>
  <c r="AB239" i="2"/>
  <c r="Y239" i="2"/>
  <c r="X239" i="2"/>
  <c r="AC238" i="2"/>
  <c r="AB238" i="2"/>
  <c r="Z238" i="2" s="1"/>
  <c r="Y238" i="2"/>
  <c r="X238" i="2"/>
  <c r="AC237" i="2"/>
  <c r="Y237" i="2"/>
  <c r="AB237" i="2" s="1"/>
  <c r="Z237" i="2" s="1"/>
  <c r="X237" i="2"/>
  <c r="AC236" i="2"/>
  <c r="AB236" i="2"/>
  <c r="Z236" i="2" s="1"/>
  <c r="Y236" i="2"/>
  <c r="X236" i="2"/>
  <c r="AC235" i="2"/>
  <c r="Y235" i="2"/>
  <c r="X235" i="2"/>
  <c r="AB235" i="2" s="1"/>
  <c r="AC234" i="2"/>
  <c r="Y234" i="2"/>
  <c r="X234" i="2"/>
  <c r="AB234" i="2" s="1"/>
  <c r="AC233" i="2"/>
  <c r="AB233" i="2"/>
  <c r="Y233" i="2"/>
  <c r="X233" i="2"/>
  <c r="AC232" i="2"/>
  <c r="AB232" i="2"/>
  <c r="Z232" i="2"/>
  <c r="Y232" i="2"/>
  <c r="X232" i="2"/>
  <c r="AC231" i="2"/>
  <c r="Y231" i="2"/>
  <c r="AB231" i="2" s="1"/>
  <c r="Z231" i="2" s="1"/>
  <c r="X231" i="2"/>
  <c r="AC230" i="2"/>
  <c r="Y230" i="2"/>
  <c r="AB230" i="2" s="1"/>
  <c r="X230" i="2"/>
  <c r="AC229" i="2"/>
  <c r="Y229" i="2"/>
  <c r="X229" i="2"/>
  <c r="AC228" i="2"/>
  <c r="AB228" i="2"/>
  <c r="Z228" i="2"/>
  <c r="Y228" i="2"/>
  <c r="X228" i="2"/>
  <c r="AC227" i="2"/>
  <c r="Y227" i="2"/>
  <c r="X227" i="2"/>
  <c r="AB227" i="2" s="1"/>
  <c r="AC226" i="2"/>
  <c r="Y226" i="2"/>
  <c r="X226" i="2"/>
  <c r="AB226" i="2" s="1"/>
  <c r="AC225" i="2"/>
  <c r="Z225" i="2"/>
  <c r="Y225" i="2"/>
  <c r="AB225" i="2" s="1"/>
  <c r="X225" i="2"/>
  <c r="AC224" i="2"/>
  <c r="Y224" i="2"/>
  <c r="X224" i="2"/>
  <c r="AB224" i="2" s="1"/>
  <c r="Z224" i="2" s="1"/>
  <c r="AC223" i="2"/>
  <c r="Y223" i="2"/>
  <c r="X223" i="2"/>
  <c r="AB223" i="2" s="1"/>
  <c r="Z223" i="2" s="1"/>
  <c r="AC222" i="2"/>
  <c r="Y222" i="2"/>
  <c r="X222" i="2"/>
  <c r="AC221" i="2"/>
  <c r="Y221" i="2"/>
  <c r="AB221" i="2" s="1"/>
  <c r="Z221" i="2" s="1"/>
  <c r="X221" i="2"/>
  <c r="AC220" i="2"/>
  <c r="AB220" i="2"/>
  <c r="Z220" i="2" s="1"/>
  <c r="Y220" i="2"/>
  <c r="X220" i="2"/>
  <c r="AC219" i="2"/>
  <c r="Y219" i="2"/>
  <c r="X219" i="2"/>
  <c r="AB219" i="2" s="1"/>
  <c r="AC218" i="2"/>
  <c r="Y218" i="2"/>
  <c r="X218" i="2"/>
  <c r="AB218" i="2" s="1"/>
  <c r="AC217" i="2"/>
  <c r="Y217" i="2"/>
  <c r="X217" i="2"/>
  <c r="AC216" i="2"/>
  <c r="Y216" i="2"/>
  <c r="AB216" i="2" s="1"/>
  <c r="X216" i="2"/>
  <c r="AC215" i="2"/>
  <c r="Y215" i="2"/>
  <c r="X215" i="2"/>
  <c r="AB215" i="2" s="1"/>
  <c r="AC214" i="2"/>
  <c r="Y214" i="2"/>
  <c r="AB214" i="2" s="1"/>
  <c r="Z214" i="2" s="1"/>
  <c r="X214" i="2"/>
  <c r="AC213" i="2"/>
  <c r="Z213" i="2" s="1"/>
  <c r="Y213" i="2"/>
  <c r="AB213" i="2" s="1"/>
  <c r="X213" i="2"/>
  <c r="AC212" i="2"/>
  <c r="Y212" i="2"/>
  <c r="X212" i="2"/>
  <c r="AB212" i="2" s="1"/>
  <c r="Z212" i="2" s="1"/>
  <c r="AC211" i="2"/>
  <c r="AB211" i="2"/>
  <c r="Y211" i="2"/>
  <c r="X211" i="2"/>
  <c r="AC210" i="2"/>
  <c r="Y210" i="2"/>
  <c r="X210" i="2"/>
  <c r="AB210" i="2" s="1"/>
  <c r="AC209" i="2"/>
  <c r="Y209" i="2"/>
  <c r="X209" i="2"/>
  <c r="AB209" i="2" s="1"/>
  <c r="Z209" i="2" s="1"/>
  <c r="AC208" i="2"/>
  <c r="AB208" i="2"/>
  <c r="Z208" i="2"/>
  <c r="Y208" i="2"/>
  <c r="X208" i="2"/>
  <c r="AC207" i="2"/>
  <c r="Y207" i="2"/>
  <c r="X207" i="2"/>
  <c r="AB207" i="2" s="1"/>
  <c r="Z207" i="2" s="1"/>
  <c r="AC206" i="2"/>
  <c r="Y206" i="2"/>
  <c r="AB206" i="2" s="1"/>
  <c r="X206" i="2"/>
  <c r="AC205" i="2"/>
  <c r="Y205" i="2"/>
  <c r="X205" i="2"/>
  <c r="AC204" i="2"/>
  <c r="Y204" i="2"/>
  <c r="AB204" i="2" s="1"/>
  <c r="Z204" i="2" s="1"/>
  <c r="X204" i="2"/>
  <c r="AC203" i="2"/>
  <c r="Y203" i="2"/>
  <c r="X203" i="2"/>
  <c r="AB203" i="2" s="1"/>
  <c r="AC202" i="2"/>
  <c r="Y202" i="2"/>
  <c r="X202" i="2"/>
  <c r="AB202" i="2" s="1"/>
  <c r="AC201" i="2"/>
  <c r="Y201" i="2"/>
  <c r="AB201" i="2" s="1"/>
  <c r="Z201" i="2" s="1"/>
  <c r="X201" i="2"/>
  <c r="AC200" i="2"/>
  <c r="Y200" i="2"/>
  <c r="X200" i="2"/>
  <c r="AB200" i="2" s="1"/>
  <c r="Z200" i="2" s="1"/>
  <c r="AC199" i="2"/>
  <c r="Y199" i="2"/>
  <c r="X199" i="2"/>
  <c r="AB199" i="2" s="1"/>
  <c r="Z199" i="2" s="1"/>
  <c r="AC198" i="2"/>
  <c r="Y198" i="2"/>
  <c r="X198" i="2"/>
  <c r="AC197" i="2"/>
  <c r="Y197" i="2"/>
  <c r="AB197" i="2" s="1"/>
  <c r="Z197" i="2" s="1"/>
  <c r="X197" i="2"/>
  <c r="AC196" i="2"/>
  <c r="AB196" i="2"/>
  <c r="Z196" i="2"/>
  <c r="Y196" i="2"/>
  <c r="X196" i="2"/>
  <c r="AC195" i="2"/>
  <c r="AB195" i="2"/>
  <c r="Y195" i="2"/>
  <c r="X195" i="2"/>
  <c r="AC194" i="2"/>
  <c r="Y194" i="2"/>
  <c r="X194" i="2"/>
  <c r="AC193" i="2"/>
  <c r="Y193" i="2"/>
  <c r="X193" i="2"/>
  <c r="AB193" i="2" s="1"/>
  <c r="Z193" i="2" s="1"/>
  <c r="AC192" i="2"/>
  <c r="AB192" i="2"/>
  <c r="Z192" i="2"/>
  <c r="Y192" i="2"/>
  <c r="X192" i="2"/>
  <c r="AC191" i="2"/>
  <c r="Y191" i="2"/>
  <c r="X191" i="2"/>
  <c r="AB191" i="2" s="1"/>
  <c r="AC190" i="2"/>
  <c r="Y190" i="2"/>
  <c r="X190" i="2"/>
  <c r="AB190" i="2" s="1"/>
  <c r="Z190" i="2" s="1"/>
  <c r="AC189" i="2"/>
  <c r="Y189" i="2"/>
  <c r="AB189" i="2" s="1"/>
  <c r="X189" i="2"/>
  <c r="AC188" i="2"/>
  <c r="Y188" i="2"/>
  <c r="X188" i="2"/>
  <c r="AB188" i="2" s="1"/>
  <c r="Z188" i="2" s="1"/>
  <c r="AC187" i="2"/>
  <c r="Y187" i="2"/>
  <c r="AB187" i="2" s="1"/>
  <c r="Z187" i="2" s="1"/>
  <c r="X187" i="2"/>
  <c r="AC186" i="2"/>
  <c r="Y186" i="2"/>
  <c r="X186" i="2"/>
  <c r="AC185" i="2"/>
  <c r="AB185" i="2"/>
  <c r="Z185" i="2" s="1"/>
  <c r="Y185" i="2"/>
  <c r="X185" i="2"/>
  <c r="AC184" i="2"/>
  <c r="AB184" i="2"/>
  <c r="Z184" i="2" s="1"/>
  <c r="Y184" i="2"/>
  <c r="X184" i="2"/>
  <c r="AC183" i="2"/>
  <c r="Y183" i="2"/>
  <c r="X183" i="2"/>
  <c r="AB183" i="2" s="1"/>
  <c r="AC182" i="2"/>
  <c r="Y182" i="2"/>
  <c r="X182" i="2"/>
  <c r="AB182" i="2" s="1"/>
  <c r="Z182" i="2" s="1"/>
  <c r="AC181" i="2"/>
  <c r="Y181" i="2"/>
  <c r="X181" i="2"/>
  <c r="AB181" i="2" s="1"/>
  <c r="Z181" i="2" s="1"/>
  <c r="AC180" i="2"/>
  <c r="Y180" i="2"/>
  <c r="AB180" i="2" s="1"/>
  <c r="Z180" i="2" s="1"/>
  <c r="X180" i="2"/>
  <c r="AC179" i="2"/>
  <c r="AB179" i="2"/>
  <c r="Y179" i="2"/>
  <c r="X179" i="2"/>
  <c r="AC178" i="2"/>
  <c r="AB178" i="2"/>
  <c r="Z178" i="2"/>
  <c r="Y178" i="2"/>
  <c r="X178" i="2"/>
  <c r="AC177" i="2"/>
  <c r="AB177" i="2"/>
  <c r="Y177" i="2"/>
  <c r="X177" i="2"/>
  <c r="AC176" i="2"/>
  <c r="Y176" i="2"/>
  <c r="X176" i="2"/>
  <c r="AB176" i="2" s="1"/>
  <c r="Z176" i="2" s="1"/>
  <c r="AC175" i="2"/>
  <c r="AB175" i="2"/>
  <c r="Y175" i="2"/>
  <c r="X175" i="2"/>
  <c r="AC174" i="2"/>
  <c r="Y174" i="2"/>
  <c r="X174" i="2"/>
  <c r="AB174" i="2" s="1"/>
  <c r="AC173" i="2"/>
  <c r="Y173" i="2"/>
  <c r="X173" i="2"/>
  <c r="AB173" i="2" s="1"/>
  <c r="Z173" i="2" s="1"/>
  <c r="AC172" i="2"/>
  <c r="AB172" i="2"/>
  <c r="Y172" i="2"/>
  <c r="X172" i="2"/>
  <c r="AC171" i="2"/>
  <c r="AB171" i="2"/>
  <c r="Y171" i="2"/>
  <c r="X171" i="2"/>
  <c r="AC170" i="2"/>
  <c r="Y170" i="2"/>
  <c r="AB170" i="2" s="1"/>
  <c r="Z170" i="2" s="1"/>
  <c r="X170" i="2"/>
  <c r="AC169" i="2"/>
  <c r="Y169" i="2"/>
  <c r="X169" i="2"/>
  <c r="AC168" i="2"/>
  <c r="AB168" i="2"/>
  <c r="Z168" i="2"/>
  <c r="Y168" i="2"/>
  <c r="X168" i="2"/>
  <c r="AC167" i="2"/>
  <c r="AB167" i="2"/>
  <c r="Y167" i="2"/>
  <c r="X167" i="2"/>
  <c r="AC166" i="2"/>
  <c r="Y166" i="2"/>
  <c r="X166" i="2"/>
  <c r="AB166" i="2" s="1"/>
  <c r="AC165" i="2"/>
  <c r="AB165" i="2"/>
  <c r="Z165" i="2"/>
  <c r="Y165" i="2"/>
  <c r="X165" i="2"/>
  <c r="AC164" i="2"/>
  <c r="Y164" i="2"/>
  <c r="X164" i="2"/>
  <c r="AB164" i="2" s="1"/>
  <c r="Z164" i="2" s="1"/>
  <c r="AC163" i="2"/>
  <c r="Y163" i="2"/>
  <c r="X163" i="2"/>
  <c r="AB163" i="2" s="1"/>
  <c r="Z163" i="2" s="1"/>
  <c r="AC162" i="2"/>
  <c r="Y162" i="2"/>
  <c r="X162" i="2"/>
  <c r="AC161" i="2"/>
  <c r="Y161" i="2"/>
  <c r="AB161" i="2" s="1"/>
  <c r="Z161" i="2" s="1"/>
  <c r="X161" i="2"/>
  <c r="AC160" i="2"/>
  <c r="AB160" i="2"/>
  <c r="Z160" i="2"/>
  <c r="Y160" i="2"/>
  <c r="X160" i="2"/>
  <c r="AC159" i="2"/>
  <c r="AB159" i="2"/>
  <c r="Y159" i="2"/>
  <c r="X159" i="2"/>
  <c r="AC158" i="2"/>
  <c r="Y158" i="2"/>
  <c r="X158" i="2"/>
  <c r="AB158" i="2" s="1"/>
  <c r="Z158" i="2" s="1"/>
  <c r="AC157" i="2"/>
  <c r="Y157" i="2"/>
  <c r="X157" i="2"/>
  <c r="AB157" i="2" s="1"/>
  <c r="Z157" i="2" s="1"/>
  <c r="AC156" i="2"/>
  <c r="AB156" i="2"/>
  <c r="Z156" i="2" s="1"/>
  <c r="Y156" i="2"/>
  <c r="X156" i="2"/>
  <c r="AC155" i="2"/>
  <c r="Y155" i="2"/>
  <c r="X155" i="2"/>
  <c r="AB155" i="2" s="1"/>
  <c r="AC154" i="2"/>
  <c r="Y154" i="2"/>
  <c r="X154" i="2"/>
  <c r="AB154" i="2" s="1"/>
  <c r="Z154" i="2" s="1"/>
  <c r="AC153" i="2"/>
  <c r="Y153" i="2"/>
  <c r="AB153" i="2" s="1"/>
  <c r="X153" i="2"/>
  <c r="AC152" i="2"/>
  <c r="Y152" i="2"/>
  <c r="X152" i="2"/>
  <c r="AB152" i="2" s="1"/>
  <c r="Z152" i="2" s="1"/>
  <c r="AC151" i="2"/>
  <c r="AB151" i="2"/>
  <c r="Z151" i="2" s="1"/>
  <c r="Y151" i="2"/>
  <c r="X151" i="2"/>
  <c r="AC150" i="2"/>
  <c r="Y150" i="2"/>
  <c r="X150" i="2"/>
  <c r="AB150" i="2" s="1"/>
  <c r="Z150" i="2" s="1"/>
  <c r="AC149" i="2"/>
  <c r="Y149" i="2"/>
  <c r="X149" i="2"/>
  <c r="AB149" i="2" s="1"/>
  <c r="Z149" i="2" s="1"/>
  <c r="AC148" i="2"/>
  <c r="Y148" i="2"/>
  <c r="X148" i="2"/>
  <c r="AB148" i="2" s="1"/>
  <c r="AC147" i="2"/>
  <c r="Y147" i="2"/>
  <c r="X147" i="2"/>
  <c r="AB147" i="2" s="1"/>
  <c r="Z147" i="2" s="1"/>
  <c r="AC146" i="2"/>
  <c r="Y146" i="2"/>
  <c r="AB146" i="2" s="1"/>
  <c r="Z146" i="2" s="1"/>
  <c r="X146" i="2"/>
  <c r="AC145" i="2"/>
  <c r="Y145" i="2"/>
  <c r="X145" i="2"/>
  <c r="AB145" i="2" s="1"/>
  <c r="Z145" i="2" s="1"/>
  <c r="AC144" i="2"/>
  <c r="Y144" i="2"/>
  <c r="X144" i="2"/>
  <c r="AB144" i="2" s="1"/>
  <c r="AC143" i="2"/>
  <c r="Y143" i="2"/>
  <c r="X143" i="2"/>
  <c r="AC142" i="2"/>
  <c r="Y142" i="2"/>
  <c r="X142" i="2"/>
  <c r="AB142" i="2" s="1"/>
  <c r="Z142" i="2" s="1"/>
  <c r="AC141" i="2"/>
  <c r="AB141" i="2"/>
  <c r="Z141" i="2" s="1"/>
  <c r="Y141" i="2"/>
  <c r="X141" i="2"/>
  <c r="AC140" i="2"/>
  <c r="Y140" i="2"/>
  <c r="X140" i="2"/>
  <c r="AB140" i="2" s="1"/>
  <c r="AC139" i="2"/>
  <c r="Y139" i="2"/>
  <c r="X139" i="2"/>
  <c r="AB139" i="2" s="1"/>
  <c r="AC138" i="2"/>
  <c r="Y138" i="2"/>
  <c r="X138" i="2"/>
  <c r="AC137" i="2"/>
  <c r="Y137" i="2"/>
  <c r="X137" i="2"/>
  <c r="AB137" i="2" s="1"/>
  <c r="AC136" i="2"/>
  <c r="AB136" i="2"/>
  <c r="Z136" i="2" s="1"/>
  <c r="Y136" i="2"/>
  <c r="X136" i="2"/>
  <c r="AC135" i="2"/>
  <c r="AB135" i="2"/>
  <c r="Y135" i="2"/>
  <c r="X135" i="2"/>
  <c r="AC134" i="2"/>
  <c r="Y134" i="2"/>
  <c r="X134" i="2"/>
  <c r="AB134" i="2" s="1"/>
  <c r="AC133" i="2"/>
  <c r="Y133" i="2"/>
  <c r="X133" i="2"/>
  <c r="AB133" i="2" s="1"/>
  <c r="Z133" i="2" s="1"/>
  <c r="AC132" i="2"/>
  <c r="AB132" i="2"/>
  <c r="Y132" i="2"/>
  <c r="X132" i="2"/>
  <c r="AC131" i="2"/>
  <c r="Y131" i="2"/>
  <c r="AB131" i="2" s="1"/>
  <c r="X131" i="2"/>
  <c r="AC130" i="2"/>
  <c r="Y130" i="2"/>
  <c r="X130" i="2"/>
  <c r="AB130" i="2" s="1"/>
  <c r="Z130" i="2" s="1"/>
  <c r="AC129" i="2"/>
  <c r="Y129" i="2"/>
  <c r="AB129" i="2" s="1"/>
  <c r="X129" i="2"/>
  <c r="AC128" i="2"/>
  <c r="Y128" i="2"/>
  <c r="X128" i="2"/>
  <c r="AB128" i="2" s="1"/>
  <c r="Z128" i="2" s="1"/>
  <c r="AC127" i="2"/>
  <c r="Y127" i="2"/>
  <c r="AB127" i="2" s="1"/>
  <c r="Z127" i="2" s="1"/>
  <c r="X127" i="2"/>
  <c r="AC126" i="2"/>
  <c r="Y126" i="2"/>
  <c r="X126" i="2"/>
  <c r="AC125" i="2"/>
  <c r="Y125" i="2"/>
  <c r="X125" i="2"/>
  <c r="AB125" i="2" s="1"/>
  <c r="Z125" i="2" s="1"/>
  <c r="AC124" i="2"/>
  <c r="AB124" i="2"/>
  <c r="Y124" i="2"/>
  <c r="X124" i="2"/>
  <c r="AC123" i="2"/>
  <c r="Y123" i="2"/>
  <c r="X123" i="2"/>
  <c r="AB123" i="2" s="1"/>
  <c r="Z123" i="2" s="1"/>
  <c r="AC122" i="2"/>
  <c r="Y122" i="2"/>
  <c r="AB122" i="2" s="1"/>
  <c r="Z122" i="2" s="1"/>
  <c r="X122" i="2"/>
  <c r="AC121" i="2"/>
  <c r="Y121" i="2"/>
  <c r="X121" i="2"/>
  <c r="AB121" i="2" s="1"/>
  <c r="Z121" i="2" s="1"/>
  <c r="AC120" i="2"/>
  <c r="AB120" i="2"/>
  <c r="Z120" i="2" s="1"/>
  <c r="Y120" i="2"/>
  <c r="X120" i="2"/>
  <c r="AC119" i="2"/>
  <c r="Y119" i="2"/>
  <c r="X119" i="2"/>
  <c r="AB119" i="2" s="1"/>
  <c r="AC118" i="2"/>
  <c r="Y118" i="2"/>
  <c r="X118" i="2"/>
  <c r="AB118" i="2" s="1"/>
  <c r="AC117" i="2"/>
  <c r="AB117" i="2"/>
  <c r="Z117" i="2"/>
  <c r="Y117" i="2"/>
  <c r="X117" i="2"/>
  <c r="AC116" i="2"/>
  <c r="AB116" i="2"/>
  <c r="Z116" i="2"/>
  <c r="Y116" i="2"/>
  <c r="X116" i="2"/>
  <c r="AC115" i="2"/>
  <c r="Y115" i="2"/>
  <c r="X115" i="2"/>
  <c r="AB115" i="2" s="1"/>
  <c r="AC114" i="2"/>
  <c r="Y114" i="2"/>
  <c r="X114" i="2"/>
  <c r="AB114" i="2" s="1"/>
  <c r="AC113" i="2"/>
  <c r="Y113" i="2"/>
  <c r="X113" i="2"/>
  <c r="AC112" i="2"/>
  <c r="Z112" i="2" s="1"/>
  <c r="AB112" i="2"/>
  <c r="Y112" i="2"/>
  <c r="X112" i="2"/>
  <c r="AC111" i="2"/>
  <c r="AB111" i="2"/>
  <c r="Y111" i="2"/>
  <c r="X111" i="2"/>
  <c r="AC110" i="2"/>
  <c r="Y110" i="2"/>
  <c r="X110" i="2"/>
  <c r="AB110" i="2" s="1"/>
  <c r="Z110" i="2" s="1"/>
  <c r="AC109" i="2"/>
  <c r="Y109" i="2"/>
  <c r="X109" i="2"/>
  <c r="AB109" i="2" s="1"/>
  <c r="Z109" i="2" s="1"/>
  <c r="AC108" i="2"/>
  <c r="AB108" i="2"/>
  <c r="Z108" i="2" s="1"/>
  <c r="Y108" i="2"/>
  <c r="X108" i="2"/>
  <c r="AC107" i="2"/>
  <c r="AB107" i="2"/>
  <c r="Y107" i="2"/>
  <c r="X107" i="2"/>
  <c r="AC106" i="2"/>
  <c r="Y106" i="2"/>
  <c r="X106" i="2"/>
  <c r="AB106" i="2" s="1"/>
  <c r="Z106" i="2" s="1"/>
  <c r="AC105" i="2"/>
  <c r="Y105" i="2"/>
  <c r="AB105" i="2" s="1"/>
  <c r="X105" i="2"/>
  <c r="AC104" i="2"/>
  <c r="Y104" i="2"/>
  <c r="X104" i="2"/>
  <c r="AB104" i="2" s="1"/>
  <c r="Z104" i="2" s="1"/>
  <c r="AC103" i="2"/>
  <c r="Y103" i="2"/>
  <c r="AB103" i="2" s="1"/>
  <c r="Z103" i="2" s="1"/>
  <c r="X103" i="2"/>
  <c r="AC102" i="2"/>
  <c r="Y102" i="2"/>
  <c r="X102" i="2"/>
  <c r="AC101" i="2"/>
  <c r="Y101" i="2"/>
  <c r="X101" i="2"/>
  <c r="AB101" i="2" s="1"/>
  <c r="Z101" i="2" s="1"/>
  <c r="AC100" i="2"/>
  <c r="AB100" i="2"/>
  <c r="Y100" i="2"/>
  <c r="X100" i="2"/>
  <c r="AC99" i="2"/>
  <c r="Y99" i="2"/>
  <c r="X99" i="2"/>
  <c r="AC98" i="2"/>
  <c r="Y98" i="2"/>
  <c r="X98" i="2"/>
  <c r="AB98" i="2" s="1"/>
  <c r="Z98" i="2" s="1"/>
  <c r="AC97" i="2"/>
  <c r="Y97" i="2"/>
  <c r="X97" i="2"/>
  <c r="AB97" i="2" s="1"/>
  <c r="Z97" i="2" s="1"/>
  <c r="AC96" i="2"/>
  <c r="Y96" i="2"/>
  <c r="X96" i="2"/>
  <c r="AB96" i="2" s="1"/>
  <c r="AC95" i="2"/>
  <c r="Y95" i="2"/>
  <c r="AB95" i="2" s="1"/>
  <c r="X95" i="2"/>
  <c r="AC94" i="2"/>
  <c r="Y94" i="2"/>
  <c r="X94" i="2"/>
  <c r="AC93" i="2"/>
  <c r="AB93" i="2"/>
  <c r="Z93" i="2" s="1"/>
  <c r="Y93" i="2"/>
  <c r="X93" i="2"/>
  <c r="AC92" i="2"/>
  <c r="AB92" i="2"/>
  <c r="Y92" i="2"/>
  <c r="X92" i="2"/>
  <c r="AC91" i="2"/>
  <c r="Y91" i="2"/>
  <c r="X91" i="2"/>
  <c r="AB91" i="2" s="1"/>
  <c r="AC90" i="2"/>
  <c r="Y90" i="2"/>
  <c r="X90" i="2"/>
  <c r="AB90" i="2" s="1"/>
  <c r="AC89" i="2"/>
  <c r="Y89" i="2"/>
  <c r="X89" i="2"/>
  <c r="AB89" i="2" s="1"/>
  <c r="AC88" i="2"/>
  <c r="Y88" i="2"/>
  <c r="X88" i="2"/>
  <c r="AB88" i="2" s="1"/>
  <c r="Z88" i="2" s="1"/>
  <c r="AC87" i="2"/>
  <c r="AB87" i="2"/>
  <c r="Y87" i="2"/>
  <c r="X87" i="2"/>
  <c r="AC86" i="2"/>
  <c r="Y86" i="2"/>
  <c r="X86" i="2"/>
  <c r="AB86" i="2" s="1"/>
  <c r="AC85" i="2"/>
  <c r="Y85" i="2"/>
  <c r="X85" i="2"/>
  <c r="AB85" i="2" s="1"/>
  <c r="Z85" i="2" s="1"/>
  <c r="AC84" i="2"/>
  <c r="Y84" i="2"/>
  <c r="AB84" i="2" s="1"/>
  <c r="X84" i="2"/>
  <c r="AC83" i="2"/>
  <c r="Y83" i="2"/>
  <c r="X83" i="2"/>
  <c r="AB83" i="2" s="1"/>
  <c r="AC82" i="2"/>
  <c r="Y82" i="2"/>
  <c r="AB82" i="2" s="1"/>
  <c r="Z82" i="2" s="1"/>
  <c r="X82" i="2"/>
  <c r="AC81" i="2"/>
  <c r="Y81" i="2"/>
  <c r="AB81" i="2" s="1"/>
  <c r="X81" i="2"/>
  <c r="AC80" i="2"/>
  <c r="Y80" i="2"/>
  <c r="X80" i="2"/>
  <c r="AB80" i="2" s="1"/>
  <c r="Z80" i="2" s="1"/>
  <c r="AC79" i="2"/>
  <c r="AB79" i="2"/>
  <c r="Y79" i="2"/>
  <c r="X79" i="2"/>
  <c r="AC78" i="2"/>
  <c r="Y78" i="2"/>
  <c r="X78" i="2"/>
  <c r="AC77" i="2"/>
  <c r="Y77" i="2"/>
  <c r="X77" i="2"/>
  <c r="AB77" i="2" s="1"/>
  <c r="Z77" i="2" s="1"/>
  <c r="AC76" i="2"/>
  <c r="Y76" i="2"/>
  <c r="X76" i="2"/>
  <c r="AB76" i="2" s="1"/>
  <c r="AC75" i="2"/>
  <c r="Y75" i="2"/>
  <c r="X75" i="2"/>
  <c r="AB75" i="2" s="1"/>
  <c r="Z75" i="2" s="1"/>
  <c r="AC74" i="2"/>
  <c r="AB74" i="2"/>
  <c r="Z74" i="2"/>
  <c r="Y74" i="2"/>
  <c r="X74" i="2"/>
  <c r="AC73" i="2"/>
  <c r="AB73" i="2"/>
  <c r="Z73" i="2" s="1"/>
  <c r="Y73" i="2"/>
  <c r="X73" i="2"/>
  <c r="AC72" i="2"/>
  <c r="Y72" i="2"/>
  <c r="X72" i="2"/>
  <c r="AB72" i="2" s="1"/>
  <c r="Z72" i="2" s="1"/>
  <c r="AC71" i="2"/>
  <c r="Y71" i="2"/>
  <c r="X71" i="2"/>
  <c r="AB71" i="2" s="1"/>
  <c r="AC70" i="2"/>
  <c r="Y70" i="2"/>
  <c r="X70" i="2"/>
  <c r="AC69" i="2"/>
  <c r="Y69" i="2"/>
  <c r="AB69" i="2" s="1"/>
  <c r="Z69" i="2" s="1"/>
  <c r="X69" i="2"/>
  <c r="AC68" i="2"/>
  <c r="Y68" i="2"/>
  <c r="X68" i="2"/>
  <c r="AB68" i="2" s="1"/>
  <c r="Z68" i="2" s="1"/>
  <c r="AC67" i="2"/>
  <c r="AB67" i="2"/>
  <c r="Y67" i="2"/>
  <c r="X67" i="2"/>
  <c r="AC66" i="2"/>
  <c r="Y66" i="2"/>
  <c r="X66" i="2"/>
  <c r="AC65" i="2"/>
  <c r="Y65" i="2"/>
  <c r="X65" i="2"/>
  <c r="AB65" i="2" s="1"/>
  <c r="AC64" i="2"/>
  <c r="AB64" i="2"/>
  <c r="Y64" i="2"/>
  <c r="X64" i="2"/>
  <c r="AC63" i="2"/>
  <c r="Y63" i="2"/>
  <c r="X63" i="2"/>
  <c r="AB63" i="2" s="1"/>
  <c r="Z63" i="2" s="1"/>
  <c r="AC62" i="2"/>
  <c r="Y62" i="2"/>
  <c r="X62" i="2"/>
  <c r="AC61" i="2"/>
  <c r="Y61" i="2"/>
  <c r="X61" i="2"/>
  <c r="AC60" i="2"/>
  <c r="Y60" i="2"/>
  <c r="X60" i="2"/>
  <c r="AB60" i="2" s="1"/>
  <c r="AC59" i="2"/>
  <c r="Y59" i="2"/>
  <c r="AB59" i="2" s="1"/>
  <c r="X59" i="2"/>
  <c r="AC58" i="2"/>
  <c r="Y58" i="2"/>
  <c r="X58" i="2"/>
  <c r="AB58" i="2" s="1"/>
  <c r="AC57" i="2"/>
  <c r="Y57" i="2"/>
  <c r="AB57" i="2" s="1"/>
  <c r="Z57" i="2" s="1"/>
  <c r="X57" i="2"/>
  <c r="AC56" i="2"/>
  <c r="Y56" i="2"/>
  <c r="X56" i="2"/>
  <c r="AC55" i="2"/>
  <c r="Y55" i="2"/>
  <c r="X55" i="2"/>
  <c r="AB55" i="2" s="1"/>
  <c r="Z55" i="2" s="1"/>
  <c r="AC54" i="2"/>
  <c r="Y54" i="2"/>
  <c r="X54" i="2"/>
  <c r="AC53" i="2"/>
  <c r="AB53" i="2"/>
  <c r="Y53" i="2"/>
  <c r="X53" i="2"/>
  <c r="AC52" i="2"/>
  <c r="Y52" i="2"/>
  <c r="X52" i="2"/>
  <c r="AB52" i="2" s="1"/>
  <c r="AC51" i="2"/>
  <c r="Y51" i="2"/>
  <c r="X51" i="2"/>
  <c r="AB51" i="2" s="1"/>
  <c r="Z51" i="2" s="1"/>
  <c r="AC50" i="2"/>
  <c r="Y50" i="2"/>
  <c r="X50" i="2"/>
  <c r="AB50" i="2" s="1"/>
  <c r="Z50" i="2" s="1"/>
  <c r="AC49" i="2"/>
  <c r="AB49" i="2"/>
  <c r="Z49" i="2" s="1"/>
  <c r="Y49" i="2"/>
  <c r="X49" i="2"/>
  <c r="AC48" i="2"/>
  <c r="AB48" i="2"/>
  <c r="Y48" i="2"/>
  <c r="X48" i="2"/>
  <c r="AC47" i="2"/>
  <c r="Y47" i="2"/>
  <c r="X47" i="2"/>
  <c r="AB47" i="2" s="1"/>
  <c r="AC46" i="2"/>
  <c r="Z46" i="2" s="1"/>
  <c r="AB46" i="2"/>
  <c r="Y46" i="2"/>
  <c r="X46" i="2"/>
  <c r="AC45" i="2"/>
  <c r="Y45" i="2"/>
  <c r="AB45" i="2" s="1"/>
  <c r="Z45" i="2" s="1"/>
  <c r="X45" i="2"/>
  <c r="AC44" i="2"/>
  <c r="Y44" i="2"/>
  <c r="X44" i="2"/>
  <c r="AB44" i="2" s="1"/>
  <c r="Z44" i="2" s="1"/>
  <c r="AC43" i="2"/>
  <c r="AB43" i="2"/>
  <c r="Y43" i="2"/>
  <c r="X43" i="2"/>
  <c r="AC42" i="2"/>
  <c r="Y42" i="2"/>
  <c r="X42" i="2"/>
  <c r="AB42" i="2" s="1"/>
  <c r="AC41" i="2"/>
  <c r="Y41" i="2"/>
  <c r="X41" i="2"/>
  <c r="AB41" i="2" s="1"/>
  <c r="Z41" i="2" s="1"/>
  <c r="AC40" i="2"/>
  <c r="Y40" i="2"/>
  <c r="X40" i="2"/>
  <c r="AB40" i="2" s="1"/>
  <c r="Z40" i="2" s="1"/>
  <c r="AC39" i="2"/>
  <c r="Y39" i="2"/>
  <c r="X39" i="2"/>
  <c r="AB39" i="2" s="1"/>
  <c r="Z39" i="2" s="1"/>
  <c r="AC38" i="2"/>
  <c r="AB38" i="2"/>
  <c r="Y38" i="2"/>
  <c r="X38" i="2"/>
  <c r="AC37" i="2"/>
  <c r="Y37" i="2"/>
  <c r="X37" i="2"/>
  <c r="AC36" i="2"/>
  <c r="Y36" i="2"/>
  <c r="AB36" i="2" s="1"/>
  <c r="Z36" i="2" s="1"/>
  <c r="X36" i="2"/>
  <c r="AC35" i="2"/>
  <c r="Y35" i="2"/>
  <c r="AB35" i="2" s="1"/>
  <c r="X35" i="2"/>
  <c r="AC34" i="2"/>
  <c r="Y34" i="2"/>
  <c r="X34" i="2"/>
  <c r="AB34" i="2" s="1"/>
  <c r="AC33" i="2"/>
  <c r="AB33" i="2"/>
  <c r="Y33" i="2"/>
  <c r="X33" i="2"/>
  <c r="AC32" i="2"/>
  <c r="Y32" i="2"/>
  <c r="X32" i="2"/>
  <c r="AC31" i="2"/>
  <c r="Y31" i="2"/>
  <c r="AB31" i="2" s="1"/>
  <c r="Z31" i="2" s="1"/>
  <c r="X31" i="2"/>
  <c r="AC30" i="2"/>
  <c r="Y30" i="2"/>
  <c r="X30" i="2"/>
  <c r="AC29" i="2"/>
  <c r="AB29" i="2"/>
  <c r="Z29" i="2" s="1"/>
  <c r="Y29" i="2"/>
  <c r="X29" i="2"/>
  <c r="AC28" i="2"/>
  <c r="Z28" i="2" s="1"/>
  <c r="AB28" i="2"/>
  <c r="Y28" i="2"/>
  <c r="X28" i="2"/>
  <c r="AC27" i="2"/>
  <c r="Y27" i="2"/>
  <c r="X27" i="2"/>
  <c r="AB27" i="2" s="1"/>
  <c r="Z27" i="2" s="1"/>
  <c r="AC26" i="2"/>
  <c r="AB26" i="2"/>
  <c r="Y26" i="2"/>
  <c r="X26" i="2"/>
  <c r="AC25" i="2"/>
  <c r="Y25" i="2"/>
  <c r="X25" i="2"/>
  <c r="AB25" i="2" s="1"/>
  <c r="Z25" i="2" s="1"/>
  <c r="AC24" i="2"/>
  <c r="Y24" i="2"/>
  <c r="X24" i="2"/>
  <c r="AB24" i="2" s="1"/>
  <c r="Z24" i="2" s="1"/>
  <c r="AC23" i="2"/>
  <c r="Y23" i="2"/>
  <c r="X23" i="2"/>
  <c r="AB23" i="2" s="1"/>
  <c r="AC22" i="2"/>
  <c r="Y22" i="2"/>
  <c r="X22" i="2"/>
  <c r="AB22" i="2" s="1"/>
  <c r="Z22" i="2" s="1"/>
  <c r="AC21" i="2"/>
  <c r="AB21" i="2"/>
  <c r="Z21" i="2" s="1"/>
  <c r="Y21" i="2"/>
  <c r="X21" i="2"/>
  <c r="AC20" i="2"/>
  <c r="Y20" i="2"/>
  <c r="X20" i="2"/>
  <c r="AB20" i="2" s="1"/>
  <c r="AC19" i="2"/>
  <c r="Y19" i="2"/>
  <c r="X19" i="2"/>
  <c r="AB19" i="2" s="1"/>
  <c r="Z19" i="2" s="1"/>
  <c r="AC18" i="2"/>
  <c r="Y18" i="2"/>
  <c r="X18" i="2"/>
  <c r="AB18" i="2" s="1"/>
  <c r="Z18" i="2" s="1"/>
  <c r="AC17" i="2"/>
  <c r="Y17" i="2"/>
  <c r="X17" i="2"/>
  <c r="AB17" i="2" s="1"/>
  <c r="Z17" i="2" s="1"/>
  <c r="AC16" i="2"/>
  <c r="AB16" i="2"/>
  <c r="Y16" i="2"/>
  <c r="X16" i="2"/>
  <c r="AC15" i="2"/>
  <c r="Y15" i="2"/>
  <c r="X15" i="2"/>
  <c r="AC14" i="2"/>
  <c r="Y14" i="2"/>
  <c r="AB14" i="2" s="1"/>
  <c r="Z14" i="2" s="1"/>
  <c r="X14" i="2"/>
  <c r="AC13" i="2"/>
  <c r="Y13" i="2"/>
  <c r="X13" i="2"/>
  <c r="AB13" i="2" s="1"/>
  <c r="Z13" i="2" s="1"/>
  <c r="AC12" i="2"/>
  <c r="AB12" i="2"/>
  <c r="Y12" i="2"/>
  <c r="X12" i="2"/>
  <c r="AC11" i="2"/>
  <c r="Y11" i="2"/>
  <c r="X11" i="2"/>
  <c r="AB11" i="2" s="1"/>
  <c r="AC10" i="2"/>
  <c r="Y10" i="2"/>
  <c r="X10" i="2"/>
  <c r="AC9" i="2"/>
  <c r="Z9" i="2" s="1"/>
  <c r="AB9" i="2"/>
  <c r="Y9" i="2"/>
  <c r="X9" i="2"/>
  <c r="AC8" i="2"/>
  <c r="Y8" i="2"/>
  <c r="X8" i="2"/>
  <c r="AB8" i="2" s="1"/>
  <c r="AC7" i="2"/>
  <c r="Y7" i="2"/>
  <c r="AB7" i="2" s="1"/>
  <c r="Z7" i="2" s="1"/>
  <c r="X7" i="2"/>
  <c r="AC6" i="2"/>
  <c r="Y6" i="2"/>
  <c r="X6" i="2"/>
  <c r="AB6" i="2" s="1"/>
  <c r="AC5" i="2"/>
  <c r="Y5" i="2"/>
  <c r="X5" i="2"/>
  <c r="AB5" i="2" s="1"/>
  <c r="Z5" i="2" s="1"/>
  <c r="AC4" i="2"/>
  <c r="AB4" i="2"/>
  <c r="Y4" i="2"/>
  <c r="X4" i="2"/>
  <c r="AC3" i="2"/>
  <c r="Y3" i="2"/>
  <c r="X3" i="2"/>
  <c r="AB3" i="2" s="1"/>
  <c r="AC2" i="2"/>
  <c r="Y2" i="2"/>
  <c r="X2" i="2"/>
  <c r="AB2" i="2" s="1"/>
  <c r="Z335" i="2" l="1"/>
  <c r="Z549" i="2"/>
  <c r="Z635" i="2"/>
  <c r="Z746" i="2"/>
  <c r="Z159" i="2"/>
  <c r="Z325" i="2"/>
  <c r="Z546" i="2"/>
  <c r="Z589" i="2"/>
  <c r="Z609" i="2"/>
  <c r="Z649" i="2"/>
  <c r="Z762" i="2"/>
  <c r="Z346" i="2"/>
  <c r="Z656" i="2"/>
  <c r="Z705" i="2"/>
  <c r="Z183" i="2"/>
  <c r="Z264" i="2"/>
  <c r="Z302" i="2"/>
  <c r="Z606" i="2"/>
  <c r="Z666" i="2"/>
  <c r="Z623" i="2"/>
  <c r="Z673" i="2"/>
  <c r="Z686" i="2"/>
  <c r="Z702" i="2"/>
  <c r="Z709" i="2"/>
  <c r="Z731" i="2"/>
  <c r="Z750" i="2"/>
  <c r="Z763" i="2"/>
  <c r="Z26" i="2"/>
  <c r="Z114" i="2"/>
  <c r="Z364" i="2"/>
  <c r="Z403" i="2"/>
  <c r="Z472" i="2"/>
  <c r="Z741" i="2"/>
  <c r="Z757" i="2"/>
  <c r="Z124" i="2"/>
  <c r="Z310" i="2"/>
  <c r="Z469" i="2"/>
  <c r="Z537" i="2"/>
  <c r="Z544" i="2"/>
  <c r="Z719" i="2"/>
  <c r="Z23" i="2"/>
  <c r="Z52" i="2"/>
  <c r="Z67" i="2"/>
  <c r="Z216" i="2"/>
  <c r="Z296" i="2"/>
  <c r="Z320" i="2"/>
  <c r="Z378" i="2"/>
  <c r="Z396" i="2"/>
  <c r="Z527" i="2"/>
  <c r="Z551" i="2"/>
  <c r="Z630" i="2"/>
  <c r="Z647" i="2"/>
  <c r="Z732" i="2"/>
  <c r="Z251" i="2"/>
  <c r="Z314" i="2"/>
  <c r="Z487" i="2"/>
  <c r="Z534" i="2"/>
  <c r="Z594" i="2"/>
  <c r="Z611" i="2"/>
  <c r="Z654" i="2"/>
  <c r="Z671" i="2"/>
  <c r="Z674" i="2"/>
  <c r="Z690" i="2"/>
  <c r="Z710" i="2"/>
  <c r="Z745" i="2"/>
  <c r="Z767" i="2"/>
  <c r="Z318" i="2"/>
  <c r="Z467" i="2"/>
  <c r="Z678" i="2"/>
  <c r="Z743" i="2"/>
  <c r="Z3" i="2"/>
  <c r="Z43" i="2"/>
  <c r="Z172" i="2"/>
  <c r="Z669" i="2"/>
  <c r="Z58" i="2"/>
  <c r="Z613" i="2"/>
  <c r="Z319" i="2"/>
  <c r="Z4" i="2"/>
  <c r="Z135" i="2"/>
  <c r="Z361" i="2"/>
  <c r="Z541" i="2"/>
  <c r="Z683" i="2"/>
  <c r="Z90" i="2"/>
  <c r="Z300" i="2"/>
  <c r="Z439" i="2"/>
  <c r="Z484" i="2"/>
  <c r="Z498" i="2"/>
  <c r="Z661" i="2"/>
  <c r="Z697" i="2"/>
  <c r="Z638" i="2"/>
  <c r="Z714" i="2"/>
  <c r="Z420" i="2"/>
  <c r="Z485" i="2"/>
  <c r="Z599" i="2"/>
  <c r="Z708" i="2"/>
  <c r="Z721" i="2"/>
  <c r="Z642" i="2"/>
  <c r="Z769" i="2"/>
  <c r="Z292" i="2"/>
  <c r="Z395" i="2"/>
  <c r="Z659" i="2"/>
  <c r="Z695" i="2"/>
  <c r="Z633" i="2"/>
  <c r="Z261" i="2"/>
  <c r="Z299" i="2"/>
  <c r="Z358" i="2"/>
  <c r="Z597" i="2"/>
  <c r="Z738" i="2"/>
  <c r="Z273" i="2"/>
  <c r="Z311" i="2"/>
  <c r="Z328" i="2"/>
  <c r="Z552" i="2"/>
  <c r="Z195" i="2"/>
  <c r="AB10" i="2"/>
  <c r="Z10" i="2" s="1"/>
  <c r="Z286" i="2"/>
  <c r="AB497" i="2"/>
  <c r="Z497" i="2" s="1"/>
  <c r="Z186" i="2"/>
  <c r="Z242" i="2"/>
  <c r="Z12" i="2"/>
  <c r="Z450" i="2"/>
  <c r="Z144" i="2"/>
  <c r="Z189" i="2"/>
  <c r="Z34" i="2"/>
  <c r="Z64" i="2"/>
  <c r="Z96" i="2"/>
  <c r="AB32" i="2"/>
  <c r="Z32" i="2" s="1"/>
  <c r="AB312" i="2"/>
  <c r="Z312" i="2" s="1"/>
  <c r="AB356" i="2"/>
  <c r="Z356" i="2" s="1"/>
  <c r="Z587" i="2"/>
  <c r="Z87" i="2"/>
  <c r="AB62" i="2"/>
  <c r="Z62" i="2" s="1"/>
  <c r="Z111" i="2"/>
  <c r="Z132" i="2"/>
  <c r="AB309" i="2"/>
  <c r="Z309" i="2" s="1"/>
  <c r="AB198" i="2"/>
  <c r="Z198" i="2" s="1"/>
  <c r="Z756" i="2"/>
  <c r="Z518" i="2"/>
  <c r="Z79" i="2"/>
  <c r="Z38" i="2"/>
  <c r="Z47" i="2"/>
  <c r="Z53" i="2"/>
  <c r="Z59" i="2"/>
  <c r="Z91" i="2"/>
  <c r="Z115" i="2"/>
  <c r="Z148" i="2"/>
  <c r="Z233" i="2"/>
  <c r="AB246" i="2"/>
  <c r="Z268" i="2"/>
  <c r="Z350" i="2"/>
  <c r="AB424" i="2"/>
  <c r="Z424" i="2" s="1"/>
  <c r="Z438" i="2"/>
  <c r="Z577" i="2"/>
  <c r="Z118" i="2"/>
  <c r="Z246" i="2"/>
  <c r="Z366" i="2"/>
  <c r="Z405" i="2"/>
  <c r="Z430" i="2"/>
  <c r="AB459" i="2"/>
  <c r="Z459" i="2" s="1"/>
  <c r="Z648" i="2"/>
  <c r="Z684" i="2"/>
  <c r="Z700" i="2"/>
  <c r="Z397" i="2"/>
  <c r="Z65" i="2"/>
  <c r="Z166" i="2"/>
  <c r="Z243" i="2"/>
  <c r="Z271" i="2"/>
  <c r="Z464" i="2"/>
  <c r="Z16" i="2"/>
  <c r="Z8" i="2"/>
  <c r="Z33" i="2"/>
  <c r="Z42" i="2"/>
  <c r="Z140" i="2"/>
  <c r="Z203" i="2"/>
  <c r="Z376" i="2"/>
  <c r="Z478" i="2"/>
  <c r="AB37" i="2"/>
  <c r="Z37" i="2" s="1"/>
  <c r="AB78" i="2"/>
  <c r="Z78" i="2" s="1"/>
  <c r="Z89" i="2"/>
  <c r="AB99" i="2"/>
  <c r="Z131" i="2"/>
  <c r="Z167" i="2"/>
  <c r="Z191" i="2"/>
  <c r="AB377" i="2"/>
  <c r="Z377" i="2" s="1"/>
  <c r="Z415" i="2"/>
  <c r="AB456" i="2"/>
  <c r="Z456" i="2" s="1"/>
  <c r="Z475" i="2"/>
  <c r="AB511" i="2"/>
  <c r="Z511" i="2" s="1"/>
  <c r="Z540" i="2"/>
  <c r="Z100" i="2"/>
  <c r="Z175" i="2"/>
  <c r="Z234" i="2"/>
  <c r="Z259" i="2"/>
  <c r="Z11" i="2"/>
  <c r="Z92" i="2"/>
  <c r="Z421" i="2"/>
  <c r="Z565" i="2"/>
  <c r="Z155" i="2"/>
  <c r="Z559" i="2"/>
  <c r="Z569" i="2"/>
  <c r="Z734" i="2"/>
  <c r="Z211" i="2"/>
  <c r="Z353" i="2"/>
  <c r="Z441" i="2"/>
  <c r="Z480" i="2"/>
  <c r="Z401" i="2"/>
  <c r="Z458" i="2"/>
  <c r="Z206" i="2"/>
  <c r="Z48" i="2"/>
  <c r="Z60" i="2"/>
  <c r="Z95" i="2"/>
  <c r="Z119" i="2"/>
  <c r="Z373" i="2"/>
  <c r="Z386" i="2"/>
  <c r="Z6" i="2"/>
  <c r="Z137" i="2"/>
  <c r="AB15" i="2"/>
  <c r="Z15" i="2" s="1"/>
  <c r="Z20" i="2"/>
  <c r="AB70" i="2"/>
  <c r="Z70" i="2" s="1"/>
  <c r="Z84" i="2"/>
  <c r="Z99" i="2"/>
  <c r="Z105" i="2"/>
  <c r="AB138" i="2"/>
  <c r="Z138" i="2" s="1"/>
  <c r="AB162" i="2"/>
  <c r="Z162" i="2" s="1"/>
  <c r="Z179" i="2"/>
  <c r="AB217" i="2"/>
  <c r="Z217" i="2" s="1"/>
  <c r="Z226" i="2"/>
  <c r="Z254" i="2"/>
  <c r="Z282" i="2"/>
  <c r="AB295" i="2"/>
  <c r="Z295" i="2" s="1"/>
  <c r="Z406" i="2"/>
  <c r="Z412" i="2"/>
  <c r="AB500" i="2"/>
  <c r="Z500" i="2" s="1"/>
  <c r="Z505" i="2"/>
  <c r="Z556" i="2"/>
  <c r="Z626" i="2"/>
  <c r="Z474" i="2"/>
  <c r="AB30" i="2"/>
  <c r="Z30" i="2" s="1"/>
  <c r="Z83" i="2"/>
  <c r="AB94" i="2"/>
  <c r="Z94" i="2" s="1"/>
  <c r="Z139" i="2"/>
  <c r="AB169" i="2"/>
  <c r="Z169" i="2" s="1"/>
  <c r="Z171" i="2"/>
  <c r="Z218" i="2"/>
  <c r="AB241" i="2"/>
  <c r="Z241" i="2" s="1"/>
  <c r="Z266" i="2"/>
  <c r="Z289" i="2"/>
  <c r="AB307" i="2"/>
  <c r="Z307" i="2" s="1"/>
  <c r="AB324" i="2"/>
  <c r="Z324" i="2" s="1"/>
  <c r="AB348" i="2"/>
  <c r="Z348" i="2" s="1"/>
  <c r="AB357" i="2"/>
  <c r="Z357" i="2" s="1"/>
  <c r="AB404" i="2"/>
  <c r="Z404" i="2" s="1"/>
  <c r="Z445" i="2"/>
  <c r="Z515" i="2"/>
  <c r="Z536" i="2"/>
  <c r="Z557" i="2"/>
  <c r="Z235" i="2"/>
  <c r="Z422" i="2"/>
  <c r="Z86" i="2"/>
  <c r="Z107" i="2"/>
  <c r="Z134" i="2"/>
  <c r="Z177" i="2"/>
  <c r="Z227" i="2"/>
  <c r="Z398" i="2"/>
  <c r="Z407" i="2"/>
  <c r="Z431" i="2"/>
  <c r="Z492" i="2"/>
  <c r="Z570" i="2"/>
  <c r="Z650" i="2"/>
  <c r="Z698" i="2"/>
  <c r="Z174" i="2"/>
  <c r="Z281" i="2"/>
  <c r="Z416" i="2"/>
  <c r="Z330" i="2"/>
  <c r="Z35" i="2"/>
  <c r="AB61" i="2"/>
  <c r="Z61" i="2" s="1"/>
  <c r="AB66" i="2"/>
  <c r="Z66" i="2" s="1"/>
  <c r="Z81" i="2"/>
  <c r="AB113" i="2"/>
  <c r="Z113" i="2" s="1"/>
  <c r="AB194" i="2"/>
  <c r="Z194" i="2" s="1"/>
  <c r="Z210" i="2"/>
  <c r="AB222" i="2"/>
  <c r="Z222" i="2" s="1"/>
  <c r="Z230" i="2"/>
  <c r="Z258" i="2"/>
  <c r="AB334" i="2"/>
  <c r="Z334" i="2" s="1"/>
  <c r="Z428" i="2"/>
  <c r="Z454" i="2"/>
  <c r="Z460" i="2"/>
  <c r="Z516" i="2"/>
  <c r="Z602" i="2"/>
  <c r="Z624" i="2"/>
  <c r="Z301" i="2"/>
  <c r="Z489" i="2"/>
  <c r="AB56" i="2"/>
  <c r="Z56" i="2" s="1"/>
  <c r="Z71" i="2"/>
  <c r="Z76" i="2"/>
  <c r="Z129" i="2"/>
  <c r="AB143" i="2"/>
  <c r="Z143" i="2" s="1"/>
  <c r="Z153" i="2"/>
  <c r="AB186" i="2"/>
  <c r="Z202" i="2"/>
  <c r="Z219" i="2"/>
  <c r="AB242" i="2"/>
  <c r="Z250" i="2"/>
  <c r="AB285" i="2"/>
  <c r="Z285" i="2" s="1"/>
  <c r="AB305" i="2"/>
  <c r="Z305" i="2" s="1"/>
  <c r="Z372" i="2"/>
  <c r="Z417" i="2"/>
  <c r="AB429" i="2"/>
  <c r="Z429" i="2" s="1"/>
  <c r="AB568" i="2"/>
  <c r="Z568" i="2" s="1"/>
  <c r="Z574" i="2"/>
  <c r="Z590" i="2"/>
  <c r="Z612" i="2"/>
  <c r="Z588" i="2"/>
  <c r="Z660" i="2"/>
  <c r="AB667" i="2"/>
  <c r="Z667" i="2" s="1"/>
  <c r="Z691" i="2"/>
  <c r="AB54" i="2"/>
  <c r="Z54" i="2" s="1"/>
  <c r="AB126" i="2"/>
  <c r="Z126" i="2" s="1"/>
  <c r="AB205" i="2"/>
  <c r="Z205" i="2" s="1"/>
  <c r="Z215" i="2"/>
  <c r="AB229" i="2"/>
  <c r="Z229" i="2" s="1"/>
  <c r="Z239" i="2"/>
  <c r="AB253" i="2"/>
  <c r="Z253" i="2" s="1"/>
  <c r="Z263" i="2"/>
  <c r="AB272" i="2"/>
  <c r="Z272" i="2" s="1"/>
  <c r="Z277" i="2"/>
  <c r="Z345" i="2"/>
  <c r="Z367" i="2"/>
  <c r="Z402" i="2"/>
  <c r="Z517" i="2"/>
  <c r="AB531" i="2"/>
  <c r="Z531" i="2" s="1"/>
  <c r="AB578" i="2"/>
  <c r="Z578" i="2" s="1"/>
  <c r="Z583" i="2"/>
  <c r="AB607" i="2"/>
  <c r="Z607" i="2" s="1"/>
  <c r="AB610" i="2"/>
  <c r="Z610" i="2" s="1"/>
  <c r="AB643" i="2"/>
  <c r="Z643" i="2" s="1"/>
  <c r="AB646" i="2"/>
  <c r="Z646" i="2" s="1"/>
  <c r="Z664" i="2"/>
  <c r="Z720" i="2"/>
  <c r="Z770" i="2"/>
  <c r="Z628" i="2"/>
  <c r="Z655" i="2"/>
  <c r="Z736" i="2"/>
  <c r="Z340" i="2"/>
  <c r="Z392" i="2"/>
  <c r="Z425" i="2"/>
  <c r="Z433" i="2"/>
  <c r="Z444" i="2"/>
  <c r="Z479" i="2"/>
  <c r="Z493" i="2"/>
  <c r="Z561" i="2"/>
  <c r="Z601" i="2"/>
  <c r="Z604" i="2"/>
  <c r="Z619" i="2"/>
  <c r="AB102" i="2"/>
  <c r="Z102" i="2" s="1"/>
  <c r="Z278" i="2"/>
  <c r="AB284" i="2"/>
  <c r="Z284" i="2" s="1"/>
  <c r="Z343" i="2"/>
  <c r="AB382" i="2"/>
  <c r="Z382" i="2" s="1"/>
  <c r="AB434" i="2"/>
  <c r="Z434" i="2" s="1"/>
  <c r="AB521" i="2"/>
  <c r="Z521" i="2" s="1"/>
  <c r="Z526" i="2"/>
  <c r="AB548" i="2"/>
  <c r="Z548" i="2" s="1"/>
  <c r="Z564" i="2"/>
  <c r="AB596" i="2"/>
  <c r="Z596" i="2" s="1"/>
  <c r="AB620" i="2"/>
  <c r="Z620" i="2" s="1"/>
  <c r="Z637" i="2"/>
  <c r="Z640" i="2"/>
  <c r="Z696" i="2"/>
  <c r="AB703" i="2"/>
  <c r="Z703" i="2" s="1"/>
  <c r="Z727" i="2"/>
  <c r="Z772" i="2"/>
  <c r="Z692" i="2"/>
  <c r="Z728" i="2"/>
  <c r="Z764" i="2"/>
  <c r="Z676" i="2"/>
  <c r="Z712" i="2"/>
  <c r="Z748" i="2"/>
  <c r="Z265" i="2"/>
  <c r="Z337" i="2"/>
  <c r="Z409" i="2"/>
  <c r="Z481" i="2"/>
  <c r="Z553" i="2"/>
  <c r="Z632" i="2"/>
  <c r="Z668" i="2"/>
  <c r="Z704" i="2"/>
  <c r="Z740" i="2"/>
  <c r="AB308" i="2"/>
  <c r="Z308" i="2" s="1"/>
  <c r="AB380" i="2"/>
  <c r="Z380" i="2" s="1"/>
  <c r="AB452" i="2"/>
  <c r="Z452" i="2" s="1"/>
  <c r="AB524" i="2"/>
  <c r="Z524" i="2" s="1"/>
  <c r="AB584" i="2"/>
  <c r="Z584" i="2" s="1"/>
  <c r="Z616" i="2"/>
  <c r="Z652" i="2"/>
  <c r="Z688" i="2"/>
  <c r="Z724" i="2"/>
  <c r="Z760" i="2"/>
  <c r="Z313" i="2"/>
  <c r="Z385" i="2"/>
  <c r="Z457" i="2"/>
  <c r="Z529" i="2"/>
  <c r="AB603" i="2"/>
  <c r="Z603" i="2" s="1"/>
  <c r="Z608" i="2"/>
  <c r="AB639" i="2"/>
  <c r="Z639" i="2" s="1"/>
  <c r="Z644" i="2"/>
  <c r="AB675" i="2"/>
  <c r="Z675" i="2" s="1"/>
  <c r="Z680" i="2"/>
  <c r="AB711" i="2"/>
  <c r="Z711" i="2" s="1"/>
  <c r="Z716" i="2"/>
  <c r="AB747" i="2"/>
  <c r="Z747" i="2" s="1"/>
  <c r="Z752" i="2"/>
  <c r="Z2" i="2"/>
  <c r="AE1443" i="6" l="1"/>
  <c r="AD1443" i="6"/>
  <c r="AG1443" i="6" s="1"/>
  <c r="AC1443" i="6"/>
  <c r="Y1443" i="6"/>
  <c r="X1443" i="6"/>
  <c r="AE1442" i="6"/>
  <c r="AD1442" i="6"/>
  <c r="AG1442" i="6" s="1"/>
  <c r="AC1442" i="6"/>
  <c r="Y1442" i="6"/>
  <c r="X1442" i="6"/>
  <c r="AE1441" i="6"/>
  <c r="AD1441" i="6"/>
  <c r="AC1441" i="6"/>
  <c r="Y1441" i="6"/>
  <c r="X1441" i="6"/>
  <c r="AE1440" i="6"/>
  <c r="AD1440" i="6"/>
  <c r="AG1440" i="6" s="1"/>
  <c r="AC1440" i="6"/>
  <c r="Y1440" i="6"/>
  <c r="X1440" i="6"/>
  <c r="AE1439" i="6"/>
  <c r="AD1439" i="6"/>
  <c r="AG1439" i="6" s="1"/>
  <c r="AC1439" i="6"/>
  <c r="Y1439" i="6"/>
  <c r="X1439" i="6"/>
  <c r="AE1438" i="6"/>
  <c r="AD1438" i="6"/>
  <c r="AG1438" i="6" s="1"/>
  <c r="AC1438" i="6"/>
  <c r="Y1438" i="6"/>
  <c r="X1438" i="6"/>
  <c r="AE1437" i="6"/>
  <c r="AD1437" i="6"/>
  <c r="AC1437" i="6"/>
  <c r="Y1437" i="6"/>
  <c r="X1437" i="6"/>
  <c r="AE1436" i="6"/>
  <c r="AD1436" i="6"/>
  <c r="AC1436" i="6"/>
  <c r="Y1436" i="6"/>
  <c r="X1436" i="6"/>
  <c r="AE1435" i="6"/>
  <c r="AD1435" i="6"/>
  <c r="AG1435" i="6" s="1"/>
  <c r="AC1435" i="6"/>
  <c r="Y1435" i="6"/>
  <c r="X1435" i="6"/>
  <c r="AE1434" i="6"/>
  <c r="AD1434" i="6"/>
  <c r="AC1434" i="6"/>
  <c r="Y1434" i="6"/>
  <c r="X1434" i="6"/>
  <c r="AE1433" i="6"/>
  <c r="AD1433" i="6"/>
  <c r="AC1433" i="6"/>
  <c r="Y1433" i="6"/>
  <c r="X1433" i="6"/>
  <c r="AE1432" i="6"/>
  <c r="AD1432" i="6"/>
  <c r="AG1432" i="6" s="1"/>
  <c r="AC1432" i="6"/>
  <c r="Y1432" i="6"/>
  <c r="X1432" i="6"/>
  <c r="AE1431" i="6"/>
  <c r="AD1431" i="6"/>
  <c r="AG1431" i="6" s="1"/>
  <c r="AC1431" i="6"/>
  <c r="Y1431" i="6"/>
  <c r="X1431" i="6"/>
  <c r="AE1430" i="6"/>
  <c r="AD1430" i="6"/>
  <c r="AG1430" i="6" s="1"/>
  <c r="AC1430" i="6"/>
  <c r="Y1430" i="6"/>
  <c r="X1430" i="6"/>
  <c r="AE1429" i="6"/>
  <c r="AD1429" i="6"/>
  <c r="AC1429" i="6"/>
  <c r="Y1429" i="6"/>
  <c r="X1429" i="6"/>
  <c r="AE1428" i="6"/>
  <c r="AD1428" i="6"/>
  <c r="AG1428" i="6" s="1"/>
  <c r="AC1428" i="6"/>
  <c r="Y1428" i="6"/>
  <c r="X1428" i="6"/>
  <c r="AE1427" i="6"/>
  <c r="AD1427" i="6"/>
  <c r="AG1427" i="6" s="1"/>
  <c r="AC1427" i="6"/>
  <c r="Y1427" i="6"/>
  <c r="X1427" i="6"/>
  <c r="AE1426" i="6"/>
  <c r="AD1426" i="6"/>
  <c r="AG1426" i="6" s="1"/>
  <c r="AC1426" i="6"/>
  <c r="Y1426" i="6"/>
  <c r="X1426" i="6"/>
  <c r="AE1425" i="6"/>
  <c r="AD1425" i="6"/>
  <c r="AC1425" i="6"/>
  <c r="Y1425" i="6"/>
  <c r="X1425" i="6"/>
  <c r="AE1424" i="6"/>
  <c r="AD1424" i="6"/>
  <c r="AG1424" i="6" s="1"/>
  <c r="AC1424" i="6"/>
  <c r="Y1424" i="6"/>
  <c r="X1424" i="6"/>
  <c r="AE1423" i="6"/>
  <c r="AD1423" i="6"/>
  <c r="AG1423" i="6" s="1"/>
  <c r="AC1423" i="6"/>
  <c r="Y1423" i="6"/>
  <c r="X1423" i="6"/>
  <c r="AE1422" i="6"/>
  <c r="AD1422" i="6"/>
  <c r="AF1422" i="6" s="1"/>
  <c r="AC1422" i="6"/>
  <c r="Y1422" i="6"/>
  <c r="X1422" i="6"/>
  <c r="AE1421" i="6"/>
  <c r="AD1421" i="6"/>
  <c r="AC1421" i="6"/>
  <c r="Y1421" i="6"/>
  <c r="X1421" i="6"/>
  <c r="AE1420" i="6"/>
  <c r="AD1420" i="6"/>
  <c r="AC1420" i="6"/>
  <c r="Y1420" i="6"/>
  <c r="X1420" i="6"/>
  <c r="AE1419" i="6"/>
  <c r="AD1419" i="6"/>
  <c r="AG1419" i="6" s="1"/>
  <c r="AC1419" i="6"/>
  <c r="Y1419" i="6"/>
  <c r="X1419" i="6"/>
  <c r="AE1418" i="6"/>
  <c r="AD1418" i="6"/>
  <c r="AC1418" i="6"/>
  <c r="Y1418" i="6"/>
  <c r="X1418" i="6"/>
  <c r="AE1417" i="6"/>
  <c r="AD1417" i="6"/>
  <c r="AC1417" i="6"/>
  <c r="Y1417" i="6"/>
  <c r="X1417" i="6"/>
  <c r="AE1416" i="6"/>
  <c r="AD1416" i="6"/>
  <c r="AG1416" i="6" s="1"/>
  <c r="AC1416" i="6"/>
  <c r="Y1416" i="6"/>
  <c r="X1416" i="6"/>
  <c r="AE1415" i="6"/>
  <c r="AD1415" i="6"/>
  <c r="AG1415" i="6" s="1"/>
  <c r="AC1415" i="6"/>
  <c r="Y1415" i="6"/>
  <c r="X1415" i="6"/>
  <c r="AE1414" i="6"/>
  <c r="AD1414" i="6"/>
  <c r="AG1414" i="6" s="1"/>
  <c r="AC1414" i="6"/>
  <c r="Y1414" i="6"/>
  <c r="X1414" i="6"/>
  <c r="AE1413" i="6"/>
  <c r="AD1413" i="6"/>
  <c r="AC1413" i="6"/>
  <c r="Y1413" i="6"/>
  <c r="X1413" i="6"/>
  <c r="AE1412" i="6"/>
  <c r="AD1412" i="6"/>
  <c r="AC1412" i="6"/>
  <c r="Y1412" i="6"/>
  <c r="X1412" i="6"/>
  <c r="AE1411" i="6"/>
  <c r="AD1411" i="6"/>
  <c r="AG1411" i="6" s="1"/>
  <c r="AC1411" i="6"/>
  <c r="Y1411" i="6"/>
  <c r="X1411" i="6"/>
  <c r="AE1410" i="6"/>
  <c r="AD1410" i="6"/>
  <c r="AC1410" i="6"/>
  <c r="Y1410" i="6"/>
  <c r="X1410" i="6"/>
  <c r="AE1409" i="6"/>
  <c r="AD1409" i="6"/>
  <c r="AC1409" i="6"/>
  <c r="Y1409" i="6"/>
  <c r="X1409" i="6"/>
  <c r="AE1408" i="6"/>
  <c r="AD1408" i="6"/>
  <c r="AC1408" i="6"/>
  <c r="Y1408" i="6"/>
  <c r="X1408" i="6"/>
  <c r="AE1407" i="6"/>
  <c r="AD1407" i="6"/>
  <c r="AC1407" i="6"/>
  <c r="Y1407" i="6"/>
  <c r="X1407" i="6"/>
  <c r="AE1406" i="6"/>
  <c r="AD1406" i="6"/>
  <c r="AC1406" i="6"/>
  <c r="Y1406" i="6"/>
  <c r="X1406" i="6"/>
  <c r="AE1405" i="6"/>
  <c r="AD1405" i="6"/>
  <c r="AC1405" i="6"/>
  <c r="Y1405" i="6"/>
  <c r="X1405" i="6"/>
  <c r="AE1404" i="6"/>
  <c r="AD1404" i="6"/>
  <c r="AG1404" i="6" s="1"/>
  <c r="AC1404" i="6"/>
  <c r="Y1404" i="6"/>
  <c r="X1404" i="6"/>
  <c r="AE1403" i="6"/>
  <c r="AD1403" i="6"/>
  <c r="AG1403" i="6" s="1"/>
  <c r="AC1403" i="6"/>
  <c r="Y1403" i="6"/>
  <c r="X1403" i="6"/>
  <c r="AE1402" i="6"/>
  <c r="AD1402" i="6"/>
  <c r="AG1402" i="6" s="1"/>
  <c r="AC1402" i="6"/>
  <c r="Y1402" i="6"/>
  <c r="X1402" i="6"/>
  <c r="AE1401" i="6"/>
  <c r="AD1401" i="6"/>
  <c r="AC1401" i="6"/>
  <c r="Y1401" i="6"/>
  <c r="X1401" i="6"/>
  <c r="AE1400" i="6"/>
  <c r="AD1400" i="6"/>
  <c r="AG1400" i="6" s="1"/>
  <c r="AC1400" i="6"/>
  <c r="Y1400" i="6"/>
  <c r="X1400" i="6"/>
  <c r="AE1399" i="6"/>
  <c r="AD1399" i="6"/>
  <c r="AC1399" i="6"/>
  <c r="Y1399" i="6"/>
  <c r="X1399" i="6"/>
  <c r="AE1398" i="6"/>
  <c r="AD1398" i="6"/>
  <c r="AF1398" i="6" s="1"/>
  <c r="AC1398" i="6"/>
  <c r="Y1398" i="6"/>
  <c r="X1398" i="6"/>
  <c r="AE1397" i="6"/>
  <c r="AD1397" i="6"/>
  <c r="AC1397" i="6"/>
  <c r="Y1397" i="6"/>
  <c r="X1397" i="6"/>
  <c r="AE1396" i="6"/>
  <c r="AD1396" i="6"/>
  <c r="AF1396" i="6" s="1"/>
  <c r="AC1396" i="6"/>
  <c r="Y1396" i="6"/>
  <c r="X1396" i="6"/>
  <c r="AE1395" i="6"/>
  <c r="AD1395" i="6"/>
  <c r="AC1395" i="6"/>
  <c r="Y1395" i="6"/>
  <c r="X1395" i="6"/>
  <c r="AE1394" i="6"/>
  <c r="AD1394" i="6"/>
  <c r="AC1394" i="6"/>
  <c r="Y1394" i="6"/>
  <c r="X1394" i="6"/>
  <c r="AE1393" i="6"/>
  <c r="AD1393" i="6"/>
  <c r="AC1393" i="6"/>
  <c r="Y1393" i="6"/>
  <c r="X1393" i="6"/>
  <c r="AE1392" i="6"/>
  <c r="AD1392" i="6"/>
  <c r="AG1392" i="6" s="1"/>
  <c r="AC1392" i="6"/>
  <c r="Y1392" i="6"/>
  <c r="X1392" i="6"/>
  <c r="AE1391" i="6"/>
  <c r="AD1391" i="6"/>
  <c r="AC1391" i="6"/>
  <c r="Y1391" i="6"/>
  <c r="X1391" i="6"/>
  <c r="AE1390" i="6"/>
  <c r="AD1390" i="6"/>
  <c r="AF1390" i="6" s="1"/>
  <c r="AC1390" i="6"/>
  <c r="Y1390" i="6"/>
  <c r="X1390" i="6"/>
  <c r="AE1389" i="6"/>
  <c r="AD1389" i="6"/>
  <c r="AC1389" i="6"/>
  <c r="Y1389" i="6"/>
  <c r="X1389" i="6"/>
  <c r="AE1388" i="6"/>
  <c r="AD1388" i="6"/>
  <c r="AC1388" i="6"/>
  <c r="Y1388" i="6"/>
  <c r="X1388" i="6"/>
  <c r="AE1387" i="6"/>
  <c r="AD1387" i="6"/>
  <c r="AG1387" i="6" s="1"/>
  <c r="AC1387" i="6"/>
  <c r="Y1387" i="6"/>
  <c r="X1387" i="6"/>
  <c r="AE1386" i="6"/>
  <c r="AD1386" i="6"/>
  <c r="AG1386" i="6" s="1"/>
  <c r="AC1386" i="6"/>
  <c r="Y1386" i="6"/>
  <c r="X1386" i="6"/>
  <c r="AE1385" i="6"/>
  <c r="AD1385" i="6"/>
  <c r="AC1385" i="6"/>
  <c r="Y1385" i="6"/>
  <c r="X1385" i="6"/>
  <c r="AE1384" i="6"/>
  <c r="AD1384" i="6"/>
  <c r="AG1384" i="6" s="1"/>
  <c r="AC1384" i="6"/>
  <c r="Y1384" i="6"/>
  <c r="X1384" i="6"/>
  <c r="AE1383" i="6"/>
  <c r="AD1383" i="6"/>
  <c r="AG1383" i="6" s="1"/>
  <c r="AC1383" i="6"/>
  <c r="Y1383" i="6"/>
  <c r="X1383" i="6"/>
  <c r="AE1382" i="6"/>
  <c r="AD1382" i="6"/>
  <c r="AG1382" i="6" s="1"/>
  <c r="AC1382" i="6"/>
  <c r="Y1382" i="6"/>
  <c r="X1382" i="6"/>
  <c r="AE1381" i="6"/>
  <c r="AD1381" i="6"/>
  <c r="AC1381" i="6"/>
  <c r="Y1381" i="6"/>
  <c r="X1381" i="6"/>
  <c r="AE1380" i="6"/>
  <c r="AD1380" i="6"/>
  <c r="AG1380" i="6" s="1"/>
  <c r="AC1380" i="6"/>
  <c r="Y1380" i="6"/>
  <c r="X1380" i="6"/>
  <c r="AE1379" i="6"/>
  <c r="AD1379" i="6"/>
  <c r="AG1379" i="6" s="1"/>
  <c r="AC1379" i="6"/>
  <c r="Y1379" i="6"/>
  <c r="X1379" i="6"/>
  <c r="AE1378" i="6"/>
  <c r="AD1378" i="6"/>
  <c r="AG1378" i="6" s="1"/>
  <c r="AC1378" i="6"/>
  <c r="Y1378" i="6"/>
  <c r="X1378" i="6"/>
  <c r="AE1377" i="6"/>
  <c r="AD1377" i="6"/>
  <c r="AG1377" i="6" s="1"/>
  <c r="AC1377" i="6"/>
  <c r="Y1377" i="6"/>
  <c r="X1377" i="6"/>
  <c r="AE1376" i="6"/>
  <c r="AD1376" i="6"/>
  <c r="AG1376" i="6" s="1"/>
  <c r="AC1376" i="6"/>
  <c r="Y1376" i="6"/>
  <c r="X1376" i="6"/>
  <c r="AE1375" i="6"/>
  <c r="AD1375" i="6"/>
  <c r="AG1375" i="6" s="1"/>
  <c r="AC1375" i="6"/>
  <c r="Y1375" i="6"/>
  <c r="X1375" i="6"/>
  <c r="AE1374" i="6"/>
  <c r="AD1374" i="6"/>
  <c r="AC1374" i="6"/>
  <c r="Y1374" i="6"/>
  <c r="X1374" i="6"/>
  <c r="AE1373" i="6"/>
  <c r="AD1373" i="6"/>
  <c r="AG1373" i="6" s="1"/>
  <c r="AC1373" i="6"/>
  <c r="Y1373" i="6"/>
  <c r="X1373" i="6"/>
  <c r="AE1372" i="6"/>
  <c r="AD1372" i="6"/>
  <c r="AF1372" i="6" s="1"/>
  <c r="AC1372" i="6"/>
  <c r="Y1372" i="6"/>
  <c r="X1372" i="6"/>
  <c r="AE1371" i="6"/>
  <c r="AD1371" i="6"/>
  <c r="AG1371" i="6" s="1"/>
  <c r="AC1371" i="6"/>
  <c r="Y1371" i="6"/>
  <c r="X1371" i="6"/>
  <c r="AE1370" i="6"/>
  <c r="AD1370" i="6"/>
  <c r="AC1370" i="6"/>
  <c r="Y1370" i="6"/>
  <c r="X1370" i="6"/>
  <c r="AE1369" i="6"/>
  <c r="AD1369" i="6"/>
  <c r="AC1369" i="6"/>
  <c r="Y1369" i="6"/>
  <c r="X1369" i="6"/>
  <c r="AE1368" i="6"/>
  <c r="AD1368" i="6"/>
  <c r="AG1368" i="6" s="1"/>
  <c r="AC1368" i="6"/>
  <c r="Y1368" i="6"/>
  <c r="X1368" i="6"/>
  <c r="AE1367" i="6"/>
  <c r="AD1367" i="6"/>
  <c r="AC1367" i="6"/>
  <c r="Y1367" i="6"/>
  <c r="X1367" i="6"/>
  <c r="AE1366" i="6"/>
  <c r="AD1366" i="6"/>
  <c r="AG1366" i="6" s="1"/>
  <c r="AC1366" i="6"/>
  <c r="Y1366" i="6"/>
  <c r="X1366" i="6"/>
  <c r="AE1365" i="6"/>
  <c r="AD1365" i="6"/>
  <c r="AG1365" i="6" s="1"/>
  <c r="AC1365" i="6"/>
  <c r="Y1365" i="6"/>
  <c r="X1365" i="6"/>
  <c r="AE1364" i="6"/>
  <c r="AD1364" i="6"/>
  <c r="AF1364" i="6" s="1"/>
  <c r="AC1364" i="6"/>
  <c r="Y1364" i="6"/>
  <c r="X1364" i="6"/>
  <c r="AE1363" i="6"/>
  <c r="AD1363" i="6"/>
  <c r="AF1363" i="6" s="1"/>
  <c r="AC1363" i="6"/>
  <c r="Y1363" i="6"/>
  <c r="X1363" i="6"/>
  <c r="AE1362" i="6"/>
  <c r="AD1362" i="6"/>
  <c r="AG1362" i="6" s="1"/>
  <c r="AC1362" i="6"/>
  <c r="Y1362" i="6"/>
  <c r="X1362" i="6"/>
  <c r="AE1361" i="6"/>
  <c r="AD1361" i="6"/>
  <c r="AG1361" i="6" s="1"/>
  <c r="AC1361" i="6"/>
  <c r="Y1361" i="6"/>
  <c r="X1361" i="6"/>
  <c r="AE1360" i="6"/>
  <c r="AD1360" i="6"/>
  <c r="AG1360" i="6" s="1"/>
  <c r="AC1360" i="6"/>
  <c r="Y1360" i="6"/>
  <c r="X1360" i="6"/>
  <c r="AE1359" i="6"/>
  <c r="AD1359" i="6"/>
  <c r="AG1359" i="6" s="1"/>
  <c r="AC1359" i="6"/>
  <c r="Y1359" i="6"/>
  <c r="X1359" i="6"/>
  <c r="AE1358" i="6"/>
  <c r="AD1358" i="6"/>
  <c r="AG1358" i="6" s="1"/>
  <c r="AC1358" i="6"/>
  <c r="Y1358" i="6"/>
  <c r="X1358" i="6"/>
  <c r="AE1357" i="6"/>
  <c r="AD1357" i="6"/>
  <c r="AC1357" i="6"/>
  <c r="Y1357" i="6"/>
  <c r="X1357" i="6"/>
  <c r="AE1356" i="6"/>
  <c r="AD1356" i="6"/>
  <c r="AG1356" i="6" s="1"/>
  <c r="AC1356" i="6"/>
  <c r="Y1356" i="6"/>
  <c r="X1356" i="6"/>
  <c r="AE1355" i="6"/>
  <c r="AD1355" i="6"/>
  <c r="AC1355" i="6"/>
  <c r="Y1355" i="6"/>
  <c r="X1355" i="6"/>
  <c r="AE1354" i="6"/>
  <c r="AD1354" i="6"/>
  <c r="AC1354" i="6"/>
  <c r="Y1354" i="6"/>
  <c r="X1354" i="6"/>
  <c r="AE1353" i="6"/>
  <c r="AD1353" i="6"/>
  <c r="AC1353" i="6"/>
  <c r="Y1353" i="6"/>
  <c r="X1353" i="6"/>
  <c r="AE1352" i="6"/>
  <c r="AD1352" i="6"/>
  <c r="AC1352" i="6"/>
  <c r="Y1352" i="6"/>
  <c r="X1352" i="6"/>
  <c r="AE1351" i="6"/>
  <c r="AD1351" i="6"/>
  <c r="AF1351" i="6" s="1"/>
  <c r="AC1351" i="6"/>
  <c r="Y1351" i="6"/>
  <c r="X1351" i="6"/>
  <c r="AE1350" i="6"/>
  <c r="AD1350" i="6"/>
  <c r="AG1350" i="6" s="1"/>
  <c r="AC1350" i="6"/>
  <c r="Y1350" i="6"/>
  <c r="X1350" i="6"/>
  <c r="AE1349" i="6"/>
  <c r="AD1349" i="6"/>
  <c r="AC1349" i="6"/>
  <c r="Y1349" i="6"/>
  <c r="X1349" i="6"/>
  <c r="AE1348" i="6"/>
  <c r="AD1348" i="6"/>
  <c r="AC1348" i="6"/>
  <c r="Y1348" i="6"/>
  <c r="X1348" i="6"/>
  <c r="AE1347" i="6"/>
  <c r="AD1347" i="6"/>
  <c r="AG1347" i="6" s="1"/>
  <c r="AC1347" i="6"/>
  <c r="Y1347" i="6"/>
  <c r="X1347" i="6"/>
  <c r="AE1346" i="6"/>
  <c r="AD1346" i="6"/>
  <c r="AG1346" i="6" s="1"/>
  <c r="AC1346" i="6"/>
  <c r="Y1346" i="6"/>
  <c r="X1346" i="6"/>
  <c r="AE1345" i="6"/>
  <c r="AD1345" i="6"/>
  <c r="AC1345" i="6"/>
  <c r="Y1345" i="6"/>
  <c r="X1345" i="6"/>
  <c r="AE1344" i="6"/>
  <c r="AD1344" i="6"/>
  <c r="AG1344" i="6" s="1"/>
  <c r="AC1344" i="6"/>
  <c r="Y1344" i="6"/>
  <c r="X1344" i="6"/>
  <c r="AE1343" i="6"/>
  <c r="AD1343" i="6"/>
  <c r="AG1343" i="6" s="1"/>
  <c r="AC1343" i="6"/>
  <c r="Y1343" i="6"/>
  <c r="X1343" i="6"/>
  <c r="AE1342" i="6"/>
  <c r="AD1342" i="6"/>
  <c r="AC1342" i="6"/>
  <c r="Y1342" i="6"/>
  <c r="X1342" i="6"/>
  <c r="AE1341" i="6"/>
  <c r="AD1341" i="6"/>
  <c r="AG1341" i="6" s="1"/>
  <c r="AC1341" i="6"/>
  <c r="Y1341" i="6"/>
  <c r="X1341" i="6"/>
  <c r="AE1340" i="6"/>
  <c r="AD1340" i="6"/>
  <c r="AF1340" i="6" s="1"/>
  <c r="AC1340" i="6"/>
  <c r="Y1340" i="6"/>
  <c r="X1340" i="6"/>
  <c r="AE1339" i="6"/>
  <c r="AD1339" i="6"/>
  <c r="AC1339" i="6"/>
  <c r="Y1339" i="6"/>
  <c r="X1339" i="6"/>
  <c r="AE1338" i="6"/>
  <c r="AD1338" i="6"/>
  <c r="AG1338" i="6" s="1"/>
  <c r="AC1338" i="6"/>
  <c r="Y1338" i="6"/>
  <c r="X1338" i="6"/>
  <c r="AE1337" i="6"/>
  <c r="AD1337" i="6"/>
  <c r="AG1337" i="6" s="1"/>
  <c r="AC1337" i="6"/>
  <c r="Y1337" i="6"/>
  <c r="X1337" i="6"/>
  <c r="AE1336" i="6"/>
  <c r="AD1336" i="6"/>
  <c r="AG1336" i="6" s="1"/>
  <c r="AC1336" i="6"/>
  <c r="Y1336" i="6"/>
  <c r="X1336" i="6"/>
  <c r="AE1335" i="6"/>
  <c r="AD1335" i="6"/>
  <c r="AC1335" i="6"/>
  <c r="Y1335" i="6"/>
  <c r="X1335" i="6"/>
  <c r="AE1334" i="6"/>
  <c r="AD1334" i="6"/>
  <c r="AF1334" i="6" s="1"/>
  <c r="AC1334" i="6"/>
  <c r="Y1334" i="6"/>
  <c r="X1334" i="6"/>
  <c r="AE1333" i="6"/>
  <c r="AD1333" i="6"/>
  <c r="AG1333" i="6" s="1"/>
  <c r="AC1333" i="6"/>
  <c r="Y1333" i="6"/>
  <c r="X1333" i="6"/>
  <c r="AE1332" i="6"/>
  <c r="AD1332" i="6"/>
  <c r="AF1332" i="6" s="1"/>
  <c r="AC1332" i="6"/>
  <c r="Y1332" i="6"/>
  <c r="X1332" i="6"/>
  <c r="AE1331" i="6"/>
  <c r="AD1331" i="6"/>
  <c r="AF1331" i="6" s="1"/>
  <c r="AC1331" i="6"/>
  <c r="Y1331" i="6"/>
  <c r="X1331" i="6"/>
  <c r="AE1330" i="6"/>
  <c r="AD1330" i="6"/>
  <c r="AC1330" i="6"/>
  <c r="Y1330" i="6"/>
  <c r="X1330" i="6"/>
  <c r="AE1329" i="6"/>
  <c r="AD1329" i="6"/>
  <c r="AG1329" i="6" s="1"/>
  <c r="AC1329" i="6"/>
  <c r="Y1329" i="6"/>
  <c r="X1329" i="6"/>
  <c r="AE1328" i="6"/>
  <c r="AD1328" i="6"/>
  <c r="AF1328" i="6" s="1"/>
  <c r="AC1328" i="6"/>
  <c r="Y1328" i="6"/>
  <c r="X1328" i="6"/>
  <c r="AE1327" i="6"/>
  <c r="AD1327" i="6"/>
  <c r="AC1327" i="6"/>
  <c r="Y1327" i="6"/>
  <c r="X1327" i="6"/>
  <c r="AE1326" i="6"/>
  <c r="AD1326" i="6"/>
  <c r="AC1326" i="6"/>
  <c r="Y1326" i="6"/>
  <c r="X1326" i="6"/>
  <c r="AE1325" i="6"/>
  <c r="AD1325" i="6"/>
  <c r="AC1325" i="6"/>
  <c r="Y1325" i="6"/>
  <c r="X1325" i="6"/>
  <c r="AE1324" i="6"/>
  <c r="AD1324" i="6"/>
  <c r="AC1324" i="6"/>
  <c r="Y1324" i="6"/>
  <c r="X1324" i="6"/>
  <c r="AE1323" i="6"/>
  <c r="AD1323" i="6"/>
  <c r="AG1323" i="6" s="1"/>
  <c r="AC1323" i="6"/>
  <c r="Y1323" i="6"/>
  <c r="X1323" i="6"/>
  <c r="AE1322" i="6"/>
  <c r="AD1322" i="6"/>
  <c r="AC1322" i="6"/>
  <c r="Y1322" i="6"/>
  <c r="X1322" i="6"/>
  <c r="AE1321" i="6"/>
  <c r="AD1321" i="6"/>
  <c r="AG1321" i="6" s="1"/>
  <c r="AC1321" i="6"/>
  <c r="Y1321" i="6"/>
  <c r="X1321" i="6"/>
  <c r="AE1320" i="6"/>
  <c r="AD1320" i="6"/>
  <c r="AC1320" i="6"/>
  <c r="Y1320" i="6"/>
  <c r="X1320" i="6"/>
  <c r="AE1319" i="6"/>
  <c r="AD1319" i="6"/>
  <c r="AG1319" i="6" s="1"/>
  <c r="AC1319" i="6"/>
  <c r="Y1319" i="6"/>
  <c r="X1319" i="6"/>
  <c r="AE1318" i="6"/>
  <c r="AD1318" i="6"/>
  <c r="AC1318" i="6"/>
  <c r="Y1318" i="6"/>
  <c r="X1318" i="6"/>
  <c r="AE1317" i="6"/>
  <c r="AD1317" i="6"/>
  <c r="AG1317" i="6" s="1"/>
  <c r="AC1317" i="6"/>
  <c r="Y1317" i="6"/>
  <c r="X1317" i="6"/>
  <c r="AE1316" i="6"/>
  <c r="AD1316" i="6"/>
  <c r="AG1316" i="6" s="1"/>
  <c r="AC1316" i="6"/>
  <c r="Y1316" i="6"/>
  <c r="X1316" i="6"/>
  <c r="AE1315" i="6"/>
  <c r="AD1315" i="6"/>
  <c r="AC1315" i="6"/>
  <c r="Y1315" i="6"/>
  <c r="X1315" i="6"/>
  <c r="AE1314" i="6"/>
  <c r="AD1314" i="6"/>
  <c r="AC1314" i="6"/>
  <c r="Y1314" i="6"/>
  <c r="X1314" i="6"/>
  <c r="AE1313" i="6"/>
  <c r="AD1313" i="6"/>
  <c r="AG1313" i="6" s="1"/>
  <c r="AC1313" i="6"/>
  <c r="Y1313" i="6"/>
  <c r="X1313" i="6"/>
  <c r="AE1312" i="6"/>
  <c r="AD1312" i="6"/>
  <c r="AG1312" i="6" s="1"/>
  <c r="AC1312" i="6"/>
  <c r="Y1312" i="6"/>
  <c r="X1312" i="6"/>
  <c r="AE1311" i="6"/>
  <c r="AD1311" i="6"/>
  <c r="AF1311" i="6" s="1"/>
  <c r="AC1311" i="6"/>
  <c r="Y1311" i="6"/>
  <c r="X1311" i="6"/>
  <c r="AE1310" i="6"/>
  <c r="AD1310" i="6"/>
  <c r="AC1310" i="6"/>
  <c r="Y1310" i="6"/>
  <c r="X1310" i="6"/>
  <c r="AE1309" i="6"/>
  <c r="AD1309" i="6"/>
  <c r="AG1309" i="6" s="1"/>
  <c r="AC1309" i="6"/>
  <c r="Y1309" i="6"/>
  <c r="X1309" i="6"/>
  <c r="AE1308" i="6"/>
  <c r="AD1308" i="6"/>
  <c r="AC1308" i="6"/>
  <c r="Y1308" i="6"/>
  <c r="X1308" i="6"/>
  <c r="AE1307" i="6"/>
  <c r="AD1307" i="6"/>
  <c r="AG1307" i="6" s="1"/>
  <c r="AC1307" i="6"/>
  <c r="Y1307" i="6"/>
  <c r="X1307" i="6"/>
  <c r="AE1306" i="6"/>
  <c r="AD1306" i="6"/>
  <c r="AF1306" i="6" s="1"/>
  <c r="AC1306" i="6"/>
  <c r="Y1306" i="6"/>
  <c r="X1306" i="6"/>
  <c r="AE1305" i="6"/>
  <c r="AD1305" i="6"/>
  <c r="AG1305" i="6" s="1"/>
  <c r="AC1305" i="6"/>
  <c r="Y1305" i="6"/>
  <c r="X1305" i="6"/>
  <c r="AE1304" i="6"/>
  <c r="AD1304" i="6"/>
  <c r="AF1304" i="6" s="1"/>
  <c r="AC1304" i="6"/>
  <c r="Y1304" i="6"/>
  <c r="X1304" i="6"/>
  <c r="AE1303" i="6"/>
  <c r="AD1303" i="6"/>
  <c r="AF1303" i="6" s="1"/>
  <c r="AC1303" i="6"/>
  <c r="Y1303" i="6"/>
  <c r="X1303" i="6"/>
  <c r="AE1302" i="6"/>
  <c r="AD1302" i="6"/>
  <c r="AG1302" i="6" s="1"/>
  <c r="AC1302" i="6"/>
  <c r="Y1302" i="6"/>
  <c r="X1302" i="6"/>
  <c r="AE1301" i="6"/>
  <c r="AD1301" i="6"/>
  <c r="AC1301" i="6"/>
  <c r="Y1301" i="6"/>
  <c r="X1301" i="6"/>
  <c r="AE1300" i="6"/>
  <c r="AD1300" i="6"/>
  <c r="AG1300" i="6" s="1"/>
  <c r="AC1300" i="6"/>
  <c r="Y1300" i="6"/>
  <c r="X1300" i="6"/>
  <c r="AE1299" i="6"/>
  <c r="AD1299" i="6"/>
  <c r="AC1299" i="6"/>
  <c r="Y1299" i="6"/>
  <c r="X1299" i="6"/>
  <c r="AE1298" i="6"/>
  <c r="AD1298" i="6"/>
  <c r="AG1298" i="6" s="1"/>
  <c r="AC1298" i="6"/>
  <c r="Y1298" i="6"/>
  <c r="X1298" i="6"/>
  <c r="AE1297" i="6"/>
  <c r="AD1297" i="6"/>
  <c r="AC1297" i="6"/>
  <c r="Y1297" i="6"/>
  <c r="X1297" i="6"/>
  <c r="AE1296" i="6"/>
  <c r="AD1296" i="6"/>
  <c r="AG1296" i="6" s="1"/>
  <c r="AC1296" i="6"/>
  <c r="Y1296" i="6"/>
  <c r="X1296" i="6"/>
  <c r="AE1295" i="6"/>
  <c r="AD1295" i="6"/>
  <c r="AG1295" i="6" s="1"/>
  <c r="AC1295" i="6"/>
  <c r="Y1295" i="6"/>
  <c r="X1295" i="6"/>
  <c r="AE1294" i="6"/>
  <c r="AD1294" i="6"/>
  <c r="AF1294" i="6" s="1"/>
  <c r="AC1294" i="6"/>
  <c r="Y1294" i="6"/>
  <c r="X1294" i="6"/>
  <c r="AE1293" i="6"/>
  <c r="AD1293" i="6"/>
  <c r="AG1293" i="6" s="1"/>
  <c r="AC1293" i="6"/>
  <c r="Y1293" i="6"/>
  <c r="X1293" i="6"/>
  <c r="AE1292" i="6"/>
  <c r="AD1292" i="6"/>
  <c r="AG1292" i="6" s="1"/>
  <c r="AC1292" i="6"/>
  <c r="Y1292" i="6"/>
  <c r="X1292" i="6"/>
  <c r="AE1291" i="6"/>
  <c r="AD1291" i="6"/>
  <c r="AF1291" i="6" s="1"/>
  <c r="AC1291" i="6"/>
  <c r="Y1291" i="6"/>
  <c r="X1291" i="6"/>
  <c r="AE1290" i="6"/>
  <c r="AD1290" i="6"/>
  <c r="AG1290" i="6" s="1"/>
  <c r="AC1290" i="6"/>
  <c r="Y1290" i="6"/>
  <c r="X1290" i="6"/>
  <c r="AE1289" i="6"/>
  <c r="AD1289" i="6"/>
  <c r="AG1289" i="6" s="1"/>
  <c r="AC1289" i="6"/>
  <c r="Y1289" i="6"/>
  <c r="X1289" i="6"/>
  <c r="AE1288" i="6"/>
  <c r="AD1288" i="6"/>
  <c r="AG1288" i="6" s="1"/>
  <c r="AC1288" i="6"/>
  <c r="Y1288" i="6"/>
  <c r="X1288" i="6"/>
  <c r="AE1287" i="6"/>
  <c r="AD1287" i="6"/>
  <c r="AF1287" i="6" s="1"/>
  <c r="AC1287" i="6"/>
  <c r="Y1287" i="6"/>
  <c r="X1287" i="6"/>
  <c r="AE1286" i="6"/>
  <c r="AD1286" i="6"/>
  <c r="AG1286" i="6" s="1"/>
  <c r="AC1286" i="6"/>
  <c r="Y1286" i="6"/>
  <c r="X1286" i="6"/>
  <c r="AE1285" i="6"/>
  <c r="AD1285" i="6"/>
  <c r="AG1285" i="6" s="1"/>
  <c r="AC1285" i="6"/>
  <c r="Y1285" i="6"/>
  <c r="X1285" i="6"/>
  <c r="AE1284" i="6"/>
  <c r="AD1284" i="6"/>
  <c r="AF1284" i="6" s="1"/>
  <c r="AC1284" i="6"/>
  <c r="Y1284" i="6"/>
  <c r="X1284" i="6"/>
  <c r="AE1283" i="6"/>
  <c r="AD1283" i="6"/>
  <c r="AC1283" i="6"/>
  <c r="Y1283" i="6"/>
  <c r="X1283" i="6"/>
  <c r="AE1282" i="6"/>
  <c r="AD1282" i="6"/>
  <c r="AC1282" i="6"/>
  <c r="Y1282" i="6"/>
  <c r="X1282" i="6"/>
  <c r="AE1281" i="6"/>
  <c r="AD1281" i="6"/>
  <c r="AC1281" i="6"/>
  <c r="Y1281" i="6"/>
  <c r="X1281" i="6"/>
  <c r="AE1280" i="6"/>
  <c r="AD1280" i="6"/>
  <c r="AC1280" i="6"/>
  <c r="Y1280" i="6"/>
  <c r="X1280" i="6"/>
  <c r="AE1279" i="6"/>
  <c r="AD1279" i="6"/>
  <c r="AC1279" i="6"/>
  <c r="Y1279" i="6"/>
  <c r="X1279" i="6"/>
  <c r="AE1278" i="6"/>
  <c r="AD1278" i="6"/>
  <c r="AG1278" i="6" s="1"/>
  <c r="AC1278" i="6"/>
  <c r="Y1278" i="6"/>
  <c r="X1278" i="6"/>
  <c r="AE1277" i="6"/>
  <c r="AD1277" i="6"/>
  <c r="AC1277" i="6"/>
  <c r="Y1277" i="6"/>
  <c r="X1277" i="6"/>
  <c r="AE1276" i="6"/>
  <c r="AD1276" i="6"/>
  <c r="AG1276" i="6" s="1"/>
  <c r="AC1276" i="6"/>
  <c r="Y1276" i="6"/>
  <c r="X1276" i="6"/>
  <c r="AE1275" i="6"/>
  <c r="AD1275" i="6"/>
  <c r="AG1275" i="6" s="1"/>
  <c r="AC1275" i="6"/>
  <c r="Y1275" i="6"/>
  <c r="X1275" i="6"/>
  <c r="AE1274" i="6"/>
  <c r="AD1274" i="6"/>
  <c r="AF1274" i="6" s="1"/>
  <c r="AC1274" i="6"/>
  <c r="Y1274" i="6"/>
  <c r="X1274" i="6"/>
  <c r="AE1273" i="6"/>
  <c r="AD1273" i="6"/>
  <c r="AC1273" i="6"/>
  <c r="Y1273" i="6"/>
  <c r="X1273" i="6"/>
  <c r="AE1272" i="6"/>
  <c r="AD1272" i="6"/>
  <c r="AF1272" i="6" s="1"/>
  <c r="AC1272" i="6"/>
  <c r="Y1272" i="6"/>
  <c r="X1272" i="6"/>
  <c r="AE1271" i="6"/>
  <c r="AD1271" i="6"/>
  <c r="AF1271" i="6" s="1"/>
  <c r="AC1271" i="6"/>
  <c r="Y1271" i="6"/>
  <c r="X1271" i="6"/>
  <c r="AE1270" i="6"/>
  <c r="AD1270" i="6"/>
  <c r="AF1270" i="6" s="1"/>
  <c r="AC1270" i="6"/>
  <c r="Y1270" i="6"/>
  <c r="X1270" i="6"/>
  <c r="AE1269" i="6"/>
  <c r="AD1269" i="6"/>
  <c r="AF1269" i="6" s="1"/>
  <c r="AC1269" i="6"/>
  <c r="Y1269" i="6"/>
  <c r="X1269" i="6"/>
  <c r="AE1268" i="6"/>
  <c r="AD1268" i="6"/>
  <c r="AG1268" i="6" s="1"/>
  <c r="AC1268" i="6"/>
  <c r="Y1268" i="6"/>
  <c r="X1268" i="6"/>
  <c r="AE1267" i="6"/>
  <c r="AD1267" i="6"/>
  <c r="AC1267" i="6"/>
  <c r="Y1267" i="6"/>
  <c r="X1267" i="6"/>
  <c r="AE1266" i="6"/>
  <c r="AD1266" i="6"/>
  <c r="AC1266" i="6"/>
  <c r="Y1266" i="6"/>
  <c r="X1266" i="6"/>
  <c r="AE1265" i="6"/>
  <c r="AD1265" i="6"/>
  <c r="AG1265" i="6" s="1"/>
  <c r="AC1265" i="6"/>
  <c r="Y1265" i="6"/>
  <c r="X1265" i="6"/>
  <c r="AE1264" i="6"/>
  <c r="AD1264" i="6"/>
  <c r="AC1264" i="6"/>
  <c r="Y1264" i="6"/>
  <c r="X1264" i="6"/>
  <c r="AE1263" i="6"/>
  <c r="AD1263" i="6"/>
  <c r="AG1263" i="6" s="1"/>
  <c r="AC1263" i="6"/>
  <c r="Y1263" i="6"/>
  <c r="X1263" i="6"/>
  <c r="AE1262" i="6"/>
  <c r="AD1262" i="6"/>
  <c r="AC1262" i="6"/>
  <c r="Y1262" i="6"/>
  <c r="X1262" i="6"/>
  <c r="AE1261" i="6"/>
  <c r="AD1261" i="6"/>
  <c r="AC1261" i="6"/>
  <c r="Y1261" i="6"/>
  <c r="X1261" i="6"/>
  <c r="AE1260" i="6"/>
  <c r="AD1260" i="6"/>
  <c r="AG1260" i="6" s="1"/>
  <c r="AC1260" i="6"/>
  <c r="Y1260" i="6"/>
  <c r="X1260" i="6"/>
  <c r="AE1259" i="6"/>
  <c r="AD1259" i="6"/>
  <c r="AF1259" i="6" s="1"/>
  <c r="AC1259" i="6"/>
  <c r="Y1259" i="6"/>
  <c r="X1259" i="6"/>
  <c r="AE1258" i="6"/>
  <c r="AD1258" i="6"/>
  <c r="AC1258" i="6"/>
  <c r="Y1258" i="6"/>
  <c r="X1258" i="6"/>
  <c r="AE1257" i="6"/>
  <c r="AD1257" i="6"/>
  <c r="AF1257" i="6" s="1"/>
  <c r="AC1257" i="6"/>
  <c r="Y1257" i="6"/>
  <c r="X1257" i="6"/>
  <c r="AE1256" i="6"/>
  <c r="AD1256" i="6"/>
  <c r="AC1256" i="6"/>
  <c r="Y1256" i="6"/>
  <c r="X1256" i="6"/>
  <c r="AE1255" i="6"/>
  <c r="AD1255" i="6"/>
  <c r="AC1255" i="6"/>
  <c r="Y1255" i="6"/>
  <c r="X1255" i="6"/>
  <c r="AE1254" i="6"/>
  <c r="AD1254" i="6"/>
  <c r="AC1254" i="6"/>
  <c r="Y1254" i="6"/>
  <c r="X1254" i="6"/>
  <c r="AE1253" i="6"/>
  <c r="AD1253" i="6"/>
  <c r="AC1253" i="6"/>
  <c r="Y1253" i="6"/>
  <c r="X1253" i="6"/>
  <c r="AE1252" i="6"/>
  <c r="AD1252" i="6"/>
  <c r="AC1252" i="6"/>
  <c r="Y1252" i="6"/>
  <c r="X1252" i="6"/>
  <c r="AE1251" i="6"/>
  <c r="AD1251" i="6"/>
  <c r="AC1251" i="6"/>
  <c r="Y1251" i="6"/>
  <c r="X1251" i="6"/>
  <c r="AE1250" i="6"/>
  <c r="AD1250" i="6"/>
  <c r="AG1250" i="6" s="1"/>
  <c r="AC1250" i="6"/>
  <c r="Y1250" i="6"/>
  <c r="X1250" i="6"/>
  <c r="AE1249" i="6"/>
  <c r="AD1249" i="6"/>
  <c r="AC1249" i="6"/>
  <c r="Y1249" i="6"/>
  <c r="X1249" i="6"/>
  <c r="AE1248" i="6"/>
  <c r="AD1248" i="6"/>
  <c r="AF1248" i="6" s="1"/>
  <c r="AC1248" i="6"/>
  <c r="Y1248" i="6"/>
  <c r="X1248" i="6"/>
  <c r="AE1247" i="6"/>
  <c r="AD1247" i="6"/>
  <c r="AF1247" i="6" s="1"/>
  <c r="AC1247" i="6"/>
  <c r="Y1247" i="6"/>
  <c r="X1247" i="6"/>
  <c r="AE1246" i="6"/>
  <c r="AD1246" i="6"/>
  <c r="AC1246" i="6"/>
  <c r="Y1246" i="6"/>
  <c r="X1246" i="6"/>
  <c r="AE1245" i="6"/>
  <c r="AD1245" i="6"/>
  <c r="AF1245" i="6" s="1"/>
  <c r="AC1245" i="6"/>
  <c r="Y1245" i="6"/>
  <c r="X1245" i="6"/>
  <c r="AE1244" i="6"/>
  <c r="AD1244" i="6"/>
  <c r="AC1244" i="6"/>
  <c r="Y1244" i="6"/>
  <c r="X1244" i="6"/>
  <c r="AE1243" i="6"/>
  <c r="AD1243" i="6"/>
  <c r="AC1243" i="6"/>
  <c r="Y1243" i="6"/>
  <c r="X1243" i="6"/>
  <c r="AE1242" i="6"/>
  <c r="AD1242" i="6"/>
  <c r="AG1242" i="6" s="1"/>
  <c r="AC1242" i="6"/>
  <c r="Y1242" i="6"/>
  <c r="X1242" i="6"/>
  <c r="AE1241" i="6"/>
  <c r="AD1241" i="6"/>
  <c r="AC1241" i="6"/>
  <c r="Y1241" i="6"/>
  <c r="X1241" i="6"/>
  <c r="AE1240" i="6"/>
  <c r="AD1240" i="6"/>
  <c r="AF1240" i="6" s="1"/>
  <c r="AC1240" i="6"/>
  <c r="Y1240" i="6"/>
  <c r="X1240" i="6"/>
  <c r="AE1239" i="6"/>
  <c r="AD1239" i="6"/>
  <c r="AC1239" i="6"/>
  <c r="Y1239" i="6"/>
  <c r="X1239" i="6"/>
  <c r="AE1238" i="6"/>
  <c r="AD1238" i="6"/>
  <c r="AC1238" i="6"/>
  <c r="Y1238" i="6"/>
  <c r="X1238" i="6"/>
  <c r="AE1237" i="6"/>
  <c r="AD1237" i="6"/>
  <c r="AG1237" i="6" s="1"/>
  <c r="AC1237" i="6"/>
  <c r="Y1237" i="6"/>
  <c r="X1237" i="6"/>
  <c r="AE1236" i="6"/>
  <c r="AD1236" i="6"/>
  <c r="AF1236" i="6" s="1"/>
  <c r="AC1236" i="6"/>
  <c r="Y1236" i="6"/>
  <c r="X1236" i="6"/>
  <c r="AE1235" i="6"/>
  <c r="AD1235" i="6"/>
  <c r="AG1235" i="6" s="1"/>
  <c r="AC1235" i="6"/>
  <c r="Y1235" i="6"/>
  <c r="X1235" i="6"/>
  <c r="AE1234" i="6"/>
  <c r="AD1234" i="6"/>
  <c r="AC1234" i="6"/>
  <c r="Y1234" i="6"/>
  <c r="X1234" i="6"/>
  <c r="AE1233" i="6"/>
  <c r="AD1233" i="6"/>
  <c r="AC1233" i="6"/>
  <c r="Y1233" i="6"/>
  <c r="X1233" i="6"/>
  <c r="AE1232" i="6"/>
  <c r="AD1232" i="6"/>
  <c r="AC1232" i="6"/>
  <c r="Y1232" i="6"/>
  <c r="X1232" i="6"/>
  <c r="AE1231" i="6"/>
  <c r="AD1231" i="6"/>
  <c r="AC1231" i="6"/>
  <c r="Y1231" i="6"/>
  <c r="X1231" i="6"/>
  <c r="AE1230" i="6"/>
  <c r="AD1230" i="6"/>
  <c r="AC1230" i="6"/>
  <c r="Y1230" i="6"/>
  <c r="X1230" i="6"/>
  <c r="AE1229" i="6"/>
  <c r="AD1229" i="6"/>
  <c r="AG1229" i="6" s="1"/>
  <c r="AC1229" i="6"/>
  <c r="Y1229" i="6"/>
  <c r="X1229" i="6"/>
  <c r="AE1228" i="6"/>
  <c r="AD1228" i="6"/>
  <c r="AC1228" i="6"/>
  <c r="Y1228" i="6"/>
  <c r="X1228" i="6"/>
  <c r="AE1227" i="6"/>
  <c r="AD1227" i="6"/>
  <c r="AG1227" i="6" s="1"/>
  <c r="AC1227" i="6"/>
  <c r="Y1227" i="6"/>
  <c r="X1227" i="6"/>
  <c r="AE1226" i="6"/>
  <c r="AD1226" i="6"/>
  <c r="AG1226" i="6" s="1"/>
  <c r="AC1226" i="6"/>
  <c r="Y1226" i="6"/>
  <c r="X1226" i="6"/>
  <c r="AE1225" i="6"/>
  <c r="AD1225" i="6"/>
  <c r="AF1225" i="6" s="1"/>
  <c r="AC1225" i="6"/>
  <c r="Y1225" i="6"/>
  <c r="X1225" i="6"/>
  <c r="AE1224" i="6"/>
  <c r="AD1224" i="6"/>
  <c r="AC1224" i="6"/>
  <c r="Y1224" i="6"/>
  <c r="X1224" i="6"/>
  <c r="AE1223" i="6"/>
  <c r="AD1223" i="6"/>
  <c r="AF1223" i="6" s="1"/>
  <c r="AC1223" i="6"/>
  <c r="Y1223" i="6"/>
  <c r="X1223" i="6"/>
  <c r="AE1222" i="6"/>
  <c r="AD1222" i="6"/>
  <c r="AF1222" i="6" s="1"/>
  <c r="AC1222" i="6"/>
  <c r="Y1222" i="6"/>
  <c r="X1222" i="6"/>
  <c r="AE1221" i="6"/>
  <c r="AD1221" i="6"/>
  <c r="AF1221" i="6" s="1"/>
  <c r="AC1221" i="6"/>
  <c r="Y1221" i="6"/>
  <c r="X1221" i="6"/>
  <c r="AE1220" i="6"/>
  <c r="AD1220" i="6"/>
  <c r="AC1220" i="6"/>
  <c r="Y1220" i="6"/>
  <c r="X1220" i="6"/>
  <c r="AE1219" i="6"/>
  <c r="AD1219" i="6"/>
  <c r="AG1219" i="6" s="1"/>
  <c r="AC1219" i="6"/>
  <c r="Y1219" i="6"/>
  <c r="X1219" i="6"/>
  <c r="AE1218" i="6"/>
  <c r="AD1218" i="6"/>
  <c r="AC1218" i="6"/>
  <c r="Y1218" i="6"/>
  <c r="X1218" i="6"/>
  <c r="AE1217" i="6"/>
  <c r="AD1217" i="6"/>
  <c r="AC1217" i="6"/>
  <c r="Y1217" i="6"/>
  <c r="X1217" i="6"/>
  <c r="AE1216" i="6"/>
  <c r="AD1216" i="6"/>
  <c r="AC1216" i="6"/>
  <c r="Y1216" i="6"/>
  <c r="X1216" i="6"/>
  <c r="AE1215" i="6"/>
  <c r="AD1215" i="6"/>
  <c r="AG1215" i="6" s="1"/>
  <c r="AC1215" i="6"/>
  <c r="Y1215" i="6"/>
  <c r="X1215" i="6"/>
  <c r="AE1214" i="6"/>
  <c r="AD1214" i="6"/>
  <c r="AG1214" i="6" s="1"/>
  <c r="AC1214" i="6"/>
  <c r="Y1214" i="6"/>
  <c r="X1214" i="6"/>
  <c r="AE1213" i="6"/>
  <c r="AD1213" i="6"/>
  <c r="AC1213" i="6"/>
  <c r="Y1213" i="6"/>
  <c r="X1213" i="6"/>
  <c r="AE1212" i="6"/>
  <c r="AD1212" i="6"/>
  <c r="AF1212" i="6" s="1"/>
  <c r="AC1212" i="6"/>
  <c r="Y1212" i="6"/>
  <c r="X1212" i="6"/>
  <c r="AE1211" i="6"/>
  <c r="AD1211" i="6"/>
  <c r="AC1211" i="6"/>
  <c r="Y1211" i="6"/>
  <c r="X1211" i="6"/>
  <c r="AE1210" i="6"/>
  <c r="AD1210" i="6"/>
  <c r="AF1210" i="6" s="1"/>
  <c r="AC1210" i="6"/>
  <c r="Y1210" i="6"/>
  <c r="X1210" i="6"/>
  <c r="AE1209" i="6"/>
  <c r="AD1209" i="6"/>
  <c r="AF1209" i="6" s="1"/>
  <c r="AC1209" i="6"/>
  <c r="Y1209" i="6"/>
  <c r="X1209" i="6"/>
  <c r="AE1208" i="6"/>
  <c r="AD1208" i="6"/>
  <c r="AG1208" i="6" s="1"/>
  <c r="AC1208" i="6"/>
  <c r="Y1208" i="6"/>
  <c r="X1208" i="6"/>
  <c r="AE1207" i="6"/>
  <c r="AD1207" i="6"/>
  <c r="AC1207" i="6"/>
  <c r="Y1207" i="6"/>
  <c r="X1207" i="6"/>
  <c r="AE1206" i="6"/>
  <c r="AD1206" i="6"/>
  <c r="AC1206" i="6"/>
  <c r="Y1206" i="6"/>
  <c r="X1206" i="6"/>
  <c r="AE1205" i="6"/>
  <c r="AD1205" i="6"/>
  <c r="AC1205" i="6"/>
  <c r="Y1205" i="6"/>
  <c r="X1205" i="6"/>
  <c r="AE1204" i="6"/>
  <c r="AD1204" i="6"/>
  <c r="AG1204" i="6" s="1"/>
  <c r="AC1204" i="6"/>
  <c r="Y1204" i="6"/>
  <c r="X1204" i="6"/>
  <c r="AE1203" i="6"/>
  <c r="AD1203" i="6"/>
  <c r="AG1203" i="6" s="1"/>
  <c r="AC1203" i="6"/>
  <c r="Y1203" i="6"/>
  <c r="X1203" i="6"/>
  <c r="AE1202" i="6"/>
  <c r="AD1202" i="6"/>
  <c r="AC1202" i="6"/>
  <c r="Y1202" i="6"/>
  <c r="X1202" i="6"/>
  <c r="AE1201" i="6"/>
  <c r="AD1201" i="6"/>
  <c r="AF1201" i="6" s="1"/>
  <c r="AC1201" i="6"/>
  <c r="Y1201" i="6"/>
  <c r="X1201" i="6"/>
  <c r="AE1200" i="6"/>
  <c r="AD1200" i="6"/>
  <c r="AC1200" i="6"/>
  <c r="Y1200" i="6"/>
  <c r="X1200" i="6"/>
  <c r="AE1199" i="6"/>
  <c r="AD1199" i="6"/>
  <c r="AC1199" i="6"/>
  <c r="Y1199" i="6"/>
  <c r="X1199" i="6"/>
  <c r="AE1198" i="6"/>
  <c r="AD1198" i="6"/>
  <c r="AG1198" i="6" s="1"/>
  <c r="AC1198" i="6"/>
  <c r="Y1198" i="6"/>
  <c r="X1198" i="6"/>
  <c r="AE1197" i="6"/>
  <c r="AD1197" i="6"/>
  <c r="AF1197" i="6" s="1"/>
  <c r="AC1197" i="6"/>
  <c r="Y1197" i="6"/>
  <c r="X1197" i="6"/>
  <c r="AE1196" i="6"/>
  <c r="AD1196" i="6"/>
  <c r="AC1196" i="6"/>
  <c r="Y1196" i="6"/>
  <c r="X1196" i="6"/>
  <c r="AE1195" i="6"/>
  <c r="AD1195" i="6"/>
  <c r="AF1195" i="6" s="1"/>
  <c r="AC1195" i="6"/>
  <c r="Y1195" i="6"/>
  <c r="X1195" i="6"/>
  <c r="AE1194" i="6"/>
  <c r="AD1194" i="6"/>
  <c r="AC1194" i="6"/>
  <c r="Y1194" i="6"/>
  <c r="X1194" i="6"/>
  <c r="AE1193" i="6"/>
  <c r="AD1193" i="6"/>
  <c r="AF1193" i="6" s="1"/>
  <c r="AC1193" i="6"/>
  <c r="Y1193" i="6"/>
  <c r="X1193" i="6"/>
  <c r="AE1192" i="6"/>
  <c r="AD1192" i="6"/>
  <c r="AF1192" i="6" s="1"/>
  <c r="AC1192" i="6"/>
  <c r="Y1192" i="6"/>
  <c r="X1192" i="6"/>
  <c r="AE1191" i="6"/>
  <c r="AD1191" i="6"/>
  <c r="AF1191" i="6" s="1"/>
  <c r="AC1191" i="6"/>
  <c r="Y1191" i="6"/>
  <c r="X1191" i="6"/>
  <c r="AE1190" i="6"/>
  <c r="AD1190" i="6"/>
  <c r="AG1190" i="6" s="1"/>
  <c r="AC1190" i="6"/>
  <c r="Y1190" i="6"/>
  <c r="X1190" i="6"/>
  <c r="AE1189" i="6"/>
  <c r="AD1189" i="6"/>
  <c r="AG1189" i="6" s="1"/>
  <c r="AC1189" i="6"/>
  <c r="Y1189" i="6"/>
  <c r="X1189" i="6"/>
  <c r="AE1188" i="6"/>
  <c r="AD1188" i="6"/>
  <c r="AG1188" i="6" s="1"/>
  <c r="AC1188" i="6"/>
  <c r="Y1188" i="6"/>
  <c r="X1188" i="6"/>
  <c r="AE1187" i="6"/>
  <c r="AD1187" i="6"/>
  <c r="AG1187" i="6" s="1"/>
  <c r="AC1187" i="6"/>
  <c r="Y1187" i="6"/>
  <c r="X1187" i="6"/>
  <c r="AE1186" i="6"/>
  <c r="AD1186" i="6"/>
  <c r="AG1186" i="6" s="1"/>
  <c r="AC1186" i="6"/>
  <c r="Y1186" i="6"/>
  <c r="X1186" i="6"/>
  <c r="AE1185" i="6"/>
  <c r="AD1185" i="6"/>
  <c r="AF1185" i="6" s="1"/>
  <c r="AC1185" i="6"/>
  <c r="Y1185" i="6"/>
  <c r="X1185" i="6"/>
  <c r="AE1184" i="6"/>
  <c r="AD1184" i="6"/>
  <c r="AG1184" i="6" s="1"/>
  <c r="AC1184" i="6"/>
  <c r="Y1184" i="6"/>
  <c r="X1184" i="6"/>
  <c r="AE1183" i="6"/>
  <c r="AD1183" i="6"/>
  <c r="AC1183" i="6"/>
  <c r="Y1183" i="6"/>
  <c r="X1183" i="6"/>
  <c r="AE1182" i="6"/>
  <c r="AD1182" i="6"/>
  <c r="AG1182" i="6" s="1"/>
  <c r="AC1182" i="6"/>
  <c r="Y1182" i="6"/>
  <c r="X1182" i="6"/>
  <c r="AE1181" i="6"/>
  <c r="AD1181" i="6"/>
  <c r="AC1181" i="6"/>
  <c r="Y1181" i="6"/>
  <c r="X1181" i="6"/>
  <c r="AE1180" i="6"/>
  <c r="AD1180" i="6"/>
  <c r="AC1180" i="6"/>
  <c r="Y1180" i="6"/>
  <c r="X1180" i="6"/>
  <c r="AE1179" i="6"/>
  <c r="AD1179" i="6"/>
  <c r="AC1179" i="6"/>
  <c r="Y1179" i="6"/>
  <c r="X1179" i="6"/>
  <c r="AE1178" i="6"/>
  <c r="AD1178" i="6"/>
  <c r="AG1178" i="6" s="1"/>
  <c r="AC1178" i="6"/>
  <c r="Y1178" i="6"/>
  <c r="X1178" i="6"/>
  <c r="AE1177" i="6"/>
  <c r="AD1177" i="6"/>
  <c r="AG1177" i="6" s="1"/>
  <c r="AC1177" i="6"/>
  <c r="Y1177" i="6"/>
  <c r="X1177" i="6"/>
  <c r="AE1176" i="6"/>
  <c r="AD1176" i="6"/>
  <c r="AF1176" i="6" s="1"/>
  <c r="AC1176" i="6"/>
  <c r="Y1176" i="6"/>
  <c r="X1176" i="6"/>
  <c r="AE1175" i="6"/>
  <c r="AD1175" i="6"/>
  <c r="AF1175" i="6" s="1"/>
  <c r="AC1175" i="6"/>
  <c r="Y1175" i="6"/>
  <c r="X1175" i="6"/>
  <c r="AE1174" i="6"/>
  <c r="AD1174" i="6"/>
  <c r="AG1174" i="6" s="1"/>
  <c r="AC1174" i="6"/>
  <c r="Y1174" i="6"/>
  <c r="X1174" i="6"/>
  <c r="AE1173" i="6"/>
  <c r="AD1173" i="6"/>
  <c r="AF1173" i="6" s="1"/>
  <c r="AC1173" i="6"/>
  <c r="Y1173" i="6"/>
  <c r="X1173" i="6"/>
  <c r="AE1172" i="6"/>
  <c r="AD1172" i="6"/>
  <c r="AC1172" i="6"/>
  <c r="Y1172" i="6"/>
  <c r="X1172" i="6"/>
  <c r="AE1171" i="6"/>
  <c r="AD1171" i="6"/>
  <c r="AG1171" i="6" s="1"/>
  <c r="AC1171" i="6"/>
  <c r="Y1171" i="6"/>
  <c r="X1171" i="6"/>
  <c r="AE1170" i="6"/>
  <c r="AD1170" i="6"/>
  <c r="AC1170" i="6"/>
  <c r="Y1170" i="6"/>
  <c r="X1170" i="6"/>
  <c r="AE1169" i="6"/>
  <c r="AD1169" i="6"/>
  <c r="AF1169" i="6" s="1"/>
  <c r="AC1169" i="6"/>
  <c r="Y1169" i="6"/>
  <c r="X1169" i="6"/>
  <c r="AE1168" i="6"/>
  <c r="AD1168" i="6"/>
  <c r="AC1168" i="6"/>
  <c r="Y1168" i="6"/>
  <c r="X1168" i="6"/>
  <c r="AE1167" i="6"/>
  <c r="AD1167" i="6"/>
  <c r="AF1167" i="6" s="1"/>
  <c r="AC1167" i="6"/>
  <c r="Y1167" i="6"/>
  <c r="X1167" i="6"/>
  <c r="AE1166" i="6"/>
  <c r="AD1166" i="6"/>
  <c r="AC1166" i="6"/>
  <c r="Y1166" i="6"/>
  <c r="X1166" i="6"/>
  <c r="AE1165" i="6"/>
  <c r="AD1165" i="6"/>
  <c r="AF1165" i="6" s="1"/>
  <c r="AC1165" i="6"/>
  <c r="Y1165" i="6"/>
  <c r="X1165" i="6"/>
  <c r="AE1164" i="6"/>
  <c r="AD1164" i="6"/>
  <c r="AC1164" i="6"/>
  <c r="Y1164" i="6"/>
  <c r="X1164" i="6"/>
  <c r="AE1163" i="6"/>
  <c r="AD1163" i="6"/>
  <c r="AC1163" i="6"/>
  <c r="Y1163" i="6"/>
  <c r="X1163" i="6"/>
  <c r="AE1162" i="6"/>
  <c r="AD1162" i="6"/>
  <c r="AC1162" i="6"/>
  <c r="Y1162" i="6"/>
  <c r="X1162" i="6"/>
  <c r="AE1161" i="6"/>
  <c r="AD1161" i="6"/>
  <c r="AC1161" i="6"/>
  <c r="Y1161" i="6"/>
  <c r="X1161" i="6"/>
  <c r="AE1160" i="6"/>
  <c r="AD1160" i="6"/>
  <c r="AG1160" i="6" s="1"/>
  <c r="AC1160" i="6"/>
  <c r="Y1160" i="6"/>
  <c r="X1160" i="6"/>
  <c r="AE1159" i="6"/>
  <c r="AD1159" i="6"/>
  <c r="AC1159" i="6"/>
  <c r="Y1159" i="6"/>
  <c r="X1159" i="6"/>
  <c r="AE1158" i="6"/>
  <c r="AD1158" i="6"/>
  <c r="AG1158" i="6" s="1"/>
  <c r="AC1158" i="6"/>
  <c r="Y1158" i="6"/>
  <c r="X1158" i="6"/>
  <c r="AE1157" i="6"/>
  <c r="AD1157" i="6"/>
  <c r="AC1157" i="6"/>
  <c r="Y1157" i="6"/>
  <c r="X1157" i="6"/>
  <c r="AE1156" i="6"/>
  <c r="AD1156" i="6"/>
  <c r="AG1156" i="6" s="1"/>
  <c r="AC1156" i="6"/>
  <c r="Y1156" i="6"/>
  <c r="X1156" i="6"/>
  <c r="AE1155" i="6"/>
  <c r="AD1155" i="6"/>
  <c r="AG1155" i="6" s="1"/>
  <c r="AC1155" i="6"/>
  <c r="Y1155" i="6"/>
  <c r="X1155" i="6"/>
  <c r="AE1154" i="6"/>
  <c r="AD1154" i="6"/>
  <c r="AG1154" i="6" s="1"/>
  <c r="AC1154" i="6"/>
  <c r="Y1154" i="6"/>
  <c r="X1154" i="6"/>
  <c r="AE1153" i="6"/>
  <c r="AD1153" i="6"/>
  <c r="AF1153" i="6" s="1"/>
  <c r="AC1153" i="6"/>
  <c r="Y1153" i="6"/>
  <c r="X1153" i="6"/>
  <c r="AE1152" i="6"/>
  <c r="AD1152" i="6"/>
  <c r="AC1152" i="6"/>
  <c r="Y1152" i="6"/>
  <c r="X1152" i="6"/>
  <c r="AE1151" i="6"/>
  <c r="AD1151" i="6"/>
  <c r="AF1151" i="6" s="1"/>
  <c r="AC1151" i="6"/>
  <c r="Y1151" i="6"/>
  <c r="X1151" i="6"/>
  <c r="AE1150" i="6"/>
  <c r="AD1150" i="6"/>
  <c r="AF1150" i="6" s="1"/>
  <c r="AC1150" i="6"/>
  <c r="Y1150" i="6"/>
  <c r="X1150" i="6"/>
  <c r="AE1149" i="6"/>
  <c r="AD1149" i="6"/>
  <c r="AG1149" i="6" s="1"/>
  <c r="AC1149" i="6"/>
  <c r="Y1149" i="6"/>
  <c r="X1149" i="6"/>
  <c r="AE1148" i="6"/>
  <c r="AD1148" i="6"/>
  <c r="AC1148" i="6"/>
  <c r="Y1148" i="6"/>
  <c r="X1148" i="6"/>
  <c r="AE1147" i="6"/>
  <c r="AD1147" i="6"/>
  <c r="AF1147" i="6" s="1"/>
  <c r="AC1147" i="6"/>
  <c r="Y1147" i="6"/>
  <c r="X1147" i="6"/>
  <c r="AE1146" i="6"/>
  <c r="AD1146" i="6"/>
  <c r="AC1146" i="6"/>
  <c r="Y1146" i="6"/>
  <c r="X1146" i="6"/>
  <c r="AE1145" i="6"/>
  <c r="AD1145" i="6"/>
  <c r="AC1145" i="6"/>
  <c r="Y1145" i="6"/>
  <c r="X1145" i="6"/>
  <c r="AE1144" i="6"/>
  <c r="AD1144" i="6"/>
  <c r="AC1144" i="6"/>
  <c r="Y1144" i="6"/>
  <c r="X1144" i="6"/>
  <c r="AE1143" i="6"/>
  <c r="AD1143" i="6"/>
  <c r="AC1143" i="6"/>
  <c r="Y1143" i="6"/>
  <c r="X1143" i="6"/>
  <c r="AE1142" i="6"/>
  <c r="AD1142" i="6"/>
  <c r="AC1142" i="6"/>
  <c r="Y1142" i="6"/>
  <c r="X1142" i="6"/>
  <c r="AE1141" i="6"/>
  <c r="AD1141" i="6"/>
  <c r="AC1141" i="6"/>
  <c r="Y1141" i="6"/>
  <c r="X1141" i="6"/>
  <c r="AE1140" i="6"/>
  <c r="AD1140" i="6"/>
  <c r="AC1140" i="6"/>
  <c r="Y1140" i="6"/>
  <c r="X1140" i="6"/>
  <c r="AE1139" i="6"/>
  <c r="AD1139" i="6"/>
  <c r="AG1139" i="6" s="1"/>
  <c r="AC1139" i="6"/>
  <c r="Y1139" i="6"/>
  <c r="X1139" i="6"/>
  <c r="AE1138" i="6"/>
  <c r="AD1138" i="6"/>
  <c r="AF1138" i="6" s="1"/>
  <c r="AC1138" i="6"/>
  <c r="Y1138" i="6"/>
  <c r="X1138" i="6"/>
  <c r="AE1137" i="6"/>
  <c r="AD1137" i="6"/>
  <c r="AC1137" i="6"/>
  <c r="Y1137" i="6"/>
  <c r="X1137" i="6"/>
  <c r="AE1136" i="6"/>
  <c r="AD1136" i="6"/>
  <c r="AC1136" i="6"/>
  <c r="Y1136" i="6"/>
  <c r="X1136" i="6"/>
  <c r="AE1135" i="6"/>
  <c r="AD1135" i="6"/>
  <c r="AF1135" i="6" s="1"/>
  <c r="AC1135" i="6"/>
  <c r="Y1135" i="6"/>
  <c r="X1135" i="6"/>
  <c r="AE1134" i="6"/>
  <c r="AD1134" i="6"/>
  <c r="AC1134" i="6"/>
  <c r="Y1134" i="6"/>
  <c r="X1134" i="6"/>
  <c r="AE1133" i="6"/>
  <c r="AD1133" i="6"/>
  <c r="AG1133" i="6" s="1"/>
  <c r="AC1133" i="6"/>
  <c r="Y1133" i="6"/>
  <c r="X1133" i="6"/>
  <c r="AE1132" i="6"/>
  <c r="AD1132" i="6"/>
  <c r="AF1132" i="6" s="1"/>
  <c r="AC1132" i="6"/>
  <c r="Y1132" i="6"/>
  <c r="X1132" i="6"/>
  <c r="AE1131" i="6"/>
  <c r="AD1131" i="6"/>
  <c r="AG1131" i="6" s="1"/>
  <c r="AC1131" i="6"/>
  <c r="Y1131" i="6"/>
  <c r="X1131" i="6"/>
  <c r="AE1130" i="6"/>
  <c r="AD1130" i="6"/>
  <c r="AF1130" i="6" s="1"/>
  <c r="AC1130" i="6"/>
  <c r="Y1130" i="6"/>
  <c r="X1130" i="6"/>
  <c r="AE1129" i="6"/>
  <c r="AD1129" i="6"/>
  <c r="AC1129" i="6"/>
  <c r="Y1129" i="6"/>
  <c r="X1129" i="6"/>
  <c r="AE1128" i="6"/>
  <c r="AD1128" i="6"/>
  <c r="AC1128" i="6"/>
  <c r="Y1128" i="6"/>
  <c r="X1128" i="6"/>
  <c r="AE1127" i="6"/>
  <c r="AD1127" i="6"/>
  <c r="AC1127" i="6"/>
  <c r="Y1127" i="6"/>
  <c r="X1127" i="6"/>
  <c r="AE1126" i="6"/>
  <c r="AD1126" i="6"/>
  <c r="AG1126" i="6" s="1"/>
  <c r="AC1126" i="6"/>
  <c r="Y1126" i="6"/>
  <c r="X1126" i="6"/>
  <c r="AE1125" i="6"/>
  <c r="AD1125" i="6"/>
  <c r="AF1125" i="6" s="1"/>
  <c r="AC1125" i="6"/>
  <c r="Y1125" i="6"/>
  <c r="X1125" i="6"/>
  <c r="AE1124" i="6"/>
  <c r="AD1124" i="6"/>
  <c r="AG1124" i="6" s="1"/>
  <c r="AC1124" i="6"/>
  <c r="Y1124" i="6"/>
  <c r="X1124" i="6"/>
  <c r="AE1123" i="6"/>
  <c r="AD1123" i="6"/>
  <c r="AF1123" i="6" s="1"/>
  <c r="AC1123" i="6"/>
  <c r="Y1123" i="6"/>
  <c r="X1123" i="6"/>
  <c r="AE1122" i="6"/>
  <c r="AD1122" i="6"/>
  <c r="AC1122" i="6"/>
  <c r="Y1122" i="6"/>
  <c r="X1122" i="6"/>
  <c r="AE1121" i="6"/>
  <c r="AD1121" i="6"/>
  <c r="AF1121" i="6" s="1"/>
  <c r="AC1121" i="6"/>
  <c r="Y1121" i="6"/>
  <c r="X1121" i="6"/>
  <c r="AE1120" i="6"/>
  <c r="AD1120" i="6"/>
  <c r="AF1120" i="6" s="1"/>
  <c r="AC1120" i="6"/>
  <c r="Y1120" i="6"/>
  <c r="X1120" i="6"/>
  <c r="AE1119" i="6"/>
  <c r="AD1119" i="6"/>
  <c r="AG1119" i="6" s="1"/>
  <c r="AC1119" i="6"/>
  <c r="Y1119" i="6"/>
  <c r="X1119" i="6"/>
  <c r="AE1118" i="6"/>
  <c r="AD1118" i="6"/>
  <c r="AC1118" i="6"/>
  <c r="Y1118" i="6"/>
  <c r="X1118" i="6"/>
  <c r="AE1117" i="6"/>
  <c r="AD1117" i="6"/>
  <c r="AG1117" i="6" s="1"/>
  <c r="AC1117" i="6"/>
  <c r="Y1117" i="6"/>
  <c r="X1117" i="6"/>
  <c r="AE1116" i="6"/>
  <c r="AD1116" i="6"/>
  <c r="AC1116" i="6"/>
  <c r="Y1116" i="6"/>
  <c r="X1116" i="6"/>
  <c r="AE1115" i="6"/>
  <c r="AD1115" i="6"/>
  <c r="AF1115" i="6" s="1"/>
  <c r="AC1115" i="6"/>
  <c r="Y1115" i="6"/>
  <c r="X1115" i="6"/>
  <c r="AE1114" i="6"/>
  <c r="AD1114" i="6"/>
  <c r="AC1114" i="6"/>
  <c r="Y1114" i="6"/>
  <c r="X1114" i="6"/>
  <c r="AE1113" i="6"/>
  <c r="AD1113" i="6"/>
  <c r="AC1113" i="6"/>
  <c r="Y1113" i="6"/>
  <c r="X1113" i="6"/>
  <c r="AE1112" i="6"/>
  <c r="AD1112" i="6"/>
  <c r="AF1112" i="6" s="1"/>
  <c r="AC1112" i="6"/>
  <c r="Y1112" i="6"/>
  <c r="X1112" i="6"/>
  <c r="AE1111" i="6"/>
  <c r="AD1111" i="6"/>
  <c r="AC1111" i="6"/>
  <c r="Y1111" i="6"/>
  <c r="X1111" i="6"/>
  <c r="AE1110" i="6"/>
  <c r="AD1110" i="6"/>
  <c r="AG1110" i="6" s="1"/>
  <c r="AC1110" i="6"/>
  <c r="Y1110" i="6"/>
  <c r="X1110" i="6"/>
  <c r="AE1109" i="6"/>
  <c r="AD1109" i="6"/>
  <c r="AG1109" i="6" s="1"/>
  <c r="AC1109" i="6"/>
  <c r="Y1109" i="6"/>
  <c r="X1109" i="6"/>
  <c r="AE1108" i="6"/>
  <c r="AD1108" i="6"/>
  <c r="AC1108" i="6"/>
  <c r="Y1108" i="6"/>
  <c r="X1108" i="6"/>
  <c r="AE1107" i="6"/>
  <c r="AD1107" i="6"/>
  <c r="AG1107" i="6" s="1"/>
  <c r="AC1107" i="6"/>
  <c r="Y1107" i="6"/>
  <c r="X1107" i="6"/>
  <c r="AE1106" i="6"/>
  <c r="AD1106" i="6"/>
  <c r="AG1106" i="6" s="1"/>
  <c r="AC1106" i="6"/>
  <c r="Y1106" i="6"/>
  <c r="X1106" i="6"/>
  <c r="AE1105" i="6"/>
  <c r="AD1105" i="6"/>
  <c r="AC1105" i="6"/>
  <c r="Y1105" i="6"/>
  <c r="X1105" i="6"/>
  <c r="AE1104" i="6"/>
  <c r="AD1104" i="6"/>
  <c r="AG1104" i="6" s="1"/>
  <c r="AC1104" i="6"/>
  <c r="Y1104" i="6"/>
  <c r="X1104" i="6"/>
  <c r="AE1103" i="6"/>
  <c r="AD1103" i="6"/>
  <c r="AC1103" i="6"/>
  <c r="Y1103" i="6"/>
  <c r="X1103" i="6"/>
  <c r="AE1102" i="6"/>
  <c r="AD1102" i="6"/>
  <c r="AC1102" i="6"/>
  <c r="Y1102" i="6"/>
  <c r="X1102" i="6"/>
  <c r="AE1101" i="6"/>
  <c r="AD1101" i="6"/>
  <c r="AC1101" i="6"/>
  <c r="Y1101" i="6"/>
  <c r="X1101" i="6"/>
  <c r="AE1100" i="6"/>
  <c r="AD1100" i="6"/>
  <c r="AF1100" i="6" s="1"/>
  <c r="AC1100" i="6"/>
  <c r="Y1100" i="6"/>
  <c r="X1100" i="6"/>
  <c r="AE1099" i="6"/>
  <c r="AD1099" i="6"/>
  <c r="AG1099" i="6" s="1"/>
  <c r="AC1099" i="6"/>
  <c r="Y1099" i="6"/>
  <c r="X1099" i="6"/>
  <c r="AE1098" i="6"/>
  <c r="AD1098" i="6"/>
  <c r="AG1098" i="6" s="1"/>
  <c r="AC1098" i="6"/>
  <c r="Y1098" i="6"/>
  <c r="X1098" i="6"/>
  <c r="AE1097" i="6"/>
  <c r="AD1097" i="6"/>
  <c r="AF1097" i="6" s="1"/>
  <c r="AC1097" i="6"/>
  <c r="Y1097" i="6"/>
  <c r="X1097" i="6"/>
  <c r="AE1096" i="6"/>
  <c r="AD1096" i="6"/>
  <c r="AG1096" i="6" s="1"/>
  <c r="AC1096" i="6"/>
  <c r="Y1096" i="6"/>
  <c r="X1096" i="6"/>
  <c r="AE1095" i="6"/>
  <c r="AD1095" i="6"/>
  <c r="AC1095" i="6"/>
  <c r="Y1095" i="6"/>
  <c r="X1095" i="6"/>
  <c r="AE1094" i="6"/>
  <c r="AD1094" i="6"/>
  <c r="AC1094" i="6"/>
  <c r="Y1094" i="6"/>
  <c r="X1094" i="6"/>
  <c r="AE1093" i="6"/>
  <c r="AD1093" i="6"/>
  <c r="AF1093" i="6" s="1"/>
  <c r="AC1093" i="6"/>
  <c r="Y1093" i="6"/>
  <c r="X1093" i="6"/>
  <c r="AE1092" i="6"/>
  <c r="AD1092" i="6"/>
  <c r="AF1092" i="6" s="1"/>
  <c r="AC1092" i="6"/>
  <c r="Y1092" i="6"/>
  <c r="X1092" i="6"/>
  <c r="AE1091" i="6"/>
  <c r="AD1091" i="6"/>
  <c r="AF1091" i="6" s="1"/>
  <c r="AC1091" i="6"/>
  <c r="Y1091" i="6"/>
  <c r="X1091" i="6"/>
  <c r="AE1090" i="6"/>
  <c r="AD1090" i="6"/>
  <c r="AG1090" i="6" s="1"/>
  <c r="AC1090" i="6"/>
  <c r="Y1090" i="6"/>
  <c r="X1090" i="6"/>
  <c r="AE1089" i="6"/>
  <c r="AD1089" i="6"/>
  <c r="AG1089" i="6" s="1"/>
  <c r="AC1089" i="6"/>
  <c r="Y1089" i="6"/>
  <c r="X1089" i="6"/>
  <c r="AE1088" i="6"/>
  <c r="AD1088" i="6"/>
  <c r="AC1088" i="6"/>
  <c r="Y1088" i="6"/>
  <c r="X1088" i="6"/>
  <c r="AE1087" i="6"/>
  <c r="AD1087" i="6"/>
  <c r="AG1087" i="6" s="1"/>
  <c r="AC1087" i="6"/>
  <c r="Y1087" i="6"/>
  <c r="X1087" i="6"/>
  <c r="AE1086" i="6"/>
  <c r="AD1086" i="6"/>
  <c r="AC1086" i="6"/>
  <c r="Y1086" i="6"/>
  <c r="X1086" i="6"/>
  <c r="AE1085" i="6"/>
  <c r="AD1085" i="6"/>
  <c r="AC1085" i="6"/>
  <c r="Y1085" i="6"/>
  <c r="X1085" i="6"/>
  <c r="AE1084" i="6"/>
  <c r="AD1084" i="6"/>
  <c r="AC1084" i="6"/>
  <c r="Y1084" i="6"/>
  <c r="X1084" i="6"/>
  <c r="AE1083" i="6"/>
  <c r="AD1083" i="6"/>
  <c r="AC1083" i="6"/>
  <c r="Y1083" i="6"/>
  <c r="X1083" i="6"/>
  <c r="AE1082" i="6"/>
  <c r="AD1082" i="6"/>
  <c r="AF1082" i="6" s="1"/>
  <c r="AC1082" i="6"/>
  <c r="Y1082" i="6"/>
  <c r="X1082" i="6"/>
  <c r="AE1081" i="6"/>
  <c r="AD1081" i="6"/>
  <c r="AG1081" i="6" s="1"/>
  <c r="AC1081" i="6"/>
  <c r="Y1081" i="6"/>
  <c r="X1081" i="6"/>
  <c r="AE1080" i="6"/>
  <c r="AD1080" i="6"/>
  <c r="AF1080" i="6" s="1"/>
  <c r="AC1080" i="6"/>
  <c r="Y1080" i="6"/>
  <c r="X1080" i="6"/>
  <c r="AE1079" i="6"/>
  <c r="AD1079" i="6"/>
  <c r="AG1079" i="6" s="1"/>
  <c r="AC1079" i="6"/>
  <c r="Y1079" i="6"/>
  <c r="X1079" i="6"/>
  <c r="AE1078" i="6"/>
  <c r="AD1078" i="6"/>
  <c r="AC1078" i="6"/>
  <c r="Y1078" i="6"/>
  <c r="X1078" i="6"/>
  <c r="AE1077" i="6"/>
  <c r="AD1077" i="6"/>
  <c r="AC1077" i="6"/>
  <c r="Y1077" i="6"/>
  <c r="X1077" i="6"/>
  <c r="AE1076" i="6"/>
  <c r="AD1076" i="6"/>
  <c r="AG1076" i="6" s="1"/>
  <c r="AC1076" i="6"/>
  <c r="Y1076" i="6"/>
  <c r="X1076" i="6"/>
  <c r="AE1075" i="6"/>
  <c r="AD1075" i="6"/>
  <c r="AF1075" i="6" s="1"/>
  <c r="AC1075" i="6"/>
  <c r="Y1075" i="6"/>
  <c r="X1075" i="6"/>
  <c r="AE1074" i="6"/>
  <c r="AD1074" i="6"/>
  <c r="AC1074" i="6"/>
  <c r="Y1074" i="6"/>
  <c r="X1074" i="6"/>
  <c r="AE1073" i="6"/>
  <c r="AD1073" i="6"/>
  <c r="AG1073" i="6" s="1"/>
  <c r="AC1073" i="6"/>
  <c r="Y1073" i="6"/>
  <c r="X1073" i="6"/>
  <c r="AE1072" i="6"/>
  <c r="AD1072" i="6"/>
  <c r="AG1072" i="6" s="1"/>
  <c r="AC1072" i="6"/>
  <c r="Y1072" i="6"/>
  <c r="X1072" i="6"/>
  <c r="AE1071" i="6"/>
  <c r="AD1071" i="6"/>
  <c r="AG1071" i="6" s="1"/>
  <c r="AC1071" i="6"/>
  <c r="Y1071" i="6"/>
  <c r="X1071" i="6"/>
  <c r="AE1070" i="6"/>
  <c r="AD1070" i="6"/>
  <c r="AG1070" i="6" s="1"/>
  <c r="AC1070" i="6"/>
  <c r="Y1070" i="6"/>
  <c r="X1070" i="6"/>
  <c r="AE1069" i="6"/>
  <c r="AD1069" i="6"/>
  <c r="AG1069" i="6" s="1"/>
  <c r="AC1069" i="6"/>
  <c r="Y1069" i="6"/>
  <c r="X1069" i="6"/>
  <c r="AE1068" i="6"/>
  <c r="AD1068" i="6"/>
  <c r="AG1068" i="6" s="1"/>
  <c r="AC1068" i="6"/>
  <c r="Y1068" i="6"/>
  <c r="X1068" i="6"/>
  <c r="AE1067" i="6"/>
  <c r="AD1067" i="6"/>
  <c r="AF1067" i="6" s="1"/>
  <c r="AC1067" i="6"/>
  <c r="Y1067" i="6"/>
  <c r="X1067" i="6"/>
  <c r="AE1066" i="6"/>
  <c r="AD1066" i="6"/>
  <c r="AG1066" i="6" s="1"/>
  <c r="AC1066" i="6"/>
  <c r="Y1066" i="6"/>
  <c r="X1066" i="6"/>
  <c r="AE1065" i="6"/>
  <c r="AD1065" i="6"/>
  <c r="AG1065" i="6" s="1"/>
  <c r="AC1065" i="6"/>
  <c r="Y1065" i="6"/>
  <c r="X1065" i="6"/>
  <c r="AE1064" i="6"/>
  <c r="AD1064" i="6"/>
  <c r="AG1064" i="6" s="1"/>
  <c r="AC1064" i="6"/>
  <c r="Y1064" i="6"/>
  <c r="X1064" i="6"/>
  <c r="AE1063" i="6"/>
  <c r="AD1063" i="6"/>
  <c r="AG1063" i="6" s="1"/>
  <c r="AC1063" i="6"/>
  <c r="Y1063" i="6"/>
  <c r="X1063" i="6"/>
  <c r="AE1062" i="6"/>
  <c r="AD1062" i="6"/>
  <c r="AG1062" i="6" s="1"/>
  <c r="AC1062" i="6"/>
  <c r="Y1062" i="6"/>
  <c r="X1062" i="6"/>
  <c r="AE1061" i="6"/>
  <c r="AD1061" i="6"/>
  <c r="AC1061" i="6"/>
  <c r="Y1061" i="6"/>
  <c r="X1061" i="6"/>
  <c r="AE1060" i="6"/>
  <c r="AD1060" i="6"/>
  <c r="AG1060" i="6" s="1"/>
  <c r="AC1060" i="6"/>
  <c r="Y1060" i="6"/>
  <c r="X1060" i="6"/>
  <c r="AE1059" i="6"/>
  <c r="AD1059" i="6"/>
  <c r="AC1059" i="6"/>
  <c r="Y1059" i="6"/>
  <c r="X1059" i="6"/>
  <c r="AE1058" i="6"/>
  <c r="AD1058" i="6"/>
  <c r="AF1058" i="6" s="1"/>
  <c r="AC1058" i="6"/>
  <c r="Y1058" i="6"/>
  <c r="X1058" i="6"/>
  <c r="AE1057" i="6"/>
  <c r="AD1057" i="6"/>
  <c r="AG1057" i="6" s="1"/>
  <c r="AC1057" i="6"/>
  <c r="Y1057" i="6"/>
  <c r="X1057" i="6"/>
  <c r="AE1056" i="6"/>
  <c r="AD1056" i="6"/>
  <c r="AG1056" i="6" s="1"/>
  <c r="AC1056" i="6"/>
  <c r="Y1056" i="6"/>
  <c r="X1056" i="6"/>
  <c r="AE1055" i="6"/>
  <c r="AD1055" i="6"/>
  <c r="AG1055" i="6" s="1"/>
  <c r="AC1055" i="6"/>
  <c r="Y1055" i="6"/>
  <c r="X1055" i="6"/>
  <c r="AE1054" i="6"/>
  <c r="AD1054" i="6"/>
  <c r="AC1054" i="6"/>
  <c r="Y1054" i="6"/>
  <c r="X1054" i="6"/>
  <c r="AE1053" i="6"/>
  <c r="AD1053" i="6"/>
  <c r="AF1053" i="6" s="1"/>
  <c r="AC1053" i="6"/>
  <c r="Y1053" i="6"/>
  <c r="X1053" i="6"/>
  <c r="AE1052" i="6"/>
  <c r="AD1052" i="6"/>
  <c r="AG1052" i="6" s="1"/>
  <c r="AC1052" i="6"/>
  <c r="Y1052" i="6"/>
  <c r="X1052" i="6"/>
  <c r="AE1051" i="6"/>
  <c r="AD1051" i="6"/>
  <c r="AF1051" i="6" s="1"/>
  <c r="AC1051" i="6"/>
  <c r="Y1051" i="6"/>
  <c r="X1051" i="6"/>
  <c r="AE1050" i="6"/>
  <c r="AD1050" i="6"/>
  <c r="AG1050" i="6" s="1"/>
  <c r="AC1050" i="6"/>
  <c r="Y1050" i="6"/>
  <c r="X1050" i="6"/>
  <c r="AE1049" i="6"/>
  <c r="AD1049" i="6"/>
  <c r="AC1049" i="6"/>
  <c r="Y1049" i="6"/>
  <c r="X1049" i="6"/>
  <c r="AE1048" i="6"/>
  <c r="AD1048" i="6"/>
  <c r="AG1048" i="6" s="1"/>
  <c r="AC1048" i="6"/>
  <c r="Y1048" i="6"/>
  <c r="X1048" i="6"/>
  <c r="AE1047" i="6"/>
  <c r="AD1047" i="6"/>
  <c r="AC1047" i="6"/>
  <c r="Y1047" i="6"/>
  <c r="X1047" i="6"/>
  <c r="AE1046" i="6"/>
  <c r="AD1046" i="6"/>
  <c r="AG1046" i="6" s="1"/>
  <c r="AC1046" i="6"/>
  <c r="Y1046" i="6"/>
  <c r="X1046" i="6"/>
  <c r="AE1045" i="6"/>
  <c r="AD1045" i="6"/>
  <c r="AF1045" i="6" s="1"/>
  <c r="AC1045" i="6"/>
  <c r="Y1045" i="6"/>
  <c r="X1045" i="6"/>
  <c r="AE1044" i="6"/>
  <c r="AD1044" i="6"/>
  <c r="AG1044" i="6" s="1"/>
  <c r="AC1044" i="6"/>
  <c r="Y1044" i="6"/>
  <c r="X1044" i="6"/>
  <c r="AE1043" i="6"/>
  <c r="AD1043" i="6"/>
  <c r="AF1043" i="6" s="1"/>
  <c r="AC1043" i="6"/>
  <c r="Y1043" i="6"/>
  <c r="X1043" i="6"/>
  <c r="AE1042" i="6"/>
  <c r="AD1042" i="6"/>
  <c r="AG1042" i="6" s="1"/>
  <c r="AC1042" i="6"/>
  <c r="Y1042" i="6"/>
  <c r="X1042" i="6"/>
  <c r="AE1041" i="6"/>
  <c r="AD1041" i="6"/>
  <c r="AC1041" i="6"/>
  <c r="Y1041" i="6"/>
  <c r="X1041" i="6"/>
  <c r="AE1040" i="6"/>
  <c r="AD1040" i="6"/>
  <c r="AC1040" i="6"/>
  <c r="Y1040" i="6"/>
  <c r="X1040" i="6"/>
  <c r="AE1039" i="6"/>
  <c r="AD1039" i="6"/>
  <c r="AG1039" i="6" s="1"/>
  <c r="AC1039" i="6"/>
  <c r="Y1039" i="6"/>
  <c r="X1039" i="6"/>
  <c r="AE1038" i="6"/>
  <c r="AD1038" i="6"/>
  <c r="AC1038" i="6"/>
  <c r="Y1038" i="6"/>
  <c r="X1038" i="6"/>
  <c r="AE1037" i="6"/>
  <c r="AD1037" i="6"/>
  <c r="AG1037" i="6" s="1"/>
  <c r="AC1037" i="6"/>
  <c r="Y1037" i="6"/>
  <c r="X1037" i="6"/>
  <c r="AE1036" i="6"/>
  <c r="AD1036" i="6"/>
  <c r="AG1036" i="6" s="1"/>
  <c r="AC1036" i="6"/>
  <c r="Y1036" i="6"/>
  <c r="X1036" i="6"/>
  <c r="AE1035" i="6"/>
  <c r="AD1035" i="6"/>
  <c r="AG1035" i="6" s="1"/>
  <c r="AC1035" i="6"/>
  <c r="Y1035" i="6"/>
  <c r="X1035" i="6"/>
  <c r="AE1034" i="6"/>
  <c r="AD1034" i="6"/>
  <c r="AF1034" i="6" s="1"/>
  <c r="AC1034" i="6"/>
  <c r="Y1034" i="6"/>
  <c r="X1034" i="6"/>
  <c r="AE1033" i="6"/>
  <c r="AD1033" i="6"/>
  <c r="AG1033" i="6" s="1"/>
  <c r="AC1033" i="6"/>
  <c r="Y1033" i="6"/>
  <c r="X1033" i="6"/>
  <c r="AE1032" i="6"/>
  <c r="AD1032" i="6"/>
  <c r="AG1032" i="6" s="1"/>
  <c r="AC1032" i="6"/>
  <c r="Y1032" i="6"/>
  <c r="X1032" i="6"/>
  <c r="AE1031" i="6"/>
  <c r="AD1031" i="6"/>
  <c r="AG1031" i="6" s="1"/>
  <c r="AC1031" i="6"/>
  <c r="Y1031" i="6"/>
  <c r="X1031" i="6"/>
  <c r="AE1030" i="6"/>
  <c r="AD1030" i="6"/>
  <c r="AF1030" i="6" s="1"/>
  <c r="AC1030" i="6"/>
  <c r="Y1030" i="6"/>
  <c r="X1030" i="6"/>
  <c r="AE1029" i="6"/>
  <c r="AD1029" i="6"/>
  <c r="AF1029" i="6" s="1"/>
  <c r="AC1029" i="6"/>
  <c r="Y1029" i="6"/>
  <c r="X1029" i="6"/>
  <c r="AE1028" i="6"/>
  <c r="AD1028" i="6"/>
  <c r="AC1028" i="6"/>
  <c r="Y1028" i="6"/>
  <c r="X1028" i="6"/>
  <c r="AE1027" i="6"/>
  <c r="AD1027" i="6"/>
  <c r="AG1027" i="6" s="1"/>
  <c r="AC1027" i="6"/>
  <c r="Y1027" i="6"/>
  <c r="X1027" i="6"/>
  <c r="AE1026" i="6"/>
  <c r="AD1026" i="6"/>
  <c r="AG1026" i="6" s="1"/>
  <c r="AC1026" i="6"/>
  <c r="Y1026" i="6"/>
  <c r="X1026" i="6"/>
  <c r="AE1025" i="6"/>
  <c r="AD1025" i="6"/>
  <c r="AC1025" i="6"/>
  <c r="Y1025" i="6"/>
  <c r="X1025" i="6"/>
  <c r="AE1024" i="6"/>
  <c r="AD1024" i="6"/>
  <c r="AG1024" i="6" s="1"/>
  <c r="AC1024" i="6"/>
  <c r="Y1024" i="6"/>
  <c r="X1024" i="6"/>
  <c r="AE1023" i="6"/>
  <c r="AD1023" i="6"/>
  <c r="AG1023" i="6" s="1"/>
  <c r="AC1023" i="6"/>
  <c r="Y1023" i="6"/>
  <c r="X1023" i="6"/>
  <c r="AE1022" i="6"/>
  <c r="AD1022" i="6"/>
  <c r="AG1022" i="6" s="1"/>
  <c r="AC1022" i="6"/>
  <c r="Y1022" i="6"/>
  <c r="X1022" i="6"/>
  <c r="AE1021" i="6"/>
  <c r="AD1021" i="6"/>
  <c r="AG1021" i="6" s="1"/>
  <c r="AC1021" i="6"/>
  <c r="Y1021" i="6"/>
  <c r="X1021" i="6"/>
  <c r="AE1020" i="6"/>
  <c r="AD1020" i="6"/>
  <c r="AC1020" i="6"/>
  <c r="Y1020" i="6"/>
  <c r="X1020" i="6"/>
  <c r="AE1019" i="6"/>
  <c r="AD1019" i="6"/>
  <c r="AG1019" i="6" s="1"/>
  <c r="AC1019" i="6"/>
  <c r="Y1019" i="6"/>
  <c r="X1019" i="6"/>
  <c r="AE1018" i="6"/>
  <c r="AD1018" i="6"/>
  <c r="AF1018" i="6" s="1"/>
  <c r="AC1018" i="6"/>
  <c r="Y1018" i="6"/>
  <c r="X1018" i="6"/>
  <c r="AE1017" i="6"/>
  <c r="AD1017" i="6"/>
  <c r="AC1017" i="6"/>
  <c r="Y1017" i="6"/>
  <c r="X1017" i="6"/>
  <c r="AE1016" i="6"/>
  <c r="AD1016" i="6"/>
  <c r="AG1016" i="6" s="1"/>
  <c r="AC1016" i="6"/>
  <c r="Y1016" i="6"/>
  <c r="X1016" i="6"/>
  <c r="AE1015" i="6"/>
  <c r="AD1015" i="6"/>
  <c r="AG1015" i="6" s="1"/>
  <c r="AC1015" i="6"/>
  <c r="Y1015" i="6"/>
  <c r="X1015" i="6"/>
  <c r="AE1014" i="6"/>
  <c r="AD1014" i="6"/>
  <c r="AF1014" i="6" s="1"/>
  <c r="AC1014" i="6"/>
  <c r="Y1014" i="6"/>
  <c r="X1014" i="6"/>
  <c r="AE1013" i="6"/>
  <c r="AD1013" i="6"/>
  <c r="AC1013" i="6"/>
  <c r="Y1013" i="6"/>
  <c r="X1013" i="6"/>
  <c r="AE1012" i="6"/>
  <c r="AD1012" i="6"/>
  <c r="AC1012" i="6"/>
  <c r="Y1012" i="6"/>
  <c r="X1012" i="6"/>
  <c r="AE1011" i="6"/>
  <c r="AD1011" i="6"/>
  <c r="AF1011" i="6" s="1"/>
  <c r="AC1011" i="6"/>
  <c r="Y1011" i="6"/>
  <c r="X1011" i="6"/>
  <c r="AE1010" i="6"/>
  <c r="AD1010" i="6"/>
  <c r="AC1010" i="6"/>
  <c r="Y1010" i="6"/>
  <c r="X1010" i="6"/>
  <c r="AE1009" i="6"/>
  <c r="AD1009" i="6"/>
  <c r="AF1009" i="6" s="1"/>
  <c r="AC1009" i="6"/>
  <c r="Y1009" i="6"/>
  <c r="X1009" i="6"/>
  <c r="AE1008" i="6"/>
  <c r="AD1008" i="6"/>
  <c r="AC1008" i="6"/>
  <c r="Y1008" i="6"/>
  <c r="X1008" i="6"/>
  <c r="AE1007" i="6"/>
  <c r="AD1007" i="6"/>
  <c r="AG1007" i="6" s="1"/>
  <c r="AC1007" i="6"/>
  <c r="Y1007" i="6"/>
  <c r="X1007" i="6"/>
  <c r="AE1006" i="6"/>
  <c r="AD1006" i="6"/>
  <c r="AF1006" i="6" s="1"/>
  <c r="AC1006" i="6"/>
  <c r="Y1006" i="6"/>
  <c r="X1006" i="6"/>
  <c r="AE1005" i="6"/>
  <c r="AD1005" i="6"/>
  <c r="AC1005" i="6"/>
  <c r="Y1005" i="6"/>
  <c r="X1005" i="6"/>
  <c r="AE1004" i="6"/>
  <c r="AD1004" i="6"/>
  <c r="AG1004" i="6" s="1"/>
  <c r="AC1004" i="6"/>
  <c r="Y1004" i="6"/>
  <c r="X1004" i="6"/>
  <c r="AE1003" i="6"/>
  <c r="AD1003" i="6"/>
  <c r="AG1003" i="6" s="1"/>
  <c r="AC1003" i="6"/>
  <c r="Y1003" i="6"/>
  <c r="X1003" i="6"/>
  <c r="AE1002" i="6"/>
  <c r="AD1002" i="6"/>
  <c r="AF1002" i="6" s="1"/>
  <c r="AC1002" i="6"/>
  <c r="Y1002" i="6"/>
  <c r="X1002" i="6"/>
  <c r="AE1001" i="6"/>
  <c r="AD1001" i="6"/>
  <c r="AC1001" i="6"/>
  <c r="Y1001" i="6"/>
  <c r="X1001" i="6"/>
  <c r="AE1000" i="6"/>
  <c r="AD1000" i="6"/>
  <c r="AC1000" i="6"/>
  <c r="Y1000" i="6"/>
  <c r="X1000" i="6"/>
  <c r="AE999" i="6"/>
  <c r="AD999" i="6"/>
  <c r="AC999" i="6"/>
  <c r="Y999" i="6"/>
  <c r="X999" i="6"/>
  <c r="AE998" i="6"/>
  <c r="AD998" i="6"/>
  <c r="AF998" i="6" s="1"/>
  <c r="AC998" i="6"/>
  <c r="Y998" i="6"/>
  <c r="X998" i="6"/>
  <c r="AE997" i="6"/>
  <c r="AD997" i="6"/>
  <c r="AC997" i="6"/>
  <c r="Y997" i="6"/>
  <c r="X997" i="6"/>
  <c r="AE996" i="6"/>
  <c r="AD996" i="6"/>
  <c r="AG996" i="6" s="1"/>
  <c r="AC996" i="6"/>
  <c r="Y996" i="6"/>
  <c r="X996" i="6"/>
  <c r="AE995" i="6"/>
  <c r="AD995" i="6"/>
  <c r="AG995" i="6" s="1"/>
  <c r="AC995" i="6"/>
  <c r="Y995" i="6"/>
  <c r="X995" i="6"/>
  <c r="AE994" i="6"/>
  <c r="AD994" i="6"/>
  <c r="AC994" i="6"/>
  <c r="Y994" i="6"/>
  <c r="X994" i="6"/>
  <c r="AE993" i="6"/>
  <c r="AD993" i="6"/>
  <c r="AG993" i="6" s="1"/>
  <c r="AC993" i="6"/>
  <c r="Y993" i="6"/>
  <c r="X993" i="6"/>
  <c r="AE992" i="6"/>
  <c r="AD992" i="6"/>
  <c r="AG992" i="6" s="1"/>
  <c r="AC992" i="6"/>
  <c r="Y992" i="6"/>
  <c r="X992" i="6"/>
  <c r="AE991" i="6"/>
  <c r="AD991" i="6"/>
  <c r="AF991" i="6" s="1"/>
  <c r="AC991" i="6"/>
  <c r="Y991" i="6"/>
  <c r="X991" i="6"/>
  <c r="AE990" i="6"/>
  <c r="AD990" i="6"/>
  <c r="AG990" i="6" s="1"/>
  <c r="AC990" i="6"/>
  <c r="Y990" i="6"/>
  <c r="X990" i="6"/>
  <c r="AE989" i="6"/>
  <c r="AD989" i="6"/>
  <c r="AG989" i="6" s="1"/>
  <c r="AC989" i="6"/>
  <c r="Y989" i="6"/>
  <c r="X989" i="6"/>
  <c r="AE988" i="6"/>
  <c r="AD988" i="6"/>
  <c r="AG988" i="6" s="1"/>
  <c r="AC988" i="6"/>
  <c r="Y988" i="6"/>
  <c r="X988" i="6"/>
  <c r="AE987" i="6"/>
  <c r="AD987" i="6"/>
  <c r="AF987" i="6" s="1"/>
  <c r="AC987" i="6"/>
  <c r="Y987" i="6"/>
  <c r="X987" i="6"/>
  <c r="AE986" i="6"/>
  <c r="AD986" i="6"/>
  <c r="AF986" i="6" s="1"/>
  <c r="AC986" i="6"/>
  <c r="Y986" i="6"/>
  <c r="X986" i="6"/>
  <c r="AE985" i="6"/>
  <c r="AD985" i="6"/>
  <c r="AG985" i="6" s="1"/>
  <c r="AC985" i="6"/>
  <c r="Y985" i="6"/>
  <c r="X985" i="6"/>
  <c r="AE984" i="6"/>
  <c r="AD984" i="6"/>
  <c r="AF984" i="6" s="1"/>
  <c r="AC984" i="6"/>
  <c r="Y984" i="6"/>
  <c r="X984" i="6"/>
  <c r="AE983" i="6"/>
  <c r="AD983" i="6"/>
  <c r="AC983" i="6"/>
  <c r="Y983" i="6"/>
  <c r="X983" i="6"/>
  <c r="AE982" i="6"/>
  <c r="AD982" i="6"/>
  <c r="AG982" i="6" s="1"/>
  <c r="AC982" i="6"/>
  <c r="Y982" i="6"/>
  <c r="X982" i="6"/>
  <c r="AE981" i="6"/>
  <c r="AD981" i="6"/>
  <c r="AC981" i="6"/>
  <c r="Y981" i="6"/>
  <c r="X981" i="6"/>
  <c r="AE980" i="6"/>
  <c r="AD980" i="6"/>
  <c r="AG980" i="6" s="1"/>
  <c r="AC980" i="6"/>
  <c r="Y980" i="6"/>
  <c r="X980" i="6"/>
  <c r="AE979" i="6"/>
  <c r="AD979" i="6"/>
  <c r="AC979" i="6"/>
  <c r="Y979" i="6"/>
  <c r="X979" i="6"/>
  <c r="AE978" i="6"/>
  <c r="AD978" i="6"/>
  <c r="AF978" i="6" s="1"/>
  <c r="AC978" i="6"/>
  <c r="Y978" i="6"/>
  <c r="X978" i="6"/>
  <c r="AE977" i="6"/>
  <c r="AD977" i="6"/>
  <c r="AG977" i="6" s="1"/>
  <c r="AC977" i="6"/>
  <c r="Y977" i="6"/>
  <c r="X977" i="6"/>
  <c r="AE976" i="6"/>
  <c r="AD976" i="6"/>
  <c r="AG976" i="6" s="1"/>
  <c r="AC976" i="6"/>
  <c r="Y976" i="6"/>
  <c r="X976" i="6"/>
  <c r="AE975" i="6"/>
  <c r="AD975" i="6"/>
  <c r="AC975" i="6"/>
  <c r="Y975" i="6"/>
  <c r="X975" i="6"/>
  <c r="AE974" i="6"/>
  <c r="AD974" i="6"/>
  <c r="AG974" i="6" s="1"/>
  <c r="AC974" i="6"/>
  <c r="Y974" i="6"/>
  <c r="X974" i="6"/>
  <c r="AE973" i="6"/>
  <c r="AD973" i="6"/>
  <c r="AF973" i="6" s="1"/>
  <c r="AC973" i="6"/>
  <c r="Y973" i="6"/>
  <c r="X973" i="6"/>
  <c r="AE972" i="6"/>
  <c r="AD972" i="6"/>
  <c r="AC972" i="6"/>
  <c r="Y972" i="6"/>
  <c r="X972" i="6"/>
  <c r="AE971" i="6"/>
  <c r="AD971" i="6"/>
  <c r="AF971" i="6" s="1"/>
  <c r="AC971" i="6"/>
  <c r="Y971" i="6"/>
  <c r="X971" i="6"/>
  <c r="AE970" i="6"/>
  <c r="AD970" i="6"/>
  <c r="AG970" i="6" s="1"/>
  <c r="AC970" i="6"/>
  <c r="Y970" i="6"/>
  <c r="X970" i="6"/>
  <c r="AE969" i="6"/>
  <c r="AD969" i="6"/>
  <c r="AF969" i="6" s="1"/>
  <c r="AC969" i="6"/>
  <c r="Y969" i="6"/>
  <c r="X969" i="6"/>
  <c r="AE968" i="6"/>
  <c r="AD968" i="6"/>
  <c r="AC968" i="6"/>
  <c r="Y968" i="6"/>
  <c r="X968" i="6"/>
  <c r="AE967" i="6"/>
  <c r="AD967" i="6"/>
  <c r="AC967" i="6"/>
  <c r="Y967" i="6"/>
  <c r="X967" i="6"/>
  <c r="AE966" i="6"/>
  <c r="AD966" i="6"/>
  <c r="AC966" i="6"/>
  <c r="Y966" i="6"/>
  <c r="X966" i="6"/>
  <c r="AE965" i="6"/>
  <c r="AD965" i="6"/>
  <c r="AC965" i="6"/>
  <c r="Y965" i="6"/>
  <c r="X965" i="6"/>
  <c r="AE964" i="6"/>
  <c r="AD964" i="6"/>
  <c r="AG964" i="6" s="1"/>
  <c r="AC964" i="6"/>
  <c r="Y964" i="6"/>
  <c r="X964" i="6"/>
  <c r="AE963" i="6"/>
  <c r="AD963" i="6"/>
  <c r="AC963" i="6"/>
  <c r="Y963" i="6"/>
  <c r="X963" i="6"/>
  <c r="AE962" i="6"/>
  <c r="AD962" i="6"/>
  <c r="AF962" i="6" s="1"/>
  <c r="AC962" i="6"/>
  <c r="Y962" i="6"/>
  <c r="X962" i="6"/>
  <c r="AE961" i="6"/>
  <c r="AD961" i="6"/>
  <c r="AF961" i="6" s="1"/>
  <c r="AC961" i="6"/>
  <c r="Y961" i="6"/>
  <c r="X961" i="6"/>
  <c r="AE960" i="6"/>
  <c r="AD960" i="6"/>
  <c r="AF960" i="6" s="1"/>
  <c r="AC960" i="6"/>
  <c r="Y960" i="6"/>
  <c r="X960" i="6"/>
  <c r="AE959" i="6"/>
  <c r="AD959" i="6"/>
  <c r="AC959" i="6"/>
  <c r="Y959" i="6"/>
  <c r="X959" i="6"/>
  <c r="AE958" i="6"/>
  <c r="AD958" i="6"/>
  <c r="AF958" i="6" s="1"/>
  <c r="AC958" i="6"/>
  <c r="Y958" i="6"/>
  <c r="X958" i="6"/>
  <c r="AE957" i="6"/>
  <c r="AD957" i="6"/>
  <c r="AC957" i="6"/>
  <c r="Y957" i="6"/>
  <c r="X957" i="6"/>
  <c r="AE956" i="6"/>
  <c r="AD956" i="6"/>
  <c r="AG956" i="6" s="1"/>
  <c r="AC956" i="6"/>
  <c r="Y956" i="6"/>
  <c r="X956" i="6"/>
  <c r="AE955" i="6"/>
  <c r="AD955" i="6"/>
  <c r="AF955" i="6" s="1"/>
  <c r="AC955" i="6"/>
  <c r="Y955" i="6"/>
  <c r="X955" i="6"/>
  <c r="AE954" i="6"/>
  <c r="AD954" i="6"/>
  <c r="AF954" i="6" s="1"/>
  <c r="AC954" i="6"/>
  <c r="Y954" i="6"/>
  <c r="X954" i="6"/>
  <c r="AE953" i="6"/>
  <c r="AD953" i="6"/>
  <c r="AC953" i="6"/>
  <c r="Y953" i="6"/>
  <c r="X953" i="6"/>
  <c r="AE952" i="6"/>
  <c r="AD952" i="6"/>
  <c r="AF952" i="6" s="1"/>
  <c r="AC952" i="6"/>
  <c r="Y952" i="6"/>
  <c r="X952" i="6"/>
  <c r="AE951" i="6"/>
  <c r="AD951" i="6"/>
  <c r="AC951" i="6"/>
  <c r="Y951" i="6"/>
  <c r="X951" i="6"/>
  <c r="AE950" i="6"/>
  <c r="AD950" i="6"/>
  <c r="AC950" i="6"/>
  <c r="Y950" i="6"/>
  <c r="X950" i="6"/>
  <c r="AE949" i="6"/>
  <c r="AD949" i="6"/>
  <c r="AC949" i="6"/>
  <c r="Y949" i="6"/>
  <c r="X949" i="6"/>
  <c r="AE948" i="6"/>
  <c r="AD948" i="6"/>
  <c r="AF948" i="6" s="1"/>
  <c r="AC948" i="6"/>
  <c r="Y948" i="6"/>
  <c r="X948" i="6"/>
  <c r="AE947" i="6"/>
  <c r="AD947" i="6"/>
  <c r="AF947" i="6" s="1"/>
  <c r="AC947" i="6"/>
  <c r="Y947" i="6"/>
  <c r="X947" i="6"/>
  <c r="AE946" i="6"/>
  <c r="AD946" i="6"/>
  <c r="AG946" i="6" s="1"/>
  <c r="AC946" i="6"/>
  <c r="Y946" i="6"/>
  <c r="X946" i="6"/>
  <c r="AE945" i="6"/>
  <c r="AD945" i="6"/>
  <c r="AF945" i="6" s="1"/>
  <c r="AC945" i="6"/>
  <c r="Y945" i="6"/>
  <c r="X945" i="6"/>
  <c r="AE944" i="6"/>
  <c r="AD944" i="6"/>
  <c r="AC944" i="6"/>
  <c r="Y944" i="6"/>
  <c r="X944" i="6"/>
  <c r="AE943" i="6"/>
  <c r="AD943" i="6"/>
  <c r="AC943" i="6"/>
  <c r="Y943" i="6"/>
  <c r="X943" i="6"/>
  <c r="AE942" i="6"/>
  <c r="AD942" i="6"/>
  <c r="AF942" i="6" s="1"/>
  <c r="AC942" i="6"/>
  <c r="Y942" i="6"/>
  <c r="X942" i="6"/>
  <c r="AE941" i="6"/>
  <c r="AD941" i="6"/>
  <c r="AG941" i="6" s="1"/>
  <c r="AC941" i="6"/>
  <c r="Y941" i="6"/>
  <c r="X941" i="6"/>
  <c r="AE940" i="6"/>
  <c r="AD940" i="6"/>
  <c r="AC940" i="6"/>
  <c r="Y940" i="6"/>
  <c r="X940" i="6"/>
  <c r="AE939" i="6"/>
  <c r="AD939" i="6"/>
  <c r="AG939" i="6" s="1"/>
  <c r="AC939" i="6"/>
  <c r="Y939" i="6"/>
  <c r="X939" i="6"/>
  <c r="AE938" i="6"/>
  <c r="AD938" i="6"/>
  <c r="AC938" i="6"/>
  <c r="Y938" i="6"/>
  <c r="X938" i="6"/>
  <c r="AE937" i="6"/>
  <c r="AD937" i="6"/>
  <c r="AG937" i="6" s="1"/>
  <c r="AC937" i="6"/>
  <c r="Y937" i="6"/>
  <c r="X937" i="6"/>
  <c r="AE936" i="6"/>
  <c r="AD936" i="6"/>
  <c r="AF936" i="6" s="1"/>
  <c r="AC936" i="6"/>
  <c r="Y936" i="6"/>
  <c r="X936" i="6"/>
  <c r="AE935" i="6"/>
  <c r="AD935" i="6"/>
  <c r="AG935" i="6" s="1"/>
  <c r="AC935" i="6"/>
  <c r="Y935" i="6"/>
  <c r="X935" i="6"/>
  <c r="AE934" i="6"/>
  <c r="AD934" i="6"/>
  <c r="AC934" i="6"/>
  <c r="Y934" i="6"/>
  <c r="X934" i="6"/>
  <c r="AE933" i="6"/>
  <c r="AD933" i="6"/>
  <c r="AC933" i="6"/>
  <c r="Y933" i="6"/>
  <c r="X933" i="6"/>
  <c r="AE932" i="6"/>
  <c r="AD932" i="6"/>
  <c r="AG932" i="6" s="1"/>
  <c r="AC932" i="6"/>
  <c r="Y932" i="6"/>
  <c r="X932" i="6"/>
  <c r="AE931" i="6"/>
  <c r="AD931" i="6"/>
  <c r="AF931" i="6" s="1"/>
  <c r="AC931" i="6"/>
  <c r="Y931" i="6"/>
  <c r="X931" i="6"/>
  <c r="AE930" i="6"/>
  <c r="AD930" i="6"/>
  <c r="AC930" i="6"/>
  <c r="Y930" i="6"/>
  <c r="X930" i="6"/>
  <c r="AE929" i="6"/>
  <c r="AD929" i="6"/>
  <c r="AC929" i="6"/>
  <c r="Y929" i="6"/>
  <c r="X929" i="6"/>
  <c r="AE928" i="6"/>
  <c r="AD928" i="6"/>
  <c r="AG928" i="6" s="1"/>
  <c r="AC928" i="6"/>
  <c r="Y928" i="6"/>
  <c r="X928" i="6"/>
  <c r="AE927" i="6"/>
  <c r="AD927" i="6"/>
  <c r="AG927" i="6" s="1"/>
  <c r="AC927" i="6"/>
  <c r="Y927" i="6"/>
  <c r="X927" i="6"/>
  <c r="AE926" i="6"/>
  <c r="AD926" i="6"/>
  <c r="AF926" i="6" s="1"/>
  <c r="AC926" i="6"/>
  <c r="Y926" i="6"/>
  <c r="X926" i="6"/>
  <c r="AE925" i="6"/>
  <c r="AD925" i="6"/>
  <c r="AF925" i="6" s="1"/>
  <c r="AC925" i="6"/>
  <c r="Y925" i="6"/>
  <c r="X925" i="6"/>
  <c r="AE924" i="6"/>
  <c r="AD924" i="6"/>
  <c r="AF924" i="6" s="1"/>
  <c r="AC924" i="6"/>
  <c r="Y924" i="6"/>
  <c r="X924" i="6"/>
  <c r="AE923" i="6"/>
  <c r="AD923" i="6"/>
  <c r="AC923" i="6"/>
  <c r="Y923" i="6"/>
  <c r="X923" i="6"/>
  <c r="AE922" i="6"/>
  <c r="AD922" i="6"/>
  <c r="AG922" i="6" s="1"/>
  <c r="AC922" i="6"/>
  <c r="Y922" i="6"/>
  <c r="X922" i="6"/>
  <c r="AE921" i="6"/>
  <c r="AD921" i="6"/>
  <c r="AC921" i="6"/>
  <c r="Y921" i="6"/>
  <c r="X921" i="6"/>
  <c r="AE920" i="6"/>
  <c r="AD920" i="6"/>
  <c r="AG920" i="6" s="1"/>
  <c r="AC920" i="6"/>
  <c r="Y920" i="6"/>
  <c r="X920" i="6"/>
  <c r="AE919" i="6"/>
  <c r="AD919" i="6"/>
  <c r="AC919" i="6"/>
  <c r="Y919" i="6"/>
  <c r="X919" i="6"/>
  <c r="AE918" i="6"/>
  <c r="AD918" i="6"/>
  <c r="AG918" i="6" s="1"/>
  <c r="AC918" i="6"/>
  <c r="Y918" i="6"/>
  <c r="X918" i="6"/>
  <c r="AE917" i="6"/>
  <c r="AD917" i="6"/>
  <c r="AG917" i="6" s="1"/>
  <c r="AC917" i="6"/>
  <c r="Y917" i="6"/>
  <c r="X917" i="6"/>
  <c r="AE916" i="6"/>
  <c r="AD916" i="6"/>
  <c r="AC916" i="6"/>
  <c r="Y916" i="6"/>
  <c r="X916" i="6"/>
  <c r="AE915" i="6"/>
  <c r="AD915" i="6"/>
  <c r="AF915" i="6" s="1"/>
  <c r="AC915" i="6"/>
  <c r="Y915" i="6"/>
  <c r="X915" i="6"/>
  <c r="AE914" i="6"/>
  <c r="AD914" i="6"/>
  <c r="AC914" i="6"/>
  <c r="Y914" i="6"/>
  <c r="X914" i="6"/>
  <c r="AE913" i="6"/>
  <c r="AD913" i="6"/>
  <c r="AG913" i="6" s="1"/>
  <c r="AC913" i="6"/>
  <c r="Y913" i="6"/>
  <c r="X913" i="6"/>
  <c r="AE912" i="6"/>
  <c r="AD912" i="6"/>
  <c r="AG912" i="6" s="1"/>
  <c r="AC912" i="6"/>
  <c r="Y912" i="6"/>
  <c r="X912" i="6"/>
  <c r="AE911" i="6"/>
  <c r="AD911" i="6"/>
  <c r="AF911" i="6" s="1"/>
  <c r="AC911" i="6"/>
  <c r="Y911" i="6"/>
  <c r="X911" i="6"/>
  <c r="AE910" i="6"/>
  <c r="AD910" i="6"/>
  <c r="AG910" i="6" s="1"/>
  <c r="AC910" i="6"/>
  <c r="Y910" i="6"/>
  <c r="X910" i="6"/>
  <c r="AE909" i="6"/>
  <c r="AD909" i="6"/>
  <c r="AF909" i="6" s="1"/>
  <c r="AC909" i="6"/>
  <c r="Y909" i="6"/>
  <c r="X909" i="6"/>
  <c r="AE908" i="6"/>
  <c r="AD908" i="6"/>
  <c r="AG908" i="6" s="1"/>
  <c r="AC908" i="6"/>
  <c r="Y908" i="6"/>
  <c r="X908" i="6"/>
  <c r="AE907" i="6"/>
  <c r="AD907" i="6"/>
  <c r="AG907" i="6" s="1"/>
  <c r="AC907" i="6"/>
  <c r="Y907" i="6"/>
  <c r="X907" i="6"/>
  <c r="AE906" i="6"/>
  <c r="AD906" i="6"/>
  <c r="AF906" i="6" s="1"/>
  <c r="AC906" i="6"/>
  <c r="Y906" i="6"/>
  <c r="X906" i="6"/>
  <c r="AE905" i="6"/>
  <c r="AD905" i="6"/>
  <c r="AG905" i="6" s="1"/>
  <c r="AC905" i="6"/>
  <c r="Y905" i="6"/>
  <c r="X905" i="6"/>
  <c r="AE904" i="6"/>
  <c r="AD904" i="6"/>
  <c r="AF904" i="6" s="1"/>
  <c r="AC904" i="6"/>
  <c r="Y904" i="6"/>
  <c r="X904" i="6"/>
  <c r="AE903" i="6"/>
  <c r="AD903" i="6"/>
  <c r="AC903" i="6"/>
  <c r="Y903" i="6"/>
  <c r="X903" i="6"/>
  <c r="AE902" i="6"/>
  <c r="AD902" i="6"/>
  <c r="AG902" i="6" s="1"/>
  <c r="AC902" i="6"/>
  <c r="Y902" i="6"/>
  <c r="X902" i="6"/>
  <c r="AE901" i="6"/>
  <c r="AD901" i="6"/>
  <c r="AF901" i="6" s="1"/>
  <c r="AC901" i="6"/>
  <c r="Y901" i="6"/>
  <c r="X901" i="6"/>
  <c r="AE900" i="6"/>
  <c r="AD900" i="6"/>
  <c r="AF900" i="6" s="1"/>
  <c r="AC900" i="6"/>
  <c r="Y900" i="6"/>
  <c r="X900" i="6"/>
  <c r="AE899" i="6"/>
  <c r="AD899" i="6"/>
  <c r="AF899" i="6" s="1"/>
  <c r="AC899" i="6"/>
  <c r="Y899" i="6"/>
  <c r="X899" i="6"/>
  <c r="AE898" i="6"/>
  <c r="AD898" i="6"/>
  <c r="AC898" i="6"/>
  <c r="Y898" i="6"/>
  <c r="X898" i="6"/>
  <c r="AE897" i="6"/>
  <c r="AD897" i="6"/>
  <c r="AF897" i="6" s="1"/>
  <c r="AC897" i="6"/>
  <c r="Y897" i="6"/>
  <c r="X897" i="6"/>
  <c r="AE896" i="6"/>
  <c r="AD896" i="6"/>
  <c r="AG896" i="6" s="1"/>
  <c r="AC896" i="6"/>
  <c r="Y896" i="6"/>
  <c r="X896" i="6"/>
  <c r="AE895" i="6"/>
  <c r="AD895" i="6"/>
  <c r="AC895" i="6"/>
  <c r="Y895" i="6"/>
  <c r="X895" i="6"/>
  <c r="AE894" i="6"/>
  <c r="AD894" i="6"/>
  <c r="AC894" i="6"/>
  <c r="Y894" i="6"/>
  <c r="X894" i="6"/>
  <c r="AE893" i="6"/>
  <c r="AD893" i="6"/>
  <c r="AC893" i="6"/>
  <c r="Y893" i="6"/>
  <c r="X893" i="6"/>
  <c r="AE892" i="6"/>
  <c r="AD892" i="6"/>
  <c r="AG892" i="6" s="1"/>
  <c r="AC892" i="6"/>
  <c r="Y892" i="6"/>
  <c r="X892" i="6"/>
  <c r="AE891" i="6"/>
  <c r="AD891" i="6"/>
  <c r="AC891" i="6"/>
  <c r="Y891" i="6"/>
  <c r="X891" i="6"/>
  <c r="AE890" i="6"/>
  <c r="AD890" i="6"/>
  <c r="AG890" i="6" s="1"/>
  <c r="AC890" i="6"/>
  <c r="Y890" i="6"/>
  <c r="X890" i="6"/>
  <c r="AE889" i="6"/>
  <c r="AD889" i="6"/>
  <c r="AC889" i="6"/>
  <c r="Y889" i="6"/>
  <c r="X889" i="6"/>
  <c r="AE888" i="6"/>
  <c r="AD888" i="6"/>
  <c r="AF888" i="6" s="1"/>
  <c r="AC888" i="6"/>
  <c r="Y888" i="6"/>
  <c r="X888" i="6"/>
  <c r="AE887" i="6"/>
  <c r="AD887" i="6"/>
  <c r="AG887" i="6" s="1"/>
  <c r="AC887" i="6"/>
  <c r="Y887" i="6"/>
  <c r="X887" i="6"/>
  <c r="AE886" i="6"/>
  <c r="AD886" i="6"/>
  <c r="AC886" i="6"/>
  <c r="Y886" i="6"/>
  <c r="X886" i="6"/>
  <c r="AE885" i="6"/>
  <c r="AD885" i="6"/>
  <c r="AC885" i="6"/>
  <c r="Y885" i="6"/>
  <c r="X885" i="6"/>
  <c r="AE884" i="6"/>
  <c r="AD884" i="6"/>
  <c r="AC884" i="6"/>
  <c r="Y884" i="6"/>
  <c r="X884" i="6"/>
  <c r="AE883" i="6"/>
  <c r="AD883" i="6"/>
  <c r="AC883" i="6"/>
  <c r="Y883" i="6"/>
  <c r="X883" i="6"/>
  <c r="AE882" i="6"/>
  <c r="AD882" i="6"/>
  <c r="AC882" i="6"/>
  <c r="Y882" i="6"/>
  <c r="X882" i="6"/>
  <c r="AE881" i="6"/>
  <c r="AD881" i="6"/>
  <c r="AG881" i="6" s="1"/>
  <c r="AC881" i="6"/>
  <c r="Y881" i="6"/>
  <c r="X881" i="6"/>
  <c r="AE880" i="6"/>
  <c r="AD880" i="6"/>
  <c r="AG880" i="6" s="1"/>
  <c r="AC880" i="6"/>
  <c r="Y880" i="6"/>
  <c r="X880" i="6"/>
  <c r="AE879" i="6"/>
  <c r="AD879" i="6"/>
  <c r="AC879" i="6"/>
  <c r="Y879" i="6"/>
  <c r="X879" i="6"/>
  <c r="AE878" i="6"/>
  <c r="AD878" i="6"/>
  <c r="AF878" i="6" s="1"/>
  <c r="AC878" i="6"/>
  <c r="Y878" i="6"/>
  <c r="X878" i="6"/>
  <c r="AE877" i="6"/>
  <c r="AD877" i="6"/>
  <c r="AC877" i="6"/>
  <c r="Y877" i="6"/>
  <c r="X877" i="6"/>
  <c r="AE876" i="6"/>
  <c r="AD876" i="6"/>
  <c r="AF876" i="6" s="1"/>
  <c r="AC876" i="6"/>
  <c r="Y876" i="6"/>
  <c r="X876" i="6"/>
  <c r="AE875" i="6"/>
  <c r="AD875" i="6"/>
  <c r="AG875" i="6" s="1"/>
  <c r="AC875" i="6"/>
  <c r="Y875" i="6"/>
  <c r="X875" i="6"/>
  <c r="AE874" i="6"/>
  <c r="AD874" i="6"/>
  <c r="AF874" i="6" s="1"/>
  <c r="AC874" i="6"/>
  <c r="Y874" i="6"/>
  <c r="X874" i="6"/>
  <c r="AE873" i="6"/>
  <c r="AD873" i="6"/>
  <c r="AG873" i="6" s="1"/>
  <c r="AC873" i="6"/>
  <c r="Y873" i="6"/>
  <c r="X873" i="6"/>
  <c r="AE872" i="6"/>
  <c r="AD872" i="6"/>
  <c r="AC872" i="6"/>
  <c r="Y872" i="6"/>
  <c r="X872" i="6"/>
  <c r="AE871" i="6"/>
  <c r="AD871" i="6"/>
  <c r="AC871" i="6"/>
  <c r="Y871" i="6"/>
  <c r="X871" i="6"/>
  <c r="AE870" i="6"/>
  <c r="AD870" i="6"/>
  <c r="AC870" i="6"/>
  <c r="Y870" i="6"/>
  <c r="X870" i="6"/>
  <c r="AE869" i="6"/>
  <c r="AD869" i="6"/>
  <c r="AF869" i="6" s="1"/>
  <c r="AC869" i="6"/>
  <c r="Y869" i="6"/>
  <c r="X869" i="6"/>
  <c r="AE868" i="6"/>
  <c r="AD868" i="6"/>
  <c r="AG868" i="6" s="1"/>
  <c r="AC868" i="6"/>
  <c r="Y868" i="6"/>
  <c r="X868" i="6"/>
  <c r="AE867" i="6"/>
  <c r="AD867" i="6"/>
  <c r="AC867" i="6"/>
  <c r="Y867" i="6"/>
  <c r="X867" i="6"/>
  <c r="AE866" i="6"/>
  <c r="AD866" i="6"/>
  <c r="AC866" i="6"/>
  <c r="Y866" i="6"/>
  <c r="X866" i="6"/>
  <c r="AE865" i="6"/>
  <c r="AD865" i="6"/>
  <c r="AC865" i="6"/>
  <c r="Y865" i="6"/>
  <c r="X865" i="6"/>
  <c r="AE864" i="6"/>
  <c r="AD864" i="6"/>
  <c r="AC864" i="6"/>
  <c r="Y864" i="6"/>
  <c r="X864" i="6"/>
  <c r="AE863" i="6"/>
  <c r="AD863" i="6"/>
  <c r="AC863" i="6"/>
  <c r="Y863" i="6"/>
  <c r="X863" i="6"/>
  <c r="AE862" i="6"/>
  <c r="AD862" i="6"/>
  <c r="AC862" i="6"/>
  <c r="Y862" i="6"/>
  <c r="X862" i="6"/>
  <c r="AE861" i="6"/>
  <c r="AD861" i="6"/>
  <c r="AF861" i="6" s="1"/>
  <c r="AC861" i="6"/>
  <c r="Y861" i="6"/>
  <c r="X861" i="6"/>
  <c r="AE860" i="6"/>
  <c r="AD860" i="6"/>
  <c r="AF860" i="6" s="1"/>
  <c r="AC860" i="6"/>
  <c r="Y860" i="6"/>
  <c r="X860" i="6"/>
  <c r="AE859" i="6"/>
  <c r="AD859" i="6"/>
  <c r="AC859" i="6"/>
  <c r="Y859" i="6"/>
  <c r="X859" i="6"/>
  <c r="AE858" i="6"/>
  <c r="AD858" i="6"/>
  <c r="AG858" i="6" s="1"/>
  <c r="AC858" i="6"/>
  <c r="Y858" i="6"/>
  <c r="X858" i="6"/>
  <c r="AE857" i="6"/>
  <c r="AD857" i="6"/>
  <c r="AF857" i="6" s="1"/>
  <c r="AC857" i="6"/>
  <c r="Y857" i="6"/>
  <c r="X857" i="6"/>
  <c r="AE856" i="6"/>
  <c r="AD856" i="6"/>
  <c r="AC856" i="6"/>
  <c r="Y856" i="6"/>
  <c r="X856" i="6"/>
  <c r="AE855" i="6"/>
  <c r="AD855" i="6"/>
  <c r="AC855" i="6"/>
  <c r="Y855" i="6"/>
  <c r="X855" i="6"/>
  <c r="AE854" i="6"/>
  <c r="AD854" i="6"/>
  <c r="AF854" i="6" s="1"/>
  <c r="AC854" i="6"/>
  <c r="Y854" i="6"/>
  <c r="X854" i="6"/>
  <c r="AE853" i="6"/>
  <c r="AD853" i="6"/>
  <c r="AC853" i="6"/>
  <c r="Y853" i="6"/>
  <c r="X853" i="6"/>
  <c r="AE852" i="6"/>
  <c r="AD852" i="6"/>
  <c r="AG852" i="6" s="1"/>
  <c r="AC852" i="6"/>
  <c r="Y852" i="6"/>
  <c r="X852" i="6"/>
  <c r="AE851" i="6"/>
  <c r="AD851" i="6"/>
  <c r="AC851" i="6"/>
  <c r="Y851" i="6"/>
  <c r="X851" i="6"/>
  <c r="AE850" i="6"/>
  <c r="AD850" i="6"/>
  <c r="AC850" i="6"/>
  <c r="Y850" i="6"/>
  <c r="X850" i="6"/>
  <c r="AE849" i="6"/>
  <c r="AD849" i="6"/>
  <c r="AC849" i="6"/>
  <c r="Y849" i="6"/>
  <c r="X849" i="6"/>
  <c r="AE848" i="6"/>
  <c r="AD848" i="6"/>
  <c r="AG848" i="6" s="1"/>
  <c r="AC848" i="6"/>
  <c r="Y848" i="6"/>
  <c r="X848" i="6"/>
  <c r="AE847" i="6"/>
  <c r="AD847" i="6"/>
  <c r="AC847" i="6"/>
  <c r="Y847" i="6"/>
  <c r="X847" i="6"/>
  <c r="AE846" i="6"/>
  <c r="AD846" i="6"/>
  <c r="AC846" i="6"/>
  <c r="Y846" i="6"/>
  <c r="X846" i="6"/>
  <c r="AE845" i="6"/>
  <c r="AD845" i="6"/>
  <c r="AC845" i="6"/>
  <c r="Y845" i="6"/>
  <c r="X845" i="6"/>
  <c r="AE844" i="6"/>
  <c r="AD844" i="6"/>
  <c r="AC844" i="6"/>
  <c r="Y844" i="6"/>
  <c r="X844" i="6"/>
  <c r="AE843" i="6"/>
  <c r="AD843" i="6"/>
  <c r="AG843" i="6" s="1"/>
  <c r="AC843" i="6"/>
  <c r="Y843" i="6"/>
  <c r="X843" i="6"/>
  <c r="AE842" i="6"/>
  <c r="AD842" i="6"/>
  <c r="AG842" i="6" s="1"/>
  <c r="AC842" i="6"/>
  <c r="Y842" i="6"/>
  <c r="X842" i="6"/>
  <c r="AE841" i="6"/>
  <c r="AD841" i="6"/>
  <c r="AC841" i="6"/>
  <c r="Y841" i="6"/>
  <c r="X841" i="6"/>
  <c r="AE840" i="6"/>
  <c r="AD840" i="6"/>
  <c r="AC840" i="6"/>
  <c r="Y840" i="6"/>
  <c r="X840" i="6"/>
  <c r="AE839" i="6"/>
  <c r="AD839" i="6"/>
  <c r="AC839" i="6"/>
  <c r="Y839" i="6"/>
  <c r="X839" i="6"/>
  <c r="AE838" i="6"/>
  <c r="AD838" i="6"/>
  <c r="AC838" i="6"/>
  <c r="Y838" i="6"/>
  <c r="X838" i="6"/>
  <c r="AE837" i="6"/>
  <c r="AD837" i="6"/>
  <c r="AC837" i="6"/>
  <c r="Y837" i="6"/>
  <c r="X837" i="6"/>
  <c r="AE836" i="6"/>
  <c r="AD836" i="6"/>
  <c r="AC836" i="6"/>
  <c r="Y836" i="6"/>
  <c r="X836" i="6"/>
  <c r="AE835" i="6"/>
  <c r="AD835" i="6"/>
  <c r="AC835" i="6"/>
  <c r="Y835" i="6"/>
  <c r="X835" i="6"/>
  <c r="AE834" i="6"/>
  <c r="AD834" i="6"/>
  <c r="AC834" i="6"/>
  <c r="Y834" i="6"/>
  <c r="X834" i="6"/>
  <c r="AE833" i="6"/>
  <c r="AD833" i="6"/>
  <c r="AC833" i="6"/>
  <c r="Y833" i="6"/>
  <c r="X833" i="6"/>
  <c r="AE832" i="6"/>
  <c r="AD832" i="6"/>
  <c r="AG832" i="6" s="1"/>
  <c r="AC832" i="6"/>
  <c r="Y832" i="6"/>
  <c r="X832" i="6"/>
  <c r="AE831" i="6"/>
  <c r="AD831" i="6"/>
  <c r="AF831" i="6" s="1"/>
  <c r="AC831" i="6"/>
  <c r="Y831" i="6"/>
  <c r="X831" i="6"/>
  <c r="AE830" i="6"/>
  <c r="AD830" i="6"/>
  <c r="AC830" i="6"/>
  <c r="Y830" i="6"/>
  <c r="X830" i="6"/>
  <c r="AE829" i="6"/>
  <c r="AD829" i="6"/>
  <c r="AF829" i="6" s="1"/>
  <c r="AC829" i="6"/>
  <c r="Y829" i="6"/>
  <c r="X829" i="6"/>
  <c r="AE828" i="6"/>
  <c r="AD828" i="6"/>
  <c r="AC828" i="6"/>
  <c r="Y828" i="6"/>
  <c r="X828" i="6"/>
  <c r="AE827" i="6"/>
  <c r="AD827" i="6"/>
  <c r="AF827" i="6" s="1"/>
  <c r="AC827" i="6"/>
  <c r="Y827" i="6"/>
  <c r="X827" i="6"/>
  <c r="AE826" i="6"/>
  <c r="AD826" i="6"/>
  <c r="AC826" i="6"/>
  <c r="Y826" i="6"/>
  <c r="X826" i="6"/>
  <c r="AE825" i="6"/>
  <c r="AD825" i="6"/>
  <c r="AC825" i="6"/>
  <c r="Y825" i="6"/>
  <c r="X825" i="6"/>
  <c r="AE824" i="6"/>
  <c r="AD824" i="6"/>
  <c r="AC824" i="6"/>
  <c r="Y824" i="6"/>
  <c r="X824" i="6"/>
  <c r="AE823" i="6"/>
  <c r="AD823" i="6"/>
  <c r="AC823" i="6"/>
  <c r="Y823" i="6"/>
  <c r="X823" i="6"/>
  <c r="AE822" i="6"/>
  <c r="AD822" i="6"/>
  <c r="AC822" i="6"/>
  <c r="Y822" i="6"/>
  <c r="X822" i="6"/>
  <c r="AE821" i="6"/>
  <c r="AD821" i="6"/>
  <c r="AC821" i="6"/>
  <c r="Y821" i="6"/>
  <c r="X821" i="6"/>
  <c r="AE820" i="6"/>
  <c r="AD820" i="6"/>
  <c r="AC820" i="6"/>
  <c r="Y820" i="6"/>
  <c r="X820" i="6"/>
  <c r="AE819" i="6"/>
  <c r="AD819" i="6"/>
  <c r="AC819" i="6"/>
  <c r="Y819" i="6"/>
  <c r="X819" i="6"/>
  <c r="AE818" i="6"/>
  <c r="AD818" i="6"/>
  <c r="AG818" i="6" s="1"/>
  <c r="AC818" i="6"/>
  <c r="Y818" i="6"/>
  <c r="X818" i="6"/>
  <c r="AE817" i="6"/>
  <c r="AD817" i="6"/>
  <c r="AF817" i="6" s="1"/>
  <c r="AC817" i="6"/>
  <c r="Y817" i="6"/>
  <c r="X817" i="6"/>
  <c r="AE816" i="6"/>
  <c r="AD816" i="6"/>
  <c r="AC816" i="6"/>
  <c r="Y816" i="6"/>
  <c r="X816" i="6"/>
  <c r="AE815" i="6"/>
  <c r="AD815" i="6"/>
  <c r="AC815" i="6"/>
  <c r="Y815" i="6"/>
  <c r="X815" i="6"/>
  <c r="AE814" i="6"/>
  <c r="AD814" i="6"/>
  <c r="AF814" i="6" s="1"/>
  <c r="AC814" i="6"/>
  <c r="Y814" i="6"/>
  <c r="X814" i="6"/>
  <c r="AE813" i="6"/>
  <c r="AD813" i="6"/>
  <c r="AC813" i="6"/>
  <c r="Y813" i="6"/>
  <c r="X813" i="6"/>
  <c r="AE812" i="6"/>
  <c r="AD812" i="6"/>
  <c r="AC812" i="6"/>
  <c r="Y812" i="6"/>
  <c r="X812" i="6"/>
  <c r="AE811" i="6"/>
  <c r="AD811" i="6"/>
  <c r="AC811" i="6"/>
  <c r="Y811" i="6"/>
  <c r="X811" i="6"/>
  <c r="AE810" i="6"/>
  <c r="AD810" i="6"/>
  <c r="AC810" i="6"/>
  <c r="Y810" i="6"/>
  <c r="X810" i="6"/>
  <c r="AE809" i="6"/>
  <c r="AD809" i="6"/>
  <c r="AC809" i="6"/>
  <c r="Y809" i="6"/>
  <c r="X809" i="6"/>
  <c r="AE808" i="6"/>
  <c r="AD808" i="6"/>
  <c r="AG808" i="6" s="1"/>
  <c r="AC808" i="6"/>
  <c r="Y808" i="6"/>
  <c r="X808" i="6"/>
  <c r="AE807" i="6"/>
  <c r="AD807" i="6"/>
  <c r="AC807" i="6"/>
  <c r="Y807" i="6"/>
  <c r="X807" i="6"/>
  <c r="AE806" i="6"/>
  <c r="AD806" i="6"/>
  <c r="AF806" i="6" s="1"/>
  <c r="AC806" i="6"/>
  <c r="Y806" i="6"/>
  <c r="X806" i="6"/>
  <c r="AE805" i="6"/>
  <c r="AD805" i="6"/>
  <c r="AC805" i="6"/>
  <c r="Y805" i="6"/>
  <c r="X805" i="6"/>
  <c r="AE804" i="6"/>
  <c r="AD804" i="6"/>
  <c r="AG804" i="6" s="1"/>
  <c r="AC804" i="6"/>
  <c r="Y804" i="6"/>
  <c r="X804" i="6"/>
  <c r="AE803" i="6"/>
  <c r="AD803" i="6"/>
  <c r="AC803" i="6"/>
  <c r="Y803" i="6"/>
  <c r="X803" i="6"/>
  <c r="AE802" i="6"/>
  <c r="AD802" i="6"/>
  <c r="AG802" i="6" s="1"/>
  <c r="AC802" i="6"/>
  <c r="Y802" i="6"/>
  <c r="X802" i="6"/>
  <c r="AE801" i="6"/>
  <c r="AD801" i="6"/>
  <c r="AC801" i="6"/>
  <c r="Y801" i="6"/>
  <c r="X801" i="6"/>
  <c r="AE800" i="6"/>
  <c r="AD800" i="6"/>
  <c r="AC800" i="6"/>
  <c r="Y800" i="6"/>
  <c r="X800" i="6"/>
  <c r="AE799" i="6"/>
  <c r="AD799" i="6"/>
  <c r="AF799" i="6" s="1"/>
  <c r="AC799" i="6"/>
  <c r="Y799" i="6"/>
  <c r="X799" i="6"/>
  <c r="AE798" i="6"/>
  <c r="AD798" i="6"/>
  <c r="AC798" i="6"/>
  <c r="Y798" i="6"/>
  <c r="X798" i="6"/>
  <c r="AE797" i="6"/>
  <c r="AD797" i="6"/>
  <c r="AC797" i="6"/>
  <c r="Y797" i="6"/>
  <c r="X797" i="6"/>
  <c r="AE796" i="6"/>
  <c r="AD796" i="6"/>
  <c r="AC796" i="6"/>
  <c r="Y796" i="6"/>
  <c r="X796" i="6"/>
  <c r="AE795" i="6"/>
  <c r="AD795" i="6"/>
  <c r="AG795" i="6" s="1"/>
  <c r="AC795" i="6"/>
  <c r="Y795" i="6"/>
  <c r="X795" i="6"/>
  <c r="AE794" i="6"/>
  <c r="AD794" i="6"/>
  <c r="AG794" i="6" s="1"/>
  <c r="AC794" i="6"/>
  <c r="Y794" i="6"/>
  <c r="X794" i="6"/>
  <c r="AE793" i="6"/>
  <c r="AD793" i="6"/>
  <c r="AG793" i="6" s="1"/>
  <c r="AC793" i="6"/>
  <c r="Y793" i="6"/>
  <c r="X793" i="6"/>
  <c r="AE792" i="6"/>
  <c r="AD792" i="6"/>
  <c r="AG792" i="6" s="1"/>
  <c r="AC792" i="6"/>
  <c r="Y792" i="6"/>
  <c r="X792" i="6"/>
  <c r="AE791" i="6"/>
  <c r="AD791" i="6"/>
  <c r="AG791" i="6" s="1"/>
  <c r="AC791" i="6"/>
  <c r="Y791" i="6"/>
  <c r="X791" i="6"/>
  <c r="AE790" i="6"/>
  <c r="AD790" i="6"/>
  <c r="AC790" i="6"/>
  <c r="Y790" i="6"/>
  <c r="X790" i="6"/>
  <c r="AE789" i="6"/>
  <c r="AD789" i="6"/>
  <c r="AF789" i="6" s="1"/>
  <c r="AC789" i="6"/>
  <c r="Y789" i="6"/>
  <c r="X789" i="6"/>
  <c r="AE788" i="6"/>
  <c r="AD788" i="6"/>
  <c r="AC788" i="6"/>
  <c r="Y788" i="6"/>
  <c r="X788" i="6"/>
  <c r="AE787" i="6"/>
  <c r="AD787" i="6"/>
  <c r="AG787" i="6" s="1"/>
  <c r="AC787" i="6"/>
  <c r="Y787" i="6"/>
  <c r="X787" i="6"/>
  <c r="AE786" i="6"/>
  <c r="AD786" i="6"/>
  <c r="AC786" i="6"/>
  <c r="Y786" i="6"/>
  <c r="X786" i="6"/>
  <c r="AE785" i="6"/>
  <c r="AD785" i="6"/>
  <c r="AC785" i="6"/>
  <c r="Y785" i="6"/>
  <c r="X785" i="6"/>
  <c r="AE784" i="6"/>
  <c r="AD784" i="6"/>
  <c r="AF784" i="6" s="1"/>
  <c r="AC784" i="6"/>
  <c r="Y784" i="6"/>
  <c r="X784" i="6"/>
  <c r="AE783" i="6"/>
  <c r="AD783" i="6"/>
  <c r="AF783" i="6" s="1"/>
  <c r="AC783" i="6"/>
  <c r="Y783" i="6"/>
  <c r="X783" i="6"/>
  <c r="AE782" i="6"/>
  <c r="AD782" i="6"/>
  <c r="AG782" i="6" s="1"/>
  <c r="AC782" i="6"/>
  <c r="Y782" i="6"/>
  <c r="X782" i="6"/>
  <c r="AE781" i="6"/>
  <c r="AD781" i="6"/>
  <c r="AG781" i="6" s="1"/>
  <c r="AC781" i="6"/>
  <c r="Y781" i="6"/>
  <c r="X781" i="6"/>
  <c r="AE780" i="6"/>
  <c r="AD780" i="6"/>
  <c r="AC780" i="6"/>
  <c r="Y780" i="6"/>
  <c r="X780" i="6"/>
  <c r="AE779" i="6"/>
  <c r="AD779" i="6"/>
  <c r="AG779" i="6" s="1"/>
  <c r="AC779" i="6"/>
  <c r="Y779" i="6"/>
  <c r="X779" i="6"/>
  <c r="AE778" i="6"/>
  <c r="AD778" i="6"/>
  <c r="AC778" i="6"/>
  <c r="Y778" i="6"/>
  <c r="X778" i="6"/>
  <c r="AE777" i="6"/>
  <c r="AD777" i="6"/>
  <c r="AF777" i="6" s="1"/>
  <c r="AC777" i="6"/>
  <c r="Y777" i="6"/>
  <c r="X777" i="6"/>
  <c r="AE776" i="6"/>
  <c r="AD776" i="6"/>
  <c r="AC776" i="6"/>
  <c r="Y776" i="6"/>
  <c r="X776" i="6"/>
  <c r="AE775" i="6"/>
  <c r="AD775" i="6"/>
  <c r="AC775" i="6"/>
  <c r="Y775" i="6"/>
  <c r="X775" i="6"/>
  <c r="AE774" i="6"/>
  <c r="AD774" i="6"/>
  <c r="AG774" i="6" s="1"/>
  <c r="AC774" i="6"/>
  <c r="Y774" i="6"/>
  <c r="X774" i="6"/>
  <c r="AE773" i="6"/>
  <c r="AD773" i="6"/>
  <c r="AG773" i="6" s="1"/>
  <c r="AC773" i="6"/>
  <c r="Y773" i="6"/>
  <c r="X773" i="6"/>
  <c r="AE772" i="6"/>
  <c r="AD772" i="6"/>
  <c r="AC772" i="6"/>
  <c r="Y772" i="6"/>
  <c r="X772" i="6"/>
  <c r="AE771" i="6"/>
  <c r="AD771" i="6"/>
  <c r="AF771" i="6" s="1"/>
  <c r="AC771" i="6"/>
  <c r="Y771" i="6"/>
  <c r="X771" i="6"/>
  <c r="AE770" i="6"/>
  <c r="AD770" i="6"/>
  <c r="AF770" i="6" s="1"/>
  <c r="AC770" i="6"/>
  <c r="Y770" i="6"/>
  <c r="X770" i="6"/>
  <c r="AE769" i="6"/>
  <c r="AD769" i="6"/>
  <c r="AG769" i="6" s="1"/>
  <c r="AC769" i="6"/>
  <c r="Y769" i="6"/>
  <c r="X769" i="6"/>
  <c r="AE768" i="6"/>
  <c r="AD768" i="6"/>
  <c r="AG768" i="6" s="1"/>
  <c r="AC768" i="6"/>
  <c r="Y768" i="6"/>
  <c r="X768" i="6"/>
  <c r="AE767" i="6"/>
  <c r="AD767" i="6"/>
  <c r="AG767" i="6" s="1"/>
  <c r="AC767" i="6"/>
  <c r="Y767" i="6"/>
  <c r="X767" i="6"/>
  <c r="AE766" i="6"/>
  <c r="AD766" i="6"/>
  <c r="AC766" i="6"/>
  <c r="Y766" i="6"/>
  <c r="X766" i="6"/>
  <c r="AE765" i="6"/>
  <c r="AD765" i="6"/>
  <c r="AC765" i="6"/>
  <c r="Y765" i="6"/>
  <c r="X765" i="6"/>
  <c r="AE764" i="6"/>
  <c r="AD764" i="6"/>
  <c r="AC764" i="6"/>
  <c r="Y764" i="6"/>
  <c r="X764" i="6"/>
  <c r="AE763" i="6"/>
  <c r="AD763" i="6"/>
  <c r="AC763" i="6"/>
  <c r="Y763" i="6"/>
  <c r="X763" i="6"/>
  <c r="AE762" i="6"/>
  <c r="AD762" i="6"/>
  <c r="AC762" i="6"/>
  <c r="Y762" i="6"/>
  <c r="X762" i="6"/>
  <c r="AE761" i="6"/>
  <c r="AD761" i="6"/>
  <c r="AC761" i="6"/>
  <c r="Y761" i="6"/>
  <c r="X761" i="6"/>
  <c r="AE760" i="6"/>
  <c r="AD760" i="6"/>
  <c r="AG760" i="6" s="1"/>
  <c r="AC760" i="6"/>
  <c r="Y760" i="6"/>
  <c r="X760" i="6"/>
  <c r="AE759" i="6"/>
  <c r="AD759" i="6"/>
  <c r="AC759" i="6"/>
  <c r="Y759" i="6"/>
  <c r="X759" i="6"/>
  <c r="AE758" i="6"/>
  <c r="AD758" i="6"/>
  <c r="AF758" i="6" s="1"/>
  <c r="AC758" i="6"/>
  <c r="Y758" i="6"/>
  <c r="X758" i="6"/>
  <c r="AE757" i="6"/>
  <c r="AD757" i="6"/>
  <c r="AC757" i="6"/>
  <c r="Y757" i="6"/>
  <c r="X757" i="6"/>
  <c r="AE756" i="6"/>
  <c r="AD756" i="6"/>
  <c r="AC756" i="6"/>
  <c r="Y756" i="6"/>
  <c r="X756" i="6"/>
  <c r="AE755" i="6"/>
  <c r="AD755" i="6"/>
  <c r="AC755" i="6"/>
  <c r="Y755" i="6"/>
  <c r="X755" i="6"/>
  <c r="AE754" i="6"/>
  <c r="AD754" i="6"/>
  <c r="AG754" i="6" s="1"/>
  <c r="AC754" i="6"/>
  <c r="Y754" i="6"/>
  <c r="X754" i="6"/>
  <c r="AE753" i="6"/>
  <c r="AD753" i="6"/>
  <c r="AC753" i="6"/>
  <c r="Y753" i="6"/>
  <c r="X753" i="6"/>
  <c r="AE752" i="6"/>
  <c r="AD752" i="6"/>
  <c r="AF752" i="6" s="1"/>
  <c r="AC752" i="6"/>
  <c r="Y752" i="6"/>
  <c r="X752" i="6"/>
  <c r="AE751" i="6"/>
  <c r="AD751" i="6"/>
  <c r="AC751" i="6"/>
  <c r="Y751" i="6"/>
  <c r="X751" i="6"/>
  <c r="AE750" i="6"/>
  <c r="AD750" i="6"/>
  <c r="AG750" i="6" s="1"/>
  <c r="AC750" i="6"/>
  <c r="Y750" i="6"/>
  <c r="X750" i="6"/>
  <c r="AE749" i="6"/>
  <c r="AD749" i="6"/>
  <c r="AC749" i="6"/>
  <c r="Y749" i="6"/>
  <c r="X749" i="6"/>
  <c r="AE748" i="6"/>
  <c r="AD748" i="6"/>
  <c r="AF748" i="6" s="1"/>
  <c r="AC748" i="6"/>
  <c r="Y748" i="6"/>
  <c r="X748" i="6"/>
  <c r="AE747" i="6"/>
  <c r="AD747" i="6"/>
  <c r="AC747" i="6"/>
  <c r="Y747" i="6"/>
  <c r="X747" i="6"/>
  <c r="AE746" i="6"/>
  <c r="AD746" i="6"/>
  <c r="AC746" i="6"/>
  <c r="Y746" i="6"/>
  <c r="X746" i="6"/>
  <c r="AE745" i="6"/>
  <c r="AD745" i="6"/>
  <c r="AG745" i="6" s="1"/>
  <c r="AC745" i="6"/>
  <c r="Y745" i="6"/>
  <c r="X745" i="6"/>
  <c r="AE744" i="6"/>
  <c r="AD744" i="6"/>
  <c r="AC744" i="6"/>
  <c r="Y744" i="6"/>
  <c r="X744" i="6"/>
  <c r="AE743" i="6"/>
  <c r="AD743" i="6"/>
  <c r="AC743" i="6"/>
  <c r="Y743" i="6"/>
  <c r="X743" i="6"/>
  <c r="AE742" i="6"/>
  <c r="AD742" i="6"/>
  <c r="AC742" i="6"/>
  <c r="Y742" i="6"/>
  <c r="X742" i="6"/>
  <c r="AE741" i="6"/>
  <c r="AD741" i="6"/>
  <c r="AC741" i="6"/>
  <c r="Y741" i="6"/>
  <c r="X741" i="6"/>
  <c r="AE740" i="6"/>
  <c r="AD740" i="6"/>
  <c r="AC740" i="6"/>
  <c r="Y740" i="6"/>
  <c r="X740" i="6"/>
  <c r="AE739" i="6"/>
  <c r="AD739" i="6"/>
  <c r="AC739" i="6"/>
  <c r="Y739" i="6"/>
  <c r="X739" i="6"/>
  <c r="AE738" i="6"/>
  <c r="AD738" i="6"/>
  <c r="AC738" i="6"/>
  <c r="Y738" i="6"/>
  <c r="X738" i="6"/>
  <c r="AE737" i="6"/>
  <c r="AD737" i="6"/>
  <c r="AG737" i="6" s="1"/>
  <c r="AC737" i="6"/>
  <c r="Y737" i="6"/>
  <c r="X737" i="6"/>
  <c r="AE736" i="6"/>
  <c r="AD736" i="6"/>
  <c r="AG736" i="6" s="1"/>
  <c r="AC736" i="6"/>
  <c r="Y736" i="6"/>
  <c r="X736" i="6"/>
  <c r="AE735" i="6"/>
  <c r="AD735" i="6"/>
  <c r="AF735" i="6" s="1"/>
  <c r="AC735" i="6"/>
  <c r="Y735" i="6"/>
  <c r="X735" i="6"/>
  <c r="AE734" i="6"/>
  <c r="AD734" i="6"/>
  <c r="AG734" i="6" s="1"/>
  <c r="AC734" i="6"/>
  <c r="Y734" i="6"/>
  <c r="X734" i="6"/>
  <c r="AE733" i="6"/>
  <c r="AD733" i="6"/>
  <c r="AG733" i="6" s="1"/>
  <c r="AC733" i="6"/>
  <c r="Y733" i="6"/>
  <c r="X733" i="6"/>
  <c r="AE732" i="6"/>
  <c r="AD732" i="6"/>
  <c r="AC732" i="6"/>
  <c r="Y732" i="6"/>
  <c r="X732" i="6"/>
  <c r="AE731" i="6"/>
  <c r="AD731" i="6"/>
  <c r="AC731" i="6"/>
  <c r="Y731" i="6"/>
  <c r="X731" i="6"/>
  <c r="AE730" i="6"/>
  <c r="AD730" i="6"/>
  <c r="AC730" i="6"/>
  <c r="Y730" i="6"/>
  <c r="X730" i="6"/>
  <c r="AE729" i="6"/>
  <c r="AD729" i="6"/>
  <c r="AC729" i="6"/>
  <c r="Y729" i="6"/>
  <c r="X729" i="6"/>
  <c r="AE728" i="6"/>
  <c r="AD728" i="6"/>
  <c r="AC728" i="6"/>
  <c r="Y728" i="6"/>
  <c r="X728" i="6"/>
  <c r="AE727" i="6"/>
  <c r="AD727" i="6"/>
  <c r="AC727" i="6"/>
  <c r="Y727" i="6"/>
  <c r="X727" i="6"/>
  <c r="AE726" i="6"/>
  <c r="AD726" i="6"/>
  <c r="AC726" i="6"/>
  <c r="Y726" i="6"/>
  <c r="X726" i="6"/>
  <c r="AE725" i="6"/>
  <c r="AD725" i="6"/>
  <c r="AC725" i="6"/>
  <c r="Y725" i="6"/>
  <c r="X725" i="6"/>
  <c r="AE724" i="6"/>
  <c r="AD724" i="6"/>
  <c r="AC724" i="6"/>
  <c r="Y724" i="6"/>
  <c r="X724" i="6"/>
  <c r="AE723" i="6"/>
  <c r="AD723" i="6"/>
  <c r="AC723" i="6"/>
  <c r="Y723" i="6"/>
  <c r="X723" i="6"/>
  <c r="AE722" i="6"/>
  <c r="AD722" i="6"/>
  <c r="AF722" i="6" s="1"/>
  <c r="AC722" i="6"/>
  <c r="Y722" i="6"/>
  <c r="X722" i="6"/>
  <c r="AE721" i="6"/>
  <c r="AD721" i="6"/>
  <c r="AG721" i="6" s="1"/>
  <c r="AC721" i="6"/>
  <c r="Y721" i="6"/>
  <c r="X721" i="6"/>
  <c r="AE720" i="6"/>
  <c r="AD720" i="6"/>
  <c r="AG720" i="6" s="1"/>
  <c r="AC720" i="6"/>
  <c r="Y720" i="6"/>
  <c r="X720" i="6"/>
  <c r="AE719" i="6"/>
  <c r="AD719" i="6"/>
  <c r="AG719" i="6" s="1"/>
  <c r="AC719" i="6"/>
  <c r="Y719" i="6"/>
  <c r="X719" i="6"/>
  <c r="AE718" i="6"/>
  <c r="AD718" i="6"/>
  <c r="AF718" i="6" s="1"/>
  <c r="AC718" i="6"/>
  <c r="Y718" i="6"/>
  <c r="X718" i="6"/>
  <c r="AE717" i="6"/>
  <c r="AD717" i="6"/>
  <c r="AC717" i="6"/>
  <c r="Y717" i="6"/>
  <c r="X717" i="6"/>
  <c r="AE716" i="6"/>
  <c r="AD716" i="6"/>
  <c r="AC716" i="6"/>
  <c r="Y716" i="6"/>
  <c r="X716" i="6"/>
  <c r="AE715" i="6"/>
  <c r="AD715" i="6"/>
  <c r="AC715" i="6"/>
  <c r="Y715" i="6"/>
  <c r="X715" i="6"/>
  <c r="AE714" i="6"/>
  <c r="AD714" i="6"/>
  <c r="AF714" i="6" s="1"/>
  <c r="AC714" i="6"/>
  <c r="Y714" i="6"/>
  <c r="X714" i="6"/>
  <c r="AE713" i="6"/>
  <c r="AD713" i="6"/>
  <c r="AG713" i="6" s="1"/>
  <c r="AC713" i="6"/>
  <c r="Y713" i="6"/>
  <c r="X713" i="6"/>
  <c r="AE712" i="6"/>
  <c r="AD712" i="6"/>
  <c r="AG712" i="6" s="1"/>
  <c r="AC712" i="6"/>
  <c r="Y712" i="6"/>
  <c r="X712" i="6"/>
  <c r="AE711" i="6"/>
  <c r="AD711" i="6"/>
  <c r="AC711" i="6"/>
  <c r="Y711" i="6"/>
  <c r="X711" i="6"/>
  <c r="AE710" i="6"/>
  <c r="AD710" i="6"/>
  <c r="AC710" i="6"/>
  <c r="Y710" i="6"/>
  <c r="X710" i="6"/>
  <c r="AE709" i="6"/>
  <c r="AD709" i="6"/>
  <c r="AC709" i="6"/>
  <c r="Y709" i="6"/>
  <c r="X709" i="6"/>
  <c r="AE708" i="6"/>
  <c r="AD708" i="6"/>
  <c r="AG708" i="6" s="1"/>
  <c r="AC708" i="6"/>
  <c r="Y708" i="6"/>
  <c r="X708" i="6"/>
  <c r="AE707" i="6"/>
  <c r="AD707" i="6"/>
  <c r="AC707" i="6"/>
  <c r="Y707" i="6"/>
  <c r="X707" i="6"/>
  <c r="AE706" i="6"/>
  <c r="AD706" i="6"/>
  <c r="AG706" i="6" s="1"/>
  <c r="AC706" i="6"/>
  <c r="Y706" i="6"/>
  <c r="X706" i="6"/>
  <c r="AE705" i="6"/>
  <c r="AD705" i="6"/>
  <c r="AC705" i="6"/>
  <c r="Y705" i="6"/>
  <c r="X705" i="6"/>
  <c r="AE704" i="6"/>
  <c r="AD704" i="6"/>
  <c r="AF704" i="6" s="1"/>
  <c r="AC704" i="6"/>
  <c r="Y704" i="6"/>
  <c r="X704" i="6"/>
  <c r="AE703" i="6"/>
  <c r="AD703" i="6"/>
  <c r="AC703" i="6"/>
  <c r="Y703" i="6"/>
  <c r="X703" i="6"/>
  <c r="AE702" i="6"/>
  <c r="AD702" i="6"/>
  <c r="AG702" i="6" s="1"/>
  <c r="AC702" i="6"/>
  <c r="Y702" i="6"/>
  <c r="X702" i="6"/>
  <c r="AE701" i="6"/>
  <c r="AD701" i="6"/>
  <c r="AC701" i="6"/>
  <c r="Y701" i="6"/>
  <c r="X701" i="6"/>
  <c r="AE700" i="6"/>
  <c r="AD700" i="6"/>
  <c r="AF700" i="6" s="1"/>
  <c r="AC700" i="6"/>
  <c r="Y700" i="6"/>
  <c r="X700" i="6"/>
  <c r="AE699" i="6"/>
  <c r="AD699" i="6"/>
  <c r="AC699" i="6"/>
  <c r="Y699" i="6"/>
  <c r="X699" i="6"/>
  <c r="AE698" i="6"/>
  <c r="AD698" i="6"/>
  <c r="AC698" i="6"/>
  <c r="Y698" i="6"/>
  <c r="X698" i="6"/>
  <c r="AE697" i="6"/>
  <c r="AD697" i="6"/>
  <c r="AC697" i="6"/>
  <c r="Y697" i="6"/>
  <c r="X697" i="6"/>
  <c r="AE696" i="6"/>
  <c r="AD696" i="6"/>
  <c r="AF696" i="6" s="1"/>
  <c r="AC696" i="6"/>
  <c r="Y696" i="6"/>
  <c r="X696" i="6"/>
  <c r="AE695" i="6"/>
  <c r="AD695" i="6"/>
  <c r="AC695" i="6"/>
  <c r="Y695" i="6"/>
  <c r="X695" i="6"/>
  <c r="AE694" i="6"/>
  <c r="AD694" i="6"/>
  <c r="AG694" i="6" s="1"/>
  <c r="AC694" i="6"/>
  <c r="Y694" i="6"/>
  <c r="X694" i="6"/>
  <c r="AE693" i="6"/>
  <c r="AD693" i="6"/>
  <c r="AC693" i="6"/>
  <c r="Y693" i="6"/>
  <c r="X693" i="6"/>
  <c r="AE692" i="6"/>
  <c r="AD692" i="6"/>
  <c r="AG692" i="6" s="1"/>
  <c r="AC692" i="6"/>
  <c r="Y692" i="6"/>
  <c r="X692" i="6"/>
  <c r="AE691" i="6"/>
  <c r="AD691" i="6"/>
  <c r="AG691" i="6" s="1"/>
  <c r="AC691" i="6"/>
  <c r="Y691" i="6"/>
  <c r="X691" i="6"/>
  <c r="AE690" i="6"/>
  <c r="AD690" i="6"/>
  <c r="AC690" i="6"/>
  <c r="Y690" i="6"/>
  <c r="X690" i="6"/>
  <c r="AE689" i="6"/>
  <c r="AD689" i="6"/>
  <c r="AF689" i="6" s="1"/>
  <c r="AC689" i="6"/>
  <c r="Y689" i="6"/>
  <c r="X689" i="6"/>
  <c r="AE688" i="6"/>
  <c r="AD688" i="6"/>
  <c r="AC688" i="6"/>
  <c r="Y688" i="6"/>
  <c r="X688" i="6"/>
  <c r="AE687" i="6"/>
  <c r="AD687" i="6"/>
  <c r="AF687" i="6" s="1"/>
  <c r="AC687" i="6"/>
  <c r="Y687" i="6"/>
  <c r="X687" i="6"/>
  <c r="AE686" i="6"/>
  <c r="AD686" i="6"/>
  <c r="AC686" i="6"/>
  <c r="Y686" i="6"/>
  <c r="X686" i="6"/>
  <c r="AE685" i="6"/>
  <c r="AD685" i="6"/>
  <c r="AG685" i="6" s="1"/>
  <c r="AC685" i="6"/>
  <c r="Y685" i="6"/>
  <c r="X685" i="6"/>
  <c r="AE684" i="6"/>
  <c r="AD684" i="6"/>
  <c r="AC684" i="6"/>
  <c r="Y684" i="6"/>
  <c r="X684" i="6"/>
  <c r="AE683" i="6"/>
  <c r="AD683" i="6"/>
  <c r="AG683" i="6" s="1"/>
  <c r="AC683" i="6"/>
  <c r="Y683" i="6"/>
  <c r="X683" i="6"/>
  <c r="AE682" i="6"/>
  <c r="AD682" i="6"/>
  <c r="AF682" i="6" s="1"/>
  <c r="AC682" i="6"/>
  <c r="Y682" i="6"/>
  <c r="X682" i="6"/>
  <c r="AE681" i="6"/>
  <c r="AD681" i="6"/>
  <c r="AG681" i="6" s="1"/>
  <c r="AC681" i="6"/>
  <c r="Y681" i="6"/>
  <c r="X681" i="6"/>
  <c r="AE680" i="6"/>
  <c r="AD680" i="6"/>
  <c r="AC680" i="6"/>
  <c r="Y680" i="6"/>
  <c r="X680" i="6"/>
  <c r="AE679" i="6"/>
  <c r="AD679" i="6"/>
  <c r="AG679" i="6" s="1"/>
  <c r="AC679" i="6"/>
  <c r="Y679" i="6"/>
  <c r="X679" i="6"/>
  <c r="AE678" i="6"/>
  <c r="AD678" i="6"/>
  <c r="AG678" i="6" s="1"/>
  <c r="AC678" i="6"/>
  <c r="Y678" i="6"/>
  <c r="X678" i="6"/>
  <c r="AE677" i="6"/>
  <c r="AD677" i="6"/>
  <c r="AC677" i="6"/>
  <c r="Y677" i="6"/>
  <c r="X677" i="6"/>
  <c r="AE676" i="6"/>
  <c r="AD676" i="6"/>
  <c r="AG676" i="6" s="1"/>
  <c r="AC676" i="6"/>
  <c r="Y676" i="6"/>
  <c r="X676" i="6"/>
  <c r="AE675" i="6"/>
  <c r="AD675" i="6"/>
  <c r="AF675" i="6" s="1"/>
  <c r="AC675" i="6"/>
  <c r="Y675" i="6"/>
  <c r="X675" i="6"/>
  <c r="AE674" i="6"/>
  <c r="AD674" i="6"/>
  <c r="AF674" i="6" s="1"/>
  <c r="AC674" i="6"/>
  <c r="Y674" i="6"/>
  <c r="X674" i="6"/>
  <c r="AE673" i="6"/>
  <c r="AD673" i="6"/>
  <c r="AC673" i="6"/>
  <c r="Y673" i="6"/>
  <c r="X673" i="6"/>
  <c r="AE672" i="6"/>
  <c r="AD672" i="6"/>
  <c r="AF672" i="6" s="1"/>
  <c r="AC672" i="6"/>
  <c r="Y672" i="6"/>
  <c r="X672" i="6"/>
  <c r="AE671" i="6"/>
  <c r="AD671" i="6"/>
  <c r="AC671" i="6"/>
  <c r="Y671" i="6"/>
  <c r="X671" i="6"/>
  <c r="AE670" i="6"/>
  <c r="AD670" i="6"/>
  <c r="AC670" i="6"/>
  <c r="Y670" i="6"/>
  <c r="X670" i="6"/>
  <c r="AE669" i="6"/>
  <c r="AD669" i="6"/>
  <c r="AC669" i="6"/>
  <c r="Y669" i="6"/>
  <c r="X669" i="6"/>
  <c r="AE668" i="6"/>
  <c r="AD668" i="6"/>
  <c r="AC668" i="6"/>
  <c r="Y668" i="6"/>
  <c r="X668" i="6"/>
  <c r="AE667" i="6"/>
  <c r="AD667" i="6"/>
  <c r="AC667" i="6"/>
  <c r="Y667" i="6"/>
  <c r="X667" i="6"/>
  <c r="AE666" i="6"/>
  <c r="AD666" i="6"/>
  <c r="AC666" i="6"/>
  <c r="Y666" i="6"/>
  <c r="X666" i="6"/>
  <c r="AE665" i="6"/>
  <c r="AD665" i="6"/>
  <c r="AG665" i="6" s="1"/>
  <c r="AC665" i="6"/>
  <c r="Y665" i="6"/>
  <c r="X665" i="6"/>
  <c r="AE664" i="6"/>
  <c r="AD664" i="6"/>
  <c r="AF664" i="6" s="1"/>
  <c r="AC664" i="6"/>
  <c r="Y664" i="6"/>
  <c r="X664" i="6"/>
  <c r="AE663" i="6"/>
  <c r="AD663" i="6"/>
  <c r="AF663" i="6" s="1"/>
  <c r="AC663" i="6"/>
  <c r="Y663" i="6"/>
  <c r="X663" i="6"/>
  <c r="AE662" i="6"/>
  <c r="AD662" i="6"/>
  <c r="AG662" i="6" s="1"/>
  <c r="AC662" i="6"/>
  <c r="Y662" i="6"/>
  <c r="X662" i="6"/>
  <c r="AE661" i="6"/>
  <c r="AD661" i="6"/>
  <c r="AC661" i="6"/>
  <c r="Y661" i="6"/>
  <c r="X661" i="6"/>
  <c r="AE660" i="6"/>
  <c r="AD660" i="6"/>
  <c r="AG660" i="6" s="1"/>
  <c r="AC660" i="6"/>
  <c r="Y660" i="6"/>
  <c r="X660" i="6"/>
  <c r="AE659" i="6"/>
  <c r="AD659" i="6"/>
  <c r="AC659" i="6"/>
  <c r="Y659" i="6"/>
  <c r="X659" i="6"/>
  <c r="AE658" i="6"/>
  <c r="AD658" i="6"/>
  <c r="AF658" i="6" s="1"/>
  <c r="AC658" i="6"/>
  <c r="Y658" i="6"/>
  <c r="X658" i="6"/>
  <c r="AE657" i="6"/>
  <c r="AD657" i="6"/>
  <c r="AF657" i="6" s="1"/>
  <c r="AC657" i="6"/>
  <c r="Y657" i="6"/>
  <c r="X657" i="6"/>
  <c r="AE656" i="6"/>
  <c r="AD656" i="6"/>
  <c r="AG656" i="6" s="1"/>
  <c r="AC656" i="6"/>
  <c r="Y656" i="6"/>
  <c r="X656" i="6"/>
  <c r="AE655" i="6"/>
  <c r="AD655" i="6"/>
  <c r="AF655" i="6" s="1"/>
  <c r="AC655" i="6"/>
  <c r="Y655" i="6"/>
  <c r="X655" i="6"/>
  <c r="AE654" i="6"/>
  <c r="AD654" i="6"/>
  <c r="AC654" i="6"/>
  <c r="Y654" i="6"/>
  <c r="X654" i="6"/>
  <c r="AE653" i="6"/>
  <c r="AD653" i="6"/>
  <c r="AG653" i="6" s="1"/>
  <c r="AC653" i="6"/>
  <c r="Y653" i="6"/>
  <c r="X653" i="6"/>
  <c r="AE652" i="6"/>
  <c r="AD652" i="6"/>
  <c r="AF652" i="6" s="1"/>
  <c r="AC652" i="6"/>
  <c r="Y652" i="6"/>
  <c r="X652" i="6"/>
  <c r="AE651" i="6"/>
  <c r="AD651" i="6"/>
  <c r="AC651" i="6"/>
  <c r="Y651" i="6"/>
  <c r="X651" i="6"/>
  <c r="AE650" i="6"/>
  <c r="AD650" i="6"/>
  <c r="AC650" i="6"/>
  <c r="Y650" i="6"/>
  <c r="X650" i="6"/>
  <c r="AE649" i="6"/>
  <c r="AD649" i="6"/>
  <c r="AG649" i="6" s="1"/>
  <c r="AC649" i="6"/>
  <c r="Y649" i="6"/>
  <c r="X649" i="6"/>
  <c r="AE648" i="6"/>
  <c r="AD648" i="6"/>
  <c r="AC648" i="6"/>
  <c r="Y648" i="6"/>
  <c r="X648" i="6"/>
  <c r="AE647" i="6"/>
  <c r="AD647" i="6"/>
  <c r="AG647" i="6" s="1"/>
  <c r="AC647" i="6"/>
  <c r="Y647" i="6"/>
  <c r="X647" i="6"/>
  <c r="AE646" i="6"/>
  <c r="AD646" i="6"/>
  <c r="AC646" i="6"/>
  <c r="Y646" i="6"/>
  <c r="X646" i="6"/>
  <c r="AE645" i="6"/>
  <c r="AD645" i="6"/>
  <c r="AG645" i="6" s="1"/>
  <c r="AC645" i="6"/>
  <c r="Y645" i="6"/>
  <c r="X645" i="6"/>
  <c r="AE644" i="6"/>
  <c r="AD644" i="6"/>
  <c r="AC644" i="6"/>
  <c r="Y644" i="6"/>
  <c r="X644" i="6"/>
  <c r="AE643" i="6"/>
  <c r="AD643" i="6"/>
  <c r="AF643" i="6" s="1"/>
  <c r="AC643" i="6"/>
  <c r="Y643" i="6"/>
  <c r="X643" i="6"/>
  <c r="AE642" i="6"/>
  <c r="AD642" i="6"/>
  <c r="AC642" i="6"/>
  <c r="Y642" i="6"/>
  <c r="X642" i="6"/>
  <c r="AE641" i="6"/>
  <c r="AD641" i="6"/>
  <c r="AF641" i="6" s="1"/>
  <c r="AC641" i="6"/>
  <c r="Y641" i="6"/>
  <c r="X641" i="6"/>
  <c r="AE640" i="6"/>
  <c r="AD640" i="6"/>
  <c r="AG640" i="6" s="1"/>
  <c r="AC640" i="6"/>
  <c r="Y640" i="6"/>
  <c r="X640" i="6"/>
  <c r="AE639" i="6"/>
  <c r="AD639" i="6"/>
  <c r="AC639" i="6"/>
  <c r="Y639" i="6"/>
  <c r="X639" i="6"/>
  <c r="AE638" i="6"/>
  <c r="AD638" i="6"/>
  <c r="AC638" i="6"/>
  <c r="Y638" i="6"/>
  <c r="X638" i="6"/>
  <c r="AE637" i="6"/>
  <c r="AD637" i="6"/>
  <c r="AC637" i="6"/>
  <c r="Y637" i="6"/>
  <c r="X637" i="6"/>
  <c r="AE636" i="6"/>
  <c r="AD636" i="6"/>
  <c r="AF636" i="6" s="1"/>
  <c r="AC636" i="6"/>
  <c r="Y636" i="6"/>
  <c r="X636" i="6"/>
  <c r="AE635" i="6"/>
  <c r="AD635" i="6"/>
  <c r="AG635" i="6" s="1"/>
  <c r="AC635" i="6"/>
  <c r="Y635" i="6"/>
  <c r="X635" i="6"/>
  <c r="AE634" i="6"/>
  <c r="AD634" i="6"/>
  <c r="AG634" i="6" s="1"/>
  <c r="AC634" i="6"/>
  <c r="Y634" i="6"/>
  <c r="X634" i="6"/>
  <c r="AE633" i="6"/>
  <c r="AD633" i="6"/>
  <c r="AC633" i="6"/>
  <c r="Y633" i="6"/>
  <c r="X633" i="6"/>
  <c r="AE632" i="6"/>
  <c r="AD632" i="6"/>
  <c r="AG632" i="6" s="1"/>
  <c r="AC632" i="6"/>
  <c r="Y632" i="6"/>
  <c r="X632" i="6"/>
  <c r="AE631" i="6"/>
  <c r="AD631" i="6"/>
  <c r="AF631" i="6" s="1"/>
  <c r="AC631" i="6"/>
  <c r="Y631" i="6"/>
  <c r="X631" i="6"/>
  <c r="AE630" i="6"/>
  <c r="AD630" i="6"/>
  <c r="AG630" i="6" s="1"/>
  <c r="AC630" i="6"/>
  <c r="Y630" i="6"/>
  <c r="X630" i="6"/>
  <c r="AE629" i="6"/>
  <c r="AD629" i="6"/>
  <c r="AC629" i="6"/>
  <c r="Y629" i="6"/>
  <c r="X629" i="6"/>
  <c r="AE628" i="6"/>
  <c r="AD628" i="6"/>
  <c r="AC628" i="6"/>
  <c r="Y628" i="6"/>
  <c r="X628" i="6"/>
  <c r="AE627" i="6"/>
  <c r="AD627" i="6"/>
  <c r="AC627" i="6"/>
  <c r="Y627" i="6"/>
  <c r="X627" i="6"/>
  <c r="AE626" i="6"/>
  <c r="AD626" i="6"/>
  <c r="AC626" i="6"/>
  <c r="Y626" i="6"/>
  <c r="X626" i="6"/>
  <c r="AE625" i="6"/>
  <c r="AD625" i="6"/>
  <c r="AC625" i="6"/>
  <c r="Y625" i="6"/>
  <c r="X625" i="6"/>
  <c r="AE624" i="6"/>
  <c r="AD624" i="6"/>
  <c r="AC624" i="6"/>
  <c r="Y624" i="6"/>
  <c r="X624" i="6"/>
  <c r="AE623" i="6"/>
  <c r="AD623" i="6"/>
  <c r="AG623" i="6" s="1"/>
  <c r="AC623" i="6"/>
  <c r="Y623" i="6"/>
  <c r="X623" i="6"/>
  <c r="AE622" i="6"/>
  <c r="AD622" i="6"/>
  <c r="AC622" i="6"/>
  <c r="Y622" i="6"/>
  <c r="X622" i="6"/>
  <c r="AE621" i="6"/>
  <c r="AD621" i="6"/>
  <c r="AG621" i="6" s="1"/>
  <c r="AC621" i="6"/>
  <c r="Y621" i="6"/>
  <c r="X621" i="6"/>
  <c r="AE620" i="6"/>
  <c r="AD620" i="6"/>
  <c r="AG620" i="6" s="1"/>
  <c r="AC620" i="6"/>
  <c r="Y620" i="6"/>
  <c r="X620" i="6"/>
  <c r="AE619" i="6"/>
  <c r="AD619" i="6"/>
  <c r="AG619" i="6" s="1"/>
  <c r="AC619" i="6"/>
  <c r="Y619" i="6"/>
  <c r="X619" i="6"/>
  <c r="AE618" i="6"/>
  <c r="AD618" i="6"/>
  <c r="AG618" i="6" s="1"/>
  <c r="AC618" i="6"/>
  <c r="Y618" i="6"/>
  <c r="X618" i="6"/>
  <c r="AE617" i="6"/>
  <c r="AD617" i="6"/>
  <c r="AF617" i="6" s="1"/>
  <c r="AC617" i="6"/>
  <c r="Y617" i="6"/>
  <c r="X617" i="6"/>
  <c r="AE616" i="6"/>
  <c r="AD616" i="6"/>
  <c r="AC616" i="6"/>
  <c r="Y616" i="6"/>
  <c r="X616" i="6"/>
  <c r="AE615" i="6"/>
  <c r="AD615" i="6"/>
  <c r="AF615" i="6" s="1"/>
  <c r="AC615" i="6"/>
  <c r="Y615" i="6"/>
  <c r="X615" i="6"/>
  <c r="AE614" i="6"/>
  <c r="AD614" i="6"/>
  <c r="AC614" i="6"/>
  <c r="Y614" i="6"/>
  <c r="X614" i="6"/>
  <c r="AE613" i="6"/>
  <c r="AD613" i="6"/>
  <c r="AG613" i="6" s="1"/>
  <c r="AC613" i="6"/>
  <c r="Y613" i="6"/>
  <c r="X613" i="6"/>
  <c r="AE612" i="6"/>
  <c r="AD612" i="6"/>
  <c r="AC612" i="6"/>
  <c r="Y612" i="6"/>
  <c r="X612" i="6"/>
  <c r="AE611" i="6"/>
  <c r="AD611" i="6"/>
  <c r="AC611" i="6"/>
  <c r="Y611" i="6"/>
  <c r="X611" i="6"/>
  <c r="AE610" i="6"/>
  <c r="AD610" i="6"/>
  <c r="AC610" i="6"/>
  <c r="Y610" i="6"/>
  <c r="X610" i="6"/>
  <c r="AE609" i="6"/>
  <c r="AD609" i="6"/>
  <c r="AG609" i="6" s="1"/>
  <c r="AC609" i="6"/>
  <c r="Y609" i="6"/>
  <c r="X609" i="6"/>
  <c r="AE608" i="6"/>
  <c r="AD608" i="6"/>
  <c r="AC608" i="6"/>
  <c r="Y608" i="6"/>
  <c r="X608" i="6"/>
  <c r="AE607" i="6"/>
  <c r="AD607" i="6"/>
  <c r="AG607" i="6" s="1"/>
  <c r="AC607" i="6"/>
  <c r="Y607" i="6"/>
  <c r="X607" i="6"/>
  <c r="AE606" i="6"/>
  <c r="AD606" i="6"/>
  <c r="AC606" i="6"/>
  <c r="Y606" i="6"/>
  <c r="X606" i="6"/>
  <c r="AE605" i="6"/>
  <c r="AD605" i="6"/>
  <c r="AG605" i="6" s="1"/>
  <c r="AC605" i="6"/>
  <c r="Y605" i="6"/>
  <c r="X605" i="6"/>
  <c r="AE604" i="6"/>
  <c r="AD604" i="6"/>
  <c r="AF604" i="6" s="1"/>
  <c r="AC604" i="6"/>
  <c r="Y604" i="6"/>
  <c r="X604" i="6"/>
  <c r="AE603" i="6"/>
  <c r="AD603" i="6"/>
  <c r="AC603" i="6"/>
  <c r="Y603" i="6"/>
  <c r="X603" i="6"/>
  <c r="AE602" i="6"/>
  <c r="AD602" i="6"/>
  <c r="AF602" i="6" s="1"/>
  <c r="AC602" i="6"/>
  <c r="Y602" i="6"/>
  <c r="X602" i="6"/>
  <c r="AE601" i="6"/>
  <c r="AD601" i="6"/>
  <c r="AG601" i="6" s="1"/>
  <c r="AC601" i="6"/>
  <c r="Y601" i="6"/>
  <c r="X601" i="6"/>
  <c r="AE600" i="6"/>
  <c r="AD600" i="6"/>
  <c r="AC600" i="6"/>
  <c r="Y600" i="6"/>
  <c r="X600" i="6"/>
  <c r="AE599" i="6"/>
  <c r="AD599" i="6"/>
  <c r="AG599" i="6" s="1"/>
  <c r="AC599" i="6"/>
  <c r="Y599" i="6"/>
  <c r="X599" i="6"/>
  <c r="AE598" i="6"/>
  <c r="AD598" i="6"/>
  <c r="AC598" i="6"/>
  <c r="Y598" i="6"/>
  <c r="X598" i="6"/>
  <c r="AE597" i="6"/>
  <c r="AD597" i="6"/>
  <c r="AC597" i="6"/>
  <c r="Y597" i="6"/>
  <c r="X597" i="6"/>
  <c r="AE596" i="6"/>
  <c r="AD596" i="6"/>
  <c r="AC596" i="6"/>
  <c r="Y596" i="6"/>
  <c r="X596" i="6"/>
  <c r="AE595" i="6"/>
  <c r="AD595" i="6"/>
  <c r="AC595" i="6"/>
  <c r="Y595" i="6"/>
  <c r="X595" i="6"/>
  <c r="AE594" i="6"/>
  <c r="AD594" i="6"/>
  <c r="AG594" i="6" s="1"/>
  <c r="AC594" i="6"/>
  <c r="Y594" i="6"/>
  <c r="X594" i="6"/>
  <c r="AE593" i="6"/>
  <c r="AD593" i="6"/>
  <c r="AC593" i="6"/>
  <c r="Y593" i="6"/>
  <c r="X593" i="6"/>
  <c r="AE592" i="6"/>
  <c r="AD592" i="6"/>
  <c r="AC592" i="6"/>
  <c r="Y592" i="6"/>
  <c r="X592" i="6"/>
  <c r="AE591" i="6"/>
  <c r="AD591" i="6"/>
  <c r="AC591" i="6"/>
  <c r="Y591" i="6"/>
  <c r="X591" i="6"/>
  <c r="AE590" i="6"/>
  <c r="AD590" i="6"/>
  <c r="AG590" i="6" s="1"/>
  <c r="AC590" i="6"/>
  <c r="Y590" i="6"/>
  <c r="X590" i="6"/>
  <c r="AE589" i="6"/>
  <c r="AD589" i="6"/>
  <c r="AC589" i="6"/>
  <c r="Y589" i="6"/>
  <c r="X589" i="6"/>
  <c r="AE588" i="6"/>
  <c r="AD588" i="6"/>
  <c r="AG588" i="6" s="1"/>
  <c r="AC588" i="6"/>
  <c r="Y588" i="6"/>
  <c r="X588" i="6"/>
  <c r="AE587" i="6"/>
  <c r="AD587" i="6"/>
  <c r="AC587" i="6"/>
  <c r="Y587" i="6"/>
  <c r="X587" i="6"/>
  <c r="AE586" i="6"/>
  <c r="AD586" i="6"/>
  <c r="AG586" i="6" s="1"/>
  <c r="AC586" i="6"/>
  <c r="Y586" i="6"/>
  <c r="X586" i="6"/>
  <c r="AE585" i="6"/>
  <c r="AD585" i="6"/>
  <c r="AG585" i="6" s="1"/>
  <c r="AC585" i="6"/>
  <c r="Y585" i="6"/>
  <c r="X585" i="6"/>
  <c r="AE584" i="6"/>
  <c r="AD584" i="6"/>
  <c r="AG584" i="6" s="1"/>
  <c r="AC584" i="6"/>
  <c r="Y584" i="6"/>
  <c r="X584" i="6"/>
  <c r="AE583" i="6"/>
  <c r="AD583" i="6"/>
  <c r="AC583" i="6"/>
  <c r="Y583" i="6"/>
  <c r="X583" i="6"/>
  <c r="AE582" i="6"/>
  <c r="AD582" i="6"/>
  <c r="AF582" i="6" s="1"/>
  <c r="AC582" i="6"/>
  <c r="Y582" i="6"/>
  <c r="X582" i="6"/>
  <c r="AE581" i="6"/>
  <c r="AD581" i="6"/>
  <c r="AC581" i="6"/>
  <c r="Y581" i="6"/>
  <c r="X581" i="6"/>
  <c r="AE580" i="6"/>
  <c r="AD580" i="6"/>
  <c r="AC580" i="6"/>
  <c r="Y580" i="6"/>
  <c r="X580" i="6"/>
  <c r="AE579" i="6"/>
  <c r="AD579" i="6"/>
  <c r="AC579" i="6"/>
  <c r="Y579" i="6"/>
  <c r="X579" i="6"/>
  <c r="AE578" i="6"/>
  <c r="AD578" i="6"/>
  <c r="AG578" i="6" s="1"/>
  <c r="AC578" i="6"/>
  <c r="Y578" i="6"/>
  <c r="X578" i="6"/>
  <c r="AE577" i="6"/>
  <c r="AD577" i="6"/>
  <c r="AF577" i="6" s="1"/>
  <c r="AC577" i="6"/>
  <c r="Y577" i="6"/>
  <c r="X577" i="6"/>
  <c r="AE576" i="6"/>
  <c r="AD576" i="6"/>
  <c r="AC576" i="6"/>
  <c r="Y576" i="6"/>
  <c r="X576" i="6"/>
  <c r="AE575" i="6"/>
  <c r="AD575" i="6"/>
  <c r="AC575" i="6"/>
  <c r="Y575" i="6"/>
  <c r="X575" i="6"/>
  <c r="AE574" i="6"/>
  <c r="AD574" i="6"/>
  <c r="AG574" i="6" s="1"/>
  <c r="AC574" i="6"/>
  <c r="Y574" i="6"/>
  <c r="X574" i="6"/>
  <c r="AE573" i="6"/>
  <c r="AD573" i="6"/>
  <c r="AG573" i="6" s="1"/>
  <c r="AC573" i="6"/>
  <c r="Y573" i="6"/>
  <c r="X573" i="6"/>
  <c r="AE572" i="6"/>
  <c r="AD572" i="6"/>
  <c r="AG572" i="6" s="1"/>
  <c r="AC572" i="6"/>
  <c r="Y572" i="6"/>
  <c r="X572" i="6"/>
  <c r="AE571" i="6"/>
  <c r="AD571" i="6"/>
  <c r="AC571" i="6"/>
  <c r="Y571" i="6"/>
  <c r="X571" i="6"/>
  <c r="AE570" i="6"/>
  <c r="AD570" i="6"/>
  <c r="AG570" i="6" s="1"/>
  <c r="AC570" i="6"/>
  <c r="Y570" i="6"/>
  <c r="X570" i="6"/>
  <c r="AE569" i="6"/>
  <c r="AD569" i="6"/>
  <c r="AC569" i="6"/>
  <c r="Y569" i="6"/>
  <c r="X569" i="6"/>
  <c r="AE568" i="6"/>
  <c r="AD568" i="6"/>
  <c r="AG568" i="6" s="1"/>
  <c r="AC568" i="6"/>
  <c r="Y568" i="6"/>
  <c r="X568" i="6"/>
  <c r="AE567" i="6"/>
  <c r="AD567" i="6"/>
  <c r="AC567" i="6"/>
  <c r="Y567" i="6"/>
  <c r="X567" i="6"/>
  <c r="AE566" i="6"/>
  <c r="AD566" i="6"/>
  <c r="AG566" i="6" s="1"/>
  <c r="AC566" i="6"/>
  <c r="Y566" i="6"/>
  <c r="X566" i="6"/>
  <c r="AE565" i="6"/>
  <c r="AD565" i="6"/>
  <c r="AC565" i="6"/>
  <c r="Y565" i="6"/>
  <c r="X565" i="6"/>
  <c r="AE564" i="6"/>
  <c r="AD564" i="6"/>
  <c r="AF564" i="6" s="1"/>
  <c r="AC564" i="6"/>
  <c r="Y564" i="6"/>
  <c r="X564" i="6"/>
  <c r="AE563" i="6"/>
  <c r="AD563" i="6"/>
  <c r="AF563" i="6" s="1"/>
  <c r="AC563" i="6"/>
  <c r="Y563" i="6"/>
  <c r="X563" i="6"/>
  <c r="AE562" i="6"/>
  <c r="AD562" i="6"/>
  <c r="AG562" i="6" s="1"/>
  <c r="AC562" i="6"/>
  <c r="Y562" i="6"/>
  <c r="X562" i="6"/>
  <c r="AE561" i="6"/>
  <c r="AD561" i="6"/>
  <c r="AG561" i="6" s="1"/>
  <c r="AC561" i="6"/>
  <c r="Y561" i="6"/>
  <c r="X561" i="6"/>
  <c r="AE560" i="6"/>
  <c r="AD560" i="6"/>
  <c r="AF560" i="6" s="1"/>
  <c r="AC560" i="6"/>
  <c r="Y560" i="6"/>
  <c r="X560" i="6"/>
  <c r="AE559" i="6"/>
  <c r="AD559" i="6"/>
  <c r="AF559" i="6" s="1"/>
  <c r="AC559" i="6"/>
  <c r="Y559" i="6"/>
  <c r="X559" i="6"/>
  <c r="AE558" i="6"/>
  <c r="AD558" i="6"/>
  <c r="AF558" i="6" s="1"/>
  <c r="AC558" i="6"/>
  <c r="Y558" i="6"/>
  <c r="X558" i="6"/>
  <c r="AE557" i="6"/>
  <c r="AD557" i="6"/>
  <c r="AC557" i="6"/>
  <c r="Y557" i="6"/>
  <c r="X557" i="6"/>
  <c r="AE556" i="6"/>
  <c r="AD556" i="6"/>
  <c r="AF556" i="6" s="1"/>
  <c r="AC556" i="6"/>
  <c r="Y556" i="6"/>
  <c r="X556" i="6"/>
  <c r="AE555" i="6"/>
  <c r="AD555" i="6"/>
  <c r="AC555" i="6"/>
  <c r="Y555" i="6"/>
  <c r="X555" i="6"/>
  <c r="AE554" i="6"/>
  <c r="AD554" i="6"/>
  <c r="AF554" i="6" s="1"/>
  <c r="AC554" i="6"/>
  <c r="Y554" i="6"/>
  <c r="X554" i="6"/>
  <c r="AE553" i="6"/>
  <c r="AD553" i="6"/>
  <c r="AC553" i="6"/>
  <c r="Y553" i="6"/>
  <c r="X553" i="6"/>
  <c r="AE552" i="6"/>
  <c r="AD552" i="6"/>
  <c r="AC552" i="6"/>
  <c r="Y552" i="6"/>
  <c r="X552" i="6"/>
  <c r="AE551" i="6"/>
  <c r="AD551" i="6"/>
  <c r="AF551" i="6" s="1"/>
  <c r="AC551" i="6"/>
  <c r="Y551" i="6"/>
  <c r="X551" i="6"/>
  <c r="AE550" i="6"/>
  <c r="AD550" i="6"/>
  <c r="AC550" i="6"/>
  <c r="Y550" i="6"/>
  <c r="X550" i="6"/>
  <c r="AE549" i="6"/>
  <c r="AD549" i="6"/>
  <c r="AG549" i="6" s="1"/>
  <c r="AC549" i="6"/>
  <c r="Y549" i="6"/>
  <c r="X549" i="6"/>
  <c r="AE548" i="6"/>
  <c r="AD548" i="6"/>
  <c r="AF548" i="6" s="1"/>
  <c r="AC548" i="6"/>
  <c r="Y548" i="6"/>
  <c r="X548" i="6"/>
  <c r="AE547" i="6"/>
  <c r="AD547" i="6"/>
  <c r="AC547" i="6"/>
  <c r="Y547" i="6"/>
  <c r="X547" i="6"/>
  <c r="AE546" i="6"/>
  <c r="AD546" i="6"/>
  <c r="AC546" i="6"/>
  <c r="Y546" i="6"/>
  <c r="X546" i="6"/>
  <c r="AE545" i="6"/>
  <c r="AD545" i="6"/>
  <c r="AC545" i="6"/>
  <c r="Y545" i="6"/>
  <c r="X545" i="6"/>
  <c r="AE544" i="6"/>
  <c r="AD544" i="6"/>
  <c r="AC544" i="6"/>
  <c r="Y544" i="6"/>
  <c r="X544" i="6"/>
  <c r="AE543" i="6"/>
  <c r="AD543" i="6"/>
  <c r="AC543" i="6"/>
  <c r="Y543" i="6"/>
  <c r="X543" i="6"/>
  <c r="AE542" i="6"/>
  <c r="AD542" i="6"/>
  <c r="AC542" i="6"/>
  <c r="Y542" i="6"/>
  <c r="X542" i="6"/>
  <c r="AE541" i="6"/>
  <c r="AD541" i="6"/>
  <c r="AC541" i="6"/>
  <c r="Y541" i="6"/>
  <c r="X541" i="6"/>
  <c r="AE540" i="6"/>
  <c r="AD540" i="6"/>
  <c r="AF540" i="6" s="1"/>
  <c r="AC540" i="6"/>
  <c r="Y540" i="6"/>
  <c r="X540" i="6"/>
  <c r="AE539" i="6"/>
  <c r="AD539" i="6"/>
  <c r="AC539" i="6"/>
  <c r="Y539" i="6"/>
  <c r="X539" i="6"/>
  <c r="AE538" i="6"/>
  <c r="AD538" i="6"/>
  <c r="AC538" i="6"/>
  <c r="Y538" i="6"/>
  <c r="X538" i="6"/>
  <c r="AE537" i="6"/>
  <c r="AD537" i="6"/>
  <c r="AG537" i="6" s="1"/>
  <c r="AC537" i="6"/>
  <c r="Y537" i="6"/>
  <c r="X537" i="6"/>
  <c r="AE536" i="6"/>
  <c r="AD536" i="6"/>
  <c r="AC536" i="6"/>
  <c r="Y536" i="6"/>
  <c r="X536" i="6"/>
  <c r="AE535" i="6"/>
  <c r="AD535" i="6"/>
  <c r="AG535" i="6" s="1"/>
  <c r="AC535" i="6"/>
  <c r="Y535" i="6"/>
  <c r="X535" i="6"/>
  <c r="AE534" i="6"/>
  <c r="AD534" i="6"/>
  <c r="AC534" i="6"/>
  <c r="Y534" i="6"/>
  <c r="X534" i="6"/>
  <c r="AE533" i="6"/>
  <c r="AD533" i="6"/>
  <c r="AG533" i="6" s="1"/>
  <c r="AC533" i="6"/>
  <c r="Y533" i="6"/>
  <c r="X533" i="6"/>
  <c r="AE532" i="6"/>
  <c r="AD532" i="6"/>
  <c r="AF532" i="6" s="1"/>
  <c r="AC532" i="6"/>
  <c r="Y532" i="6"/>
  <c r="X532" i="6"/>
  <c r="AE531" i="6"/>
  <c r="AD531" i="6"/>
  <c r="AC531" i="6"/>
  <c r="Y531" i="6"/>
  <c r="X531" i="6"/>
  <c r="AE530" i="6"/>
  <c r="AD530" i="6"/>
  <c r="AG530" i="6" s="1"/>
  <c r="AC530" i="6"/>
  <c r="Y530" i="6"/>
  <c r="X530" i="6"/>
  <c r="AE529" i="6"/>
  <c r="AD529" i="6"/>
  <c r="AG529" i="6" s="1"/>
  <c r="AC529" i="6"/>
  <c r="Y529" i="6"/>
  <c r="X529" i="6"/>
  <c r="AE528" i="6"/>
  <c r="AD528" i="6"/>
  <c r="AG528" i="6" s="1"/>
  <c r="AC528" i="6"/>
  <c r="Y528" i="6"/>
  <c r="X528" i="6"/>
  <c r="AE527" i="6"/>
  <c r="AD527" i="6"/>
  <c r="AF527" i="6" s="1"/>
  <c r="AC527" i="6"/>
  <c r="Y527" i="6"/>
  <c r="X527" i="6"/>
  <c r="AE526" i="6"/>
  <c r="AD526" i="6"/>
  <c r="AF526" i="6" s="1"/>
  <c r="AC526" i="6"/>
  <c r="Y526" i="6"/>
  <c r="X526" i="6"/>
  <c r="AE525" i="6"/>
  <c r="AD525" i="6"/>
  <c r="AC525" i="6"/>
  <c r="Y525" i="6"/>
  <c r="X525" i="6"/>
  <c r="AE524" i="6"/>
  <c r="AD524" i="6"/>
  <c r="AG524" i="6" s="1"/>
  <c r="AC524" i="6"/>
  <c r="Y524" i="6"/>
  <c r="X524" i="6"/>
  <c r="AE523" i="6"/>
  <c r="AD523" i="6"/>
  <c r="AC523" i="6"/>
  <c r="Y523" i="6"/>
  <c r="X523" i="6"/>
  <c r="AE522" i="6"/>
  <c r="AD522" i="6"/>
  <c r="AC522" i="6"/>
  <c r="Y522" i="6"/>
  <c r="X522" i="6"/>
  <c r="AE521" i="6"/>
  <c r="AD521" i="6"/>
  <c r="AF521" i="6" s="1"/>
  <c r="AC521" i="6"/>
  <c r="Y521" i="6"/>
  <c r="X521" i="6"/>
  <c r="AE520" i="6"/>
  <c r="AD520" i="6"/>
  <c r="AG520" i="6" s="1"/>
  <c r="AC520" i="6"/>
  <c r="Y520" i="6"/>
  <c r="X520" i="6"/>
  <c r="AE519" i="6"/>
  <c r="AD519" i="6"/>
  <c r="AG519" i="6" s="1"/>
  <c r="AC519" i="6"/>
  <c r="Y519" i="6"/>
  <c r="X519" i="6"/>
  <c r="AE518" i="6"/>
  <c r="AD518" i="6"/>
  <c r="AC518" i="6"/>
  <c r="Y518" i="6"/>
  <c r="X518" i="6"/>
  <c r="AE517" i="6"/>
  <c r="AD517" i="6"/>
  <c r="AC517" i="6"/>
  <c r="Y517" i="6"/>
  <c r="X517" i="6"/>
  <c r="AE516" i="6"/>
  <c r="AD516" i="6"/>
  <c r="AG516" i="6" s="1"/>
  <c r="AC516" i="6"/>
  <c r="Y516" i="6"/>
  <c r="X516" i="6"/>
  <c r="AE515" i="6"/>
  <c r="AD515" i="6"/>
  <c r="AC515" i="6"/>
  <c r="Y515" i="6"/>
  <c r="X515" i="6"/>
  <c r="AE514" i="6"/>
  <c r="AD514" i="6"/>
  <c r="AF514" i="6" s="1"/>
  <c r="AC514" i="6"/>
  <c r="Y514" i="6"/>
  <c r="X514" i="6"/>
  <c r="AE513" i="6"/>
  <c r="AD513" i="6"/>
  <c r="AF513" i="6" s="1"/>
  <c r="AC513" i="6"/>
  <c r="Y513" i="6"/>
  <c r="X513" i="6"/>
  <c r="AE512" i="6"/>
  <c r="AD512" i="6"/>
  <c r="AG512" i="6" s="1"/>
  <c r="AC512" i="6"/>
  <c r="Y512" i="6"/>
  <c r="X512" i="6"/>
  <c r="AE511" i="6"/>
  <c r="AD511" i="6"/>
  <c r="AF511" i="6" s="1"/>
  <c r="AC511" i="6"/>
  <c r="Y511" i="6"/>
  <c r="X511" i="6"/>
  <c r="AE510" i="6"/>
  <c r="AD510" i="6"/>
  <c r="AC510" i="6"/>
  <c r="Y510" i="6"/>
  <c r="X510" i="6"/>
  <c r="AE509" i="6"/>
  <c r="AD509" i="6"/>
  <c r="AC509" i="6"/>
  <c r="Y509" i="6"/>
  <c r="X509" i="6"/>
  <c r="AE508" i="6"/>
  <c r="AD508" i="6"/>
  <c r="AG508" i="6" s="1"/>
  <c r="AC508" i="6"/>
  <c r="Y508" i="6"/>
  <c r="X508" i="6"/>
  <c r="AE507" i="6"/>
  <c r="AD507" i="6"/>
  <c r="AG507" i="6" s="1"/>
  <c r="AC507" i="6"/>
  <c r="Y507" i="6"/>
  <c r="X507" i="6"/>
  <c r="AE506" i="6"/>
  <c r="AD506" i="6"/>
  <c r="AC506" i="6"/>
  <c r="Y506" i="6"/>
  <c r="X506" i="6"/>
  <c r="AE505" i="6"/>
  <c r="AD505" i="6"/>
  <c r="AF505" i="6" s="1"/>
  <c r="AC505" i="6"/>
  <c r="Y505" i="6"/>
  <c r="X505" i="6"/>
  <c r="AE504" i="6"/>
  <c r="AD504" i="6"/>
  <c r="AF504" i="6" s="1"/>
  <c r="AC504" i="6"/>
  <c r="Y504" i="6"/>
  <c r="X504" i="6"/>
  <c r="AE503" i="6"/>
  <c r="AD503" i="6"/>
  <c r="AF503" i="6" s="1"/>
  <c r="AC503" i="6"/>
  <c r="Y503" i="6"/>
  <c r="X503" i="6"/>
  <c r="AE502" i="6"/>
  <c r="AD502" i="6"/>
  <c r="AC502" i="6"/>
  <c r="Y502" i="6"/>
  <c r="X502" i="6"/>
  <c r="AE501" i="6"/>
  <c r="AD501" i="6"/>
  <c r="AG501" i="6" s="1"/>
  <c r="AC501" i="6"/>
  <c r="Y501" i="6"/>
  <c r="X501" i="6"/>
  <c r="AE500" i="6"/>
  <c r="AD500" i="6"/>
  <c r="AC500" i="6"/>
  <c r="Y500" i="6"/>
  <c r="X500" i="6"/>
  <c r="AE499" i="6"/>
  <c r="AD499" i="6"/>
  <c r="AC499" i="6"/>
  <c r="Y499" i="6"/>
  <c r="X499" i="6"/>
  <c r="AE498" i="6"/>
  <c r="AD498" i="6"/>
  <c r="AF498" i="6" s="1"/>
  <c r="AC498" i="6"/>
  <c r="Y498" i="6"/>
  <c r="X498" i="6"/>
  <c r="AE497" i="6"/>
  <c r="AD497" i="6"/>
  <c r="AG497" i="6" s="1"/>
  <c r="AC497" i="6"/>
  <c r="Y497" i="6"/>
  <c r="X497" i="6"/>
  <c r="AE496" i="6"/>
  <c r="AD496" i="6"/>
  <c r="AC496" i="6"/>
  <c r="Y496" i="6"/>
  <c r="X496" i="6"/>
  <c r="AE495" i="6"/>
  <c r="AD495" i="6"/>
  <c r="AF495" i="6" s="1"/>
  <c r="AC495" i="6"/>
  <c r="Y495" i="6"/>
  <c r="X495" i="6"/>
  <c r="AE494" i="6"/>
  <c r="AD494" i="6"/>
  <c r="AC494" i="6"/>
  <c r="Y494" i="6"/>
  <c r="X494" i="6"/>
  <c r="AE493" i="6"/>
  <c r="AD493" i="6"/>
  <c r="AC493" i="6"/>
  <c r="Y493" i="6"/>
  <c r="X493" i="6"/>
  <c r="AE492" i="6"/>
  <c r="AD492" i="6"/>
  <c r="AF492" i="6" s="1"/>
  <c r="AC492" i="6"/>
  <c r="Y492" i="6"/>
  <c r="X492" i="6"/>
  <c r="AE491" i="6"/>
  <c r="AD491" i="6"/>
  <c r="AG491" i="6" s="1"/>
  <c r="AC491" i="6"/>
  <c r="Y491" i="6"/>
  <c r="X491" i="6"/>
  <c r="AE490" i="6"/>
  <c r="AD490" i="6"/>
  <c r="AF490" i="6" s="1"/>
  <c r="AC490" i="6"/>
  <c r="Y490" i="6"/>
  <c r="X490" i="6"/>
  <c r="AE489" i="6"/>
  <c r="AD489" i="6"/>
  <c r="AG489" i="6" s="1"/>
  <c r="AC489" i="6"/>
  <c r="Y489" i="6"/>
  <c r="X489" i="6"/>
  <c r="AE488" i="6"/>
  <c r="AD488" i="6"/>
  <c r="AC488" i="6"/>
  <c r="Y488" i="6"/>
  <c r="X488" i="6"/>
  <c r="AE487" i="6"/>
  <c r="AD487" i="6"/>
  <c r="AG487" i="6" s="1"/>
  <c r="AC487" i="6"/>
  <c r="Y487" i="6"/>
  <c r="X487" i="6"/>
  <c r="AE486" i="6"/>
  <c r="AD486" i="6"/>
  <c r="AC486" i="6"/>
  <c r="Y486" i="6"/>
  <c r="X486" i="6"/>
  <c r="AE485" i="6"/>
  <c r="AD485" i="6"/>
  <c r="AG485" i="6" s="1"/>
  <c r="AC485" i="6"/>
  <c r="Y485" i="6"/>
  <c r="X485" i="6"/>
  <c r="AE484" i="6"/>
  <c r="AD484" i="6"/>
  <c r="AC484" i="6"/>
  <c r="Y484" i="6"/>
  <c r="X484" i="6"/>
  <c r="AE483" i="6"/>
  <c r="AD483" i="6"/>
  <c r="AC483" i="6"/>
  <c r="Y483" i="6"/>
  <c r="X483" i="6"/>
  <c r="AE482" i="6"/>
  <c r="AD482" i="6"/>
  <c r="AG482" i="6" s="1"/>
  <c r="AC482" i="6"/>
  <c r="Y482" i="6"/>
  <c r="X482" i="6"/>
  <c r="AE481" i="6"/>
  <c r="AD481" i="6"/>
  <c r="AF481" i="6" s="1"/>
  <c r="AC481" i="6"/>
  <c r="Y481" i="6"/>
  <c r="X481" i="6"/>
  <c r="AE480" i="6"/>
  <c r="AD480" i="6"/>
  <c r="AF480" i="6" s="1"/>
  <c r="AC480" i="6"/>
  <c r="Y480" i="6"/>
  <c r="X480" i="6"/>
  <c r="AE479" i="6"/>
  <c r="AD479" i="6"/>
  <c r="AC479" i="6"/>
  <c r="Y479" i="6"/>
  <c r="X479" i="6"/>
  <c r="AE478" i="6"/>
  <c r="AD478" i="6"/>
  <c r="AF478" i="6" s="1"/>
  <c r="AC478" i="6"/>
  <c r="Y478" i="6"/>
  <c r="X478" i="6"/>
  <c r="AE477" i="6"/>
  <c r="AD477" i="6"/>
  <c r="AC477" i="6"/>
  <c r="Y477" i="6"/>
  <c r="X477" i="6"/>
  <c r="AE476" i="6"/>
  <c r="AD476" i="6"/>
  <c r="AF476" i="6" s="1"/>
  <c r="AC476" i="6"/>
  <c r="Y476" i="6"/>
  <c r="X476" i="6"/>
  <c r="AE475" i="6"/>
  <c r="AD475" i="6"/>
  <c r="AF475" i="6" s="1"/>
  <c r="AC475" i="6"/>
  <c r="Y475" i="6"/>
  <c r="X475" i="6"/>
  <c r="AE474" i="6"/>
  <c r="AD474" i="6"/>
  <c r="AC474" i="6"/>
  <c r="Y474" i="6"/>
  <c r="X474" i="6"/>
  <c r="AE473" i="6"/>
  <c r="AD473" i="6"/>
  <c r="AC473" i="6"/>
  <c r="Y473" i="6"/>
  <c r="X473" i="6"/>
  <c r="AE472" i="6"/>
  <c r="AD472" i="6"/>
  <c r="AG472" i="6" s="1"/>
  <c r="AC472" i="6"/>
  <c r="Y472" i="6"/>
  <c r="X472" i="6"/>
  <c r="AE471" i="6"/>
  <c r="AD471" i="6"/>
  <c r="AG471" i="6" s="1"/>
  <c r="AC471" i="6"/>
  <c r="Y471" i="6"/>
  <c r="X471" i="6"/>
  <c r="AE470" i="6"/>
  <c r="AD470" i="6"/>
  <c r="AG470" i="6" s="1"/>
  <c r="AC470" i="6"/>
  <c r="Y470" i="6"/>
  <c r="X470" i="6"/>
  <c r="AE469" i="6"/>
  <c r="AD469" i="6"/>
  <c r="AF469" i="6" s="1"/>
  <c r="AC469" i="6"/>
  <c r="Y469" i="6"/>
  <c r="X469" i="6"/>
  <c r="AE468" i="6"/>
  <c r="AD468" i="6"/>
  <c r="AC468" i="6"/>
  <c r="Y468" i="6"/>
  <c r="X468" i="6"/>
  <c r="AE467" i="6"/>
  <c r="AD467" i="6"/>
  <c r="AG467" i="6" s="1"/>
  <c r="AC467" i="6"/>
  <c r="Y467" i="6"/>
  <c r="X467" i="6"/>
  <c r="AE466" i="6"/>
  <c r="AD466" i="6"/>
  <c r="AF466" i="6" s="1"/>
  <c r="AC466" i="6"/>
  <c r="Y466" i="6"/>
  <c r="X466" i="6"/>
  <c r="AE465" i="6"/>
  <c r="AD465" i="6"/>
  <c r="AC465" i="6"/>
  <c r="Y465" i="6"/>
  <c r="X465" i="6"/>
  <c r="AE464" i="6"/>
  <c r="AD464" i="6"/>
  <c r="AG464" i="6" s="1"/>
  <c r="AC464" i="6"/>
  <c r="Y464" i="6"/>
  <c r="X464" i="6"/>
  <c r="AE463" i="6"/>
  <c r="AD463" i="6"/>
  <c r="AG463" i="6" s="1"/>
  <c r="AC463" i="6"/>
  <c r="Y463" i="6"/>
  <c r="X463" i="6"/>
  <c r="AE462" i="6"/>
  <c r="AD462" i="6"/>
  <c r="AG462" i="6" s="1"/>
  <c r="AC462" i="6"/>
  <c r="Y462" i="6"/>
  <c r="X462" i="6"/>
  <c r="AE461" i="6"/>
  <c r="AD461" i="6"/>
  <c r="AF461" i="6" s="1"/>
  <c r="AC461" i="6"/>
  <c r="Y461" i="6"/>
  <c r="X461" i="6"/>
  <c r="AE460" i="6"/>
  <c r="AD460" i="6"/>
  <c r="AG460" i="6" s="1"/>
  <c r="AC460" i="6"/>
  <c r="Y460" i="6"/>
  <c r="X460" i="6"/>
  <c r="AE459" i="6"/>
  <c r="AD459" i="6"/>
  <c r="AC459" i="6"/>
  <c r="Y459" i="6"/>
  <c r="X459" i="6"/>
  <c r="AE458" i="6"/>
  <c r="AD458" i="6"/>
  <c r="AF458" i="6" s="1"/>
  <c r="AC458" i="6"/>
  <c r="Y458" i="6"/>
  <c r="X458" i="6"/>
  <c r="AE457" i="6"/>
  <c r="AD457" i="6"/>
  <c r="AF457" i="6" s="1"/>
  <c r="AC457" i="6"/>
  <c r="Y457" i="6"/>
  <c r="X457" i="6"/>
  <c r="AE456" i="6"/>
  <c r="AD456" i="6"/>
  <c r="AG456" i="6" s="1"/>
  <c r="AC456" i="6"/>
  <c r="Y456" i="6"/>
  <c r="X456" i="6"/>
  <c r="AE455" i="6"/>
  <c r="AD455" i="6"/>
  <c r="AG455" i="6" s="1"/>
  <c r="AC455" i="6"/>
  <c r="Y455" i="6"/>
  <c r="X455" i="6"/>
  <c r="AE454" i="6"/>
  <c r="AD454" i="6"/>
  <c r="AC454" i="6"/>
  <c r="Y454" i="6"/>
  <c r="X454" i="6"/>
  <c r="AE453" i="6"/>
  <c r="AD453" i="6"/>
  <c r="AC453" i="6"/>
  <c r="Y453" i="6"/>
  <c r="X453" i="6"/>
  <c r="AE452" i="6"/>
  <c r="AD452" i="6"/>
  <c r="AC452" i="6"/>
  <c r="Y452" i="6"/>
  <c r="X452" i="6"/>
  <c r="AE451" i="6"/>
  <c r="AD451" i="6"/>
  <c r="AG451" i="6" s="1"/>
  <c r="AC451" i="6"/>
  <c r="Y451" i="6"/>
  <c r="X451" i="6"/>
  <c r="AE450" i="6"/>
  <c r="AD450" i="6"/>
  <c r="AC450" i="6"/>
  <c r="Y450" i="6"/>
  <c r="X450" i="6"/>
  <c r="AE449" i="6"/>
  <c r="AD449" i="6"/>
  <c r="AC449" i="6"/>
  <c r="Y449" i="6"/>
  <c r="X449" i="6"/>
  <c r="AE448" i="6"/>
  <c r="AD448" i="6"/>
  <c r="AC448" i="6"/>
  <c r="Y448" i="6"/>
  <c r="X448" i="6"/>
  <c r="AE447" i="6"/>
  <c r="AD447" i="6"/>
  <c r="AF447" i="6" s="1"/>
  <c r="AC447" i="6"/>
  <c r="Y447" i="6"/>
  <c r="X447" i="6"/>
  <c r="AE446" i="6"/>
  <c r="AD446" i="6"/>
  <c r="AC446" i="6"/>
  <c r="Y446" i="6"/>
  <c r="X446" i="6"/>
  <c r="AE445" i="6"/>
  <c r="AD445" i="6"/>
  <c r="AC445" i="6"/>
  <c r="Y445" i="6"/>
  <c r="X445" i="6"/>
  <c r="AE444" i="6"/>
  <c r="AD444" i="6"/>
  <c r="AG444" i="6" s="1"/>
  <c r="AC444" i="6"/>
  <c r="Y444" i="6"/>
  <c r="X444" i="6"/>
  <c r="AE443" i="6"/>
  <c r="AD443" i="6"/>
  <c r="AG443" i="6" s="1"/>
  <c r="AC443" i="6"/>
  <c r="Y443" i="6"/>
  <c r="X443" i="6"/>
  <c r="AE442" i="6"/>
  <c r="AD442" i="6"/>
  <c r="AC442" i="6"/>
  <c r="Y442" i="6"/>
  <c r="X442" i="6"/>
  <c r="AE441" i="6"/>
  <c r="AD441" i="6"/>
  <c r="AC441" i="6"/>
  <c r="Y441" i="6"/>
  <c r="X441" i="6"/>
  <c r="AE440" i="6"/>
  <c r="AD440" i="6"/>
  <c r="AF440" i="6" s="1"/>
  <c r="AC440" i="6"/>
  <c r="Y440" i="6"/>
  <c r="X440" i="6"/>
  <c r="AE439" i="6"/>
  <c r="AD439" i="6"/>
  <c r="AG439" i="6" s="1"/>
  <c r="AC439" i="6"/>
  <c r="Y439" i="6"/>
  <c r="X439" i="6"/>
  <c r="AE438" i="6"/>
  <c r="AD438" i="6"/>
  <c r="AG438" i="6" s="1"/>
  <c r="AC438" i="6"/>
  <c r="Y438" i="6"/>
  <c r="X438" i="6"/>
  <c r="AE437" i="6"/>
  <c r="AD437" i="6"/>
  <c r="AC437" i="6"/>
  <c r="Y437" i="6"/>
  <c r="X437" i="6"/>
  <c r="AE436" i="6"/>
  <c r="AD436" i="6"/>
  <c r="AG436" i="6" s="1"/>
  <c r="AC436" i="6"/>
  <c r="Y436" i="6"/>
  <c r="X436" i="6"/>
  <c r="AE435" i="6"/>
  <c r="AD435" i="6"/>
  <c r="AF435" i="6" s="1"/>
  <c r="AC435" i="6"/>
  <c r="Y435" i="6"/>
  <c r="X435" i="6"/>
  <c r="AE434" i="6"/>
  <c r="AD434" i="6"/>
  <c r="AG434" i="6" s="1"/>
  <c r="AC434" i="6"/>
  <c r="Y434" i="6"/>
  <c r="X434" i="6"/>
  <c r="AE433" i="6"/>
  <c r="AD433" i="6"/>
  <c r="AF433" i="6" s="1"/>
  <c r="AC433" i="6"/>
  <c r="Y433" i="6"/>
  <c r="X433" i="6"/>
  <c r="AE432" i="6"/>
  <c r="AD432" i="6"/>
  <c r="AC432" i="6"/>
  <c r="Y432" i="6"/>
  <c r="X432" i="6"/>
  <c r="AE431" i="6"/>
  <c r="AD431" i="6"/>
  <c r="AC431" i="6"/>
  <c r="Y431" i="6"/>
  <c r="X431" i="6"/>
  <c r="AE430" i="6"/>
  <c r="AD430" i="6"/>
  <c r="AG430" i="6" s="1"/>
  <c r="AC430" i="6"/>
  <c r="Y430" i="6"/>
  <c r="X430" i="6"/>
  <c r="AE429" i="6"/>
  <c r="AD429" i="6"/>
  <c r="AC429" i="6"/>
  <c r="Y429" i="6"/>
  <c r="X429" i="6"/>
  <c r="AE428" i="6"/>
  <c r="AD428" i="6"/>
  <c r="AG428" i="6" s="1"/>
  <c r="AC428" i="6"/>
  <c r="Y428" i="6"/>
  <c r="X428" i="6"/>
  <c r="AE427" i="6"/>
  <c r="AD427" i="6"/>
  <c r="AG427" i="6" s="1"/>
  <c r="AC427" i="6"/>
  <c r="Y427" i="6"/>
  <c r="X427" i="6"/>
  <c r="AE426" i="6"/>
  <c r="AD426" i="6"/>
  <c r="AG426" i="6" s="1"/>
  <c r="AC426" i="6"/>
  <c r="Y426" i="6"/>
  <c r="X426" i="6"/>
  <c r="AE425" i="6"/>
  <c r="AD425" i="6"/>
  <c r="AC425" i="6"/>
  <c r="Y425" i="6"/>
  <c r="X425" i="6"/>
  <c r="AE424" i="6"/>
  <c r="AD424" i="6"/>
  <c r="AF424" i="6" s="1"/>
  <c r="AC424" i="6"/>
  <c r="Y424" i="6"/>
  <c r="X424" i="6"/>
  <c r="AE423" i="6"/>
  <c r="AD423" i="6"/>
  <c r="AF423" i="6" s="1"/>
  <c r="AC423" i="6"/>
  <c r="Y423" i="6"/>
  <c r="X423" i="6"/>
  <c r="AE422" i="6"/>
  <c r="AD422" i="6"/>
  <c r="AC422" i="6"/>
  <c r="Y422" i="6"/>
  <c r="X422" i="6"/>
  <c r="AE421" i="6"/>
  <c r="AD421" i="6"/>
  <c r="AF421" i="6" s="1"/>
  <c r="AC421" i="6"/>
  <c r="Y421" i="6"/>
  <c r="X421" i="6"/>
  <c r="AE420" i="6"/>
  <c r="AD420" i="6"/>
  <c r="AF420" i="6" s="1"/>
  <c r="AC420" i="6"/>
  <c r="Y420" i="6"/>
  <c r="X420" i="6"/>
  <c r="AE419" i="6"/>
  <c r="AD419" i="6"/>
  <c r="AF419" i="6" s="1"/>
  <c r="AC419" i="6"/>
  <c r="Y419" i="6"/>
  <c r="X419" i="6"/>
  <c r="AE418" i="6"/>
  <c r="AD418" i="6"/>
  <c r="AC418" i="6"/>
  <c r="Y418" i="6"/>
  <c r="X418" i="6"/>
  <c r="AE417" i="6"/>
  <c r="AD417" i="6"/>
  <c r="AF417" i="6" s="1"/>
  <c r="AC417" i="6"/>
  <c r="Y417" i="6"/>
  <c r="X417" i="6"/>
  <c r="AE416" i="6"/>
  <c r="AD416" i="6"/>
  <c r="AG416" i="6" s="1"/>
  <c r="AC416" i="6"/>
  <c r="Y416" i="6"/>
  <c r="X416" i="6"/>
  <c r="AE415" i="6"/>
  <c r="AD415" i="6"/>
  <c r="AG415" i="6" s="1"/>
  <c r="AC415" i="6"/>
  <c r="Y415" i="6"/>
  <c r="X415" i="6"/>
  <c r="AE414" i="6"/>
  <c r="AD414" i="6"/>
  <c r="AG414" i="6" s="1"/>
  <c r="AC414" i="6"/>
  <c r="Y414" i="6"/>
  <c r="X414" i="6"/>
  <c r="AE413" i="6"/>
  <c r="AD413" i="6"/>
  <c r="AG413" i="6" s="1"/>
  <c r="AC413" i="6"/>
  <c r="Y413" i="6"/>
  <c r="X413" i="6"/>
  <c r="AE412" i="6"/>
  <c r="AD412" i="6"/>
  <c r="AF412" i="6" s="1"/>
  <c r="AC412" i="6"/>
  <c r="Y412" i="6"/>
  <c r="X412" i="6"/>
  <c r="AE411" i="6"/>
  <c r="AD411" i="6"/>
  <c r="AC411" i="6"/>
  <c r="Y411" i="6"/>
  <c r="X411" i="6"/>
  <c r="AE410" i="6"/>
  <c r="AD410" i="6"/>
  <c r="AC410" i="6"/>
  <c r="Y410" i="6"/>
  <c r="X410" i="6"/>
  <c r="AE409" i="6"/>
  <c r="AD409" i="6"/>
  <c r="AC409" i="6"/>
  <c r="Y409" i="6"/>
  <c r="X409" i="6"/>
  <c r="AE408" i="6"/>
  <c r="AD408" i="6"/>
  <c r="AG408" i="6" s="1"/>
  <c r="AC408" i="6"/>
  <c r="Y408" i="6"/>
  <c r="X408" i="6"/>
  <c r="AE407" i="6"/>
  <c r="AD407" i="6"/>
  <c r="AG407" i="6" s="1"/>
  <c r="AC407" i="6"/>
  <c r="Y407" i="6"/>
  <c r="X407" i="6"/>
  <c r="AE406" i="6"/>
  <c r="AD406" i="6"/>
  <c r="AG406" i="6" s="1"/>
  <c r="AC406" i="6"/>
  <c r="Y406" i="6"/>
  <c r="X406" i="6"/>
  <c r="AE405" i="6"/>
  <c r="AD405" i="6"/>
  <c r="AF405" i="6" s="1"/>
  <c r="AC405" i="6"/>
  <c r="Y405" i="6"/>
  <c r="X405" i="6"/>
  <c r="AE404" i="6"/>
  <c r="AD404" i="6"/>
  <c r="AG404" i="6" s="1"/>
  <c r="AC404" i="6"/>
  <c r="Y404" i="6"/>
  <c r="X404" i="6"/>
  <c r="AE403" i="6"/>
  <c r="AD403" i="6"/>
  <c r="AG403" i="6" s="1"/>
  <c r="AC403" i="6"/>
  <c r="Y403" i="6"/>
  <c r="X403" i="6"/>
  <c r="AE402" i="6"/>
  <c r="AD402" i="6"/>
  <c r="AC402" i="6"/>
  <c r="Y402" i="6"/>
  <c r="X402" i="6"/>
  <c r="AE401" i="6"/>
  <c r="AD401" i="6"/>
  <c r="AG401" i="6" s="1"/>
  <c r="AC401" i="6"/>
  <c r="Y401" i="6"/>
  <c r="X401" i="6"/>
  <c r="AE400" i="6"/>
  <c r="AD400" i="6"/>
  <c r="AC400" i="6"/>
  <c r="Y400" i="6"/>
  <c r="X400" i="6"/>
  <c r="AE399" i="6"/>
  <c r="AD399" i="6"/>
  <c r="AC399" i="6"/>
  <c r="Y399" i="6"/>
  <c r="X399" i="6"/>
  <c r="AE398" i="6"/>
  <c r="AD398" i="6"/>
  <c r="AG398" i="6" s="1"/>
  <c r="AC398" i="6"/>
  <c r="Y398" i="6"/>
  <c r="X398" i="6"/>
  <c r="AE397" i="6"/>
  <c r="AD397" i="6"/>
  <c r="AF397" i="6" s="1"/>
  <c r="AC397" i="6"/>
  <c r="Y397" i="6"/>
  <c r="X397" i="6"/>
  <c r="AE396" i="6"/>
  <c r="AD396" i="6"/>
  <c r="AG396" i="6" s="1"/>
  <c r="AC396" i="6"/>
  <c r="Y396" i="6"/>
  <c r="X396" i="6"/>
  <c r="AE395" i="6"/>
  <c r="AD395" i="6"/>
  <c r="AF395" i="6" s="1"/>
  <c r="AC395" i="6"/>
  <c r="Y395" i="6"/>
  <c r="X395" i="6"/>
  <c r="AE394" i="6"/>
  <c r="AD394" i="6"/>
  <c r="AC394" i="6"/>
  <c r="Y394" i="6"/>
  <c r="X394" i="6"/>
  <c r="AE393" i="6"/>
  <c r="AD393" i="6"/>
  <c r="AF393" i="6" s="1"/>
  <c r="AC393" i="6"/>
  <c r="Y393" i="6"/>
  <c r="X393" i="6"/>
  <c r="AE392" i="6"/>
  <c r="AD392" i="6"/>
  <c r="AG392" i="6" s="1"/>
  <c r="AC392" i="6"/>
  <c r="Y392" i="6"/>
  <c r="X392" i="6"/>
  <c r="AE391" i="6"/>
  <c r="AD391" i="6"/>
  <c r="AF391" i="6" s="1"/>
  <c r="AC391" i="6"/>
  <c r="Y391" i="6"/>
  <c r="X391" i="6"/>
  <c r="AE390" i="6"/>
  <c r="AD390" i="6"/>
  <c r="AF390" i="6" s="1"/>
  <c r="AC390" i="6"/>
  <c r="Y390" i="6"/>
  <c r="X390" i="6"/>
  <c r="AE389" i="6"/>
  <c r="AD389" i="6"/>
  <c r="AG389" i="6" s="1"/>
  <c r="AC389" i="6"/>
  <c r="Y389" i="6"/>
  <c r="X389" i="6"/>
  <c r="AE388" i="6"/>
  <c r="AD388" i="6"/>
  <c r="AC388" i="6"/>
  <c r="Y388" i="6"/>
  <c r="X388" i="6"/>
  <c r="AE387" i="6"/>
  <c r="AD387" i="6"/>
  <c r="AF387" i="6" s="1"/>
  <c r="AC387" i="6"/>
  <c r="Y387" i="6"/>
  <c r="X387" i="6"/>
  <c r="AE386" i="6"/>
  <c r="AD386" i="6"/>
  <c r="AG386" i="6" s="1"/>
  <c r="AC386" i="6"/>
  <c r="Y386" i="6"/>
  <c r="X386" i="6"/>
  <c r="AE385" i="6"/>
  <c r="AD385" i="6"/>
  <c r="AC385" i="6"/>
  <c r="Y385" i="6"/>
  <c r="X385" i="6"/>
  <c r="AE384" i="6"/>
  <c r="AD384" i="6"/>
  <c r="AC384" i="6"/>
  <c r="Y384" i="6"/>
  <c r="X384" i="6"/>
  <c r="AE383" i="6"/>
  <c r="AD383" i="6"/>
  <c r="AC383" i="6"/>
  <c r="Y383" i="6"/>
  <c r="X383" i="6"/>
  <c r="AE382" i="6"/>
  <c r="AD382" i="6"/>
  <c r="AC382" i="6"/>
  <c r="Y382" i="6"/>
  <c r="X382" i="6"/>
  <c r="AE381" i="6"/>
  <c r="AD381" i="6"/>
  <c r="AG381" i="6" s="1"/>
  <c r="AC381" i="6"/>
  <c r="Y381" i="6"/>
  <c r="X381" i="6"/>
  <c r="AE380" i="6"/>
  <c r="AD380" i="6"/>
  <c r="AC380" i="6"/>
  <c r="Y380" i="6"/>
  <c r="X380" i="6"/>
  <c r="AE379" i="6"/>
  <c r="AD379" i="6"/>
  <c r="AG379" i="6" s="1"/>
  <c r="AC379" i="6"/>
  <c r="Y379" i="6"/>
  <c r="X379" i="6"/>
  <c r="AE378" i="6"/>
  <c r="AD378" i="6"/>
  <c r="AG378" i="6" s="1"/>
  <c r="AC378" i="6"/>
  <c r="Y378" i="6"/>
  <c r="X378" i="6"/>
  <c r="AE377" i="6"/>
  <c r="AD377" i="6"/>
  <c r="AC377" i="6"/>
  <c r="Y377" i="6"/>
  <c r="X377" i="6"/>
  <c r="AE376" i="6"/>
  <c r="AD376" i="6"/>
  <c r="AG376" i="6" s="1"/>
  <c r="AC376" i="6"/>
  <c r="Y376" i="6"/>
  <c r="X376" i="6"/>
  <c r="AE375" i="6"/>
  <c r="AD375" i="6"/>
  <c r="AG375" i="6" s="1"/>
  <c r="AC375" i="6"/>
  <c r="Y375" i="6"/>
  <c r="X375" i="6"/>
  <c r="AE374" i="6"/>
  <c r="AD374" i="6"/>
  <c r="AC374" i="6"/>
  <c r="Y374" i="6"/>
  <c r="X374" i="6"/>
  <c r="AE373" i="6"/>
  <c r="AD373" i="6"/>
  <c r="AC373" i="6"/>
  <c r="Y373" i="6"/>
  <c r="X373" i="6"/>
  <c r="AE372" i="6"/>
  <c r="AD372" i="6"/>
  <c r="AC372" i="6"/>
  <c r="Y372" i="6"/>
  <c r="X372" i="6"/>
  <c r="AE371" i="6"/>
  <c r="AD371" i="6"/>
  <c r="AC371" i="6"/>
  <c r="Y371" i="6"/>
  <c r="X371" i="6"/>
  <c r="AE370" i="6"/>
  <c r="AD370" i="6"/>
  <c r="AC370" i="6"/>
  <c r="Y370" i="6"/>
  <c r="X370" i="6"/>
  <c r="AE369" i="6"/>
  <c r="AD369" i="6"/>
  <c r="AG369" i="6" s="1"/>
  <c r="AC369" i="6"/>
  <c r="Y369" i="6"/>
  <c r="X369" i="6"/>
  <c r="AE368" i="6"/>
  <c r="AD368" i="6"/>
  <c r="AF368" i="6" s="1"/>
  <c r="AC368" i="6"/>
  <c r="Y368" i="6"/>
  <c r="X368" i="6"/>
  <c r="AE367" i="6"/>
  <c r="AD367" i="6"/>
  <c r="AF367" i="6" s="1"/>
  <c r="AC367" i="6"/>
  <c r="Y367" i="6"/>
  <c r="X367" i="6"/>
  <c r="AE366" i="6"/>
  <c r="AD366" i="6"/>
  <c r="AG366" i="6" s="1"/>
  <c r="AC366" i="6"/>
  <c r="Y366" i="6"/>
  <c r="X366" i="6"/>
  <c r="AE365" i="6"/>
  <c r="AD365" i="6"/>
  <c r="AC365" i="6"/>
  <c r="Y365" i="6"/>
  <c r="X365" i="6"/>
  <c r="AE364" i="6"/>
  <c r="AD364" i="6"/>
  <c r="AF364" i="6" s="1"/>
  <c r="AC364" i="6"/>
  <c r="Y364" i="6"/>
  <c r="X364" i="6"/>
  <c r="AE363" i="6"/>
  <c r="AD363" i="6"/>
  <c r="AG363" i="6" s="1"/>
  <c r="AC363" i="6"/>
  <c r="Y363" i="6"/>
  <c r="X363" i="6"/>
  <c r="AE362" i="6"/>
  <c r="AD362" i="6"/>
  <c r="AC362" i="6"/>
  <c r="Y362" i="6"/>
  <c r="X362" i="6"/>
  <c r="AE361" i="6"/>
  <c r="AD361" i="6"/>
  <c r="AF361" i="6" s="1"/>
  <c r="AC361" i="6"/>
  <c r="Y361" i="6"/>
  <c r="X361" i="6"/>
  <c r="AE360" i="6"/>
  <c r="AD360" i="6"/>
  <c r="AC360" i="6"/>
  <c r="Y360" i="6"/>
  <c r="X360" i="6"/>
  <c r="AE359" i="6"/>
  <c r="AD359" i="6"/>
  <c r="AG359" i="6" s="1"/>
  <c r="AC359" i="6"/>
  <c r="Y359" i="6"/>
  <c r="X359" i="6"/>
  <c r="AE358" i="6"/>
  <c r="AD358" i="6"/>
  <c r="AF358" i="6" s="1"/>
  <c r="AC358" i="6"/>
  <c r="Y358" i="6"/>
  <c r="X358" i="6"/>
  <c r="AE357" i="6"/>
  <c r="AD357" i="6"/>
  <c r="AG357" i="6" s="1"/>
  <c r="AC357" i="6"/>
  <c r="Y357" i="6"/>
  <c r="X357" i="6"/>
  <c r="AE356" i="6"/>
  <c r="AD356" i="6"/>
  <c r="AG356" i="6" s="1"/>
  <c r="AC356" i="6"/>
  <c r="Y356" i="6"/>
  <c r="X356" i="6"/>
  <c r="AE355" i="6"/>
  <c r="AD355" i="6"/>
  <c r="AC355" i="6"/>
  <c r="Y355" i="6"/>
  <c r="X355" i="6"/>
  <c r="AE354" i="6"/>
  <c r="AD354" i="6"/>
  <c r="AF354" i="6" s="1"/>
  <c r="AC354" i="6"/>
  <c r="Y354" i="6"/>
  <c r="X354" i="6"/>
  <c r="AE353" i="6"/>
  <c r="AD353" i="6"/>
  <c r="AC353" i="6"/>
  <c r="Y353" i="6"/>
  <c r="X353" i="6"/>
  <c r="AE352" i="6"/>
  <c r="AD352" i="6"/>
  <c r="AF352" i="6" s="1"/>
  <c r="AC352" i="6"/>
  <c r="Y352" i="6"/>
  <c r="X352" i="6"/>
  <c r="AE351" i="6"/>
  <c r="AD351" i="6"/>
  <c r="AF351" i="6" s="1"/>
  <c r="AC351" i="6"/>
  <c r="Y351" i="6"/>
  <c r="X351" i="6"/>
  <c r="AE350" i="6"/>
  <c r="AD350" i="6"/>
  <c r="AC350" i="6"/>
  <c r="Y350" i="6"/>
  <c r="X350" i="6"/>
  <c r="AE349" i="6"/>
  <c r="AD349" i="6"/>
  <c r="AG349" i="6" s="1"/>
  <c r="AC349" i="6"/>
  <c r="Y349" i="6"/>
  <c r="X349" i="6"/>
  <c r="AE348" i="6"/>
  <c r="AD348" i="6"/>
  <c r="AC348" i="6"/>
  <c r="Y348" i="6"/>
  <c r="X348" i="6"/>
  <c r="AE347" i="6"/>
  <c r="AD347" i="6"/>
  <c r="AC347" i="6"/>
  <c r="Y347" i="6"/>
  <c r="X347" i="6"/>
  <c r="AE346" i="6"/>
  <c r="AD346" i="6"/>
  <c r="AC346" i="6"/>
  <c r="Y346" i="6"/>
  <c r="X346" i="6"/>
  <c r="AE345" i="6"/>
  <c r="AD345" i="6"/>
  <c r="AG345" i="6" s="1"/>
  <c r="AC345" i="6"/>
  <c r="Y345" i="6"/>
  <c r="X345" i="6"/>
  <c r="AE344" i="6"/>
  <c r="AD344" i="6"/>
  <c r="AC344" i="6"/>
  <c r="Y344" i="6"/>
  <c r="X344" i="6"/>
  <c r="AE343" i="6"/>
  <c r="AD343" i="6"/>
  <c r="AF343" i="6" s="1"/>
  <c r="AC343" i="6"/>
  <c r="Y343" i="6"/>
  <c r="X343" i="6"/>
  <c r="AE342" i="6"/>
  <c r="AD342" i="6"/>
  <c r="AG342" i="6" s="1"/>
  <c r="AC342" i="6"/>
  <c r="Y342" i="6"/>
  <c r="X342" i="6"/>
  <c r="AE341" i="6"/>
  <c r="AD341" i="6"/>
  <c r="AC341" i="6"/>
  <c r="Y341" i="6"/>
  <c r="X341" i="6"/>
  <c r="AE340" i="6"/>
  <c r="AD340" i="6"/>
  <c r="AC340" i="6"/>
  <c r="Y340" i="6"/>
  <c r="X340" i="6"/>
  <c r="AE339" i="6"/>
  <c r="AD339" i="6"/>
  <c r="AC339" i="6"/>
  <c r="Y339" i="6"/>
  <c r="X339" i="6"/>
  <c r="AE338" i="6"/>
  <c r="AD338" i="6"/>
  <c r="AC338" i="6"/>
  <c r="Y338" i="6"/>
  <c r="X338" i="6"/>
  <c r="AE337" i="6"/>
  <c r="AD337" i="6"/>
  <c r="AC337" i="6"/>
  <c r="Y337" i="6"/>
  <c r="X337" i="6"/>
  <c r="AE336" i="6"/>
  <c r="AD336" i="6"/>
  <c r="AF336" i="6" s="1"/>
  <c r="AC336" i="6"/>
  <c r="Y336" i="6"/>
  <c r="X336" i="6"/>
  <c r="AE335" i="6"/>
  <c r="AD335" i="6"/>
  <c r="AC335" i="6"/>
  <c r="Y335" i="6"/>
  <c r="X335" i="6"/>
  <c r="AE334" i="6"/>
  <c r="AD334" i="6"/>
  <c r="AF334" i="6" s="1"/>
  <c r="AC334" i="6"/>
  <c r="Y334" i="6"/>
  <c r="X334" i="6"/>
  <c r="AE333" i="6"/>
  <c r="AD333" i="6"/>
  <c r="AG333" i="6" s="1"/>
  <c r="AC333" i="6"/>
  <c r="Y333" i="6"/>
  <c r="X333" i="6"/>
  <c r="AE332" i="6"/>
  <c r="AD332" i="6"/>
  <c r="AC332" i="6"/>
  <c r="Y332" i="6"/>
  <c r="X332" i="6"/>
  <c r="AE331" i="6"/>
  <c r="AD331" i="6"/>
  <c r="AG331" i="6" s="1"/>
  <c r="AC331" i="6"/>
  <c r="Y331" i="6"/>
  <c r="X331" i="6"/>
  <c r="AE330" i="6"/>
  <c r="AD330" i="6"/>
  <c r="AC330" i="6"/>
  <c r="Y330" i="6"/>
  <c r="X330" i="6"/>
  <c r="AE329" i="6"/>
  <c r="AD329" i="6"/>
  <c r="AC329" i="6"/>
  <c r="Y329" i="6"/>
  <c r="X329" i="6"/>
  <c r="AE328" i="6"/>
  <c r="AD328" i="6"/>
  <c r="AG328" i="6" s="1"/>
  <c r="AC328" i="6"/>
  <c r="Y328" i="6"/>
  <c r="X328" i="6"/>
  <c r="AE327" i="6"/>
  <c r="AD327" i="6"/>
  <c r="AG327" i="6" s="1"/>
  <c r="AC327" i="6"/>
  <c r="Y327" i="6"/>
  <c r="X327" i="6"/>
  <c r="AE326" i="6"/>
  <c r="AD326" i="6"/>
  <c r="AG326" i="6" s="1"/>
  <c r="AC326" i="6"/>
  <c r="Y326" i="6"/>
  <c r="X326" i="6"/>
  <c r="AE325" i="6"/>
  <c r="AD325" i="6"/>
  <c r="AF325" i="6" s="1"/>
  <c r="AC325" i="6"/>
  <c r="Y325" i="6"/>
  <c r="X325" i="6"/>
  <c r="AE324" i="6"/>
  <c r="AD324" i="6"/>
  <c r="AC324" i="6"/>
  <c r="Y324" i="6"/>
  <c r="X324" i="6"/>
  <c r="AE323" i="6"/>
  <c r="AD323" i="6"/>
  <c r="AF323" i="6" s="1"/>
  <c r="AC323" i="6"/>
  <c r="Y323" i="6"/>
  <c r="X323" i="6"/>
  <c r="AE322" i="6"/>
  <c r="AD322" i="6"/>
  <c r="AG322" i="6" s="1"/>
  <c r="AC322" i="6"/>
  <c r="Y322" i="6"/>
  <c r="X322" i="6"/>
  <c r="AE321" i="6"/>
  <c r="AD321" i="6"/>
  <c r="AF321" i="6" s="1"/>
  <c r="AC321" i="6"/>
  <c r="Y321" i="6"/>
  <c r="X321" i="6"/>
  <c r="AE320" i="6"/>
  <c r="AD320" i="6"/>
  <c r="AC320" i="6"/>
  <c r="Y320" i="6"/>
  <c r="X320" i="6"/>
  <c r="AE319" i="6"/>
  <c r="AD319" i="6"/>
  <c r="AF319" i="6" s="1"/>
  <c r="AC319" i="6"/>
  <c r="Y319" i="6"/>
  <c r="X319" i="6"/>
  <c r="AE318" i="6"/>
  <c r="AD318" i="6"/>
  <c r="AC318" i="6"/>
  <c r="Y318" i="6"/>
  <c r="X318" i="6"/>
  <c r="AE317" i="6"/>
  <c r="AD317" i="6"/>
  <c r="AC317" i="6"/>
  <c r="Y317" i="6"/>
  <c r="X317" i="6"/>
  <c r="AE316" i="6"/>
  <c r="AD316" i="6"/>
  <c r="AG316" i="6" s="1"/>
  <c r="AC316" i="6"/>
  <c r="Y316" i="6"/>
  <c r="X316" i="6"/>
  <c r="AE315" i="6"/>
  <c r="AD315" i="6"/>
  <c r="AC315" i="6"/>
  <c r="Y315" i="6"/>
  <c r="X315" i="6"/>
  <c r="AE314" i="6"/>
  <c r="AD314" i="6"/>
  <c r="AC314" i="6"/>
  <c r="Y314" i="6"/>
  <c r="X314" i="6"/>
  <c r="AE313" i="6"/>
  <c r="AD313" i="6"/>
  <c r="AF313" i="6" s="1"/>
  <c r="AC313" i="6"/>
  <c r="Y313" i="6"/>
  <c r="X313" i="6"/>
  <c r="AE312" i="6"/>
  <c r="AD312" i="6"/>
  <c r="AF312" i="6" s="1"/>
  <c r="AC312" i="6"/>
  <c r="Y312" i="6"/>
  <c r="X312" i="6"/>
  <c r="AE311" i="6"/>
  <c r="AD311" i="6"/>
  <c r="AF311" i="6" s="1"/>
  <c r="AC311" i="6"/>
  <c r="Y311" i="6"/>
  <c r="X311" i="6"/>
  <c r="AE310" i="6"/>
  <c r="AD310" i="6"/>
  <c r="AG310" i="6" s="1"/>
  <c r="AC310" i="6"/>
  <c r="Y310" i="6"/>
  <c r="X310" i="6"/>
  <c r="AE309" i="6"/>
  <c r="AD309" i="6"/>
  <c r="AG309" i="6" s="1"/>
  <c r="AC309" i="6"/>
  <c r="Y309" i="6"/>
  <c r="X309" i="6"/>
  <c r="AE308" i="6"/>
  <c r="AD308" i="6"/>
  <c r="AG308" i="6" s="1"/>
  <c r="AC308" i="6"/>
  <c r="Y308" i="6"/>
  <c r="X308" i="6"/>
  <c r="AE307" i="6"/>
  <c r="AD307" i="6"/>
  <c r="AC307" i="6"/>
  <c r="Y307" i="6"/>
  <c r="X307" i="6"/>
  <c r="AE306" i="6"/>
  <c r="AD306" i="6"/>
  <c r="AG306" i="6" s="1"/>
  <c r="AC306" i="6"/>
  <c r="Y306" i="6"/>
  <c r="X306" i="6"/>
  <c r="AE305" i="6"/>
  <c r="AD305" i="6"/>
  <c r="AF305" i="6" s="1"/>
  <c r="AC305" i="6"/>
  <c r="Y305" i="6"/>
  <c r="X305" i="6"/>
  <c r="AE304" i="6"/>
  <c r="AD304" i="6"/>
  <c r="AF304" i="6" s="1"/>
  <c r="AC304" i="6"/>
  <c r="Y304" i="6"/>
  <c r="X304" i="6"/>
  <c r="AE303" i="6"/>
  <c r="AD303" i="6"/>
  <c r="AF303" i="6" s="1"/>
  <c r="AC303" i="6"/>
  <c r="Y303" i="6"/>
  <c r="X303" i="6"/>
  <c r="AE302" i="6"/>
  <c r="AD302" i="6"/>
  <c r="AF302" i="6" s="1"/>
  <c r="AC302" i="6"/>
  <c r="Y302" i="6"/>
  <c r="X302" i="6"/>
  <c r="AE301" i="6"/>
  <c r="AD301" i="6"/>
  <c r="AC301" i="6"/>
  <c r="Y301" i="6"/>
  <c r="X301" i="6"/>
  <c r="AE300" i="6"/>
  <c r="AD300" i="6"/>
  <c r="AG300" i="6" s="1"/>
  <c r="AC300" i="6"/>
  <c r="Y300" i="6"/>
  <c r="X300" i="6"/>
  <c r="AE299" i="6"/>
  <c r="AD299" i="6"/>
  <c r="AC299" i="6"/>
  <c r="Y299" i="6"/>
  <c r="X299" i="6"/>
  <c r="AE298" i="6"/>
  <c r="AD298" i="6"/>
  <c r="AG298" i="6" s="1"/>
  <c r="AC298" i="6"/>
  <c r="Y298" i="6"/>
  <c r="X298" i="6"/>
  <c r="AE297" i="6"/>
  <c r="AD297" i="6"/>
  <c r="AF297" i="6" s="1"/>
  <c r="AC297" i="6"/>
  <c r="Y297" i="6"/>
  <c r="X297" i="6"/>
  <c r="AE296" i="6"/>
  <c r="AD296" i="6"/>
  <c r="AC296" i="6"/>
  <c r="Y296" i="6"/>
  <c r="X296" i="6"/>
  <c r="AE295" i="6"/>
  <c r="AD295" i="6"/>
  <c r="AF295" i="6" s="1"/>
  <c r="AC295" i="6"/>
  <c r="Y295" i="6"/>
  <c r="X295" i="6"/>
  <c r="AE294" i="6"/>
  <c r="AD294" i="6"/>
  <c r="AF294" i="6" s="1"/>
  <c r="AC294" i="6"/>
  <c r="Y294" i="6"/>
  <c r="X294" i="6"/>
  <c r="AE293" i="6"/>
  <c r="AD293" i="6"/>
  <c r="AF293" i="6" s="1"/>
  <c r="AC293" i="6"/>
  <c r="Y293" i="6"/>
  <c r="X293" i="6"/>
  <c r="AE292" i="6"/>
  <c r="AD292" i="6"/>
  <c r="AC292" i="6"/>
  <c r="Y292" i="6"/>
  <c r="X292" i="6"/>
  <c r="AE291" i="6"/>
  <c r="AD291" i="6"/>
  <c r="AC291" i="6"/>
  <c r="Y291" i="6"/>
  <c r="X291" i="6"/>
  <c r="AE290" i="6"/>
  <c r="AD290" i="6"/>
  <c r="AC290" i="6"/>
  <c r="Y290" i="6"/>
  <c r="X290" i="6"/>
  <c r="AE289" i="6"/>
  <c r="AD289" i="6"/>
  <c r="AG289" i="6" s="1"/>
  <c r="AC289" i="6"/>
  <c r="Y289" i="6"/>
  <c r="X289" i="6"/>
  <c r="AE288" i="6"/>
  <c r="AD288" i="6"/>
  <c r="AF288" i="6" s="1"/>
  <c r="AC288" i="6"/>
  <c r="Y288" i="6"/>
  <c r="X288" i="6"/>
  <c r="AE287" i="6"/>
  <c r="AD287" i="6"/>
  <c r="AC287" i="6"/>
  <c r="Y287" i="6"/>
  <c r="X287" i="6"/>
  <c r="AE286" i="6"/>
  <c r="AD286" i="6"/>
  <c r="AG286" i="6" s="1"/>
  <c r="AC286" i="6"/>
  <c r="Y286" i="6"/>
  <c r="X286" i="6"/>
  <c r="AE285" i="6"/>
  <c r="AD285" i="6"/>
  <c r="AG285" i="6" s="1"/>
  <c r="AC285" i="6"/>
  <c r="Y285" i="6"/>
  <c r="X285" i="6"/>
  <c r="AE284" i="6"/>
  <c r="AD284" i="6"/>
  <c r="AF284" i="6" s="1"/>
  <c r="AC284" i="6"/>
  <c r="Y284" i="6"/>
  <c r="X284" i="6"/>
  <c r="AE283" i="6"/>
  <c r="AD283" i="6"/>
  <c r="AC283" i="6"/>
  <c r="Y283" i="6"/>
  <c r="X283" i="6"/>
  <c r="AE282" i="6"/>
  <c r="AD282" i="6"/>
  <c r="AC282" i="6"/>
  <c r="Y282" i="6"/>
  <c r="X282" i="6"/>
  <c r="AE281" i="6"/>
  <c r="AD281" i="6"/>
  <c r="AC281" i="6"/>
  <c r="Y281" i="6"/>
  <c r="X281" i="6"/>
  <c r="AE280" i="6"/>
  <c r="AD280" i="6"/>
  <c r="AC280" i="6"/>
  <c r="Y280" i="6"/>
  <c r="X280" i="6"/>
  <c r="AE279" i="6"/>
  <c r="AD279" i="6"/>
  <c r="AC279" i="6"/>
  <c r="Y279" i="6"/>
  <c r="X279" i="6"/>
  <c r="AE278" i="6"/>
  <c r="AD278" i="6"/>
  <c r="AC278" i="6"/>
  <c r="Y278" i="6"/>
  <c r="X278" i="6"/>
  <c r="AE277" i="6"/>
  <c r="AD277" i="6"/>
  <c r="AF277" i="6" s="1"/>
  <c r="AC277" i="6"/>
  <c r="Y277" i="6"/>
  <c r="X277" i="6"/>
  <c r="AE276" i="6"/>
  <c r="AD276" i="6"/>
  <c r="AC276" i="6"/>
  <c r="Y276" i="6"/>
  <c r="X276" i="6"/>
  <c r="AE275" i="6"/>
  <c r="AD275" i="6"/>
  <c r="AF275" i="6" s="1"/>
  <c r="AC275" i="6"/>
  <c r="Y275" i="6"/>
  <c r="X275" i="6"/>
  <c r="AE274" i="6"/>
  <c r="AD274" i="6"/>
  <c r="AF274" i="6" s="1"/>
  <c r="AC274" i="6"/>
  <c r="Y274" i="6"/>
  <c r="X274" i="6"/>
  <c r="AE273" i="6"/>
  <c r="AD273" i="6"/>
  <c r="AF273" i="6" s="1"/>
  <c r="AC273" i="6"/>
  <c r="Y273" i="6"/>
  <c r="X273" i="6"/>
  <c r="AE272" i="6"/>
  <c r="AD272" i="6"/>
  <c r="AG272" i="6" s="1"/>
  <c r="AC272" i="6"/>
  <c r="Y272" i="6"/>
  <c r="X272" i="6"/>
  <c r="AE271" i="6"/>
  <c r="AD271" i="6"/>
  <c r="AG271" i="6" s="1"/>
  <c r="AC271" i="6"/>
  <c r="Y271" i="6"/>
  <c r="X271" i="6"/>
  <c r="AE270" i="6"/>
  <c r="AD270" i="6"/>
  <c r="AG270" i="6" s="1"/>
  <c r="AC270" i="6"/>
  <c r="Y270" i="6"/>
  <c r="X270" i="6"/>
  <c r="AE269" i="6"/>
  <c r="AD269" i="6"/>
  <c r="AC269" i="6"/>
  <c r="Y269" i="6"/>
  <c r="X269" i="6"/>
  <c r="AE268" i="6"/>
  <c r="AD268" i="6"/>
  <c r="AG268" i="6" s="1"/>
  <c r="AC268" i="6"/>
  <c r="Y268" i="6"/>
  <c r="X268" i="6"/>
  <c r="AE267" i="6"/>
  <c r="AD267" i="6"/>
  <c r="AC267" i="6"/>
  <c r="Y267" i="6"/>
  <c r="X267" i="6"/>
  <c r="AE266" i="6"/>
  <c r="AD266" i="6"/>
  <c r="AC266" i="6"/>
  <c r="Y266" i="6"/>
  <c r="X266" i="6"/>
  <c r="AE265" i="6"/>
  <c r="AD265" i="6"/>
  <c r="AF265" i="6" s="1"/>
  <c r="AC265" i="6"/>
  <c r="Y265" i="6"/>
  <c r="X265" i="6"/>
  <c r="AE264" i="6"/>
  <c r="AD264" i="6"/>
  <c r="AC264" i="6"/>
  <c r="Y264" i="6"/>
  <c r="X264" i="6"/>
  <c r="AE263" i="6"/>
  <c r="AD263" i="6"/>
  <c r="AG263" i="6" s="1"/>
  <c r="AC263" i="6"/>
  <c r="Y263" i="6"/>
  <c r="X263" i="6"/>
  <c r="AE262" i="6"/>
  <c r="AD262" i="6"/>
  <c r="AF262" i="6" s="1"/>
  <c r="AC262" i="6"/>
  <c r="Y262" i="6"/>
  <c r="X262" i="6"/>
  <c r="AE261" i="6"/>
  <c r="AD261" i="6"/>
  <c r="AG261" i="6" s="1"/>
  <c r="AC261" i="6"/>
  <c r="Y261" i="6"/>
  <c r="X261" i="6"/>
  <c r="AE260" i="6"/>
  <c r="AD260" i="6"/>
  <c r="AG260" i="6" s="1"/>
  <c r="AC260" i="6"/>
  <c r="Y260" i="6"/>
  <c r="X260" i="6"/>
  <c r="AE259" i="6"/>
  <c r="AD259" i="6"/>
  <c r="AG259" i="6" s="1"/>
  <c r="AC259" i="6"/>
  <c r="Y259" i="6"/>
  <c r="X259" i="6"/>
  <c r="AE258" i="6"/>
  <c r="AD258" i="6"/>
  <c r="AG258" i="6" s="1"/>
  <c r="AC258" i="6"/>
  <c r="Y258" i="6"/>
  <c r="X258" i="6"/>
  <c r="AE257" i="6"/>
  <c r="AD257" i="6"/>
  <c r="AC257" i="6"/>
  <c r="Y257" i="6"/>
  <c r="X257" i="6"/>
  <c r="AE256" i="6"/>
  <c r="AD256" i="6"/>
  <c r="AF256" i="6" s="1"/>
  <c r="AC256" i="6"/>
  <c r="Y256" i="6"/>
  <c r="X256" i="6"/>
  <c r="AE255" i="6"/>
  <c r="AD255" i="6"/>
  <c r="AF255" i="6" s="1"/>
  <c r="AC255" i="6"/>
  <c r="Y255" i="6"/>
  <c r="X255" i="6"/>
  <c r="AE254" i="6"/>
  <c r="AD254" i="6"/>
  <c r="AC254" i="6"/>
  <c r="Y254" i="6"/>
  <c r="X254" i="6"/>
  <c r="AE253" i="6"/>
  <c r="AD253" i="6"/>
  <c r="AG253" i="6" s="1"/>
  <c r="AC253" i="6"/>
  <c r="Y253" i="6"/>
  <c r="X253" i="6"/>
  <c r="AE252" i="6"/>
  <c r="AD252" i="6"/>
  <c r="AC252" i="6"/>
  <c r="Y252" i="6"/>
  <c r="X252" i="6"/>
  <c r="AE251" i="6"/>
  <c r="AD251" i="6"/>
  <c r="AG251" i="6" s="1"/>
  <c r="AC251" i="6"/>
  <c r="Y251" i="6"/>
  <c r="X251" i="6"/>
  <c r="AE250" i="6"/>
  <c r="AD250" i="6"/>
  <c r="AF250" i="6" s="1"/>
  <c r="AC250" i="6"/>
  <c r="Y250" i="6"/>
  <c r="X250" i="6"/>
  <c r="AE249" i="6"/>
  <c r="AD249" i="6"/>
  <c r="AC249" i="6"/>
  <c r="Y249" i="6"/>
  <c r="X249" i="6"/>
  <c r="AE248" i="6"/>
  <c r="AD248" i="6"/>
  <c r="AC248" i="6"/>
  <c r="Y248" i="6"/>
  <c r="X248" i="6"/>
  <c r="AE247" i="6"/>
  <c r="AD247" i="6"/>
  <c r="AC247" i="6"/>
  <c r="Y247" i="6"/>
  <c r="X247" i="6"/>
  <c r="AE246" i="6"/>
  <c r="AD246" i="6"/>
  <c r="AC246" i="6"/>
  <c r="Y246" i="6"/>
  <c r="X246" i="6"/>
  <c r="AE245" i="6"/>
  <c r="AD245" i="6"/>
  <c r="AC245" i="6"/>
  <c r="Y245" i="6"/>
  <c r="X245" i="6"/>
  <c r="AE244" i="6"/>
  <c r="AD244" i="6"/>
  <c r="AG244" i="6" s="1"/>
  <c r="AC244" i="6"/>
  <c r="Y244" i="6"/>
  <c r="X244" i="6"/>
  <c r="AE243" i="6"/>
  <c r="AD243" i="6"/>
  <c r="AC243" i="6"/>
  <c r="Y243" i="6"/>
  <c r="X243" i="6"/>
  <c r="AE242" i="6"/>
  <c r="AD242" i="6"/>
  <c r="AF242" i="6" s="1"/>
  <c r="AC242" i="6"/>
  <c r="Y242" i="6"/>
  <c r="X242" i="6"/>
  <c r="AE241" i="6"/>
  <c r="AD241" i="6"/>
  <c r="AC241" i="6"/>
  <c r="Y241" i="6"/>
  <c r="X241" i="6"/>
  <c r="AE240" i="6"/>
  <c r="AD240" i="6"/>
  <c r="AC240" i="6"/>
  <c r="Y240" i="6"/>
  <c r="X240" i="6"/>
  <c r="AE239" i="6"/>
  <c r="AD239" i="6"/>
  <c r="AG239" i="6" s="1"/>
  <c r="AC239" i="6"/>
  <c r="Y239" i="6"/>
  <c r="X239" i="6"/>
  <c r="AE238" i="6"/>
  <c r="AD238" i="6"/>
  <c r="AG238" i="6" s="1"/>
  <c r="AC238" i="6"/>
  <c r="Y238" i="6"/>
  <c r="X238" i="6"/>
  <c r="AE237" i="6"/>
  <c r="AD237" i="6"/>
  <c r="AG237" i="6" s="1"/>
  <c r="AC237" i="6"/>
  <c r="Y237" i="6"/>
  <c r="X237" i="6"/>
  <c r="AE236" i="6"/>
  <c r="AD236" i="6"/>
  <c r="AG236" i="6" s="1"/>
  <c r="AC236" i="6"/>
  <c r="Y236" i="6"/>
  <c r="X236" i="6"/>
  <c r="AE235" i="6"/>
  <c r="AD235" i="6"/>
  <c r="AC235" i="6"/>
  <c r="Y235" i="6"/>
  <c r="X235" i="6"/>
  <c r="AE234" i="6"/>
  <c r="AD234" i="6"/>
  <c r="AF234" i="6" s="1"/>
  <c r="AC234" i="6"/>
  <c r="Y234" i="6"/>
  <c r="X234" i="6"/>
  <c r="AE233" i="6"/>
  <c r="AD233" i="6"/>
  <c r="AF233" i="6" s="1"/>
  <c r="AC233" i="6"/>
  <c r="Y233" i="6"/>
  <c r="X233" i="6"/>
  <c r="AE232" i="6"/>
  <c r="AD232" i="6"/>
  <c r="AC232" i="6"/>
  <c r="Y232" i="6"/>
  <c r="X232" i="6"/>
  <c r="AE231" i="6"/>
  <c r="AD231" i="6"/>
  <c r="AG231" i="6" s="1"/>
  <c r="AC231" i="6"/>
  <c r="Y231" i="6"/>
  <c r="X231" i="6"/>
  <c r="AE230" i="6"/>
  <c r="AD230" i="6"/>
  <c r="AC230" i="6"/>
  <c r="Y230" i="6"/>
  <c r="X230" i="6"/>
  <c r="AE229" i="6"/>
  <c r="AD229" i="6"/>
  <c r="AF229" i="6" s="1"/>
  <c r="AC229" i="6"/>
  <c r="Y229" i="6"/>
  <c r="X229" i="6"/>
  <c r="AE228" i="6"/>
  <c r="AD228" i="6"/>
  <c r="AG228" i="6" s="1"/>
  <c r="AC228" i="6"/>
  <c r="Y228" i="6"/>
  <c r="X228" i="6"/>
  <c r="AE227" i="6"/>
  <c r="AD227" i="6"/>
  <c r="AF227" i="6" s="1"/>
  <c r="AC227" i="6"/>
  <c r="Y227" i="6"/>
  <c r="X227" i="6"/>
  <c r="AE226" i="6"/>
  <c r="AD226" i="6"/>
  <c r="AC226" i="6"/>
  <c r="Y226" i="6"/>
  <c r="X226" i="6"/>
  <c r="AE225" i="6"/>
  <c r="AD225" i="6"/>
  <c r="AG225" i="6" s="1"/>
  <c r="AC225" i="6"/>
  <c r="Y225" i="6"/>
  <c r="X225" i="6"/>
  <c r="AE224" i="6"/>
  <c r="AD224" i="6"/>
  <c r="AC224" i="6"/>
  <c r="Y224" i="6"/>
  <c r="X224" i="6"/>
  <c r="AE223" i="6"/>
  <c r="AD223" i="6"/>
  <c r="AG223" i="6" s="1"/>
  <c r="AC223" i="6"/>
  <c r="Y223" i="6"/>
  <c r="X223" i="6"/>
  <c r="AE222" i="6"/>
  <c r="AD222" i="6"/>
  <c r="AC222" i="6"/>
  <c r="Y222" i="6"/>
  <c r="X222" i="6"/>
  <c r="AE221" i="6"/>
  <c r="AD221" i="6"/>
  <c r="AG221" i="6" s="1"/>
  <c r="AC221" i="6"/>
  <c r="Y221" i="6"/>
  <c r="X221" i="6"/>
  <c r="AE220" i="6"/>
  <c r="AD220" i="6"/>
  <c r="AC220" i="6"/>
  <c r="Y220" i="6"/>
  <c r="X220" i="6"/>
  <c r="AE219" i="6"/>
  <c r="AD219" i="6"/>
  <c r="AG219" i="6" s="1"/>
  <c r="AC219" i="6"/>
  <c r="Y219" i="6"/>
  <c r="X219" i="6"/>
  <c r="AE218" i="6"/>
  <c r="AD218" i="6"/>
  <c r="AC218" i="6"/>
  <c r="Y218" i="6"/>
  <c r="X218" i="6"/>
  <c r="AE217" i="6"/>
  <c r="AD217" i="6"/>
  <c r="AG217" i="6" s="1"/>
  <c r="AC217" i="6"/>
  <c r="Y217" i="6"/>
  <c r="X217" i="6"/>
  <c r="AE216" i="6"/>
  <c r="AD216" i="6"/>
  <c r="AC216" i="6"/>
  <c r="Y216" i="6"/>
  <c r="X216" i="6"/>
  <c r="AE215" i="6"/>
  <c r="AD215" i="6"/>
  <c r="AG215" i="6" s="1"/>
  <c r="AC215" i="6"/>
  <c r="Y215" i="6"/>
  <c r="X215" i="6"/>
  <c r="AE214" i="6"/>
  <c r="AD214" i="6"/>
  <c r="AC214" i="6"/>
  <c r="Y214" i="6"/>
  <c r="X214" i="6"/>
  <c r="AE213" i="6"/>
  <c r="AD213" i="6"/>
  <c r="AC213" i="6"/>
  <c r="Y213" i="6"/>
  <c r="X213" i="6"/>
  <c r="AE212" i="6"/>
  <c r="AD212" i="6"/>
  <c r="AC212" i="6"/>
  <c r="Y212" i="6"/>
  <c r="X212" i="6"/>
  <c r="AE211" i="6"/>
  <c r="AD211" i="6"/>
  <c r="AC211" i="6"/>
  <c r="Y211" i="6"/>
  <c r="X211" i="6"/>
  <c r="AE210" i="6"/>
  <c r="AD210" i="6"/>
  <c r="AC210" i="6"/>
  <c r="Y210" i="6"/>
  <c r="X210" i="6"/>
  <c r="AE209" i="6"/>
  <c r="AD209" i="6"/>
  <c r="AG209" i="6" s="1"/>
  <c r="AC209" i="6"/>
  <c r="Y209" i="6"/>
  <c r="X209" i="6"/>
  <c r="AE208" i="6"/>
  <c r="AD208" i="6"/>
  <c r="AC208" i="6"/>
  <c r="Y208" i="6"/>
  <c r="X208" i="6"/>
  <c r="AE207" i="6"/>
  <c r="AD207" i="6"/>
  <c r="AC207" i="6"/>
  <c r="Y207" i="6"/>
  <c r="X207" i="6"/>
  <c r="AE206" i="6"/>
  <c r="AD206" i="6"/>
  <c r="AG206" i="6" s="1"/>
  <c r="AC206" i="6"/>
  <c r="Y206" i="6"/>
  <c r="X206" i="6"/>
  <c r="AE205" i="6"/>
  <c r="AD205" i="6"/>
  <c r="AG205" i="6" s="1"/>
  <c r="AC205" i="6"/>
  <c r="Y205" i="6"/>
  <c r="X205" i="6"/>
  <c r="AE204" i="6"/>
  <c r="AD204" i="6"/>
  <c r="AC204" i="6"/>
  <c r="Y204" i="6"/>
  <c r="X204" i="6"/>
  <c r="AE203" i="6"/>
  <c r="AD203" i="6"/>
  <c r="AG203" i="6" s="1"/>
  <c r="AC203" i="6"/>
  <c r="Y203" i="6"/>
  <c r="X203" i="6"/>
  <c r="AE202" i="6"/>
  <c r="AD202" i="6"/>
  <c r="AG202" i="6" s="1"/>
  <c r="AC202" i="6"/>
  <c r="Y202" i="6"/>
  <c r="X202" i="6"/>
  <c r="AE201" i="6"/>
  <c r="AD201" i="6"/>
  <c r="AF201" i="6" s="1"/>
  <c r="AC201" i="6"/>
  <c r="Y201" i="6"/>
  <c r="X201" i="6"/>
  <c r="AE200" i="6"/>
  <c r="AD200" i="6"/>
  <c r="AF200" i="6" s="1"/>
  <c r="AC200" i="6"/>
  <c r="Y200" i="6"/>
  <c r="X200" i="6"/>
  <c r="AE199" i="6"/>
  <c r="AD199" i="6"/>
  <c r="AG199" i="6" s="1"/>
  <c r="AC199" i="6"/>
  <c r="Y199" i="6"/>
  <c r="X199" i="6"/>
  <c r="AE198" i="6"/>
  <c r="AD198" i="6"/>
  <c r="AC198" i="6"/>
  <c r="Y198" i="6"/>
  <c r="X198" i="6"/>
  <c r="AE197" i="6"/>
  <c r="AD197" i="6"/>
  <c r="AG197" i="6" s="1"/>
  <c r="AC197" i="6"/>
  <c r="Y197" i="6"/>
  <c r="X197" i="6"/>
  <c r="AE196" i="6"/>
  <c r="AD196" i="6"/>
  <c r="AC196" i="6"/>
  <c r="Y196" i="6"/>
  <c r="X196" i="6"/>
  <c r="AE195" i="6"/>
  <c r="AD195" i="6"/>
  <c r="AG195" i="6" s="1"/>
  <c r="AC195" i="6"/>
  <c r="Y195" i="6"/>
  <c r="X195" i="6"/>
  <c r="AE194" i="6"/>
  <c r="AD194" i="6"/>
  <c r="AC194" i="6"/>
  <c r="Y194" i="6"/>
  <c r="X194" i="6"/>
  <c r="AE193" i="6"/>
  <c r="AD193" i="6"/>
  <c r="AG193" i="6" s="1"/>
  <c r="AC193" i="6"/>
  <c r="Y193" i="6"/>
  <c r="X193" i="6"/>
  <c r="AE192" i="6"/>
  <c r="AD192" i="6"/>
  <c r="AC192" i="6"/>
  <c r="Y192" i="6"/>
  <c r="X192" i="6"/>
  <c r="AE191" i="6"/>
  <c r="AD191" i="6"/>
  <c r="AG191" i="6" s="1"/>
  <c r="AC191" i="6"/>
  <c r="Y191" i="6"/>
  <c r="X191" i="6"/>
  <c r="AE190" i="6"/>
  <c r="AD190" i="6"/>
  <c r="AG190" i="6" s="1"/>
  <c r="AC190" i="6"/>
  <c r="Y190" i="6"/>
  <c r="X190" i="6"/>
  <c r="AE189" i="6"/>
  <c r="AD189" i="6"/>
  <c r="AG189" i="6" s="1"/>
  <c r="AC189" i="6"/>
  <c r="Y189" i="6"/>
  <c r="X189" i="6"/>
  <c r="AE188" i="6"/>
  <c r="AD188" i="6"/>
  <c r="AF188" i="6" s="1"/>
  <c r="AC188" i="6"/>
  <c r="Y188" i="6"/>
  <c r="X188" i="6"/>
  <c r="AE187" i="6"/>
  <c r="AD187" i="6"/>
  <c r="AG187" i="6" s="1"/>
  <c r="AC187" i="6"/>
  <c r="Y187" i="6"/>
  <c r="X187" i="6"/>
  <c r="AE186" i="6"/>
  <c r="AD186" i="6"/>
  <c r="AC186" i="6"/>
  <c r="Y186" i="6"/>
  <c r="X186" i="6"/>
  <c r="AE185" i="6"/>
  <c r="AD185" i="6"/>
  <c r="AF185" i="6" s="1"/>
  <c r="AC185" i="6"/>
  <c r="Y185" i="6"/>
  <c r="X185" i="6"/>
  <c r="AE184" i="6"/>
  <c r="AD184" i="6"/>
  <c r="AF184" i="6" s="1"/>
  <c r="AC184" i="6"/>
  <c r="Y184" i="6"/>
  <c r="X184" i="6"/>
  <c r="AE183" i="6"/>
  <c r="AD183" i="6"/>
  <c r="AC183" i="6"/>
  <c r="Y183" i="6"/>
  <c r="X183" i="6"/>
  <c r="AE182" i="6"/>
  <c r="AD182" i="6"/>
  <c r="AG182" i="6" s="1"/>
  <c r="AC182" i="6"/>
  <c r="Y182" i="6"/>
  <c r="X182" i="6"/>
  <c r="AE181" i="6"/>
  <c r="AD181" i="6"/>
  <c r="AC181" i="6"/>
  <c r="Y181" i="6"/>
  <c r="X181" i="6"/>
  <c r="AE180" i="6"/>
  <c r="AD180" i="6"/>
  <c r="AF180" i="6" s="1"/>
  <c r="AC180" i="6"/>
  <c r="Y180" i="6"/>
  <c r="X180" i="6"/>
  <c r="AE179" i="6"/>
  <c r="AD179" i="6"/>
  <c r="AG179" i="6" s="1"/>
  <c r="AC179" i="6"/>
  <c r="Y179" i="6"/>
  <c r="X179" i="6"/>
  <c r="AE178" i="6"/>
  <c r="AD178" i="6"/>
  <c r="AG178" i="6" s="1"/>
  <c r="AC178" i="6"/>
  <c r="Y178" i="6"/>
  <c r="X178" i="6"/>
  <c r="AE177" i="6"/>
  <c r="AD177" i="6"/>
  <c r="AG177" i="6" s="1"/>
  <c r="AC177" i="6"/>
  <c r="Y177" i="6"/>
  <c r="X177" i="6"/>
  <c r="AE176" i="6"/>
  <c r="AD176" i="6"/>
  <c r="AC176" i="6"/>
  <c r="Y176" i="6"/>
  <c r="X176" i="6"/>
  <c r="AE175" i="6"/>
  <c r="AD175" i="6"/>
  <c r="AC175" i="6"/>
  <c r="Y175" i="6"/>
  <c r="X175" i="6"/>
  <c r="AE174" i="6"/>
  <c r="AD174" i="6"/>
  <c r="AC174" i="6"/>
  <c r="Y174" i="6"/>
  <c r="X174" i="6"/>
  <c r="AE173" i="6"/>
  <c r="AD173" i="6"/>
  <c r="AC173" i="6"/>
  <c r="Y173" i="6"/>
  <c r="X173" i="6"/>
  <c r="AE172" i="6"/>
  <c r="AD172" i="6"/>
  <c r="AC172" i="6"/>
  <c r="Y172" i="6"/>
  <c r="X172" i="6"/>
  <c r="AE171" i="6"/>
  <c r="AD171" i="6"/>
  <c r="AG171" i="6" s="1"/>
  <c r="AC171" i="6"/>
  <c r="Y171" i="6"/>
  <c r="X171" i="6"/>
  <c r="AE170" i="6"/>
  <c r="AD170" i="6"/>
  <c r="AC170" i="6"/>
  <c r="Y170" i="6"/>
  <c r="X170" i="6"/>
  <c r="AE169" i="6"/>
  <c r="AD169" i="6"/>
  <c r="AG169" i="6" s="1"/>
  <c r="AC169" i="6"/>
  <c r="Y169" i="6"/>
  <c r="X169" i="6"/>
  <c r="AE168" i="6"/>
  <c r="AD168" i="6"/>
  <c r="AF168" i="6" s="1"/>
  <c r="AC168" i="6"/>
  <c r="Y168" i="6"/>
  <c r="X168" i="6"/>
  <c r="AE167" i="6"/>
  <c r="AD167" i="6"/>
  <c r="AC167" i="6"/>
  <c r="Y167" i="6"/>
  <c r="X167" i="6"/>
  <c r="AE166" i="6"/>
  <c r="AD166" i="6"/>
  <c r="AG166" i="6" s="1"/>
  <c r="AC166" i="6"/>
  <c r="Y166" i="6"/>
  <c r="X166" i="6"/>
  <c r="AE165" i="6"/>
  <c r="AD165" i="6"/>
  <c r="AF165" i="6" s="1"/>
  <c r="AC165" i="6"/>
  <c r="Y165" i="6"/>
  <c r="X165" i="6"/>
  <c r="AE164" i="6"/>
  <c r="AD164" i="6"/>
  <c r="AF164" i="6" s="1"/>
  <c r="AC164" i="6"/>
  <c r="Y164" i="6"/>
  <c r="X164" i="6"/>
  <c r="AE163" i="6"/>
  <c r="AD163" i="6"/>
  <c r="AC163" i="6"/>
  <c r="Y163" i="6"/>
  <c r="X163" i="6"/>
  <c r="AE162" i="6"/>
  <c r="AD162" i="6"/>
  <c r="AF162" i="6" s="1"/>
  <c r="AC162" i="6"/>
  <c r="Y162" i="6"/>
  <c r="X162" i="6"/>
  <c r="AE161" i="6"/>
  <c r="AD161" i="6"/>
  <c r="AG161" i="6" s="1"/>
  <c r="AC161" i="6"/>
  <c r="Y161" i="6"/>
  <c r="X161" i="6"/>
  <c r="AE160" i="6"/>
  <c r="AD160" i="6"/>
  <c r="AC160" i="6"/>
  <c r="Y160" i="6"/>
  <c r="X160" i="6"/>
  <c r="AE159" i="6"/>
  <c r="AD159" i="6"/>
  <c r="AC159" i="6"/>
  <c r="Y159" i="6"/>
  <c r="X159" i="6"/>
  <c r="AE158" i="6"/>
  <c r="AD158" i="6"/>
  <c r="AG158" i="6" s="1"/>
  <c r="AC158" i="6"/>
  <c r="Y158" i="6"/>
  <c r="X158" i="6"/>
  <c r="AE157" i="6"/>
  <c r="AD157" i="6"/>
  <c r="AF157" i="6" s="1"/>
  <c r="AC157" i="6"/>
  <c r="Y157" i="6"/>
  <c r="X157" i="6"/>
  <c r="AE156" i="6"/>
  <c r="AD156" i="6"/>
  <c r="AF156" i="6" s="1"/>
  <c r="AC156" i="6"/>
  <c r="Y156" i="6"/>
  <c r="X156" i="6"/>
  <c r="AE155" i="6"/>
  <c r="AD155" i="6"/>
  <c r="AC155" i="6"/>
  <c r="Y155" i="6"/>
  <c r="X155" i="6"/>
  <c r="AE154" i="6"/>
  <c r="AD154" i="6"/>
  <c r="AF154" i="6" s="1"/>
  <c r="AC154" i="6"/>
  <c r="Y154" i="6"/>
  <c r="X154" i="6"/>
  <c r="AE153" i="6"/>
  <c r="AD153" i="6"/>
  <c r="AF153" i="6" s="1"/>
  <c r="AC153" i="6"/>
  <c r="Y153" i="6"/>
  <c r="X153" i="6"/>
  <c r="AE152" i="6"/>
  <c r="AD152" i="6"/>
  <c r="AC152" i="6"/>
  <c r="Y152" i="6"/>
  <c r="X152" i="6"/>
  <c r="AE151" i="6"/>
  <c r="AD151" i="6"/>
  <c r="AG151" i="6" s="1"/>
  <c r="AC151" i="6"/>
  <c r="Y151" i="6"/>
  <c r="X151" i="6"/>
  <c r="AE150" i="6"/>
  <c r="AD150" i="6"/>
  <c r="AG150" i="6" s="1"/>
  <c r="AC150" i="6"/>
  <c r="Y150" i="6"/>
  <c r="X150" i="6"/>
  <c r="AE149" i="6"/>
  <c r="AD149" i="6"/>
  <c r="AG149" i="6" s="1"/>
  <c r="AC149" i="6"/>
  <c r="Y149" i="6"/>
  <c r="X149" i="6"/>
  <c r="AE148" i="6"/>
  <c r="AD148" i="6"/>
  <c r="AF148" i="6" s="1"/>
  <c r="AC148" i="6"/>
  <c r="Y148" i="6"/>
  <c r="X148" i="6"/>
  <c r="AE147" i="6"/>
  <c r="AD147" i="6"/>
  <c r="AG147" i="6" s="1"/>
  <c r="AC147" i="6"/>
  <c r="Y147" i="6"/>
  <c r="X147" i="6"/>
  <c r="AE146" i="6"/>
  <c r="AD146" i="6"/>
  <c r="AC146" i="6"/>
  <c r="Y146" i="6"/>
  <c r="X146" i="6"/>
  <c r="AE145" i="6"/>
  <c r="AD145" i="6"/>
  <c r="AG145" i="6" s="1"/>
  <c r="AC145" i="6"/>
  <c r="Y145" i="6"/>
  <c r="X145" i="6"/>
  <c r="AE144" i="6"/>
  <c r="AD144" i="6"/>
  <c r="AC144" i="6"/>
  <c r="Y144" i="6"/>
  <c r="X144" i="6"/>
  <c r="AE143" i="6"/>
  <c r="AD143" i="6"/>
  <c r="AG143" i="6" s="1"/>
  <c r="AC143" i="6"/>
  <c r="Y143" i="6"/>
  <c r="X143" i="6"/>
  <c r="AE142" i="6"/>
  <c r="AD142" i="6"/>
  <c r="AF142" i="6" s="1"/>
  <c r="AC142" i="6"/>
  <c r="Y142" i="6"/>
  <c r="X142" i="6"/>
  <c r="AE141" i="6"/>
  <c r="AD141" i="6"/>
  <c r="AC141" i="6"/>
  <c r="Y141" i="6"/>
  <c r="X141" i="6"/>
  <c r="AE140" i="6"/>
  <c r="AD140" i="6"/>
  <c r="AF140" i="6" s="1"/>
  <c r="AC140" i="6"/>
  <c r="Y140" i="6"/>
  <c r="X140" i="6"/>
  <c r="AE139" i="6"/>
  <c r="AD139" i="6"/>
  <c r="AC139" i="6"/>
  <c r="Y139" i="6"/>
  <c r="X139" i="6"/>
  <c r="AE138" i="6"/>
  <c r="AD138" i="6"/>
  <c r="AC138" i="6"/>
  <c r="Y138" i="6"/>
  <c r="X138" i="6"/>
  <c r="AE137" i="6"/>
  <c r="AD137" i="6"/>
  <c r="AC137" i="6"/>
  <c r="Y137" i="6"/>
  <c r="X137" i="6"/>
  <c r="AE136" i="6"/>
  <c r="AD136" i="6"/>
  <c r="AF136" i="6" s="1"/>
  <c r="AC136" i="6"/>
  <c r="Y136" i="6"/>
  <c r="X136" i="6"/>
  <c r="AE135" i="6"/>
  <c r="AD135" i="6"/>
  <c r="AC135" i="6"/>
  <c r="Y135" i="6"/>
  <c r="X135" i="6"/>
  <c r="AE134" i="6"/>
  <c r="AD134" i="6"/>
  <c r="AG134" i="6" s="1"/>
  <c r="AC134" i="6"/>
  <c r="Y134" i="6"/>
  <c r="X134" i="6"/>
  <c r="AE133" i="6"/>
  <c r="AD133" i="6"/>
  <c r="AF133" i="6" s="1"/>
  <c r="AC133" i="6"/>
  <c r="Y133" i="6"/>
  <c r="X133" i="6"/>
  <c r="AE132" i="6"/>
  <c r="AD132" i="6"/>
  <c r="AF132" i="6" s="1"/>
  <c r="AC132" i="6"/>
  <c r="Y132" i="6"/>
  <c r="X132" i="6"/>
  <c r="AE131" i="6"/>
  <c r="AD131" i="6"/>
  <c r="AG131" i="6" s="1"/>
  <c r="AC131" i="6"/>
  <c r="Y131" i="6"/>
  <c r="X131" i="6"/>
  <c r="AE130" i="6"/>
  <c r="AD130" i="6"/>
  <c r="AG130" i="6" s="1"/>
  <c r="AC130" i="6"/>
  <c r="Y130" i="6"/>
  <c r="X130" i="6"/>
  <c r="AE129" i="6"/>
  <c r="AD129" i="6"/>
  <c r="AG129" i="6" s="1"/>
  <c r="AC129" i="6"/>
  <c r="Y129" i="6"/>
  <c r="X129" i="6"/>
  <c r="AE128" i="6"/>
  <c r="AD128" i="6"/>
  <c r="AC128" i="6"/>
  <c r="Y128" i="6"/>
  <c r="X128" i="6"/>
  <c r="AE127" i="6"/>
  <c r="AD127" i="6"/>
  <c r="AG127" i="6" s="1"/>
  <c r="AC127" i="6"/>
  <c r="Y127" i="6"/>
  <c r="X127" i="6"/>
  <c r="AE126" i="6"/>
  <c r="AD126" i="6"/>
  <c r="AG126" i="6" s="1"/>
  <c r="AC126" i="6"/>
  <c r="Y126" i="6"/>
  <c r="X126" i="6"/>
  <c r="AE125" i="6"/>
  <c r="AD125" i="6"/>
  <c r="AC125" i="6"/>
  <c r="Y125" i="6"/>
  <c r="X125" i="6"/>
  <c r="AE124" i="6"/>
  <c r="AD124" i="6"/>
  <c r="AG124" i="6" s="1"/>
  <c r="AC124" i="6"/>
  <c r="Y124" i="6"/>
  <c r="X124" i="6"/>
  <c r="AE123" i="6"/>
  <c r="AD123" i="6"/>
  <c r="AG123" i="6" s="1"/>
  <c r="AC123" i="6"/>
  <c r="Y123" i="6"/>
  <c r="X123" i="6"/>
  <c r="AE122" i="6"/>
  <c r="AD122" i="6"/>
  <c r="AC122" i="6"/>
  <c r="Y122" i="6"/>
  <c r="X122" i="6"/>
  <c r="AE121" i="6"/>
  <c r="AD121" i="6"/>
  <c r="AF121" i="6" s="1"/>
  <c r="AC121" i="6"/>
  <c r="Y121" i="6"/>
  <c r="X121" i="6"/>
  <c r="AE120" i="6"/>
  <c r="AD120" i="6"/>
  <c r="AC120" i="6"/>
  <c r="Y120" i="6"/>
  <c r="X120" i="6"/>
  <c r="AE119" i="6"/>
  <c r="AD119" i="6"/>
  <c r="AC119" i="6"/>
  <c r="Y119" i="6"/>
  <c r="X119" i="6"/>
  <c r="AE118" i="6"/>
  <c r="AD118" i="6"/>
  <c r="AF118" i="6" s="1"/>
  <c r="AC118" i="6"/>
  <c r="Y118" i="6"/>
  <c r="X118" i="6"/>
  <c r="AE117" i="6"/>
  <c r="AD117" i="6"/>
  <c r="AG117" i="6" s="1"/>
  <c r="AC117" i="6"/>
  <c r="Y117" i="6"/>
  <c r="X117" i="6"/>
  <c r="AE116" i="6"/>
  <c r="AD116" i="6"/>
  <c r="AF116" i="6" s="1"/>
  <c r="AC116" i="6"/>
  <c r="Y116" i="6"/>
  <c r="X116" i="6"/>
  <c r="AE115" i="6"/>
  <c r="AD115" i="6"/>
  <c r="AG115" i="6" s="1"/>
  <c r="AC115" i="6"/>
  <c r="Y115" i="6"/>
  <c r="X115" i="6"/>
  <c r="AE114" i="6"/>
  <c r="AD114" i="6"/>
  <c r="AG114" i="6" s="1"/>
  <c r="AC114" i="6"/>
  <c r="Y114" i="6"/>
  <c r="X114" i="6"/>
  <c r="AE113" i="6"/>
  <c r="AD113" i="6"/>
  <c r="AF113" i="6" s="1"/>
  <c r="AC113" i="6"/>
  <c r="Y113" i="6"/>
  <c r="X113" i="6"/>
  <c r="AE112" i="6"/>
  <c r="AD112" i="6"/>
  <c r="AF112" i="6" s="1"/>
  <c r="AC112" i="6"/>
  <c r="Y112" i="6"/>
  <c r="X112" i="6"/>
  <c r="AE111" i="6"/>
  <c r="AD111" i="6"/>
  <c r="AC111" i="6"/>
  <c r="Y111" i="6"/>
  <c r="X111" i="6"/>
  <c r="AE110" i="6"/>
  <c r="AD110" i="6"/>
  <c r="AG110" i="6" s="1"/>
  <c r="AC110" i="6"/>
  <c r="Y110" i="6"/>
  <c r="X110" i="6"/>
  <c r="AE109" i="6"/>
  <c r="AD109" i="6"/>
  <c r="AG109" i="6" s="1"/>
  <c r="AC109" i="6"/>
  <c r="Y109" i="6"/>
  <c r="X109" i="6"/>
  <c r="AE108" i="6"/>
  <c r="AD108" i="6"/>
  <c r="AC108" i="6"/>
  <c r="Y108" i="6"/>
  <c r="X108" i="6"/>
  <c r="AE107" i="6"/>
  <c r="AD107" i="6"/>
  <c r="AC107" i="6"/>
  <c r="Y107" i="6"/>
  <c r="X107" i="6"/>
  <c r="AE106" i="6"/>
  <c r="AD106" i="6"/>
  <c r="AG106" i="6" s="1"/>
  <c r="AC106" i="6"/>
  <c r="Y106" i="6"/>
  <c r="X106" i="6"/>
  <c r="AE105" i="6"/>
  <c r="AD105" i="6"/>
  <c r="AF105" i="6" s="1"/>
  <c r="AC105" i="6"/>
  <c r="Y105" i="6"/>
  <c r="X105" i="6"/>
  <c r="AE104" i="6"/>
  <c r="AD104" i="6"/>
  <c r="AF104" i="6" s="1"/>
  <c r="AC104" i="6"/>
  <c r="Y104" i="6"/>
  <c r="X104" i="6"/>
  <c r="AE103" i="6"/>
  <c r="AD103" i="6"/>
  <c r="AC103" i="6"/>
  <c r="Y103" i="6"/>
  <c r="X103" i="6"/>
  <c r="AE102" i="6"/>
  <c r="AD102" i="6"/>
  <c r="AC102" i="6"/>
  <c r="Y102" i="6"/>
  <c r="X102" i="6"/>
  <c r="AE101" i="6"/>
  <c r="AD101" i="6"/>
  <c r="AG101" i="6" s="1"/>
  <c r="AC101" i="6"/>
  <c r="Y101" i="6"/>
  <c r="X101" i="6"/>
  <c r="AE100" i="6"/>
  <c r="AD100" i="6"/>
  <c r="AC100" i="6"/>
  <c r="Y100" i="6"/>
  <c r="X100" i="6"/>
  <c r="AE99" i="6"/>
  <c r="AD99" i="6"/>
  <c r="AG99" i="6" s="1"/>
  <c r="AC99" i="6"/>
  <c r="Y99" i="6"/>
  <c r="X99" i="6"/>
  <c r="AE98" i="6"/>
  <c r="AD98" i="6"/>
  <c r="AC98" i="6"/>
  <c r="Y98" i="6"/>
  <c r="X98" i="6"/>
  <c r="AE97" i="6"/>
  <c r="AD97" i="6"/>
  <c r="AC97" i="6"/>
  <c r="Y97" i="6"/>
  <c r="X97" i="6"/>
  <c r="AE96" i="6"/>
  <c r="AD96" i="6"/>
  <c r="AG96" i="6" s="1"/>
  <c r="AC96" i="6"/>
  <c r="Y96" i="6"/>
  <c r="X96" i="6"/>
  <c r="AE95" i="6"/>
  <c r="AD95" i="6"/>
  <c r="AC95" i="6"/>
  <c r="Y95" i="6"/>
  <c r="X95" i="6"/>
  <c r="AE94" i="6"/>
  <c r="AD94" i="6"/>
  <c r="AF94" i="6" s="1"/>
  <c r="AC94" i="6"/>
  <c r="Y94" i="6"/>
  <c r="X94" i="6"/>
  <c r="AE93" i="6"/>
  <c r="AD93" i="6"/>
  <c r="AF93" i="6" s="1"/>
  <c r="AC93" i="6"/>
  <c r="Y93" i="6"/>
  <c r="X93" i="6"/>
  <c r="AE92" i="6"/>
  <c r="AD92" i="6"/>
  <c r="AG92" i="6" s="1"/>
  <c r="AC92" i="6"/>
  <c r="Y92" i="6"/>
  <c r="X92" i="6"/>
  <c r="AE91" i="6"/>
  <c r="AD91" i="6"/>
  <c r="AG91" i="6" s="1"/>
  <c r="AC91" i="6"/>
  <c r="Y91" i="6"/>
  <c r="X91" i="6"/>
  <c r="AE90" i="6"/>
  <c r="AD90" i="6"/>
  <c r="AC90" i="6"/>
  <c r="Y90" i="6"/>
  <c r="X90" i="6"/>
  <c r="AE89" i="6"/>
  <c r="AD89" i="6"/>
  <c r="AG89" i="6" s="1"/>
  <c r="AC89" i="6"/>
  <c r="Y89" i="6"/>
  <c r="X89" i="6"/>
  <c r="AE88" i="6"/>
  <c r="AD88" i="6"/>
  <c r="AC88" i="6"/>
  <c r="Y88" i="6"/>
  <c r="X88" i="6"/>
  <c r="AE87" i="6"/>
  <c r="AD87" i="6"/>
  <c r="AC87" i="6"/>
  <c r="Y87" i="6"/>
  <c r="X87" i="6"/>
  <c r="AE86" i="6"/>
  <c r="AD86" i="6"/>
  <c r="AG86" i="6" s="1"/>
  <c r="AC86" i="6"/>
  <c r="Y86" i="6"/>
  <c r="X86" i="6"/>
  <c r="AE85" i="6"/>
  <c r="AD85" i="6"/>
  <c r="AG85" i="6" s="1"/>
  <c r="AC85" i="6"/>
  <c r="Y85" i="6"/>
  <c r="X85" i="6"/>
  <c r="AE84" i="6"/>
  <c r="AD84" i="6"/>
  <c r="AF84" i="6" s="1"/>
  <c r="AC84" i="6"/>
  <c r="Y84" i="6"/>
  <c r="X84" i="6"/>
  <c r="AE83" i="6"/>
  <c r="AD83" i="6"/>
  <c r="AG83" i="6" s="1"/>
  <c r="AC83" i="6"/>
  <c r="Y83" i="6"/>
  <c r="X83" i="6"/>
  <c r="AE82" i="6"/>
  <c r="AD82" i="6"/>
  <c r="AG82" i="6" s="1"/>
  <c r="AC82" i="6"/>
  <c r="Y82" i="6"/>
  <c r="X82" i="6"/>
  <c r="AE81" i="6"/>
  <c r="AD81" i="6"/>
  <c r="AF81" i="6" s="1"/>
  <c r="AC81" i="6"/>
  <c r="Y81" i="6"/>
  <c r="X81" i="6"/>
  <c r="AE80" i="6"/>
  <c r="AD80" i="6"/>
  <c r="AF80" i="6" s="1"/>
  <c r="AC80" i="6"/>
  <c r="Y80" i="6"/>
  <c r="X80" i="6"/>
  <c r="AE79" i="6"/>
  <c r="AD79" i="6"/>
  <c r="AG79" i="6" s="1"/>
  <c r="AC79" i="6"/>
  <c r="Y79" i="6"/>
  <c r="X79" i="6"/>
  <c r="AE78" i="6"/>
  <c r="AD78" i="6"/>
  <c r="AG78" i="6" s="1"/>
  <c r="AC78" i="6"/>
  <c r="Y78" i="6"/>
  <c r="X78" i="6"/>
  <c r="AE77" i="6"/>
  <c r="AD77" i="6"/>
  <c r="AF77" i="6" s="1"/>
  <c r="AC77" i="6"/>
  <c r="Y77" i="6"/>
  <c r="X77" i="6"/>
  <c r="AE76" i="6"/>
  <c r="AD76" i="6"/>
  <c r="AG76" i="6" s="1"/>
  <c r="AC76" i="6"/>
  <c r="Y76" i="6"/>
  <c r="X76" i="6"/>
  <c r="AE75" i="6"/>
  <c r="AD75" i="6"/>
  <c r="AC75" i="6"/>
  <c r="Y75" i="6"/>
  <c r="X75" i="6"/>
  <c r="AE74" i="6"/>
  <c r="AD74" i="6"/>
  <c r="AG74" i="6" s="1"/>
  <c r="AC74" i="6"/>
  <c r="Y74" i="6"/>
  <c r="X74" i="6"/>
  <c r="AE73" i="6"/>
  <c r="AD73" i="6"/>
  <c r="AC73" i="6"/>
  <c r="Y73" i="6"/>
  <c r="X73" i="6"/>
  <c r="AE72" i="6"/>
  <c r="AD72" i="6"/>
  <c r="AC72" i="6"/>
  <c r="Y72" i="6"/>
  <c r="X72" i="6"/>
  <c r="AE71" i="6"/>
  <c r="AD71" i="6"/>
  <c r="AC71" i="6"/>
  <c r="Y71" i="6"/>
  <c r="X71" i="6"/>
  <c r="AE70" i="6"/>
  <c r="AD70" i="6"/>
  <c r="AC70" i="6"/>
  <c r="Y70" i="6"/>
  <c r="X70" i="6"/>
  <c r="AE69" i="6"/>
  <c r="AD69" i="6"/>
  <c r="AG69" i="6" s="1"/>
  <c r="AC69" i="6"/>
  <c r="Y69" i="6"/>
  <c r="X69" i="6"/>
  <c r="AE68" i="6"/>
  <c r="AD68" i="6"/>
  <c r="AC68" i="6"/>
  <c r="Y68" i="6"/>
  <c r="X68" i="6"/>
  <c r="AE67" i="6"/>
  <c r="AD67" i="6"/>
  <c r="AG67" i="6" s="1"/>
  <c r="AC67" i="6"/>
  <c r="Y67" i="6"/>
  <c r="X67" i="6"/>
  <c r="AE66" i="6"/>
  <c r="AD66" i="6"/>
  <c r="AC66" i="6"/>
  <c r="Y66" i="6"/>
  <c r="X66" i="6"/>
  <c r="AE65" i="6"/>
  <c r="AD65" i="6"/>
  <c r="AG65" i="6" s="1"/>
  <c r="AC65" i="6"/>
  <c r="Y65" i="6"/>
  <c r="X65" i="6"/>
  <c r="AE64" i="6"/>
  <c r="AD64" i="6"/>
  <c r="AF64" i="6" s="1"/>
  <c r="AC64" i="6"/>
  <c r="Y64" i="6"/>
  <c r="X64" i="6"/>
  <c r="AE63" i="6"/>
  <c r="AD63" i="6"/>
  <c r="AC63" i="6"/>
  <c r="Y63" i="6"/>
  <c r="X63" i="6"/>
  <c r="AE62" i="6"/>
  <c r="AD62" i="6"/>
  <c r="AG62" i="6" s="1"/>
  <c r="AC62" i="6"/>
  <c r="Y62" i="6"/>
  <c r="X62" i="6"/>
  <c r="AE61" i="6"/>
  <c r="AD61" i="6"/>
  <c r="AG61" i="6" s="1"/>
  <c r="AC61" i="6"/>
  <c r="Y61" i="6"/>
  <c r="X61" i="6"/>
  <c r="AE60" i="6"/>
  <c r="AD60" i="6"/>
  <c r="AG60" i="6" s="1"/>
  <c r="AC60" i="6"/>
  <c r="Y60" i="6"/>
  <c r="X60" i="6"/>
  <c r="AE59" i="6"/>
  <c r="AD59" i="6"/>
  <c r="AC59" i="6"/>
  <c r="Y59" i="6"/>
  <c r="X59" i="6"/>
  <c r="AE58" i="6"/>
  <c r="AD58" i="6"/>
  <c r="AF58" i="6" s="1"/>
  <c r="AC58" i="6"/>
  <c r="Y58" i="6"/>
  <c r="X58" i="6"/>
  <c r="AE57" i="6"/>
  <c r="AD57" i="6"/>
  <c r="AF57" i="6" s="1"/>
  <c r="AC57" i="6"/>
  <c r="Y57" i="6"/>
  <c r="X57" i="6"/>
  <c r="AE56" i="6"/>
  <c r="AD56" i="6"/>
  <c r="AF56" i="6" s="1"/>
  <c r="AC56" i="6"/>
  <c r="Y56" i="6"/>
  <c r="X56" i="6"/>
  <c r="AE55" i="6"/>
  <c r="AD55" i="6"/>
  <c r="AG55" i="6" s="1"/>
  <c r="AC55" i="6"/>
  <c r="Y55" i="6"/>
  <c r="X55" i="6"/>
  <c r="AE54" i="6"/>
  <c r="AD54" i="6"/>
  <c r="AF54" i="6" s="1"/>
  <c r="AC54" i="6"/>
  <c r="Y54" i="6"/>
  <c r="X54" i="6"/>
  <c r="AE53" i="6"/>
  <c r="AD53" i="6"/>
  <c r="AC53" i="6"/>
  <c r="Y53" i="6"/>
  <c r="X53" i="6"/>
  <c r="AE52" i="6"/>
  <c r="AD52" i="6"/>
  <c r="AF52" i="6" s="1"/>
  <c r="AC52" i="6"/>
  <c r="Y52" i="6"/>
  <c r="X52" i="6"/>
  <c r="AE51" i="6"/>
  <c r="AD51" i="6"/>
  <c r="AG51" i="6" s="1"/>
  <c r="AC51" i="6"/>
  <c r="Y51" i="6"/>
  <c r="X51" i="6"/>
  <c r="AE50" i="6"/>
  <c r="AD50" i="6"/>
  <c r="AG50" i="6" s="1"/>
  <c r="AC50" i="6"/>
  <c r="Y50" i="6"/>
  <c r="X50" i="6"/>
  <c r="AE49" i="6"/>
  <c r="AD49" i="6"/>
  <c r="AF49" i="6" s="1"/>
  <c r="AC49" i="6"/>
  <c r="Y49" i="6"/>
  <c r="X49" i="6"/>
  <c r="AE48" i="6"/>
  <c r="AD48" i="6"/>
  <c r="AG48" i="6" s="1"/>
  <c r="AC48" i="6"/>
  <c r="Y48" i="6"/>
  <c r="X48" i="6"/>
  <c r="AE47" i="6"/>
  <c r="AD47" i="6"/>
  <c r="AC47" i="6"/>
  <c r="Y47" i="6"/>
  <c r="X47" i="6"/>
  <c r="AE46" i="6"/>
  <c r="AD46" i="6"/>
  <c r="AF46" i="6" s="1"/>
  <c r="AC46" i="6"/>
  <c r="Y46" i="6"/>
  <c r="X46" i="6"/>
  <c r="AE45" i="6"/>
  <c r="AD45" i="6"/>
  <c r="AF45" i="6" s="1"/>
  <c r="AC45" i="6"/>
  <c r="Y45" i="6"/>
  <c r="X45" i="6"/>
  <c r="AE44" i="6"/>
  <c r="AD44" i="6"/>
  <c r="AG44" i="6" s="1"/>
  <c r="AC44" i="6"/>
  <c r="Y44" i="6"/>
  <c r="X44" i="6"/>
  <c r="AE43" i="6"/>
  <c r="AD43" i="6"/>
  <c r="AG43" i="6" s="1"/>
  <c r="AC43" i="6"/>
  <c r="Y43" i="6"/>
  <c r="X43" i="6"/>
  <c r="AE42" i="6"/>
  <c r="AD42" i="6"/>
  <c r="AG42" i="6" s="1"/>
  <c r="AC42" i="6"/>
  <c r="Y42" i="6"/>
  <c r="X42" i="6"/>
  <c r="AE41" i="6"/>
  <c r="AD41" i="6"/>
  <c r="AG41" i="6" s="1"/>
  <c r="AC41" i="6"/>
  <c r="Y41" i="6"/>
  <c r="X41" i="6"/>
  <c r="AE40" i="6"/>
  <c r="AD40" i="6"/>
  <c r="AF40" i="6" s="1"/>
  <c r="AC40" i="6"/>
  <c r="Y40" i="6"/>
  <c r="X40" i="6"/>
  <c r="AE39" i="6"/>
  <c r="AD39" i="6"/>
  <c r="AC39" i="6"/>
  <c r="Y39" i="6"/>
  <c r="X39" i="6"/>
  <c r="AE38" i="6"/>
  <c r="AD38" i="6"/>
  <c r="AF38" i="6" s="1"/>
  <c r="AC38" i="6"/>
  <c r="Y38" i="6"/>
  <c r="X38" i="6"/>
  <c r="AE37" i="6"/>
  <c r="AD37" i="6"/>
  <c r="AF37" i="6" s="1"/>
  <c r="AC37" i="6"/>
  <c r="Y37" i="6"/>
  <c r="X37" i="6"/>
  <c r="AE36" i="6"/>
  <c r="AD36" i="6"/>
  <c r="AG36" i="6" s="1"/>
  <c r="AC36" i="6"/>
  <c r="Y36" i="6"/>
  <c r="X36" i="6"/>
  <c r="AE35" i="6"/>
  <c r="AD35" i="6"/>
  <c r="AG35" i="6" s="1"/>
  <c r="AC35" i="6"/>
  <c r="Y35" i="6"/>
  <c r="X35" i="6"/>
  <c r="AE34" i="6"/>
  <c r="AD34" i="6"/>
  <c r="AG34" i="6" s="1"/>
  <c r="AC34" i="6"/>
  <c r="Y34" i="6"/>
  <c r="X34" i="6"/>
  <c r="AE33" i="6"/>
  <c r="AD33" i="6"/>
  <c r="AF33" i="6" s="1"/>
  <c r="AC33" i="6"/>
  <c r="Y33" i="6"/>
  <c r="X33" i="6"/>
  <c r="AE32" i="6"/>
  <c r="AD32" i="6"/>
  <c r="AF32" i="6" s="1"/>
  <c r="AC32" i="6"/>
  <c r="Y32" i="6"/>
  <c r="X32" i="6"/>
  <c r="AE31" i="6"/>
  <c r="AD31" i="6"/>
  <c r="AG31" i="6" s="1"/>
  <c r="AC31" i="6"/>
  <c r="Y31" i="6"/>
  <c r="X31" i="6"/>
  <c r="AE30" i="6"/>
  <c r="AD30" i="6"/>
  <c r="AG30" i="6" s="1"/>
  <c r="AC30" i="6"/>
  <c r="Y30" i="6"/>
  <c r="X30" i="6"/>
  <c r="AE29" i="6"/>
  <c r="AD29" i="6"/>
  <c r="AG29" i="6" s="1"/>
  <c r="AC29" i="6"/>
  <c r="Y29" i="6"/>
  <c r="X29" i="6"/>
  <c r="AE28" i="6"/>
  <c r="AD28" i="6"/>
  <c r="AG28" i="6" s="1"/>
  <c r="AC28" i="6"/>
  <c r="Y28" i="6"/>
  <c r="X28" i="6"/>
  <c r="AE27" i="6"/>
  <c r="AD27" i="6"/>
  <c r="AC27" i="6"/>
  <c r="Y27" i="6"/>
  <c r="X27" i="6"/>
  <c r="AE26" i="6"/>
  <c r="AD26" i="6"/>
  <c r="AF26" i="6" s="1"/>
  <c r="AC26" i="6"/>
  <c r="Y26" i="6"/>
  <c r="X26" i="6"/>
  <c r="AE25" i="6"/>
  <c r="AD25" i="6"/>
  <c r="AF25" i="6" s="1"/>
  <c r="AC25" i="6"/>
  <c r="Y25" i="6"/>
  <c r="X25" i="6"/>
  <c r="AE24" i="6"/>
  <c r="AD24" i="6"/>
  <c r="AF24" i="6" s="1"/>
  <c r="AC24" i="6"/>
  <c r="Y24" i="6"/>
  <c r="X24" i="6"/>
  <c r="AE23" i="6"/>
  <c r="AD23" i="6"/>
  <c r="AC23" i="6"/>
  <c r="Y23" i="6"/>
  <c r="X23" i="6"/>
  <c r="AE22" i="6"/>
  <c r="AD22" i="6"/>
  <c r="AF22" i="6" s="1"/>
  <c r="AC22" i="6"/>
  <c r="Y22" i="6"/>
  <c r="X22" i="6"/>
  <c r="AE21" i="6"/>
  <c r="AD21" i="6"/>
  <c r="AG21" i="6" s="1"/>
  <c r="AC21" i="6"/>
  <c r="Y21" i="6"/>
  <c r="X21" i="6"/>
  <c r="AE20" i="6"/>
  <c r="AD20" i="6"/>
  <c r="AG20" i="6" s="1"/>
  <c r="AC20" i="6"/>
  <c r="Y20" i="6"/>
  <c r="X20" i="6"/>
  <c r="AE19" i="6"/>
  <c r="AD19" i="6"/>
  <c r="AG19" i="6" s="1"/>
  <c r="AC19" i="6"/>
  <c r="Y19" i="6"/>
  <c r="X19" i="6"/>
  <c r="AE18" i="6"/>
  <c r="AD18" i="6"/>
  <c r="AG18" i="6" s="1"/>
  <c r="AC18" i="6"/>
  <c r="Y18" i="6"/>
  <c r="X18" i="6"/>
  <c r="AE17" i="6"/>
  <c r="AD17" i="6"/>
  <c r="AG17" i="6" s="1"/>
  <c r="AC17" i="6"/>
  <c r="Y17" i="6"/>
  <c r="X17" i="6"/>
  <c r="AE16" i="6"/>
  <c r="AD16" i="6"/>
  <c r="AC16" i="6"/>
  <c r="Y16" i="6"/>
  <c r="X16" i="6"/>
  <c r="AE15" i="6"/>
  <c r="AD15" i="6"/>
  <c r="AG15" i="6" s="1"/>
  <c r="AC15" i="6"/>
  <c r="Y15" i="6"/>
  <c r="X15" i="6"/>
  <c r="AE14" i="6"/>
  <c r="AD14" i="6"/>
  <c r="AF14" i="6" s="1"/>
  <c r="AC14" i="6"/>
  <c r="Y14" i="6"/>
  <c r="X14" i="6"/>
  <c r="AE13" i="6"/>
  <c r="AD13" i="6"/>
  <c r="AC13" i="6"/>
  <c r="Y13" i="6"/>
  <c r="X13" i="6"/>
  <c r="AE12" i="6"/>
  <c r="AD12" i="6"/>
  <c r="AC12" i="6"/>
  <c r="Y12" i="6"/>
  <c r="X12" i="6"/>
  <c r="AE11" i="6"/>
  <c r="AD11" i="6"/>
  <c r="AG11" i="6" s="1"/>
  <c r="AC11" i="6"/>
  <c r="Y11" i="6"/>
  <c r="X11" i="6"/>
  <c r="AE10" i="6"/>
  <c r="AD10" i="6"/>
  <c r="AG10" i="6" s="1"/>
  <c r="AC10" i="6"/>
  <c r="Y10" i="6"/>
  <c r="X10" i="6"/>
  <c r="AE9" i="6"/>
  <c r="AD9" i="6"/>
  <c r="AG9" i="6" s="1"/>
  <c r="AC9" i="6"/>
  <c r="Y9" i="6"/>
  <c r="X9" i="6"/>
  <c r="AE8" i="6"/>
  <c r="AD8" i="6"/>
  <c r="AF8" i="6" s="1"/>
  <c r="AC8" i="6"/>
  <c r="Y8" i="6"/>
  <c r="X8" i="6"/>
  <c r="AE7" i="6"/>
  <c r="AD7" i="6"/>
  <c r="AG7" i="6" s="1"/>
  <c r="AC7" i="6"/>
  <c r="Y7" i="6"/>
  <c r="X7" i="6"/>
  <c r="AE6" i="6"/>
  <c r="AD6" i="6"/>
  <c r="AC6" i="6"/>
  <c r="Y6" i="6"/>
  <c r="X6" i="6"/>
  <c r="AE5" i="6"/>
  <c r="AD5" i="6"/>
  <c r="AG5" i="6" s="1"/>
  <c r="AC5" i="6"/>
  <c r="Y5" i="6"/>
  <c r="X5" i="6"/>
  <c r="AE4" i="6"/>
  <c r="AD4" i="6"/>
  <c r="AF4" i="6" s="1"/>
  <c r="AC4" i="6"/>
  <c r="Y4" i="6"/>
  <c r="X4" i="6"/>
  <c r="AE3" i="6"/>
  <c r="AD3" i="6"/>
  <c r="AG3" i="6" s="1"/>
  <c r="AC3" i="6"/>
  <c r="Y3" i="6"/>
  <c r="X3" i="6"/>
  <c r="AE2" i="6"/>
  <c r="AD2" i="6"/>
  <c r="AC2" i="6"/>
  <c r="Y2" i="6"/>
  <c r="X2" i="6"/>
  <c r="AG277" i="6" l="1"/>
  <c r="AG777" i="6"/>
  <c r="AF880" i="6"/>
  <c r="AB880" i="6" s="1"/>
  <c r="AF887" i="6"/>
  <c r="AF15" i="6"/>
  <c r="AB15" i="6" s="1"/>
  <c r="AG343" i="6"/>
  <c r="AB343" i="6" s="1"/>
  <c r="Z343" i="6" s="1"/>
  <c r="AF482" i="6"/>
  <c r="AB482" i="6" s="1"/>
  <c r="Z482" i="6" s="1"/>
  <c r="AF1063" i="6"/>
  <c r="AF1070" i="6"/>
  <c r="AF989" i="6"/>
  <c r="AF298" i="6"/>
  <c r="AB298" i="6" s="1"/>
  <c r="Z298" i="6" s="1"/>
  <c r="AG1248" i="6"/>
  <c r="AB1248" i="6" s="1"/>
  <c r="Z1248" i="6" s="1"/>
  <c r="AF706" i="6"/>
  <c r="AB706" i="6" s="1"/>
  <c r="Z706" i="6" s="1"/>
  <c r="AF708" i="6"/>
  <c r="AG945" i="6"/>
  <c r="AF976" i="6"/>
  <c r="AF251" i="6"/>
  <c r="AF67" i="6"/>
  <c r="AB67" i="6" s="1"/>
  <c r="Z67" i="6" s="1"/>
  <c r="AG1304" i="6"/>
  <c r="AB1304" i="6" s="1"/>
  <c r="Z1304" i="6" s="1"/>
  <c r="AF1416" i="6"/>
  <c r="AF1423" i="6"/>
  <c r="AG46" i="6"/>
  <c r="AB46" i="6" s="1"/>
  <c r="Z46" i="6" s="1"/>
  <c r="AF18" i="6"/>
  <c r="AB18" i="6" s="1"/>
  <c r="Z18" i="6" s="1"/>
  <c r="AG37" i="6"/>
  <c r="AB37" i="6" s="1"/>
  <c r="Z37" i="6" s="1"/>
  <c r="AF190" i="6"/>
  <c r="AB190" i="6" s="1"/>
  <c r="Z190" i="6" s="1"/>
  <c r="AG1284" i="6"/>
  <c r="AF1400" i="6"/>
  <c r="AF359" i="6"/>
  <c r="AB359" i="6" s="1"/>
  <c r="Z359" i="6" s="1"/>
  <c r="AF378" i="6"/>
  <c r="AB378" i="6" s="1"/>
  <c r="Z378" i="6" s="1"/>
  <c r="AG636" i="6"/>
  <c r="AB636" i="6" s="1"/>
  <c r="Z636" i="6" s="1"/>
  <c r="AF1007" i="6"/>
  <c r="AB1007" i="6" s="1"/>
  <c r="Z1007" i="6" s="1"/>
  <c r="AF1071" i="6"/>
  <c r="AF1426" i="6"/>
  <c r="AG514" i="6"/>
  <c r="AB514" i="6" s="1"/>
  <c r="Z514" i="6" s="1"/>
  <c r="AG540" i="6"/>
  <c r="AB540" i="6" s="1"/>
  <c r="Z540" i="6" s="1"/>
  <c r="AF917" i="6"/>
  <c r="AB917" i="6" s="1"/>
  <c r="Z917" i="6" s="1"/>
  <c r="AG1332" i="6"/>
  <c r="AB1332" i="6" s="1"/>
  <c r="Z1332" i="6" s="1"/>
  <c r="AG1351" i="6"/>
  <c r="AF1358" i="6"/>
  <c r="AB1358" i="6" s="1"/>
  <c r="Z1358" i="6" s="1"/>
  <c r="AF1365" i="6"/>
  <c r="AG1372" i="6"/>
  <c r="AB1372" i="6" s="1"/>
  <c r="AF1379" i="6"/>
  <c r="AB1379" i="6" s="1"/>
  <c r="Z1379" i="6" s="1"/>
  <c r="AG689" i="6"/>
  <c r="AB689" i="6" s="1"/>
  <c r="Z689" i="6" s="1"/>
  <c r="AG696" i="6"/>
  <c r="AB696" i="6" s="1"/>
  <c r="Z696" i="6" s="1"/>
  <c r="AF712" i="6"/>
  <c r="AF792" i="6"/>
  <c r="AB792" i="6" s="1"/>
  <c r="Z792" i="6" s="1"/>
  <c r="AG14" i="6"/>
  <c r="AF779" i="6"/>
  <c r="AB779" i="6" s="1"/>
  <c r="Z779" i="6" s="1"/>
  <c r="AF1003" i="6"/>
  <c r="AB1003" i="6" s="1"/>
  <c r="Z1003" i="6" s="1"/>
  <c r="AG1053" i="6"/>
  <c r="AG242" i="6"/>
  <c r="AG133" i="6"/>
  <c r="AG255" i="6"/>
  <c r="AB255" i="6" s="1"/>
  <c r="Z255" i="6" s="1"/>
  <c r="AG52" i="6"/>
  <c r="AB52" i="6" s="1"/>
  <c r="Z52" i="6" s="1"/>
  <c r="AG201" i="6"/>
  <c r="AB201" i="6" s="1"/>
  <c r="Z201" i="6" s="1"/>
  <c r="AG354" i="6"/>
  <c r="AB354" i="6" s="1"/>
  <c r="Z354" i="6" s="1"/>
  <c r="AF489" i="6"/>
  <c r="AB489" i="6" s="1"/>
  <c r="AG498" i="6"/>
  <c r="AG505" i="6"/>
  <c r="AB505" i="6" s="1"/>
  <c r="Z505" i="6" s="1"/>
  <c r="AF678" i="6"/>
  <c r="AB678" i="6" s="1"/>
  <c r="Z678" i="6" s="1"/>
  <c r="AG1112" i="6"/>
  <c r="AB1112" i="6" s="1"/>
  <c r="Z1112" i="6" s="1"/>
  <c r="AF1186" i="6"/>
  <c r="AG1272" i="6"/>
  <c r="AF1298" i="6"/>
  <c r="AB1298" i="6" s="1"/>
  <c r="Z1298" i="6" s="1"/>
  <c r="AF5" i="6"/>
  <c r="AF114" i="6"/>
  <c r="AB114" i="6" s="1"/>
  <c r="Z114" i="6" s="1"/>
  <c r="AG156" i="6"/>
  <c r="AB156" i="6" s="1"/>
  <c r="Z156" i="6" s="1"/>
  <c r="AG352" i="6"/>
  <c r="AB352" i="6" s="1"/>
  <c r="Z352" i="6" s="1"/>
  <c r="AG435" i="6"/>
  <c r="AB435" i="6" s="1"/>
  <c r="AG461" i="6"/>
  <c r="AB461" i="6" s="1"/>
  <c r="Z461" i="6" s="1"/>
  <c r="AF676" i="6"/>
  <c r="AB676" i="6" s="1"/>
  <c r="Z676" i="6" s="1"/>
  <c r="AF760" i="6"/>
  <c r="AB760" i="6" s="1"/>
  <c r="Z760" i="6" s="1"/>
  <c r="AF1098" i="6"/>
  <c r="AB1098" i="6" s="1"/>
  <c r="Z1098" i="6" s="1"/>
  <c r="AF41" i="6"/>
  <c r="AG142" i="6"/>
  <c r="AB142" i="6" s="1"/>
  <c r="Z142" i="6" s="1"/>
  <c r="AF300" i="6"/>
  <c r="AB300" i="6" s="1"/>
  <c r="Z300" i="6" s="1"/>
  <c r="AG424" i="6"/>
  <c r="AF497" i="6"/>
  <c r="AB497" i="6" s="1"/>
  <c r="Z497" i="6" s="1"/>
  <c r="AF520" i="6"/>
  <c r="AB520" i="6" s="1"/>
  <c r="Z520" i="6" s="1"/>
  <c r="AG641" i="6"/>
  <c r="AF1033" i="6"/>
  <c r="AB1033" i="6" s="1"/>
  <c r="Z1033" i="6" s="1"/>
  <c r="AG1075" i="6"/>
  <c r="AF21" i="6"/>
  <c r="AB21" i="6" s="1"/>
  <c r="Z21" i="6" s="1"/>
  <c r="AG84" i="6"/>
  <c r="AB84" i="6" s="1"/>
  <c r="Z84" i="6" s="1"/>
  <c r="AG136" i="6"/>
  <c r="AB136" i="6" s="1"/>
  <c r="Z136" i="6" s="1"/>
  <c r="AF150" i="6"/>
  <c r="AB150" i="6" s="1"/>
  <c r="Z150" i="6" s="1"/>
  <c r="AF221" i="6"/>
  <c r="AB221" i="6" s="1"/>
  <c r="AF261" i="6"/>
  <c r="AF443" i="6"/>
  <c r="AF584" i="6"/>
  <c r="AB584" i="6" s="1"/>
  <c r="Z584" i="6" s="1"/>
  <c r="AF754" i="6"/>
  <c r="AB754" i="6" s="1"/>
  <c r="Z754" i="6" s="1"/>
  <c r="AG984" i="6"/>
  <c r="AF1024" i="6"/>
  <c r="AF1031" i="6"/>
  <c r="AB1031" i="6" s="1"/>
  <c r="Z1031" i="6" s="1"/>
  <c r="AF1149" i="6"/>
  <c r="AB1149" i="6" s="1"/>
  <c r="Z1149" i="6" s="1"/>
  <c r="AG1306" i="6"/>
  <c r="AB1306" i="6" s="1"/>
  <c r="Z1306" i="6" s="1"/>
  <c r="AG752" i="6"/>
  <c r="AB752" i="6" s="1"/>
  <c r="Z752" i="6" s="1"/>
  <c r="AF35" i="6"/>
  <c r="AB35" i="6" s="1"/>
  <c r="Z35" i="6" s="1"/>
  <c r="AG275" i="6"/>
  <c r="AB275" i="6" s="1"/>
  <c r="Z275" i="6" s="1"/>
  <c r="AG325" i="6"/>
  <c r="AG799" i="6"/>
  <c r="AF980" i="6"/>
  <c r="AB980" i="6" s="1"/>
  <c r="Z980" i="6" s="1"/>
  <c r="AF1048" i="6"/>
  <c r="AB1048" i="6" s="1"/>
  <c r="Z1048" i="6" s="1"/>
  <c r="AF219" i="6"/>
  <c r="AB219" i="6" s="1"/>
  <c r="AG714" i="6"/>
  <c r="AF721" i="6"/>
  <c r="AF528" i="6"/>
  <c r="AB528" i="6" s="1"/>
  <c r="Z528" i="6" s="1"/>
  <c r="AF561" i="6"/>
  <c r="AB561" i="6" s="1"/>
  <c r="Z561" i="6" s="1"/>
  <c r="AG978" i="6"/>
  <c r="AB978" i="6" s="1"/>
  <c r="Z978" i="6" s="1"/>
  <c r="AG823" i="6"/>
  <c r="AF823" i="6"/>
  <c r="AG835" i="6"/>
  <c r="AF835" i="6"/>
  <c r="AF1038" i="6"/>
  <c r="AG1038" i="6"/>
  <c r="AF101" i="6"/>
  <c r="AG288" i="6"/>
  <c r="AG295" i="6"/>
  <c r="AB295" i="6" s="1"/>
  <c r="Z295" i="6" s="1"/>
  <c r="AG304" i="6"/>
  <c r="AB304" i="6" s="1"/>
  <c r="Z304" i="6" s="1"/>
  <c r="AG311" i="6"/>
  <c r="AB311" i="6" s="1"/>
  <c r="Z311" i="6" s="1"/>
  <c r="AF365" i="6"/>
  <c r="AG365" i="6"/>
  <c r="AG367" i="6"/>
  <c r="AB367" i="6" s="1"/>
  <c r="Z367" i="6" s="1"/>
  <c r="AF369" i="6"/>
  <c r="AF376" i="6"/>
  <c r="AG526" i="6"/>
  <c r="AB526" i="6" s="1"/>
  <c r="Z526" i="6" s="1"/>
  <c r="AG548" i="6"/>
  <c r="AB548" i="6" s="1"/>
  <c r="Z548" i="6" s="1"/>
  <c r="AG567" i="6"/>
  <c r="AF567" i="6"/>
  <c r="AG901" i="6"/>
  <c r="AB901" i="6" s="1"/>
  <c r="AG924" i="6"/>
  <c r="AB924" i="6" s="1"/>
  <c r="Z924" i="6" s="1"/>
  <c r="AF1124" i="6"/>
  <c r="AB1124" i="6" s="1"/>
  <c r="Z1124" i="6" s="1"/>
  <c r="AF1226" i="6"/>
  <c r="AB1226" i="6" s="1"/>
  <c r="Z1226" i="6" s="1"/>
  <c r="AG1283" i="6"/>
  <c r="AF1283" i="6"/>
  <c r="AG1157" i="6"/>
  <c r="AF1157" i="6"/>
  <c r="AF78" i="6"/>
  <c r="AB78" i="6" s="1"/>
  <c r="Z78" i="6" s="1"/>
  <c r="AG80" i="6"/>
  <c r="AB80" i="6" s="1"/>
  <c r="Z80" i="6" s="1"/>
  <c r="AG57" i="6"/>
  <c r="AG139" i="6"/>
  <c r="AF139" i="6"/>
  <c r="AF286" i="6"/>
  <c r="AB286" i="6" s="1"/>
  <c r="Z286" i="6" s="1"/>
  <c r="AF524" i="6"/>
  <c r="AB524" i="6" s="1"/>
  <c r="Z524" i="6" s="1"/>
  <c r="AF533" i="6"/>
  <c r="AB533" i="6" s="1"/>
  <c r="Z533" i="6" s="1"/>
  <c r="AF535" i="6"/>
  <c r="AF537" i="6"/>
  <c r="AB537" i="6" s="1"/>
  <c r="Z537" i="6" s="1"/>
  <c r="AG783" i="6"/>
  <c r="AG821" i="6"/>
  <c r="AF821" i="6"/>
  <c r="AF922" i="6"/>
  <c r="AB922" i="6" s="1"/>
  <c r="Z922" i="6" s="1"/>
  <c r="AG955" i="6"/>
  <c r="AB955" i="6" s="1"/>
  <c r="Z955" i="6" s="1"/>
  <c r="AF1015" i="6"/>
  <c r="AG1020" i="6"/>
  <c r="AF1020" i="6"/>
  <c r="AG1146" i="6"/>
  <c r="AF1146" i="6"/>
  <c r="AG1257" i="6"/>
  <c r="AF661" i="6"/>
  <c r="AG661" i="6"/>
  <c r="AG141" i="6"/>
  <c r="AF141" i="6"/>
  <c r="AG90" i="6"/>
  <c r="AF90" i="6"/>
  <c r="AF270" i="6"/>
  <c r="AG565" i="6"/>
  <c r="AF565" i="6"/>
  <c r="AF781" i="6"/>
  <c r="AB781" i="6" s="1"/>
  <c r="Z781" i="6" s="1"/>
  <c r="AF892" i="6"/>
  <c r="AB892" i="6" s="1"/>
  <c r="Z892" i="6" s="1"/>
  <c r="AG906" i="6"/>
  <c r="AB906" i="6" s="1"/>
  <c r="Z906" i="6" s="1"/>
  <c r="AF920" i="6"/>
  <c r="AB920" i="6" s="1"/>
  <c r="Z920" i="6" s="1"/>
  <c r="AF965" i="6"/>
  <c r="AG965" i="6"/>
  <c r="AG1267" i="6"/>
  <c r="AF1267" i="6"/>
  <c r="AG819" i="6"/>
  <c r="AF819" i="6"/>
  <c r="AF1113" i="6"/>
  <c r="AG1113" i="6"/>
  <c r="AF1246" i="6"/>
  <c r="AG1246" i="6"/>
  <c r="AF1253" i="6"/>
  <c r="AG1253" i="6"/>
  <c r="AB1253" i="6" s="1"/>
  <c r="Z1253" i="6" s="1"/>
  <c r="AF88" i="6"/>
  <c r="AG88" i="6"/>
  <c r="AG812" i="6"/>
  <c r="AF812" i="6"/>
  <c r="AF252" i="6"/>
  <c r="AG252" i="6"/>
  <c r="AF17" i="6"/>
  <c r="AB17" i="6" s="1"/>
  <c r="Z17" i="6" s="1"/>
  <c r="AF151" i="6"/>
  <c r="AB151" i="6" s="1"/>
  <c r="Z151" i="6" s="1"/>
  <c r="AF215" i="6"/>
  <c r="AB215" i="6" s="1"/>
  <c r="Z215" i="6" s="1"/>
  <c r="AF236" i="6"/>
  <c r="AB236" i="6" s="1"/>
  <c r="Z236" i="6" s="1"/>
  <c r="AF248" i="6"/>
  <c r="AG248" i="6"/>
  <c r="AG250" i="6"/>
  <c r="AG674" i="6"/>
  <c r="AF694" i="6"/>
  <c r="AB694" i="6" s="1"/>
  <c r="Z694" i="6" s="1"/>
  <c r="AF719" i="6"/>
  <c r="AB719" i="6" s="1"/>
  <c r="Z719" i="6" s="1"/>
  <c r="AF843" i="6"/>
  <c r="AG888" i="6"/>
  <c r="AG949" i="6"/>
  <c r="AF949" i="6"/>
  <c r="AB949" i="6" s="1"/>
  <c r="Z949" i="6" s="1"/>
  <c r="AF1055" i="6"/>
  <c r="AB1055" i="6" s="1"/>
  <c r="Z1055" i="6" s="1"/>
  <c r="AF1057" i="6"/>
  <c r="AB1057" i="6" s="1"/>
  <c r="Z1057" i="6" s="1"/>
  <c r="AF1208" i="6"/>
  <c r="AB1208" i="6" s="1"/>
  <c r="Z1208" i="6" s="1"/>
  <c r="AF1244" i="6"/>
  <c r="AB1244" i="6" s="1"/>
  <c r="Z1244" i="6" s="1"/>
  <c r="AG1244" i="6"/>
  <c r="AG1363" i="6"/>
  <c r="AG368" i="6"/>
  <c r="AB368" i="6" s="1"/>
  <c r="Z368" i="6" s="1"/>
  <c r="AF396" i="6"/>
  <c r="AB396" i="6" s="1"/>
  <c r="Z396" i="6" s="1"/>
  <c r="AF692" i="6"/>
  <c r="AB692" i="6" s="1"/>
  <c r="AG810" i="6"/>
  <c r="AF810" i="6"/>
  <c r="AG865" i="6"/>
  <c r="AF865" i="6"/>
  <c r="AF1300" i="6"/>
  <c r="AB1300" i="6" s="1"/>
  <c r="Z1300" i="6" s="1"/>
  <c r="AG75" i="6"/>
  <c r="AF75" i="6"/>
  <c r="AG246" i="6"/>
  <c r="AF246" i="6"/>
  <c r="AG780" i="6"/>
  <c r="AF780" i="6"/>
  <c r="AF846" i="6"/>
  <c r="AG846" i="6"/>
  <c r="AG1083" i="6"/>
  <c r="AF1083" i="6"/>
  <c r="AG1211" i="6"/>
  <c r="AF1211" i="6"/>
  <c r="AG1394" i="6"/>
  <c r="AF1394" i="6"/>
  <c r="AB1394" i="6" s="1"/>
  <c r="Z1394" i="6" s="1"/>
  <c r="AF573" i="6"/>
  <c r="AB573" i="6" s="1"/>
  <c r="AF632" i="6"/>
  <c r="AF750" i="6"/>
  <c r="AB750" i="6" s="1"/>
  <c r="Z750" i="6" s="1"/>
  <c r="AF778" i="6"/>
  <c r="AG778" i="6"/>
  <c r="AG1147" i="6"/>
  <c r="AG1173" i="6"/>
  <c r="AB1173" i="6" s="1"/>
  <c r="Z1173" i="6" s="1"/>
  <c r="AF1296" i="6"/>
  <c r="AB1296" i="6" s="1"/>
  <c r="Z1296" i="6" s="1"/>
  <c r="AG1331" i="6"/>
  <c r="AB1331" i="6" s="1"/>
  <c r="Z1331" i="6" s="1"/>
  <c r="AF1333" i="6"/>
  <c r="AB1333" i="6" s="1"/>
  <c r="Z1333" i="6" s="1"/>
  <c r="AG230" i="6"/>
  <c r="AF230" i="6"/>
  <c r="AB230" i="6" s="1"/>
  <c r="AG334" i="6"/>
  <c r="AG521" i="6"/>
  <c r="AB521" i="6" s="1"/>
  <c r="Z521" i="6" s="1"/>
  <c r="AG604" i="6"/>
  <c r="AB604" i="6" s="1"/>
  <c r="Z604" i="6" s="1"/>
  <c r="AF623" i="6"/>
  <c r="AB623" i="6" s="1"/>
  <c r="Z623" i="6" s="1"/>
  <c r="AF630" i="6"/>
  <c r="AB630" i="6" s="1"/>
  <c r="Z630" i="6" s="1"/>
  <c r="AF681" i="6"/>
  <c r="AB681" i="6" s="1"/>
  <c r="Z681" i="6" s="1"/>
  <c r="AG746" i="6"/>
  <c r="AF746" i="6"/>
  <c r="AB746" i="6" s="1"/>
  <c r="Z746" i="6" s="1"/>
  <c r="AG748" i="6"/>
  <c r="AB748" i="6" s="1"/>
  <c r="Z748" i="6" s="1"/>
  <c r="AG837" i="6"/>
  <c r="AF837" i="6"/>
  <c r="AF982" i="6"/>
  <c r="AB982" i="6" s="1"/>
  <c r="Z982" i="6" s="1"/>
  <c r="AG998" i="6"/>
  <c r="AG1040" i="6"/>
  <c r="AF1040" i="6"/>
  <c r="AB1040" i="6" s="1"/>
  <c r="Z1040" i="6" s="1"/>
  <c r="AF1042" i="6"/>
  <c r="AB1042" i="6" s="1"/>
  <c r="Z1042" i="6" s="1"/>
  <c r="AG1202" i="6"/>
  <c r="AF1202" i="6"/>
  <c r="AF1268" i="6"/>
  <c r="AF1414" i="6"/>
  <c r="AB1414" i="6" s="1"/>
  <c r="Z1414" i="6" s="1"/>
  <c r="AF1431" i="6"/>
  <c r="AB1431" i="6" s="1"/>
  <c r="Z1431" i="6" s="1"/>
  <c r="AF1438" i="6"/>
  <c r="AB1438" i="6" s="1"/>
  <c r="Z1438" i="6" s="1"/>
  <c r="AG1011" i="6"/>
  <c r="AB1011" i="6" s="1"/>
  <c r="Z1011" i="6" s="1"/>
  <c r="AF1036" i="6"/>
  <c r="AF1107" i="6"/>
  <c r="AF1109" i="6"/>
  <c r="AB1109" i="6" s="1"/>
  <c r="Z1109" i="6" s="1"/>
  <c r="AG1132" i="6"/>
  <c r="AF1155" i="6"/>
  <c r="AB1155" i="6" s="1"/>
  <c r="Z1155" i="6" s="1"/>
  <c r="AG1223" i="6"/>
  <c r="AB1223" i="6" s="1"/>
  <c r="Z1223" i="6" s="1"/>
  <c r="AF86" i="6"/>
  <c r="AB86" i="6" s="1"/>
  <c r="Z86" i="6" s="1"/>
  <c r="AF244" i="6"/>
  <c r="AB244" i="6" s="1"/>
  <c r="AG395" i="6"/>
  <c r="AB395" i="6" s="1"/>
  <c r="Z395" i="6" s="1"/>
  <c r="AG397" i="6"/>
  <c r="AB397" i="6" s="1"/>
  <c r="Z397" i="6" s="1"/>
  <c r="AF416" i="6"/>
  <c r="AG423" i="6"/>
  <c r="AB423" i="6" s="1"/>
  <c r="Z423" i="6" s="1"/>
  <c r="AF451" i="6"/>
  <c r="AB451" i="6" s="1"/>
  <c r="AG458" i="6"/>
  <c r="AF516" i="6"/>
  <c r="AB516" i="6" s="1"/>
  <c r="Z516" i="6" s="1"/>
  <c r="AG652" i="6"/>
  <c r="AB652" i="6" s="1"/>
  <c r="Z652" i="6" s="1"/>
  <c r="AF808" i="6"/>
  <c r="AB808" i="6" s="1"/>
  <c r="Z808" i="6" s="1"/>
  <c r="AF842" i="6"/>
  <c r="AB842" i="6" s="1"/>
  <c r="AG947" i="6"/>
  <c r="AF1288" i="6"/>
  <c r="AB1288" i="6" s="1"/>
  <c r="Z1288" i="6" s="1"/>
  <c r="AF1341" i="6"/>
  <c r="AB1341" i="6" s="1"/>
  <c r="Z1341" i="6" s="1"/>
  <c r="AF1404" i="6"/>
  <c r="AB1404" i="6" s="1"/>
  <c r="Z1404" i="6" s="1"/>
  <c r="AF1411" i="6"/>
  <c r="AB1411" i="6" s="1"/>
  <c r="Z1411" i="6" s="1"/>
  <c r="AF1402" i="6"/>
  <c r="AF6" i="6"/>
  <c r="AG6" i="6"/>
  <c r="AF1231" i="6"/>
  <c r="AG1231" i="6"/>
  <c r="AG1282" i="6"/>
  <c r="AF1282" i="6"/>
  <c r="AF72" i="6"/>
  <c r="AG72" i="6"/>
  <c r="AG214" i="6"/>
  <c r="AF214" i="6"/>
  <c r="AG391" i="6"/>
  <c r="AB391" i="6" s="1"/>
  <c r="Z391" i="6" s="1"/>
  <c r="AF614" i="6"/>
  <c r="AG614" i="6"/>
  <c r="AF699" i="6"/>
  <c r="AG699" i="6"/>
  <c r="AF1168" i="6"/>
  <c r="AG1168" i="6"/>
  <c r="AG1418" i="6"/>
  <c r="AF1418" i="6"/>
  <c r="AF431" i="6"/>
  <c r="AG431" i="6"/>
  <c r="AF12" i="6"/>
  <c r="AG12" i="6"/>
  <c r="AG559" i="6"/>
  <c r="AF1213" i="6"/>
  <c r="AG1213" i="6"/>
  <c r="AF1255" i="6"/>
  <c r="AG1255" i="6"/>
  <c r="AF1377" i="6"/>
  <c r="AB1377" i="6" s="1"/>
  <c r="Z1377" i="6" s="1"/>
  <c r="AG218" i="6"/>
  <c r="AF218" i="6"/>
  <c r="AF243" i="6"/>
  <c r="AG243" i="6"/>
  <c r="AF181" i="6"/>
  <c r="AG181" i="6"/>
  <c r="AF449" i="6"/>
  <c r="AG449" i="6"/>
  <c r="AG929" i="6"/>
  <c r="AF929" i="6"/>
  <c r="AF957" i="6"/>
  <c r="AG957" i="6"/>
  <c r="AB957" i="6" s="1"/>
  <c r="Z957" i="6" s="1"/>
  <c r="AF216" i="6"/>
  <c r="AG216" i="6"/>
  <c r="AG393" i="6"/>
  <c r="AB393" i="6" s="1"/>
  <c r="Z393" i="6" s="1"/>
  <c r="AG108" i="6"/>
  <c r="AF108" i="6"/>
  <c r="AF172" i="6"/>
  <c r="AG172" i="6"/>
  <c r="AG688" i="6"/>
  <c r="AB688" i="6" s="1"/>
  <c r="Z688" i="6" s="1"/>
  <c r="AF688" i="6"/>
  <c r="AG70" i="6"/>
  <c r="AF70" i="6"/>
  <c r="AF212" i="6"/>
  <c r="AG212" i="6"/>
  <c r="AF235" i="6"/>
  <c r="AG235" i="6"/>
  <c r="AG280" i="6"/>
  <c r="AF280" i="6"/>
  <c r="AF314" i="6"/>
  <c r="AG314" i="6"/>
  <c r="AG445" i="6"/>
  <c r="AF445" i="6"/>
  <c r="AG895" i="6"/>
  <c r="AF895" i="6"/>
  <c r="AB895" i="6" s="1"/>
  <c r="Z895" i="6" s="1"/>
  <c r="AG1129" i="6"/>
  <c r="AB1129" i="6" s="1"/>
  <c r="Z1129" i="6" s="1"/>
  <c r="AF1129" i="6"/>
  <c r="AG1220" i="6"/>
  <c r="AF1220" i="6"/>
  <c r="AG163" i="6"/>
  <c r="AF163" i="6"/>
  <c r="AG165" i="6"/>
  <c r="AG170" i="6"/>
  <c r="AF170" i="6"/>
  <c r="AF226" i="6"/>
  <c r="AG226" i="6"/>
  <c r="AG577" i="6"/>
  <c r="AB577" i="6" s="1"/>
  <c r="Z577" i="6" s="1"/>
  <c r="AG68" i="6"/>
  <c r="AF68" i="6"/>
  <c r="AF106" i="6"/>
  <c r="AB106" i="6" s="1"/>
  <c r="Z106" i="6" s="1"/>
  <c r="AF205" i="6"/>
  <c r="AB205" i="6" s="1"/>
  <c r="Z205" i="6" s="1"/>
  <c r="AF210" i="6"/>
  <c r="AG210" i="6"/>
  <c r="AG278" i="6"/>
  <c r="AF278" i="6"/>
  <c r="AF324" i="6"/>
  <c r="AG324" i="6"/>
  <c r="AG675" i="6"/>
  <c r="AB675" i="6" s="1"/>
  <c r="Z675" i="6" s="1"/>
  <c r="AF764" i="6"/>
  <c r="AG764" i="6"/>
  <c r="AG803" i="6"/>
  <c r="AF803" i="6"/>
  <c r="AG1412" i="6"/>
  <c r="AF1412" i="6"/>
  <c r="AB1412" i="6" s="1"/>
  <c r="Z1412" i="6" s="1"/>
  <c r="AF276" i="6"/>
  <c r="AB276" i="6" s="1"/>
  <c r="Z276" i="6" s="1"/>
  <c r="AG276" i="6"/>
  <c r="AG515" i="6"/>
  <c r="AF515" i="6"/>
  <c r="AF744" i="6"/>
  <c r="AG744" i="6"/>
  <c r="AG891" i="6"/>
  <c r="AF891" i="6"/>
  <c r="AG1067" i="6"/>
  <c r="AB1067" i="6" s="1"/>
  <c r="Z1067" i="6" s="1"/>
  <c r="AF1074" i="6"/>
  <c r="AG1074" i="6"/>
  <c r="AF1148" i="6"/>
  <c r="AB1148" i="6" s="1"/>
  <c r="Z1148" i="6" s="1"/>
  <c r="AG1148" i="6"/>
  <c r="AG1410" i="6"/>
  <c r="AF1410" i="6"/>
  <c r="AB1410" i="6" s="1"/>
  <c r="Z1410" i="6" s="1"/>
  <c r="AF29" i="6"/>
  <c r="AB29" i="6" s="1"/>
  <c r="Z29" i="6" s="1"/>
  <c r="AF66" i="6"/>
  <c r="AG66" i="6"/>
  <c r="AG100" i="6"/>
  <c r="AF100" i="6"/>
  <c r="AG267" i="6"/>
  <c r="AF267" i="6"/>
  <c r="AF856" i="6"/>
  <c r="AG856" i="6"/>
  <c r="AG1118" i="6"/>
  <c r="AF1118" i="6"/>
  <c r="AG1348" i="6"/>
  <c r="AF1348" i="6"/>
  <c r="AG1355" i="6"/>
  <c r="AF1355" i="6"/>
  <c r="AG339" i="6"/>
  <c r="AF339" i="6"/>
  <c r="AG639" i="6"/>
  <c r="AF639" i="6"/>
  <c r="AF740" i="6"/>
  <c r="AG740" i="6"/>
  <c r="AF137" i="6"/>
  <c r="AG137" i="6"/>
  <c r="AG241" i="6"/>
  <c r="AF241" i="6"/>
  <c r="AF500" i="6"/>
  <c r="AG500" i="6"/>
  <c r="AF1059" i="6"/>
  <c r="AG1059" i="6"/>
  <c r="AF1420" i="6"/>
  <c r="AG1420" i="6"/>
  <c r="AF2" i="6"/>
  <c r="AG2" i="6"/>
  <c r="AG53" i="6"/>
  <c r="AF53" i="6"/>
  <c r="AG112" i="6"/>
  <c r="AB112" i="6" s="1"/>
  <c r="Z112" i="6" s="1"/>
  <c r="AG174" i="6"/>
  <c r="AF174" i="6"/>
  <c r="AG330" i="6"/>
  <c r="AF330" i="6"/>
  <c r="AF496" i="6"/>
  <c r="AG496" i="6"/>
  <c r="AF31" i="6"/>
  <c r="AF389" i="6"/>
  <c r="AB389" i="6" s="1"/>
  <c r="Z389" i="6" s="1"/>
  <c r="AF588" i="6"/>
  <c r="AB588" i="6" s="1"/>
  <c r="Z588" i="6" s="1"/>
  <c r="AF715" i="6"/>
  <c r="AG715" i="6"/>
  <c r="AF1275" i="6"/>
  <c r="AG1280" i="6"/>
  <c r="AF1280" i="6"/>
  <c r="AF122" i="6"/>
  <c r="AG122" i="6"/>
  <c r="AG102" i="6"/>
  <c r="AF102" i="6"/>
  <c r="AF50" i="6"/>
  <c r="AB50" i="6" s="1"/>
  <c r="Z50" i="6" s="1"/>
  <c r="AG132" i="6"/>
  <c r="AB132" i="6" s="1"/>
  <c r="Z132" i="6" s="1"/>
  <c r="AF134" i="6"/>
  <c r="AB134" i="6" s="1"/>
  <c r="Z134" i="6" s="1"/>
  <c r="AF222" i="6"/>
  <c r="AG222" i="6"/>
  <c r="AF411" i="6"/>
  <c r="AG411" i="6"/>
  <c r="AF849" i="6"/>
  <c r="AG849" i="6"/>
  <c r="AG1000" i="6"/>
  <c r="AF1000" i="6"/>
  <c r="AF28" i="6"/>
  <c r="AB28" i="6" s="1"/>
  <c r="AG98" i="6"/>
  <c r="AF98" i="6"/>
  <c r="AF130" i="6"/>
  <c r="AB130" i="6" s="1"/>
  <c r="Z130" i="6" s="1"/>
  <c r="AF238" i="6"/>
  <c r="AB238" i="6" s="1"/>
  <c r="AG245" i="6"/>
  <c r="AF245" i="6"/>
  <c r="AG297" i="6"/>
  <c r="AB297" i="6" s="1"/>
  <c r="Z297" i="6" s="1"/>
  <c r="AG299" i="6"/>
  <c r="AF299" i="6"/>
  <c r="AF348" i="6"/>
  <c r="AG348" i="6"/>
  <c r="AG361" i="6"/>
  <c r="AB361" i="6" s="1"/>
  <c r="Z361" i="6" s="1"/>
  <c r="AG502" i="6"/>
  <c r="AF502" i="6"/>
  <c r="AG504" i="6"/>
  <c r="AB504" i="6" s="1"/>
  <c r="Z504" i="6" s="1"/>
  <c r="AG1061" i="6"/>
  <c r="AF1061" i="6"/>
  <c r="AF402" i="6"/>
  <c r="AG402" i="6"/>
  <c r="AF506" i="6"/>
  <c r="AG506" i="6"/>
  <c r="AF571" i="6"/>
  <c r="AG571" i="6"/>
  <c r="AF755" i="6"/>
  <c r="AG755" i="6"/>
  <c r="AG1041" i="6"/>
  <c r="AF1041" i="6"/>
  <c r="AG1327" i="6"/>
  <c r="AF1327" i="6"/>
  <c r="AG1116" i="6"/>
  <c r="AF1116" i="6"/>
  <c r="AG1181" i="6"/>
  <c r="AF1181" i="6"/>
  <c r="AF1218" i="6"/>
  <c r="AG1218" i="6"/>
  <c r="AG1408" i="6"/>
  <c r="AF1408" i="6"/>
  <c r="AF494" i="6"/>
  <c r="AG494" i="6"/>
  <c r="AG1142" i="6"/>
  <c r="AF1142" i="6"/>
  <c r="AF85" i="6"/>
  <c r="AB85" i="6" s="1"/>
  <c r="Z85" i="6" s="1"/>
  <c r="AF166" i="6"/>
  <c r="AB166" i="6" s="1"/>
  <c r="Z166" i="6" s="1"/>
  <c r="AG229" i="6"/>
  <c r="AB229" i="6" s="1"/>
  <c r="Z229" i="6" s="1"/>
  <c r="AF237" i="6"/>
  <c r="AB237" i="6" s="1"/>
  <c r="Z237" i="6" s="1"/>
  <c r="AG265" i="6"/>
  <c r="AB265" i="6" s="1"/>
  <c r="Z265" i="6" s="1"/>
  <c r="AF289" i="6"/>
  <c r="AB289" i="6" s="1"/>
  <c r="Z289" i="6" s="1"/>
  <c r="AF322" i="6"/>
  <c r="AB322" i="6" s="1"/>
  <c r="Z322" i="6" s="1"/>
  <c r="AG364" i="6"/>
  <c r="AF379" i="6"/>
  <c r="AB379" i="6" s="1"/>
  <c r="Z379" i="6" s="1"/>
  <c r="AF381" i="6"/>
  <c r="AB381" i="6" s="1"/>
  <c r="Z381" i="6" s="1"/>
  <c r="AF392" i="6"/>
  <c r="AF601" i="6"/>
  <c r="AF605" i="6"/>
  <c r="AB605" i="6" s="1"/>
  <c r="AF724" i="6"/>
  <c r="AG724" i="6"/>
  <c r="AF919" i="6"/>
  <c r="AG919" i="6"/>
  <c r="AG1172" i="6"/>
  <c r="AF1172" i="6"/>
  <c r="AG1406" i="6"/>
  <c r="AF1406" i="6"/>
  <c r="AF34" i="6"/>
  <c r="AB34" i="6" s="1"/>
  <c r="Z34" i="6" s="1"/>
  <c r="AF428" i="6"/>
  <c r="AF430" i="6"/>
  <c r="AB430" i="6" s="1"/>
  <c r="Z430" i="6" s="1"/>
  <c r="AG564" i="6"/>
  <c r="AB564" i="6" s="1"/>
  <c r="Z564" i="6" s="1"/>
  <c r="AF574" i="6"/>
  <c r="AB574" i="6" s="1"/>
  <c r="Z574" i="6" s="1"/>
  <c r="AF578" i="6"/>
  <c r="AB578" i="6" s="1"/>
  <c r="Z578" i="6" s="1"/>
  <c r="AF665" i="6"/>
  <c r="AB665" i="6" s="1"/>
  <c r="Z665" i="6" s="1"/>
  <c r="AG672" i="6"/>
  <c r="AB672" i="6" s="1"/>
  <c r="Z672" i="6" s="1"/>
  <c r="AG687" i="6"/>
  <c r="AB687" i="6" s="1"/>
  <c r="Z687" i="6" s="1"/>
  <c r="AG700" i="6"/>
  <c r="AB700" i="6" s="1"/>
  <c r="Z700" i="6" s="1"/>
  <c r="AG807" i="6"/>
  <c r="AF807" i="6"/>
  <c r="AF912" i="6"/>
  <c r="AB912" i="6" s="1"/>
  <c r="Z912" i="6" s="1"/>
  <c r="AG981" i="6"/>
  <c r="AF981" i="6"/>
  <c r="AF1089" i="6"/>
  <c r="AB1089" i="6" s="1"/>
  <c r="Z1089" i="6" s="1"/>
  <c r="AF1094" i="6"/>
  <c r="AG1094" i="6"/>
  <c r="AF1101" i="6"/>
  <c r="AG1101" i="6"/>
  <c r="AF1140" i="6"/>
  <c r="AG1140" i="6"/>
  <c r="AG1205" i="6"/>
  <c r="AF1205" i="6"/>
  <c r="AG1294" i="6"/>
  <c r="AB1294" i="6" s="1"/>
  <c r="Z1294" i="6" s="1"/>
  <c r="AG164" i="6"/>
  <c r="AF239" i="6"/>
  <c r="AB239" i="6" s="1"/>
  <c r="Z239" i="6" s="1"/>
  <c r="AF109" i="6"/>
  <c r="AB109" i="6" s="1"/>
  <c r="Z109" i="6" s="1"/>
  <c r="AF306" i="6"/>
  <c r="AB306" i="6" s="1"/>
  <c r="Z306" i="6" s="1"/>
  <c r="AF60" i="6"/>
  <c r="AB60" i="6" s="1"/>
  <c r="AG175" i="6"/>
  <c r="AF175" i="6"/>
  <c r="AG558" i="6"/>
  <c r="AB558" i="6" s="1"/>
  <c r="Z558" i="6" s="1"/>
  <c r="AF685" i="6"/>
  <c r="AB685" i="6" s="1"/>
  <c r="Z685" i="6" s="1"/>
  <c r="AG718" i="6"/>
  <c r="AB718" i="6" s="1"/>
  <c r="Z718" i="6" s="1"/>
  <c r="AF720" i="6"/>
  <c r="AB720" i="6" s="1"/>
  <c r="Z720" i="6" s="1"/>
  <c r="AF736" i="6"/>
  <c r="AB736" i="6" s="1"/>
  <c r="Z736" i="6" s="1"/>
  <c r="AF910" i="6"/>
  <c r="AB910" i="6" s="1"/>
  <c r="Z910" i="6" s="1"/>
  <c r="AF970" i="6"/>
  <c r="AB970" i="6" s="1"/>
  <c r="Z970" i="6" s="1"/>
  <c r="AG979" i="6"/>
  <c r="AF979" i="6"/>
  <c r="AG1170" i="6"/>
  <c r="AF1170" i="6"/>
  <c r="AG1196" i="6"/>
  <c r="AF1196" i="6"/>
  <c r="AF1198" i="6"/>
  <c r="AB1198" i="6" s="1"/>
  <c r="Z1198" i="6" s="1"/>
  <c r="AF1292" i="6"/>
  <c r="AG845" i="6"/>
  <c r="AF845" i="6"/>
  <c r="AB845" i="6" s="1"/>
  <c r="Z845" i="6" s="1"/>
  <c r="AF921" i="6"/>
  <c r="AG921" i="6"/>
  <c r="AB5" i="6"/>
  <c r="Z5" i="6" s="1"/>
  <c r="AG168" i="6"/>
  <c r="AG233" i="6"/>
  <c r="AB233" i="6" s="1"/>
  <c r="Z233" i="6" s="1"/>
  <c r="AF30" i="6"/>
  <c r="AB30" i="6" s="1"/>
  <c r="Z30" i="6" s="1"/>
  <c r="AF62" i="6"/>
  <c r="AB62" i="6" s="1"/>
  <c r="Z62" i="6" s="1"/>
  <c r="AG162" i="6"/>
  <c r="AB162" i="6" s="1"/>
  <c r="Z162" i="6" s="1"/>
  <c r="AG200" i="6"/>
  <c r="AB200" i="6" s="1"/>
  <c r="Z200" i="6" s="1"/>
  <c r="AF202" i="6"/>
  <c r="AB202" i="6" s="1"/>
  <c r="Z202" i="6" s="1"/>
  <c r="AF206" i="6"/>
  <c r="AB206" i="6" s="1"/>
  <c r="Z206" i="6" s="1"/>
  <c r="AG227" i="6"/>
  <c r="AB227" i="6" s="1"/>
  <c r="Z227" i="6" s="1"/>
  <c r="AF231" i="6"/>
  <c r="AB231" i="6" s="1"/>
  <c r="Z231" i="6" s="1"/>
  <c r="AF349" i="6"/>
  <c r="AB349" i="6" s="1"/>
  <c r="Z349" i="6" s="1"/>
  <c r="AG32" i="6"/>
  <c r="AB32" i="6" s="1"/>
  <c r="Z32" i="6" s="1"/>
  <c r="AF36" i="6"/>
  <c r="AB36" i="6" s="1"/>
  <c r="Z36" i="6" s="1"/>
  <c r="AF127" i="6"/>
  <c r="AB127" i="6" s="1"/>
  <c r="Z127" i="6" s="1"/>
  <c r="AF401" i="6"/>
  <c r="AB401" i="6" s="1"/>
  <c r="Z401" i="6" s="1"/>
  <c r="AF439" i="6"/>
  <c r="AB439" i="6" s="1"/>
  <c r="Z439" i="6" s="1"/>
  <c r="AG469" i="6"/>
  <c r="AB469" i="6" s="1"/>
  <c r="Z469" i="6" s="1"/>
  <c r="AG492" i="6"/>
  <c r="AB492" i="6" s="1"/>
  <c r="Z492" i="6" s="1"/>
  <c r="AG527" i="6"/>
  <c r="AB527" i="6" s="1"/>
  <c r="AF529" i="6"/>
  <c r="AB529" i="6" s="1"/>
  <c r="Z529" i="6" s="1"/>
  <c r="AG560" i="6"/>
  <c r="AB560" i="6" s="1"/>
  <c r="Z560" i="6" s="1"/>
  <c r="AF562" i="6"/>
  <c r="AB562" i="6" s="1"/>
  <c r="Z562" i="6" s="1"/>
  <c r="AF566" i="6"/>
  <c r="AB566" i="6" s="1"/>
  <c r="Z566" i="6" s="1"/>
  <c r="AF568" i="6"/>
  <c r="AB568" i="6" s="1"/>
  <c r="Z568" i="6" s="1"/>
  <c r="AF570" i="6"/>
  <c r="AB570" i="6" s="1"/>
  <c r="AF20" i="6"/>
  <c r="AB20" i="6" s="1"/>
  <c r="Z20" i="6" s="1"/>
  <c r="AF173" i="6"/>
  <c r="AG173" i="6"/>
  <c r="AG302" i="6"/>
  <c r="AB302" i="6" s="1"/>
  <c r="Z302" i="6" s="1"/>
  <c r="AF327" i="6"/>
  <c r="AB327" i="6" s="1"/>
  <c r="Z327" i="6" s="1"/>
  <c r="AG336" i="6"/>
  <c r="AB336" i="6" s="1"/>
  <c r="Z336" i="6" s="1"/>
  <c r="AG358" i="6"/>
  <c r="AB358" i="6" s="1"/>
  <c r="Z358" i="6" s="1"/>
  <c r="AF408" i="6"/>
  <c r="AB408" i="6" s="1"/>
  <c r="Z408" i="6" s="1"/>
  <c r="AG417" i="6"/>
  <c r="AB417" i="6" s="1"/>
  <c r="Z417" i="6" s="1"/>
  <c r="AF467" i="6"/>
  <c r="AB467" i="6" s="1"/>
  <c r="Z467" i="6" s="1"/>
  <c r="AG490" i="6"/>
  <c r="AB490" i="6" s="1"/>
  <c r="Z490" i="6" s="1"/>
  <c r="AG631" i="6"/>
  <c r="AG722" i="6"/>
  <c r="AB722" i="6" s="1"/>
  <c r="Z722" i="6" s="1"/>
  <c r="AF908" i="6"/>
  <c r="AB908" i="6" s="1"/>
  <c r="Z908" i="6" s="1"/>
  <c r="AF975" i="6"/>
  <c r="AG975" i="6"/>
  <c r="AF1078" i="6"/>
  <c r="AG1078" i="6"/>
  <c r="AG1085" i="6"/>
  <c r="AF1085" i="6"/>
  <c r="AF1133" i="6"/>
  <c r="AB1133" i="6" s="1"/>
  <c r="Z1133" i="6" s="1"/>
  <c r="AF1290" i="6"/>
  <c r="AB1290" i="6" s="1"/>
  <c r="Z1290" i="6" s="1"/>
  <c r="AB1400" i="6"/>
  <c r="Z1400" i="6" s="1"/>
  <c r="AF620" i="6"/>
  <c r="AB620" i="6" s="1"/>
  <c r="AF647" i="6"/>
  <c r="AB647" i="6" s="1"/>
  <c r="Z647" i="6" s="1"/>
  <c r="AF649" i="6"/>
  <c r="AB649" i="6" s="1"/>
  <c r="Z649" i="6" s="1"/>
  <c r="AF653" i="6"/>
  <c r="AB653" i="6" s="1"/>
  <c r="Z653" i="6" s="1"/>
  <c r="AG655" i="6"/>
  <c r="AB655" i="6" s="1"/>
  <c r="Z655" i="6" s="1"/>
  <c r="AF745" i="6"/>
  <c r="AF774" i="6"/>
  <c r="AB774" i="6" s="1"/>
  <c r="Z774" i="6" s="1"/>
  <c r="AG878" i="6"/>
  <c r="AB878" i="6" s="1"/>
  <c r="Z878" i="6" s="1"/>
  <c r="AG915" i="6"/>
  <c r="AB915" i="6" s="1"/>
  <c r="Z915" i="6" s="1"/>
  <c r="AF932" i="6"/>
  <c r="AB932" i="6" s="1"/>
  <c r="Z932" i="6" s="1"/>
  <c r="AF1066" i="6"/>
  <c r="AB1066" i="6" s="1"/>
  <c r="Z1066" i="6" s="1"/>
  <c r="AF1110" i="6"/>
  <c r="AG1153" i="6"/>
  <c r="AB1153" i="6" s="1"/>
  <c r="Z1153" i="6" s="1"/>
  <c r="AG1192" i="6"/>
  <c r="AB1192" i="6" s="1"/>
  <c r="Z1192" i="6" s="1"/>
  <c r="AG1236" i="6"/>
  <c r="AB1236" i="6" s="1"/>
  <c r="Z1236" i="6" s="1"/>
  <c r="AF1265" i="6"/>
  <c r="AB1265" i="6" s="1"/>
  <c r="Z1265" i="6" s="1"/>
  <c r="AG1303" i="6"/>
  <c r="AF1336" i="6"/>
  <c r="AF1338" i="6"/>
  <c r="AF1347" i="6"/>
  <c r="AB1347" i="6" s="1"/>
  <c r="Z1347" i="6" s="1"/>
  <c r="AF1362" i="6"/>
  <c r="AB1362" i="6" s="1"/>
  <c r="Z1362" i="6" s="1"/>
  <c r="AG1364" i="6"/>
  <c r="AB1364" i="6" s="1"/>
  <c r="Z1364" i="6" s="1"/>
  <c r="AG1398" i="6"/>
  <c r="AB1398" i="6" s="1"/>
  <c r="Z489" i="6"/>
  <c r="AF905" i="6"/>
  <c r="AB905" i="6" s="1"/>
  <c r="Z905" i="6" s="1"/>
  <c r="AF907" i="6"/>
  <c r="AB907" i="6" s="1"/>
  <c r="Z907" i="6" s="1"/>
  <c r="AG909" i="6"/>
  <c r="AB909" i="6" s="1"/>
  <c r="Z909" i="6" s="1"/>
  <c r="AG911" i="6"/>
  <c r="AB911" i="6" s="1"/>
  <c r="Z911" i="6" s="1"/>
  <c r="AF913" i="6"/>
  <c r="AB913" i="6" s="1"/>
  <c r="AF928" i="6"/>
  <c r="AB928" i="6" s="1"/>
  <c r="AG971" i="6"/>
  <c r="AB971" i="6" s="1"/>
  <c r="Z971" i="6" s="1"/>
  <c r="AF988" i="6"/>
  <c r="AB988" i="6" s="1"/>
  <c r="Z988" i="6" s="1"/>
  <c r="AF992" i="6"/>
  <c r="AB992" i="6" s="1"/>
  <c r="Z992" i="6" s="1"/>
  <c r="AF1050" i="6"/>
  <c r="AF1052" i="6"/>
  <c r="AB1052" i="6" s="1"/>
  <c r="AG1058" i="6"/>
  <c r="AB1058" i="6" s="1"/>
  <c r="Z1058" i="6" s="1"/>
  <c r="AF1060" i="6"/>
  <c r="AB1060" i="6" s="1"/>
  <c r="Z1060" i="6" s="1"/>
  <c r="AF1062" i="6"/>
  <c r="AB1062" i="6" s="1"/>
  <c r="Z1062" i="6" s="1"/>
  <c r="AG1125" i="6"/>
  <c r="AG1151" i="6"/>
  <c r="AF1188" i="6"/>
  <c r="AB1188" i="6" s="1"/>
  <c r="Z1188" i="6" s="1"/>
  <c r="AF1190" i="6"/>
  <c r="AG1212" i="6"/>
  <c r="AB1212" i="6" s="1"/>
  <c r="Z1212" i="6" s="1"/>
  <c r="AF1214" i="6"/>
  <c r="AB1214" i="6" s="1"/>
  <c r="Z1214" i="6" s="1"/>
  <c r="AG1225" i="6"/>
  <c r="AB1225" i="6" s="1"/>
  <c r="Z1225" i="6" s="1"/>
  <c r="AF1227" i="6"/>
  <c r="AB1227" i="6" s="1"/>
  <c r="Z1227" i="6" s="1"/>
  <c r="AF1263" i="6"/>
  <c r="AG1274" i="6"/>
  <c r="AB1274" i="6" s="1"/>
  <c r="Z1274" i="6" s="1"/>
  <c r="AF1276" i="6"/>
  <c r="AB1276" i="6" s="1"/>
  <c r="Z1276" i="6" s="1"/>
  <c r="AF1307" i="6"/>
  <c r="AB1307" i="6" s="1"/>
  <c r="Z1307" i="6" s="1"/>
  <c r="AF1323" i="6"/>
  <c r="AB1323" i="6" s="1"/>
  <c r="Z1323" i="6" s="1"/>
  <c r="AF1360" i="6"/>
  <c r="AB1360" i="6" s="1"/>
  <c r="AF1387" i="6"/>
  <c r="AB1387" i="6" s="1"/>
  <c r="AG1396" i="6"/>
  <c r="AF1419" i="6"/>
  <c r="AB1419" i="6" s="1"/>
  <c r="Z1419" i="6" s="1"/>
  <c r="AG814" i="6"/>
  <c r="AB814" i="6" s="1"/>
  <c r="Z814" i="6" s="1"/>
  <c r="AF896" i="6"/>
  <c r="AB896" i="6" s="1"/>
  <c r="Z896" i="6" s="1"/>
  <c r="AG926" i="6"/>
  <c r="AB926" i="6" s="1"/>
  <c r="Z926" i="6" s="1"/>
  <c r="AB945" i="6"/>
  <c r="AB989" i="6"/>
  <c r="Z989" i="6" s="1"/>
  <c r="AF990" i="6"/>
  <c r="AB990" i="6" s="1"/>
  <c r="Z990" i="6" s="1"/>
  <c r="AF1022" i="6"/>
  <c r="AB1022" i="6" s="1"/>
  <c r="Z1022" i="6" s="1"/>
  <c r="AF1046" i="6"/>
  <c r="AB1046" i="6" s="1"/>
  <c r="Z1046" i="6" s="1"/>
  <c r="AF1117" i="6"/>
  <c r="AB1117" i="6" s="1"/>
  <c r="Z1117" i="6" s="1"/>
  <c r="AG1121" i="6"/>
  <c r="AB1121" i="6" s="1"/>
  <c r="Z1121" i="6" s="1"/>
  <c r="AG1167" i="6"/>
  <c r="AG1169" i="6"/>
  <c r="AB1169" i="6" s="1"/>
  <c r="Z1169" i="6" s="1"/>
  <c r="AF1171" i="6"/>
  <c r="AB1171" i="6" s="1"/>
  <c r="Z1171" i="6" s="1"/>
  <c r="AF1184" i="6"/>
  <c r="AB1184" i="6" s="1"/>
  <c r="Z1184" i="6" s="1"/>
  <c r="AF1356" i="6"/>
  <c r="AB1356" i="6" s="1"/>
  <c r="Z1356" i="6" s="1"/>
  <c r="AF1392" i="6"/>
  <c r="AB1392" i="6" s="1"/>
  <c r="Z1392" i="6" s="1"/>
  <c r="AF1119" i="6"/>
  <c r="AB1119" i="6" s="1"/>
  <c r="Z1119" i="6" s="1"/>
  <c r="AF1139" i="6"/>
  <c r="AB1139" i="6" s="1"/>
  <c r="Z1139" i="6" s="1"/>
  <c r="AG1165" i="6"/>
  <c r="AB1165" i="6" s="1"/>
  <c r="Z1165" i="6" s="1"/>
  <c r="AF1182" i="6"/>
  <c r="AB1182" i="6" s="1"/>
  <c r="Z1182" i="6" s="1"/>
  <c r="AF1204" i="6"/>
  <c r="AB1204" i="6" s="1"/>
  <c r="Z1204" i="6" s="1"/>
  <c r="AF1219" i="6"/>
  <c r="AB1219" i="6" s="1"/>
  <c r="Z1219" i="6" s="1"/>
  <c r="AF1250" i="6"/>
  <c r="AF1312" i="6"/>
  <c r="AB1312" i="6" s="1"/>
  <c r="Z1312" i="6" s="1"/>
  <c r="AF1319" i="6"/>
  <c r="AB1319" i="6" s="1"/>
  <c r="Z1319" i="6" s="1"/>
  <c r="AG1328" i="6"/>
  <c r="AB1328" i="6" s="1"/>
  <c r="Z1328" i="6" s="1"/>
  <c r="AF11" i="6"/>
  <c r="AB11" i="6" s="1"/>
  <c r="Z11" i="6" s="1"/>
  <c r="AG77" i="6"/>
  <c r="AB77" i="6" s="1"/>
  <c r="Z77" i="6" s="1"/>
  <c r="AF83" i="6"/>
  <c r="AB83" i="6" s="1"/>
  <c r="Z83" i="6" s="1"/>
  <c r="AG116" i="6"/>
  <c r="AB116" i="6" s="1"/>
  <c r="Z116" i="6" s="1"/>
  <c r="AG118" i="6"/>
  <c r="AB118" i="6" s="1"/>
  <c r="Z118" i="6" s="1"/>
  <c r="AG135" i="6"/>
  <c r="AF135" i="6"/>
  <c r="AF178" i="6"/>
  <c r="AB178" i="6" s="1"/>
  <c r="Z178" i="6" s="1"/>
  <c r="AG180" i="6"/>
  <c r="AB180" i="6" s="1"/>
  <c r="Z180" i="6" s="1"/>
  <c r="AF182" i="6"/>
  <c r="AB182" i="6" s="1"/>
  <c r="Z182" i="6" s="1"/>
  <c r="AF199" i="6"/>
  <c r="AB199" i="6" s="1"/>
  <c r="Z199" i="6" s="1"/>
  <c r="AG213" i="6"/>
  <c r="AF213" i="6"/>
  <c r="AG247" i="6"/>
  <c r="AF247" i="6"/>
  <c r="AG279" i="6"/>
  <c r="AF279" i="6"/>
  <c r="AF308" i="6"/>
  <c r="AB308" i="6" s="1"/>
  <c r="Z308" i="6" s="1"/>
  <c r="AF310" i="6"/>
  <c r="AB310" i="6" s="1"/>
  <c r="Z310" i="6" s="1"/>
  <c r="AF386" i="6"/>
  <c r="AB386" i="6" s="1"/>
  <c r="Z386" i="6" s="1"/>
  <c r="AG433" i="6"/>
  <c r="AB433" i="6" s="1"/>
  <c r="Z433" i="6" s="1"/>
  <c r="AG581" i="6"/>
  <c r="AF581" i="6"/>
  <c r="AG608" i="6"/>
  <c r="AF608" i="6"/>
  <c r="AF635" i="6"/>
  <c r="AB635" i="6" s="1"/>
  <c r="Z635" i="6" s="1"/>
  <c r="AF763" i="6"/>
  <c r="AG763" i="6"/>
  <c r="AF889" i="6"/>
  <c r="AG889" i="6"/>
  <c r="AG107" i="6"/>
  <c r="AF107" i="6"/>
  <c r="AG211" i="6"/>
  <c r="AF211" i="6"/>
  <c r="AG264" i="6"/>
  <c r="AF264" i="6"/>
  <c r="AG317" i="6"/>
  <c r="AF317" i="6"/>
  <c r="AG550" i="6"/>
  <c r="AF550" i="6"/>
  <c r="AG728" i="6"/>
  <c r="AF728" i="6"/>
  <c r="AF382" i="6"/>
  <c r="AG382" i="6"/>
  <c r="AF509" i="6"/>
  <c r="AG509" i="6"/>
  <c r="AB509" i="6" s="1"/>
  <c r="Z509" i="6" s="1"/>
  <c r="AG579" i="6"/>
  <c r="AF579" i="6"/>
  <c r="AF606" i="6"/>
  <c r="AG606" i="6"/>
  <c r="AG709" i="6"/>
  <c r="AF709" i="6"/>
  <c r="AG759" i="6"/>
  <c r="AF759" i="6"/>
  <c r="AG761" i="6"/>
  <c r="AF761" i="6"/>
  <c r="AF830" i="6"/>
  <c r="AG830" i="6"/>
  <c r="AB830" i="6" s="1"/>
  <c r="Z830" i="6" s="1"/>
  <c r="AG885" i="6"/>
  <c r="AF885" i="6"/>
  <c r="AG1164" i="6"/>
  <c r="AF1164" i="6"/>
  <c r="AB14" i="6"/>
  <c r="Z14" i="6" s="1"/>
  <c r="AB41" i="6"/>
  <c r="Z41" i="6" s="1"/>
  <c r="AG707" i="6"/>
  <c r="AF707" i="6"/>
  <c r="AF726" i="6"/>
  <c r="AG726" i="6"/>
  <c r="AG1243" i="6"/>
  <c r="AF1243" i="6"/>
  <c r="AG374" i="6"/>
  <c r="AF374" i="6"/>
  <c r="AF42" i="6"/>
  <c r="AB42" i="6" s="1"/>
  <c r="Z42" i="6" s="1"/>
  <c r="AF89" i="6"/>
  <c r="AB89" i="6" s="1"/>
  <c r="Z89" i="6" s="1"/>
  <c r="AG125" i="6"/>
  <c r="AF125" i="6"/>
  <c r="AG154" i="6"/>
  <c r="AB154" i="6" s="1"/>
  <c r="Z154" i="6" s="1"/>
  <c r="AF203" i="6"/>
  <c r="AB203" i="6" s="1"/>
  <c r="Z203" i="6" s="1"/>
  <c r="AG207" i="6"/>
  <c r="AF207" i="6"/>
  <c r="AG315" i="6"/>
  <c r="AF315" i="6"/>
  <c r="AF337" i="6"/>
  <c r="AG337" i="6"/>
  <c r="AF454" i="6"/>
  <c r="AG454" i="6"/>
  <c r="AG38" i="6"/>
  <c r="AB38" i="6" s="1"/>
  <c r="Z38" i="6" s="1"/>
  <c r="AG262" i="6"/>
  <c r="AB262" i="6" s="1"/>
  <c r="Z262" i="6" s="1"/>
  <c r="AF328" i="6"/>
  <c r="AB328" i="6" s="1"/>
  <c r="Z328" i="6" s="1"/>
  <c r="AF493" i="6"/>
  <c r="AG493" i="6"/>
  <c r="AF591" i="6"/>
  <c r="AG591" i="6"/>
  <c r="AG657" i="6"/>
  <c r="AB657" i="6" s="1"/>
  <c r="Z657" i="6" s="1"/>
  <c r="AF828" i="6"/>
  <c r="AG828" i="6"/>
  <c r="AG876" i="6"/>
  <c r="AB876" i="6" s="1"/>
  <c r="Z876" i="6" s="1"/>
  <c r="AG883" i="6"/>
  <c r="AF883" i="6"/>
  <c r="AG999" i="6"/>
  <c r="AF999" i="6"/>
  <c r="AG1054" i="6"/>
  <c r="AF1054" i="6"/>
  <c r="AG1162" i="6"/>
  <c r="AF1162" i="6"/>
  <c r="AG27" i="6"/>
  <c r="AF27" i="6"/>
  <c r="AF152" i="6"/>
  <c r="AG152" i="6"/>
  <c r="AG58" i="6"/>
  <c r="AB58" i="6" s="1"/>
  <c r="Z58" i="6" s="1"/>
  <c r="AG93" i="6"/>
  <c r="AB93" i="6" s="1"/>
  <c r="Z93" i="6" s="1"/>
  <c r="AF158" i="6"/>
  <c r="AB158" i="6" s="1"/>
  <c r="Z158" i="6" s="1"/>
  <c r="AF195" i="6"/>
  <c r="AB195" i="6" s="1"/>
  <c r="Z195" i="6" s="1"/>
  <c r="AG598" i="6"/>
  <c r="AF598" i="6"/>
  <c r="AB598" i="6" s="1"/>
  <c r="Z598" i="6" s="1"/>
  <c r="AG627" i="6"/>
  <c r="AF627" i="6"/>
  <c r="AG146" i="6"/>
  <c r="AF146" i="6"/>
  <c r="AG183" i="6"/>
  <c r="AF183" i="6"/>
  <c r="AF223" i="6"/>
  <c r="AF269" i="6"/>
  <c r="AG269" i="6"/>
  <c r="AF10" i="6"/>
  <c r="AB10" i="6" s="1"/>
  <c r="Z10" i="6" s="1"/>
  <c r="AG185" i="6"/>
  <c r="AB185" i="6" s="1"/>
  <c r="Z185" i="6" s="1"/>
  <c r="AF187" i="6"/>
  <c r="AB187" i="6" s="1"/>
  <c r="Z187" i="6" s="1"/>
  <c r="AF189" i="6"/>
  <c r="AB189" i="6" s="1"/>
  <c r="Z189" i="6" s="1"/>
  <c r="AG198" i="6"/>
  <c r="AF198" i="6"/>
  <c r="AF258" i="6"/>
  <c r="AB258" i="6" s="1"/>
  <c r="Z258" i="6" s="1"/>
  <c r="AG625" i="6"/>
  <c r="AF625" i="6"/>
  <c r="AG703" i="6"/>
  <c r="AF703" i="6"/>
  <c r="AG751" i="6"/>
  <c r="AF751" i="6"/>
  <c r="AG788" i="6"/>
  <c r="AF788" i="6"/>
  <c r="AG874" i="6"/>
  <c r="AB874" i="6" s="1"/>
  <c r="Z874" i="6" s="1"/>
  <c r="AG951" i="6"/>
  <c r="AF951" i="6"/>
  <c r="AF997" i="6"/>
  <c r="AG997" i="6"/>
  <c r="AF1241" i="6"/>
  <c r="AG1241" i="6"/>
  <c r="AG1297" i="6"/>
  <c r="AF1297" i="6"/>
  <c r="AG103" i="6"/>
  <c r="AF103" i="6"/>
  <c r="AF19" i="6"/>
  <c r="AB19" i="6" s="1"/>
  <c r="Z19" i="6" s="1"/>
  <c r="AG290" i="6"/>
  <c r="AF290" i="6"/>
  <c r="AF91" i="6"/>
  <c r="AB91" i="6" s="1"/>
  <c r="Z91" i="6" s="1"/>
  <c r="AG113" i="6"/>
  <c r="AB113" i="6" s="1"/>
  <c r="Z113" i="6" s="1"/>
  <c r="AF123" i="6"/>
  <c r="AB123" i="6" s="1"/>
  <c r="Z123" i="6" s="1"/>
  <c r="AF326" i="6"/>
  <c r="AB326" i="6" s="1"/>
  <c r="Z326" i="6" s="1"/>
  <c r="AG335" i="6"/>
  <c r="AF335" i="6"/>
  <c r="AG372" i="6"/>
  <c r="AF372" i="6"/>
  <c r="AG54" i="6"/>
  <c r="AB54" i="6" s="1"/>
  <c r="Z54" i="6" s="1"/>
  <c r="AF74" i="6"/>
  <c r="AB74" i="6" s="1"/>
  <c r="Z74" i="6" s="1"/>
  <c r="AF82" i="6"/>
  <c r="AB82" i="6" s="1"/>
  <c r="Z82" i="6" s="1"/>
  <c r="Z244" i="6"/>
  <c r="AF254" i="6"/>
  <c r="AG254" i="6"/>
  <c r="AG284" i="6"/>
  <c r="AB284" i="6" s="1"/>
  <c r="Z284" i="6" s="1"/>
  <c r="AG307" i="6"/>
  <c r="AF307" i="6"/>
  <c r="AF344" i="6"/>
  <c r="AG344" i="6"/>
  <c r="AF452" i="6"/>
  <c r="AG452" i="6"/>
  <c r="AF487" i="6"/>
  <c r="AB487" i="6" s="1"/>
  <c r="Z487" i="6" s="1"/>
  <c r="AG8" i="6"/>
  <c r="AB8" i="6" s="1"/>
  <c r="Z8" i="6" s="1"/>
  <c r="AF16" i="6"/>
  <c r="AG16" i="6"/>
  <c r="AF76" i="6"/>
  <c r="AB76" i="6" s="1"/>
  <c r="Z76" i="6" s="1"/>
  <c r="AF115" i="6"/>
  <c r="AB115" i="6" s="1"/>
  <c r="Z115" i="6" s="1"/>
  <c r="AF117" i="6"/>
  <c r="AB117" i="6" s="1"/>
  <c r="AG138" i="6"/>
  <c r="AF138" i="6"/>
  <c r="AG256" i="6"/>
  <c r="AB256" i="6" s="1"/>
  <c r="Z256" i="6" s="1"/>
  <c r="AF370" i="6"/>
  <c r="AG370" i="6"/>
  <c r="AF413" i="6"/>
  <c r="AB413" i="6" s="1"/>
  <c r="Z413" i="6" s="1"/>
  <c r="AF415" i="6"/>
  <c r="AB415" i="6" s="1"/>
  <c r="Z415" i="6" s="1"/>
  <c r="AG450" i="6"/>
  <c r="AF450" i="6"/>
  <c r="AF523" i="6"/>
  <c r="AG523" i="6"/>
  <c r="AG749" i="6"/>
  <c r="AF749" i="6"/>
  <c r="AG817" i="6"/>
  <c r="AB817" i="6" s="1"/>
  <c r="Z817" i="6" s="1"/>
  <c r="AF826" i="6"/>
  <c r="AG826" i="6"/>
  <c r="AG942" i="6"/>
  <c r="AB942" i="6" s="1"/>
  <c r="Z942" i="6" s="1"/>
  <c r="AG1143" i="6"/>
  <c r="AF1143" i="6"/>
  <c r="AG167" i="6"/>
  <c r="AF167" i="6"/>
  <c r="AF196" i="6"/>
  <c r="AG196" i="6"/>
  <c r="AF204" i="6"/>
  <c r="AG204" i="6"/>
  <c r="AF220" i="6"/>
  <c r="AG220" i="6"/>
  <c r="AG232" i="6"/>
  <c r="AF232" i="6"/>
  <c r="AF422" i="6"/>
  <c r="AG422" i="6"/>
  <c r="AG448" i="6"/>
  <c r="AF448" i="6"/>
  <c r="AG587" i="6"/>
  <c r="AF587" i="6"/>
  <c r="AG701" i="6"/>
  <c r="AF701" i="6"/>
  <c r="AG786" i="6"/>
  <c r="AF786" i="6"/>
  <c r="AG1141" i="6"/>
  <c r="AF1141" i="6"/>
  <c r="AG1232" i="6"/>
  <c r="AF1232" i="6"/>
  <c r="AG155" i="6"/>
  <c r="AF155" i="6"/>
  <c r="AG194" i="6"/>
  <c r="AF194" i="6"/>
  <c r="AG695" i="6"/>
  <c r="AF695" i="6"/>
  <c r="AB695" i="6" s="1"/>
  <c r="Z695" i="6" s="1"/>
  <c r="AG743" i="6"/>
  <c r="AF743" i="6"/>
  <c r="AF809" i="6"/>
  <c r="AG809" i="6"/>
  <c r="AG811" i="6"/>
  <c r="AF811" i="6"/>
  <c r="AF838" i="6"/>
  <c r="AG838" i="6"/>
  <c r="AG938" i="6"/>
  <c r="AF938" i="6"/>
  <c r="AG159" i="6"/>
  <c r="AF159" i="6"/>
  <c r="AG26" i="6"/>
  <c r="AB26" i="6" s="1"/>
  <c r="Z26" i="6" s="1"/>
  <c r="AG45" i="6"/>
  <c r="AB45" i="6" s="1"/>
  <c r="Z45" i="6" s="1"/>
  <c r="AF69" i="6"/>
  <c r="AB69" i="6" s="1"/>
  <c r="Z69" i="6" s="1"/>
  <c r="AG94" i="6"/>
  <c r="AB94" i="6" s="1"/>
  <c r="Z94" i="6" s="1"/>
  <c r="AF110" i="6"/>
  <c r="AB110" i="6" s="1"/>
  <c r="Z110" i="6" s="1"/>
  <c r="AG120" i="6"/>
  <c r="AF120" i="6"/>
  <c r="AG153" i="6"/>
  <c r="AB153" i="6" s="1"/>
  <c r="Z153" i="6" s="1"/>
  <c r="AG157" i="6"/>
  <c r="AB157" i="6" s="1"/>
  <c r="Z157" i="6" s="1"/>
  <c r="AB168" i="6"/>
  <c r="Z168" i="6" s="1"/>
  <c r="AB251" i="6"/>
  <c r="Z251" i="6" s="1"/>
  <c r="AF287" i="6"/>
  <c r="AG287" i="6"/>
  <c r="AG388" i="6"/>
  <c r="AF388" i="6"/>
  <c r="AF479" i="6"/>
  <c r="AG479" i="6"/>
  <c r="AF650" i="6"/>
  <c r="AG650" i="6"/>
  <c r="AG654" i="6"/>
  <c r="AF654" i="6"/>
  <c r="AF691" i="6"/>
  <c r="AB691" i="6" s="1"/>
  <c r="Z691" i="6" s="1"/>
  <c r="AF693" i="6"/>
  <c r="AG693" i="6"/>
  <c r="AF734" i="6"/>
  <c r="AB734" i="6" s="1"/>
  <c r="Z734" i="6" s="1"/>
  <c r="AG59" i="6"/>
  <c r="AF59" i="6"/>
  <c r="AB101" i="6"/>
  <c r="Z101" i="6" s="1"/>
  <c r="AG24" i="6"/>
  <c r="AB24" i="6" s="1"/>
  <c r="Z24" i="6" s="1"/>
  <c r="AF43" i="6"/>
  <c r="AB43" i="6" s="1"/>
  <c r="Z43" i="6" s="1"/>
  <c r="AF73" i="6"/>
  <c r="AG73" i="6"/>
  <c r="AF126" i="6"/>
  <c r="AB126" i="6" s="1"/>
  <c r="Z126" i="6" s="1"/>
  <c r="AG186" i="6"/>
  <c r="AF186" i="6"/>
  <c r="AF272" i="6"/>
  <c r="AB272" i="6" s="1"/>
  <c r="Z272" i="6" s="1"/>
  <c r="AG283" i="6"/>
  <c r="AF283" i="6"/>
  <c r="AF464" i="6"/>
  <c r="AB464" i="6" s="1"/>
  <c r="Z464" i="6" s="1"/>
  <c r="AG466" i="6"/>
  <c r="AB466" i="6" s="1"/>
  <c r="Z466" i="6" s="1"/>
  <c r="AF470" i="6"/>
  <c r="AB470" i="6" s="1"/>
  <c r="Z470" i="6" s="1"/>
  <c r="AF472" i="6"/>
  <c r="AB472" i="6" s="1"/>
  <c r="Z472" i="6" s="1"/>
  <c r="AF486" i="6"/>
  <c r="AG486" i="6"/>
  <c r="AF508" i="6"/>
  <c r="AB508" i="6" s="1"/>
  <c r="Z508" i="6" s="1"/>
  <c r="AG583" i="6"/>
  <c r="AF583" i="6"/>
  <c r="AF769" i="6"/>
  <c r="AB769" i="6" s="1"/>
  <c r="Z769" i="6" s="1"/>
  <c r="AG805" i="6"/>
  <c r="AF805" i="6"/>
  <c r="AF834" i="6"/>
  <c r="AG834" i="6"/>
  <c r="AF893" i="6"/>
  <c r="AG893" i="6"/>
  <c r="AF1264" i="6"/>
  <c r="AG1264" i="6"/>
  <c r="AG1436" i="6"/>
  <c r="AF1436" i="6"/>
  <c r="AF124" i="6"/>
  <c r="AB124" i="6" s="1"/>
  <c r="Z124" i="6" s="1"/>
  <c r="AF257" i="6"/>
  <c r="AG257" i="6"/>
  <c r="AG323" i="6"/>
  <c r="AB323" i="6" s="1"/>
  <c r="Z323" i="6" s="1"/>
  <c r="AG360" i="6"/>
  <c r="AF360" i="6"/>
  <c r="AF13" i="6"/>
  <c r="AG13" i="6"/>
  <c r="Z15" i="6"/>
  <c r="AG22" i="6"/>
  <c r="AB22" i="6" s="1"/>
  <c r="Z22" i="6" s="1"/>
  <c r="AF97" i="6"/>
  <c r="AG97" i="6"/>
  <c r="AF147" i="6"/>
  <c r="AB147" i="6" s="1"/>
  <c r="Z147" i="6" s="1"/>
  <c r="AG184" i="6"/>
  <c r="AB184" i="6" s="1"/>
  <c r="Z184" i="6" s="1"/>
  <c r="AF249" i="6"/>
  <c r="AG249" i="6"/>
  <c r="AG390" i="6"/>
  <c r="AB390" i="6" s="1"/>
  <c r="Z390" i="6" s="1"/>
  <c r="AF442" i="6"/>
  <c r="AG442" i="6"/>
  <c r="AF644" i="6"/>
  <c r="AG644" i="6"/>
  <c r="AG756" i="6"/>
  <c r="AF756" i="6"/>
  <c r="AF767" i="6"/>
  <c r="AB767" i="6" s="1"/>
  <c r="Z767" i="6" s="1"/>
  <c r="AG1009" i="6"/>
  <c r="AB1009" i="6" s="1"/>
  <c r="Z1009" i="6" s="1"/>
  <c r="AG563" i="6"/>
  <c r="AB563" i="6" s="1"/>
  <c r="Z563" i="6" s="1"/>
  <c r="AG615" i="6"/>
  <c r="AB615" i="6" s="1"/>
  <c r="Z615" i="6" s="1"/>
  <c r="Z620" i="6"/>
  <c r="AG658" i="6"/>
  <c r="AB658" i="6" s="1"/>
  <c r="Z658" i="6" s="1"/>
  <c r="AG729" i="6"/>
  <c r="AF729" i="6"/>
  <c r="AF737" i="6"/>
  <c r="AB737" i="6" s="1"/>
  <c r="Z737" i="6" s="1"/>
  <c r="AG770" i="6"/>
  <c r="AB770" i="6" s="1"/>
  <c r="Z770" i="6" s="1"/>
  <c r="AF802" i="6"/>
  <c r="AB802" i="6" s="1"/>
  <c r="Z802" i="6" s="1"/>
  <c r="AF852" i="6"/>
  <c r="AG854" i="6"/>
  <c r="AB854" i="6" s="1"/>
  <c r="Z854" i="6" s="1"/>
  <c r="AF858" i="6"/>
  <c r="AB858" i="6" s="1"/>
  <c r="Z858" i="6" s="1"/>
  <c r="AG860" i="6"/>
  <c r="AB860" i="6" s="1"/>
  <c r="Z860" i="6" s="1"/>
  <c r="AF884" i="6"/>
  <c r="AG884" i="6"/>
  <c r="AF935" i="6"/>
  <c r="AB935" i="6" s="1"/>
  <c r="Z935" i="6" s="1"/>
  <c r="AG954" i="6"/>
  <c r="AB954" i="6" s="1"/>
  <c r="Z954" i="6" s="1"/>
  <c r="AG1002" i="6"/>
  <c r="AB1002" i="6" s="1"/>
  <c r="Z1002" i="6" s="1"/>
  <c r="AF1004" i="6"/>
  <c r="AB1004" i="6" s="1"/>
  <c r="Z1004" i="6" s="1"/>
  <c r="AG1006" i="6"/>
  <c r="AB1006" i="6" s="1"/>
  <c r="Z1006" i="6" s="1"/>
  <c r="AF1021" i="6"/>
  <c r="AB1021" i="6" s="1"/>
  <c r="Z1021" i="6" s="1"/>
  <c r="AF1023" i="6"/>
  <c r="AB1023" i="6" s="1"/>
  <c r="Z1023" i="6" s="1"/>
  <c r="AG1115" i="6"/>
  <c r="AB1115" i="6" s="1"/>
  <c r="Z1115" i="6" s="1"/>
  <c r="AG1123" i="6"/>
  <c r="AB1123" i="6" s="1"/>
  <c r="Z1123" i="6" s="1"/>
  <c r="AF1136" i="6"/>
  <c r="AG1136" i="6"/>
  <c r="AG1163" i="6"/>
  <c r="AF1163" i="6"/>
  <c r="AG1179" i="6"/>
  <c r="AF1179" i="6"/>
  <c r="AG1261" i="6"/>
  <c r="AF1261" i="6"/>
  <c r="AG1308" i="6"/>
  <c r="AF1308" i="6"/>
  <c r="AG1326" i="6"/>
  <c r="AF1326" i="6"/>
  <c r="AG1334" i="6"/>
  <c r="AB1334" i="6" s="1"/>
  <c r="Z1334" i="6" s="1"/>
  <c r="AG1340" i="6"/>
  <c r="AB1340" i="6" s="1"/>
  <c r="Z1340" i="6" s="1"/>
  <c r="AF1370" i="6"/>
  <c r="AG1370" i="6"/>
  <c r="AF667" i="6"/>
  <c r="AG667" i="6"/>
  <c r="AG725" i="6"/>
  <c r="AF725" i="6"/>
  <c r="AG785" i="6"/>
  <c r="AF785" i="6"/>
  <c r="AB803" i="6"/>
  <c r="Z803" i="6" s="1"/>
  <c r="AG867" i="6"/>
  <c r="AF867" i="6"/>
  <c r="AF1013" i="6"/>
  <c r="AG1013" i="6"/>
  <c r="AG1324" i="6"/>
  <c r="AF1324" i="6"/>
  <c r="AG1395" i="6"/>
  <c r="AF1395" i="6"/>
  <c r="AB270" i="6"/>
  <c r="Z270" i="6" s="1"/>
  <c r="AG412" i="6"/>
  <c r="AB412" i="6" s="1"/>
  <c r="Z412" i="6" s="1"/>
  <c r="AF434" i="6"/>
  <c r="AB434" i="6" s="1"/>
  <c r="Z434" i="6" s="1"/>
  <c r="AG457" i="6"/>
  <c r="AB457" i="6" s="1"/>
  <c r="Z457" i="6" s="1"/>
  <c r="AG478" i="6"/>
  <c r="AB478" i="6" s="1"/>
  <c r="Z478" i="6" s="1"/>
  <c r="AG480" i="6"/>
  <c r="AB480" i="6" s="1"/>
  <c r="Z480" i="6" s="1"/>
  <c r="AG532" i="6"/>
  <c r="AB532" i="6" s="1"/>
  <c r="Z532" i="6" s="1"/>
  <c r="AG551" i="6"/>
  <c r="AB551" i="6" s="1"/>
  <c r="Z551" i="6" s="1"/>
  <c r="AG582" i="6"/>
  <c r="AB582" i="6" s="1"/>
  <c r="Z582" i="6" s="1"/>
  <c r="AF586" i="6"/>
  <c r="AB586" i="6" s="1"/>
  <c r="Z586" i="6" s="1"/>
  <c r="AF609" i="6"/>
  <c r="AB609" i="6" s="1"/>
  <c r="Z609" i="6" s="1"/>
  <c r="AG643" i="6"/>
  <c r="AB643" i="6" s="1"/>
  <c r="Z643" i="6" s="1"/>
  <c r="AF702" i="6"/>
  <c r="AB702" i="6" s="1"/>
  <c r="Z702" i="6" s="1"/>
  <c r="AF723" i="6"/>
  <c r="AG723" i="6"/>
  <c r="AG827" i="6"/>
  <c r="AB827" i="6" s="1"/>
  <c r="Z827" i="6" s="1"/>
  <c r="AG829" i="6"/>
  <c r="AB829" i="6" s="1"/>
  <c r="Z829" i="6" s="1"/>
  <c r="AG831" i="6"/>
  <c r="AB831" i="6" s="1"/>
  <c r="Z831" i="6" s="1"/>
  <c r="AG844" i="6"/>
  <c r="AF844" i="6"/>
  <c r="AG869" i="6"/>
  <c r="AB869" i="6" s="1"/>
  <c r="Z869" i="6" s="1"/>
  <c r="Z901" i="6"/>
  <c r="AG925" i="6"/>
  <c r="AB925" i="6" s="1"/>
  <c r="Z925" i="6" s="1"/>
  <c r="AF927" i="6"/>
  <c r="AB927" i="6" s="1"/>
  <c r="Z927" i="6" s="1"/>
  <c r="AG931" i="6"/>
  <c r="AB931" i="6" s="1"/>
  <c r="Z931" i="6" s="1"/>
  <c r="AF944" i="6"/>
  <c r="AG944" i="6"/>
  <c r="AG948" i="6"/>
  <c r="AB948" i="6" s="1"/>
  <c r="Z948" i="6" s="1"/>
  <c r="AG986" i="6"/>
  <c r="AB986" i="6" s="1"/>
  <c r="Z986" i="6" s="1"/>
  <c r="AF1081" i="6"/>
  <c r="AB1081" i="6" s="1"/>
  <c r="Z1081" i="6" s="1"/>
  <c r="AG1088" i="6"/>
  <c r="AF1088" i="6"/>
  <c r="AG1092" i="6"/>
  <c r="AB1092" i="6" s="1"/>
  <c r="Z1092" i="6" s="1"/>
  <c r="AF1103" i="6"/>
  <c r="AG1103" i="6"/>
  <c r="AF1159" i="6"/>
  <c r="AG1159" i="6"/>
  <c r="AG1175" i="6"/>
  <c r="AB1175" i="6" s="1"/>
  <c r="Z1175" i="6" s="1"/>
  <c r="AF1177" i="6"/>
  <c r="AB1177" i="6" s="1"/>
  <c r="Z1177" i="6" s="1"/>
  <c r="AF1229" i="6"/>
  <c r="AB1229" i="6" s="1"/>
  <c r="Z1229" i="6" s="1"/>
  <c r="AF1286" i="6"/>
  <c r="AB1286" i="6" s="1"/>
  <c r="Z1286" i="6" s="1"/>
  <c r="AF1322" i="6"/>
  <c r="AG1322" i="6"/>
  <c r="Z1052" i="6"/>
  <c r="AG1320" i="6"/>
  <c r="AF1320" i="6"/>
  <c r="AB277" i="6"/>
  <c r="AB325" i="6"/>
  <c r="Z325" i="6" s="1"/>
  <c r="AB498" i="6"/>
  <c r="Z498" i="6" s="1"/>
  <c r="AF840" i="6"/>
  <c r="AG840" i="6"/>
  <c r="AF1005" i="6"/>
  <c r="AB1005" i="6" s="1"/>
  <c r="Z1005" i="6" s="1"/>
  <c r="AG1005" i="6"/>
  <c r="AG1086" i="6"/>
  <c r="AF1086" i="6"/>
  <c r="AB1147" i="6"/>
  <c r="Z1147" i="6" s="1"/>
  <c r="AG1339" i="6"/>
  <c r="AF1339" i="6"/>
  <c r="AG1251" i="6"/>
  <c r="AF1251" i="6"/>
  <c r="AG1262" i="6"/>
  <c r="AF1262" i="6"/>
  <c r="AB88" i="6"/>
  <c r="Z88" i="6" s="1"/>
  <c r="AG477" i="6"/>
  <c r="AF477" i="6"/>
  <c r="AF1249" i="6"/>
  <c r="AB1249" i="6" s="1"/>
  <c r="Z1249" i="6" s="1"/>
  <c r="AG1249" i="6"/>
  <c r="AG1314" i="6"/>
  <c r="AF1314" i="6"/>
  <c r="AG1369" i="6"/>
  <c r="AF1369" i="6"/>
  <c r="AG1434" i="6"/>
  <c r="AF1434" i="6"/>
  <c r="AF753" i="6"/>
  <c r="AG753" i="6"/>
  <c r="AF832" i="6"/>
  <c r="AB832" i="6" s="1"/>
  <c r="Z832" i="6" s="1"/>
  <c r="AF868" i="6"/>
  <c r="AB868" i="6" s="1"/>
  <c r="Z868" i="6" s="1"/>
  <c r="AG879" i="6"/>
  <c r="AF879" i="6"/>
  <c r="AG987" i="6"/>
  <c r="AB987" i="6" s="1"/>
  <c r="Z987" i="6" s="1"/>
  <c r="AF995" i="6"/>
  <c r="AB995" i="6" s="1"/>
  <c r="Z995" i="6" s="1"/>
  <c r="AF1035" i="6"/>
  <c r="AB1035" i="6" s="1"/>
  <c r="Z1035" i="6" s="1"/>
  <c r="AF1039" i="6"/>
  <c r="AB1039" i="6" s="1"/>
  <c r="Z1039" i="6" s="1"/>
  <c r="AG1091" i="6"/>
  <c r="AB1091" i="6" s="1"/>
  <c r="Z1091" i="6" s="1"/>
  <c r="AF1131" i="6"/>
  <c r="AB1131" i="6" s="1"/>
  <c r="Z1131" i="6" s="1"/>
  <c r="AF1174" i="6"/>
  <c r="AB1174" i="6" s="1"/>
  <c r="Z1174" i="6" s="1"/>
  <c r="AG1176" i="6"/>
  <c r="AB1176" i="6" s="1"/>
  <c r="Z1176" i="6" s="1"/>
  <c r="AF1178" i="6"/>
  <c r="AB1178" i="6" s="1"/>
  <c r="Z1178" i="6" s="1"/>
  <c r="AG1201" i="6"/>
  <c r="AF1215" i="6"/>
  <c r="AB1215" i="6" s="1"/>
  <c r="Z1215" i="6" s="1"/>
  <c r="AG1245" i="6"/>
  <c r="AB1245" i="6" s="1"/>
  <c r="Z1245" i="6" s="1"/>
  <c r="AF1260" i="6"/>
  <c r="AB1260" i="6" s="1"/>
  <c r="Z1260" i="6" s="1"/>
  <c r="AF1427" i="6"/>
  <c r="AB1427" i="6" s="1"/>
  <c r="Z1427" i="6" s="1"/>
  <c r="AB777" i="6"/>
  <c r="Z777" i="6" s="1"/>
  <c r="AF820" i="6"/>
  <c r="AG820" i="6"/>
  <c r="AF864" i="6"/>
  <c r="AG864" i="6"/>
  <c r="AF877" i="6"/>
  <c r="AG877" i="6"/>
  <c r="AB998" i="6"/>
  <c r="Z998" i="6" s="1"/>
  <c r="AG1010" i="6"/>
  <c r="AF1010" i="6"/>
  <c r="AG1352" i="6"/>
  <c r="AF1352" i="6"/>
  <c r="AB246" i="6"/>
  <c r="Z246" i="6" s="1"/>
  <c r="AB278" i="6"/>
  <c r="Z278" i="6" s="1"/>
  <c r="AB369" i="6"/>
  <c r="Z369" i="6" s="1"/>
  <c r="AG475" i="6"/>
  <c r="AB475" i="6" s="1"/>
  <c r="Z475" i="6" s="1"/>
  <c r="AF507" i="6"/>
  <c r="AB507" i="6" s="1"/>
  <c r="Z507" i="6" s="1"/>
  <c r="AF572" i="6"/>
  <c r="AB572" i="6" s="1"/>
  <c r="Z572" i="6" s="1"/>
  <c r="AF621" i="6"/>
  <c r="AB621" i="6" s="1"/>
  <c r="Z621" i="6" s="1"/>
  <c r="AF656" i="6"/>
  <c r="AB656" i="6" s="1"/>
  <c r="Z656" i="6" s="1"/>
  <c r="AF662" i="6"/>
  <c r="AB662" i="6" s="1"/>
  <c r="Z662" i="6" s="1"/>
  <c r="AG664" i="6"/>
  <c r="AB664" i="6" s="1"/>
  <c r="Z664" i="6" s="1"/>
  <c r="AF679" i="6"/>
  <c r="AB679" i="6" s="1"/>
  <c r="Z679" i="6" s="1"/>
  <c r="AF733" i="6"/>
  <c r="AB733" i="6" s="1"/>
  <c r="Z733" i="6" s="1"/>
  <c r="AF782" i="6"/>
  <c r="AB782" i="6" s="1"/>
  <c r="Z782" i="6" s="1"/>
  <c r="AF791" i="6"/>
  <c r="AB791" i="6" s="1"/>
  <c r="Z791" i="6" s="1"/>
  <c r="AF795" i="6"/>
  <c r="AB795" i="6" s="1"/>
  <c r="Z795" i="6" s="1"/>
  <c r="AF862" i="6"/>
  <c r="AG862" i="6"/>
  <c r="AF939" i="6"/>
  <c r="AB939" i="6" s="1"/>
  <c r="Z939" i="6" s="1"/>
  <c r="AF941" i="6"/>
  <c r="AB941" i="6" s="1"/>
  <c r="Z941" i="6" s="1"/>
  <c r="AG960" i="6"/>
  <c r="AB960" i="6" s="1"/>
  <c r="Z960" i="6" s="1"/>
  <c r="AG967" i="6"/>
  <c r="AF967" i="6"/>
  <c r="AG969" i="6"/>
  <c r="AB969" i="6" s="1"/>
  <c r="Z969" i="6" s="1"/>
  <c r="AG973" i="6"/>
  <c r="AB973" i="6" s="1"/>
  <c r="Z973" i="6" s="1"/>
  <c r="AB976" i="6"/>
  <c r="Z976" i="6" s="1"/>
  <c r="AB984" i="6"/>
  <c r="Z984" i="6" s="1"/>
  <c r="AG991" i="6"/>
  <c r="AB991" i="6" s="1"/>
  <c r="Z991" i="6" s="1"/>
  <c r="AG1008" i="6"/>
  <c r="AF1008" i="6"/>
  <c r="AF1019" i="6"/>
  <c r="AB1019" i="6" s="1"/>
  <c r="Z1019" i="6" s="1"/>
  <c r="AF1027" i="6"/>
  <c r="AB1027" i="6" s="1"/>
  <c r="Z1027" i="6" s="1"/>
  <c r="AG1029" i="6"/>
  <c r="AB1029" i="6" s="1"/>
  <c r="Z1029" i="6" s="1"/>
  <c r="AB1036" i="6"/>
  <c r="Z1036" i="6" s="1"/>
  <c r="AG1045" i="6"/>
  <c r="AB1045" i="6" s="1"/>
  <c r="Z1045" i="6" s="1"/>
  <c r="AF1047" i="6"/>
  <c r="AG1047" i="6"/>
  <c r="AF1064" i="6"/>
  <c r="AB1064" i="6" s="1"/>
  <c r="Z1064" i="6" s="1"/>
  <c r="AF1068" i="6"/>
  <c r="AB1068" i="6" s="1"/>
  <c r="Z1068" i="6" s="1"/>
  <c r="AF1072" i="6"/>
  <c r="AB1072" i="6" s="1"/>
  <c r="Z1072" i="6" s="1"/>
  <c r="AF1156" i="6"/>
  <c r="AB1156" i="6" s="1"/>
  <c r="Z1156" i="6" s="1"/>
  <c r="AF1158" i="6"/>
  <c r="AB1158" i="6" s="1"/>
  <c r="Z1158" i="6" s="1"/>
  <c r="AF1203" i="6"/>
  <c r="AB1203" i="6" s="1"/>
  <c r="Z1203" i="6" s="1"/>
  <c r="AF1235" i="6"/>
  <c r="AB1235" i="6" s="1"/>
  <c r="Z1235" i="6" s="1"/>
  <c r="AF1237" i="6"/>
  <c r="AB1237" i="6" s="1"/>
  <c r="Z1237" i="6" s="1"/>
  <c r="AB1284" i="6"/>
  <c r="Z1284" i="6" s="1"/>
  <c r="AG1310" i="6"/>
  <c r="AF1310" i="6"/>
  <c r="AF1321" i="6"/>
  <c r="AB1321" i="6" s="1"/>
  <c r="Z1321" i="6" s="1"/>
  <c r="AF1330" i="6"/>
  <c r="AG1330" i="6"/>
  <c r="AF1344" i="6"/>
  <c r="AB1344" i="6" s="1"/>
  <c r="Z1344" i="6" s="1"/>
  <c r="AF1346" i="6"/>
  <c r="AB1346" i="6" s="1"/>
  <c r="Z1346" i="6" s="1"/>
  <c r="AB164" i="6"/>
  <c r="Z164" i="6" s="1"/>
  <c r="AB6" i="6"/>
  <c r="Z6" i="6" s="1"/>
  <c r="AB57" i="6"/>
  <c r="Z57" i="6" s="1"/>
  <c r="AB334" i="6"/>
  <c r="Z334" i="6" s="1"/>
  <c r="AF613" i="6"/>
  <c r="AB613" i="6" s="1"/>
  <c r="Z613" i="6" s="1"/>
  <c r="AG617" i="6"/>
  <c r="AB617" i="6" s="1"/>
  <c r="Z617" i="6" s="1"/>
  <c r="AF634" i="6"/>
  <c r="AB634" i="6" s="1"/>
  <c r="Z634" i="6" s="1"/>
  <c r="AB674" i="6"/>
  <c r="Z674" i="6" s="1"/>
  <c r="AG735" i="6"/>
  <c r="AB735" i="6" s="1"/>
  <c r="Z735" i="6" s="1"/>
  <c r="AF768" i="6"/>
  <c r="AB768" i="6" s="1"/>
  <c r="Z768" i="6" s="1"/>
  <c r="AF793" i="6"/>
  <c r="AB793" i="6" s="1"/>
  <c r="Z793" i="6" s="1"/>
  <c r="AF871" i="6"/>
  <c r="AG871" i="6"/>
  <c r="AF873" i="6"/>
  <c r="AB873" i="6" s="1"/>
  <c r="Z873" i="6" s="1"/>
  <c r="AF875" i="6"/>
  <c r="AG886" i="6"/>
  <c r="AF886" i="6"/>
  <c r="AG900" i="6"/>
  <c r="AB900" i="6" s="1"/>
  <c r="Z900" i="6" s="1"/>
  <c r="AF902" i="6"/>
  <c r="AB902" i="6" s="1"/>
  <c r="Z902" i="6" s="1"/>
  <c r="AF937" i="6"/>
  <c r="AB937" i="6" s="1"/>
  <c r="Z937" i="6" s="1"/>
  <c r="AG958" i="6"/>
  <c r="AB958" i="6" s="1"/>
  <c r="Z958" i="6" s="1"/>
  <c r="AG1043" i="6"/>
  <c r="AB1043" i="6" s="1"/>
  <c r="Z1043" i="6" s="1"/>
  <c r="AG1051" i="6"/>
  <c r="AB1051" i="6" s="1"/>
  <c r="Z1051" i="6" s="1"/>
  <c r="AF1076" i="6"/>
  <c r="AB1076" i="6" s="1"/>
  <c r="Z1076" i="6" s="1"/>
  <c r="AG1100" i="6"/>
  <c r="AG1185" i="6"/>
  <c r="AB1185" i="6" s="1"/>
  <c r="Z1185" i="6" s="1"/>
  <c r="AF1189" i="6"/>
  <c r="AB1189" i="6" s="1"/>
  <c r="Z1189" i="6" s="1"/>
  <c r="AG1191" i="6"/>
  <c r="AB1191" i="6" s="1"/>
  <c r="Z1191" i="6" s="1"/>
  <c r="AG1193" i="6"/>
  <c r="AB1193" i="6" s="1"/>
  <c r="Z1193" i="6" s="1"/>
  <c r="AF1252" i="6"/>
  <c r="AG1252" i="6"/>
  <c r="AB1336" i="6"/>
  <c r="Z1336" i="6" s="1"/>
  <c r="AB1338" i="6"/>
  <c r="AF1350" i="6"/>
  <c r="AB1350" i="6" s="1"/>
  <c r="Z1350" i="6" s="1"/>
  <c r="AF1388" i="6"/>
  <c r="AG1388" i="6"/>
  <c r="AG1390" i="6"/>
  <c r="AB1390" i="6" s="1"/>
  <c r="Z1390" i="6" s="1"/>
  <c r="AF836" i="6"/>
  <c r="AG836" i="6"/>
  <c r="AB1070" i="6"/>
  <c r="Z1070" i="6" s="1"/>
  <c r="AF1256" i="6"/>
  <c r="AG1256" i="6"/>
  <c r="AG1279" i="6"/>
  <c r="AF1279" i="6"/>
  <c r="AG1399" i="6"/>
  <c r="AF1399" i="6"/>
  <c r="AG1407" i="6"/>
  <c r="AF1407" i="6"/>
  <c r="AB1426" i="6"/>
  <c r="Z1426" i="6" s="1"/>
  <c r="AF640" i="6"/>
  <c r="AB640" i="6" s="1"/>
  <c r="Z640" i="6" s="1"/>
  <c r="AF804" i="6"/>
  <c r="AB804" i="6" s="1"/>
  <c r="Z804" i="6" s="1"/>
  <c r="AG806" i="6"/>
  <c r="AB806" i="6" s="1"/>
  <c r="Z806" i="6" s="1"/>
  <c r="AF818" i="6"/>
  <c r="AB818" i="6" s="1"/>
  <c r="Z818" i="6" s="1"/>
  <c r="AG857" i="6"/>
  <c r="AB857" i="6" s="1"/>
  <c r="Z857" i="6" s="1"/>
  <c r="AG861" i="6"/>
  <c r="AB861" i="6" s="1"/>
  <c r="Z861" i="6" s="1"/>
  <c r="AG898" i="6"/>
  <c r="AF898" i="6"/>
  <c r="AG904" i="6"/>
  <c r="AB904" i="6" s="1"/>
  <c r="Z904" i="6" s="1"/>
  <c r="AG961" i="6"/>
  <c r="AB961" i="6" s="1"/>
  <c r="Z961" i="6" s="1"/>
  <c r="AB1024" i="6"/>
  <c r="Z1024" i="6" s="1"/>
  <c r="AB1071" i="6"/>
  <c r="Z1071" i="6" s="1"/>
  <c r="AG1080" i="6"/>
  <c r="AB1080" i="6" s="1"/>
  <c r="Z1080" i="6" s="1"/>
  <c r="AG1097" i="6"/>
  <c r="AB1097" i="6" s="1"/>
  <c r="Z1097" i="6" s="1"/>
  <c r="AG1195" i="6"/>
  <c r="AB1195" i="6" s="1"/>
  <c r="Z1195" i="6" s="1"/>
  <c r="AG1209" i="6"/>
  <c r="AB1209" i="6" s="1"/>
  <c r="Z1209" i="6" s="1"/>
  <c r="AG1221" i="6"/>
  <c r="AB1221" i="6" s="1"/>
  <c r="Z1221" i="6" s="1"/>
  <c r="AF1430" i="6"/>
  <c r="AB1430" i="6" s="1"/>
  <c r="Z1430" i="6" s="1"/>
  <c r="AG1391" i="6"/>
  <c r="AF1391" i="6"/>
  <c r="AB1416" i="6"/>
  <c r="Z1416" i="6" s="1"/>
  <c r="AB1190" i="6"/>
  <c r="Z1190" i="6" s="1"/>
  <c r="AG1234" i="6"/>
  <c r="AF1234" i="6"/>
  <c r="AG1273" i="6"/>
  <c r="AF1273" i="6"/>
  <c r="AB783" i="6"/>
  <c r="Z783" i="6" s="1"/>
  <c r="AB835" i="6"/>
  <c r="Z835" i="6" s="1"/>
  <c r="AF1026" i="6"/>
  <c r="AB1026" i="6" s="1"/>
  <c r="Z1026" i="6" s="1"/>
  <c r="AF1032" i="6"/>
  <c r="AB1032" i="6" s="1"/>
  <c r="Z1032" i="6" s="1"/>
  <c r="AG1034" i="6"/>
  <c r="AB1034" i="6" s="1"/>
  <c r="Z1034" i="6" s="1"/>
  <c r="AB1078" i="6"/>
  <c r="Z1078" i="6" s="1"/>
  <c r="AF1087" i="6"/>
  <c r="AB1087" i="6" s="1"/>
  <c r="Z1087" i="6" s="1"/>
  <c r="AG1130" i="6"/>
  <c r="AB1130" i="6" s="1"/>
  <c r="Z1130" i="6" s="1"/>
  <c r="AF1154" i="6"/>
  <c r="AB1154" i="6" s="1"/>
  <c r="Z1154" i="6" s="1"/>
  <c r="AF1160" i="6"/>
  <c r="AB1160" i="6" s="1"/>
  <c r="Z1160" i="6" s="1"/>
  <c r="AG1228" i="6"/>
  <c r="AB1228" i="6" s="1"/>
  <c r="Z1228" i="6" s="1"/>
  <c r="AF1228" i="6"/>
  <c r="AF1285" i="6"/>
  <c r="AB1285" i="6" s="1"/>
  <c r="Z1285" i="6" s="1"/>
  <c r="AF1316" i="6"/>
  <c r="AB1316" i="6" s="1"/>
  <c r="Z1316" i="6" s="1"/>
  <c r="AG1345" i="6"/>
  <c r="AF1345" i="6"/>
  <c r="AF1376" i="6"/>
  <c r="AB1376" i="6" s="1"/>
  <c r="Z1376" i="6" s="1"/>
  <c r="AG1422" i="6"/>
  <c r="AB1422" i="6" s="1"/>
  <c r="Z1422" i="6" s="1"/>
  <c r="AF1368" i="6"/>
  <c r="AB1368" i="6" s="1"/>
  <c r="Z1368" i="6" s="1"/>
  <c r="AF1380" i="6"/>
  <c r="AB1380" i="6" s="1"/>
  <c r="Z1380" i="6" s="1"/>
  <c r="AF1382" i="6"/>
  <c r="AB1382" i="6" s="1"/>
  <c r="Z1382" i="6" s="1"/>
  <c r="AF1384" i="6"/>
  <c r="AB1384" i="6" s="1"/>
  <c r="Z1384" i="6" s="1"/>
  <c r="AF1386" i="6"/>
  <c r="AB1386" i="6" s="1"/>
  <c r="Z1386" i="6" s="1"/>
  <c r="AF1403" i="6"/>
  <c r="AB1403" i="6" s="1"/>
  <c r="Z1403" i="6" s="1"/>
  <c r="AB1423" i="6"/>
  <c r="Z1423" i="6" s="1"/>
  <c r="AF1424" i="6"/>
  <c r="AB1424" i="6" s="1"/>
  <c r="Z1424" i="6" s="1"/>
  <c r="AF1428" i="6"/>
  <c r="AB1428" i="6" s="1"/>
  <c r="Z1428" i="6" s="1"/>
  <c r="AF1432" i="6"/>
  <c r="AB1432" i="6" s="1"/>
  <c r="Z1432" i="6" s="1"/>
  <c r="AF1440" i="6"/>
  <c r="AB1440" i="6" s="1"/>
  <c r="Z1440" i="6" s="1"/>
  <c r="AF1442" i="6"/>
  <c r="AB1442" i="6" s="1"/>
  <c r="Z1442" i="6" s="1"/>
  <c r="AB1272" i="6"/>
  <c r="Z1272" i="6" s="1"/>
  <c r="AB1363" i="6"/>
  <c r="Z1363" i="6" s="1"/>
  <c r="AB1402" i="6"/>
  <c r="Z1402" i="6" s="1"/>
  <c r="AG1240" i="6"/>
  <c r="AB1240" i="6" s="1"/>
  <c r="Z1240" i="6" s="1"/>
  <c r="AF1295" i="6"/>
  <c r="AB1295" i="6" s="1"/>
  <c r="Z1295" i="6" s="1"/>
  <c r="AF1415" i="6"/>
  <c r="AB1415" i="6" s="1"/>
  <c r="Z1415" i="6" s="1"/>
  <c r="AB1396" i="6"/>
  <c r="Z1396" i="6" s="1"/>
  <c r="Z605" i="6"/>
  <c r="Z60" i="6"/>
  <c r="Z435" i="6"/>
  <c r="Z28" i="6"/>
  <c r="Z842" i="6"/>
  <c r="Z880" i="6"/>
  <c r="Z913" i="6"/>
  <c r="Z692" i="6"/>
  <c r="Z219" i="6"/>
  <c r="Z451" i="6"/>
  <c r="Z1372" i="6"/>
  <c r="Z573" i="6"/>
  <c r="AG281" i="6"/>
  <c r="AF281" i="6"/>
  <c r="AF373" i="6"/>
  <c r="AG373" i="6"/>
  <c r="AF385" i="6"/>
  <c r="AG385" i="6"/>
  <c r="AG409" i="6"/>
  <c r="AF409" i="6"/>
  <c r="AG576" i="6"/>
  <c r="AF576" i="6"/>
  <c r="AG651" i="6"/>
  <c r="AF651" i="6"/>
  <c r="AF730" i="6"/>
  <c r="AG730" i="6"/>
  <c r="AF813" i="6"/>
  <c r="AG813" i="6"/>
  <c r="AF851" i="6"/>
  <c r="AG851" i="6"/>
  <c r="AG340" i="6"/>
  <c r="AF340" i="6"/>
  <c r="AF362" i="6"/>
  <c r="AG362" i="6"/>
  <c r="AF383" i="6"/>
  <c r="AG383" i="6"/>
  <c r="AF446" i="6"/>
  <c r="AG446" i="6"/>
  <c r="AF541" i="6"/>
  <c r="AG541" i="6"/>
  <c r="AF670" i="6"/>
  <c r="AG670" i="6"/>
  <c r="AF3" i="6"/>
  <c r="AB3" i="6" s="1"/>
  <c r="Z3" i="6" s="1"/>
  <c r="AF9" i="6"/>
  <c r="AB9" i="6" s="1"/>
  <c r="Z9" i="6" s="1"/>
  <c r="AG39" i="6"/>
  <c r="AF39" i="6"/>
  <c r="AF48" i="6"/>
  <c r="AB48" i="6" s="1"/>
  <c r="Z48" i="6" s="1"/>
  <c r="AF51" i="6"/>
  <c r="AB51" i="6" s="1"/>
  <c r="Z51" i="6" s="1"/>
  <c r="AF92" i="6"/>
  <c r="AB92" i="6" s="1"/>
  <c r="Z92" i="6" s="1"/>
  <c r="AG95" i="6"/>
  <c r="AF95" i="6"/>
  <c r="AG104" i="6"/>
  <c r="AB104" i="6" s="1"/>
  <c r="Z104" i="6" s="1"/>
  <c r="AF144" i="6"/>
  <c r="AG144" i="6"/>
  <c r="AF161" i="6"/>
  <c r="AB161" i="6" s="1"/>
  <c r="Z161" i="6" s="1"/>
  <c r="AB165" i="6"/>
  <c r="Z165" i="6" s="1"/>
  <c r="AF192" i="6"/>
  <c r="AG192" i="6"/>
  <c r="AF209" i="6"/>
  <c r="AB209" i="6" s="1"/>
  <c r="Z209" i="6" s="1"/>
  <c r="AG234" i="6"/>
  <c r="AB234" i="6" s="1"/>
  <c r="Z234" i="6" s="1"/>
  <c r="AF253" i="6"/>
  <c r="AB253" i="6" s="1"/>
  <c r="Z253" i="6" s="1"/>
  <c r="AF268" i="6"/>
  <c r="AB268" i="6" s="1"/>
  <c r="Z268" i="6" s="1"/>
  <c r="AF271" i="6"/>
  <c r="AB271" i="6" s="1"/>
  <c r="Z271" i="6" s="1"/>
  <c r="AF291" i="6"/>
  <c r="AG291" i="6"/>
  <c r="AG303" i="6"/>
  <c r="AB303" i="6" s="1"/>
  <c r="Z303" i="6" s="1"/>
  <c r="AG319" i="6"/>
  <c r="AB319" i="6" s="1"/>
  <c r="Z319" i="6" s="1"/>
  <c r="AG321" i="6"/>
  <c r="AB321" i="6" s="1"/>
  <c r="Z321" i="6" s="1"/>
  <c r="AF331" i="6"/>
  <c r="AB331" i="6" s="1"/>
  <c r="Z331" i="6" s="1"/>
  <c r="AF345" i="6"/>
  <c r="AB345" i="6" s="1"/>
  <c r="Z345" i="6" s="1"/>
  <c r="AF404" i="6"/>
  <c r="AB404" i="6" s="1"/>
  <c r="Z404" i="6" s="1"/>
  <c r="AG418" i="6"/>
  <c r="AF418" i="6"/>
  <c r="AG437" i="6"/>
  <c r="AF437" i="6"/>
  <c r="AG453" i="6"/>
  <c r="AF453" i="6"/>
  <c r="AF463" i="6"/>
  <c r="AB463" i="6" s="1"/>
  <c r="Z463" i="6" s="1"/>
  <c r="AG481" i="6"/>
  <c r="AB481" i="6" s="1"/>
  <c r="Z481" i="6" s="1"/>
  <c r="AF483" i="6"/>
  <c r="AG483" i="6"/>
  <c r="AG593" i="6"/>
  <c r="AF593" i="6"/>
  <c r="AF603" i="6"/>
  <c r="AG603" i="6"/>
  <c r="AG624" i="6"/>
  <c r="AF624" i="6"/>
  <c r="AB624" i="6" s="1"/>
  <c r="Z624" i="6" s="1"/>
  <c r="AG705" i="6"/>
  <c r="AF705" i="6"/>
  <c r="AG33" i="6"/>
  <c r="AB33" i="6" s="1"/>
  <c r="Z33" i="6" s="1"/>
  <c r="AF65" i="6"/>
  <c r="AB65" i="6" s="1"/>
  <c r="Z65" i="6" s="1"/>
  <c r="AG121" i="6"/>
  <c r="AB121" i="6" s="1"/>
  <c r="Z121" i="6" s="1"/>
  <c r="AF149" i="6"/>
  <c r="AB149" i="6" s="1"/>
  <c r="Z149" i="6" s="1"/>
  <c r="AF169" i="6"/>
  <c r="AB169" i="6" s="1"/>
  <c r="Z169" i="6" s="1"/>
  <c r="AF197" i="6"/>
  <c r="AB197" i="6" s="1"/>
  <c r="Z197" i="6" s="1"/>
  <c r="AF217" i="6"/>
  <c r="AB217" i="6" s="1"/>
  <c r="Z217" i="6" s="1"/>
  <c r="AG305" i="6"/>
  <c r="AB305" i="6" s="1"/>
  <c r="Z305" i="6" s="1"/>
  <c r="AF316" i="6"/>
  <c r="AB316" i="6" s="1"/>
  <c r="Z316" i="6" s="1"/>
  <c r="AF333" i="6"/>
  <c r="AB333" i="6" s="1"/>
  <c r="Z333" i="6" s="1"/>
  <c r="AF342" i="6"/>
  <c r="AB342" i="6" s="1"/>
  <c r="Z342" i="6" s="1"/>
  <c r="AF356" i="6"/>
  <c r="AB356" i="6" s="1"/>
  <c r="Z356" i="6" s="1"/>
  <c r="AF375" i="6"/>
  <c r="AB375" i="6" s="1"/>
  <c r="Z375" i="6" s="1"/>
  <c r="AF399" i="6"/>
  <c r="AG399" i="6"/>
  <c r="AF406" i="6"/>
  <c r="AB406" i="6" s="1"/>
  <c r="Z406" i="6" s="1"/>
  <c r="AG425" i="6"/>
  <c r="AF425" i="6"/>
  <c r="AB443" i="6"/>
  <c r="Z443" i="6" s="1"/>
  <c r="AF460" i="6"/>
  <c r="AB460" i="6" s="1"/>
  <c r="Z460" i="6" s="1"/>
  <c r="AG465" i="6"/>
  <c r="AF465" i="6"/>
  <c r="AG495" i="6"/>
  <c r="AB495" i="6" s="1"/>
  <c r="Z495" i="6" s="1"/>
  <c r="AG552" i="6"/>
  <c r="AF552" i="6"/>
  <c r="AB559" i="6"/>
  <c r="Z559" i="6" s="1"/>
  <c r="AF618" i="6"/>
  <c r="AB618" i="6" s="1"/>
  <c r="Z618" i="6" s="1"/>
  <c r="AG622" i="6"/>
  <c r="AF622" i="6"/>
  <c r="AG668" i="6"/>
  <c r="AF668" i="6"/>
  <c r="AF338" i="6"/>
  <c r="AG338" i="6"/>
  <c r="AG71" i="6"/>
  <c r="AF71" i="6"/>
  <c r="AF263" i="6"/>
  <c r="AB263" i="6" s="1"/>
  <c r="Z263" i="6" s="1"/>
  <c r="AG273" i="6"/>
  <c r="AB273" i="6" s="1"/>
  <c r="Z273" i="6" s="1"/>
  <c r="Z277" i="6"/>
  <c r="AF285" i="6"/>
  <c r="AB285" i="6" s="1"/>
  <c r="Z285" i="6" s="1"/>
  <c r="AG293" i="6"/>
  <c r="AB293" i="6" s="1"/>
  <c r="Z293" i="6" s="1"/>
  <c r="AG313" i="6"/>
  <c r="AB313" i="6" s="1"/>
  <c r="Z313" i="6" s="1"/>
  <c r="AG380" i="6"/>
  <c r="AF380" i="6"/>
  <c r="AG387" i="6"/>
  <c r="AB387" i="6" s="1"/>
  <c r="Z387" i="6" s="1"/>
  <c r="AG394" i="6"/>
  <c r="AF394" i="6"/>
  <c r="AF432" i="6"/>
  <c r="AG432" i="6"/>
  <c r="AG441" i="6"/>
  <c r="AF441" i="6"/>
  <c r="AG546" i="6"/>
  <c r="AF546" i="6"/>
  <c r="AG626" i="6"/>
  <c r="AF626" i="6"/>
  <c r="AF646" i="6"/>
  <c r="AG646" i="6"/>
  <c r="AG666" i="6"/>
  <c r="AF666" i="6"/>
  <c r="AF801" i="6"/>
  <c r="AG801" i="6"/>
  <c r="AG63" i="6"/>
  <c r="AF63" i="6"/>
  <c r="Z117" i="6"/>
  <c r="AB376" i="6"/>
  <c r="Z376" i="6" s="1"/>
  <c r="AB449" i="6"/>
  <c r="Z449" i="6" s="1"/>
  <c r="AF474" i="6"/>
  <c r="AG474" i="6"/>
  <c r="AF544" i="6"/>
  <c r="AG544" i="6"/>
  <c r="Z570" i="6"/>
  <c r="AG589" i="6"/>
  <c r="AF589" i="6"/>
  <c r="AG648" i="6"/>
  <c r="AF648" i="6"/>
  <c r="AF684" i="6"/>
  <c r="AG684" i="6"/>
  <c r="AF44" i="6"/>
  <c r="AB44" i="6" s="1"/>
  <c r="Z44" i="6" s="1"/>
  <c r="AG47" i="6"/>
  <c r="AF47" i="6"/>
  <c r="AG56" i="6"/>
  <c r="AB56" i="6" s="1"/>
  <c r="Z56" i="6" s="1"/>
  <c r="AF129" i="6"/>
  <c r="AB129" i="6" s="1"/>
  <c r="Z129" i="6" s="1"/>
  <c r="AB133" i="6"/>
  <c r="Z133" i="6" s="1"/>
  <c r="AF160" i="6"/>
  <c r="AG160" i="6"/>
  <c r="AF177" i="6"/>
  <c r="AB177" i="6" s="1"/>
  <c r="Z177" i="6" s="1"/>
  <c r="AF208" i="6"/>
  <c r="AG208" i="6"/>
  <c r="AF225" i="6"/>
  <c r="AB225" i="6" s="1"/>
  <c r="Z225" i="6" s="1"/>
  <c r="AF228" i="6"/>
  <c r="AB228" i="6" s="1"/>
  <c r="Z228" i="6" s="1"/>
  <c r="Z238" i="6"/>
  <c r="AB248" i="6"/>
  <c r="Z248" i="6" s="1"/>
  <c r="AF260" i="6"/>
  <c r="AB260" i="6" s="1"/>
  <c r="Z260" i="6" s="1"/>
  <c r="AG318" i="6"/>
  <c r="AF318" i="6"/>
  <c r="AG320" i="6"/>
  <c r="AF320" i="6"/>
  <c r="AG346" i="6"/>
  <c r="AF346" i="6"/>
  <c r="AG351" i="6"/>
  <c r="AB351" i="6" s="1"/>
  <c r="Z351" i="6" s="1"/>
  <c r="AG353" i="6"/>
  <c r="AF353" i="6"/>
  <c r="AG377" i="6"/>
  <c r="AF377" i="6"/>
  <c r="AF384" i="6"/>
  <c r="AG384" i="6"/>
  <c r="AF427" i="6"/>
  <c r="AB427" i="6" s="1"/>
  <c r="Z427" i="6" s="1"/>
  <c r="AF429" i="6"/>
  <c r="AG429" i="6"/>
  <c r="AF455" i="6"/>
  <c r="AB455" i="6" s="1"/>
  <c r="Z455" i="6" s="1"/>
  <c r="AF517" i="6"/>
  <c r="AG517" i="6"/>
  <c r="AG542" i="6"/>
  <c r="AF542" i="6"/>
  <c r="AF557" i="6"/>
  <c r="AG557" i="6"/>
  <c r="AF611" i="6"/>
  <c r="AG611" i="6"/>
  <c r="AG776" i="6"/>
  <c r="AF776" i="6"/>
  <c r="AG119" i="6"/>
  <c r="AF119" i="6"/>
  <c r="AF539" i="6"/>
  <c r="AG539" i="6"/>
  <c r="AB31" i="6"/>
  <c r="Z31" i="6" s="1"/>
  <c r="AB242" i="6"/>
  <c r="Z242" i="6" s="1"/>
  <c r="AB261" i="6"/>
  <c r="Z261" i="6" s="1"/>
  <c r="AF282" i="6"/>
  <c r="AG282" i="6"/>
  <c r="AG332" i="6"/>
  <c r="AF332" i="6"/>
  <c r="AG341" i="6"/>
  <c r="AF341" i="6"/>
  <c r="AG355" i="6"/>
  <c r="AF355" i="6"/>
  <c r="AB428" i="6"/>
  <c r="Z428" i="6" s="1"/>
  <c r="AG459" i="6"/>
  <c r="AF459" i="6"/>
  <c r="AG484" i="6"/>
  <c r="AF484" i="6"/>
  <c r="AG499" i="6"/>
  <c r="AF499" i="6"/>
  <c r="AG538" i="6"/>
  <c r="AF538" i="6"/>
  <c r="AG555" i="6"/>
  <c r="AF555" i="6"/>
  <c r="AG575" i="6"/>
  <c r="AF575" i="6"/>
  <c r="AG596" i="6"/>
  <c r="AF596" i="6"/>
  <c r="AF600" i="6"/>
  <c r="AG600" i="6"/>
  <c r="AG682" i="6"/>
  <c r="AB682" i="6" s="1"/>
  <c r="Z682" i="6" s="1"/>
  <c r="AG739" i="6"/>
  <c r="AF739" i="6"/>
  <c r="AF797" i="6"/>
  <c r="AG797" i="6"/>
  <c r="AG111" i="6"/>
  <c r="AF111" i="6"/>
  <c r="AB250" i="6"/>
  <c r="Z250" i="6" s="1"/>
  <c r="AG488" i="6"/>
  <c r="AF488" i="6"/>
  <c r="AG510" i="6"/>
  <c r="AF510" i="6"/>
  <c r="AF553" i="6"/>
  <c r="AG553" i="6"/>
  <c r="AG677" i="6"/>
  <c r="AF677" i="6"/>
  <c r="AF766" i="6"/>
  <c r="AG766" i="6"/>
  <c r="AF772" i="6"/>
  <c r="AG772" i="6"/>
  <c r="AG872" i="6"/>
  <c r="AF872" i="6"/>
  <c r="AF61" i="6"/>
  <c r="AB61" i="6" s="1"/>
  <c r="Z61" i="6" s="1"/>
  <c r="AF79" i="6"/>
  <c r="AB79" i="6" s="1"/>
  <c r="Z79" i="6" s="1"/>
  <c r="AG140" i="6"/>
  <c r="AB140" i="6" s="1"/>
  <c r="Z140" i="6" s="1"/>
  <c r="AF143" i="6"/>
  <c r="AB143" i="6" s="1"/>
  <c r="Z143" i="6" s="1"/>
  <c r="AF171" i="6"/>
  <c r="AB171" i="6" s="1"/>
  <c r="Z171" i="6" s="1"/>
  <c r="Z221" i="6"/>
  <c r="AG240" i="6"/>
  <c r="AF240" i="6"/>
  <c r="AG400" i="6"/>
  <c r="AF400" i="6"/>
  <c r="AB458" i="6"/>
  <c r="Z458" i="6" s="1"/>
  <c r="AB535" i="6"/>
  <c r="Z535" i="6" s="1"/>
  <c r="AF594" i="6"/>
  <c r="AB594" i="6" s="1"/>
  <c r="Z594" i="6" s="1"/>
  <c r="AG49" i="6"/>
  <c r="AB49" i="6" s="1"/>
  <c r="Z49" i="6" s="1"/>
  <c r="AF96" i="6"/>
  <c r="AB96" i="6" s="1"/>
  <c r="Z96" i="6" s="1"/>
  <c r="AF99" i="6"/>
  <c r="AB99" i="6" s="1"/>
  <c r="Z99" i="6" s="1"/>
  <c r="AF176" i="6"/>
  <c r="AG176" i="6"/>
  <c r="AG274" i="6"/>
  <c r="AB274" i="6" s="1"/>
  <c r="Z274" i="6" s="1"/>
  <c r="AG350" i="6"/>
  <c r="AF350" i="6"/>
  <c r="AF357" i="6"/>
  <c r="AB357" i="6" s="1"/>
  <c r="Z357" i="6" s="1"/>
  <c r="AF366" i="6"/>
  <c r="AB366" i="6" s="1"/>
  <c r="Z366" i="6" s="1"/>
  <c r="AF407" i="6"/>
  <c r="AB407" i="6" s="1"/>
  <c r="Z407" i="6" s="1"/>
  <c r="AB411" i="6"/>
  <c r="Z411" i="6" s="1"/>
  <c r="AG473" i="6"/>
  <c r="AF473" i="6"/>
  <c r="AG659" i="6"/>
  <c r="AF659" i="6"/>
  <c r="AF710" i="6"/>
  <c r="AG710" i="6"/>
  <c r="AG732" i="6"/>
  <c r="AF732" i="6"/>
  <c r="AF762" i="6"/>
  <c r="AG762" i="6"/>
  <c r="AG347" i="6"/>
  <c r="AF347" i="6"/>
  <c r="AG23" i="6"/>
  <c r="AF23" i="6"/>
  <c r="AG64" i="6"/>
  <c r="AB64" i="6" s="1"/>
  <c r="Z64" i="6" s="1"/>
  <c r="AG105" i="6"/>
  <c r="AB105" i="6" s="1"/>
  <c r="Z105" i="6" s="1"/>
  <c r="AF131" i="6"/>
  <c r="AB131" i="6" s="1"/>
  <c r="Z131" i="6" s="1"/>
  <c r="AG148" i="6"/>
  <c r="AB148" i="6" s="1"/>
  <c r="Z148" i="6" s="1"/>
  <c r="AF179" i="6"/>
  <c r="AB179" i="6" s="1"/>
  <c r="Z179" i="6" s="1"/>
  <c r="AG188" i="6"/>
  <c r="AB188" i="6" s="1"/>
  <c r="Z188" i="6" s="1"/>
  <c r="AF191" i="6"/>
  <c r="AB191" i="6" s="1"/>
  <c r="Z191" i="6" s="1"/>
  <c r="AG4" i="6"/>
  <c r="AB4" i="6" s="1"/>
  <c r="Z4" i="6" s="1"/>
  <c r="AG87" i="6"/>
  <c r="AF87" i="6"/>
  <c r="AF128" i="6"/>
  <c r="AG128" i="6"/>
  <c r="AF145" i="6"/>
  <c r="AB145" i="6" s="1"/>
  <c r="Z145" i="6" s="1"/>
  <c r="AF193" i="6"/>
  <c r="AB193" i="6" s="1"/>
  <c r="Z193" i="6" s="1"/>
  <c r="AF224" i="6"/>
  <c r="AG224" i="6"/>
  <c r="AG294" i="6"/>
  <c r="AB294" i="6" s="1"/>
  <c r="Z294" i="6" s="1"/>
  <c r="AF301" i="6"/>
  <c r="AG301" i="6"/>
  <c r="AF309" i="6"/>
  <c r="AB309" i="6" s="1"/>
  <c r="Z309" i="6" s="1"/>
  <c r="AG312" i="6"/>
  <c r="AB312" i="6" s="1"/>
  <c r="Z312" i="6" s="1"/>
  <c r="AF363" i="6"/>
  <c r="AB363" i="6" s="1"/>
  <c r="Z363" i="6" s="1"/>
  <c r="AF398" i="6"/>
  <c r="AB398" i="6" s="1"/>
  <c r="Z398" i="6" s="1"/>
  <c r="AG419" i="6"/>
  <c r="AB419" i="6" s="1"/>
  <c r="Z419" i="6" s="1"/>
  <c r="AF436" i="6"/>
  <c r="AB436" i="6" s="1"/>
  <c r="Z436" i="6" s="1"/>
  <c r="AF512" i="6"/>
  <c r="AB512" i="6" s="1"/>
  <c r="Z512" i="6" s="1"/>
  <c r="AF7" i="6"/>
  <c r="AB7" i="6" s="1"/>
  <c r="Z7" i="6" s="1"/>
  <c r="AG25" i="6"/>
  <c r="AB25" i="6" s="1"/>
  <c r="Z25" i="6" s="1"/>
  <c r="AG40" i="6"/>
  <c r="AB40" i="6" s="1"/>
  <c r="Z40" i="6" s="1"/>
  <c r="AF55" i="6"/>
  <c r="AB55" i="6" s="1"/>
  <c r="Z55" i="6" s="1"/>
  <c r="AG81" i="6"/>
  <c r="AB81" i="6" s="1"/>
  <c r="Z81" i="6" s="1"/>
  <c r="AB223" i="6"/>
  <c r="Z223" i="6" s="1"/>
  <c r="AF259" i="6"/>
  <c r="AB259" i="6" s="1"/>
  <c r="Z259" i="6" s="1"/>
  <c r="AF266" i="6"/>
  <c r="AG266" i="6"/>
  <c r="AG296" i="6"/>
  <c r="AF296" i="6"/>
  <c r="AG329" i="6"/>
  <c r="AF329" i="6"/>
  <c r="AB364" i="6"/>
  <c r="Z364" i="6" s="1"/>
  <c r="AG371" i="6"/>
  <c r="AF371" i="6"/>
  <c r="AB392" i="6"/>
  <c r="Z392" i="6" s="1"/>
  <c r="AG421" i="6"/>
  <c r="AB421" i="6" s="1"/>
  <c r="Z421" i="6" s="1"/>
  <c r="AG440" i="6"/>
  <c r="AB440" i="6" s="1"/>
  <c r="Z440" i="6" s="1"/>
  <c r="AG468" i="6"/>
  <c r="AF468" i="6"/>
  <c r="AF501" i="6"/>
  <c r="AB501" i="6" s="1"/>
  <c r="Z501" i="6" s="1"/>
  <c r="AG518" i="6"/>
  <c r="AF518" i="6"/>
  <c r="AG522" i="6"/>
  <c r="AF522" i="6"/>
  <c r="AG637" i="6"/>
  <c r="AF637" i="6"/>
  <c r="AB708" i="6"/>
  <c r="Z708" i="6" s="1"/>
  <c r="AG853" i="6"/>
  <c r="AF853" i="6"/>
  <c r="AB288" i="6"/>
  <c r="Z288" i="6" s="1"/>
  <c r="AG292" i="6"/>
  <c r="AF292" i="6"/>
  <c r="AF410" i="6"/>
  <c r="AG410" i="6"/>
  <c r="AG534" i="6"/>
  <c r="AF534" i="6"/>
  <c r="AF741" i="6"/>
  <c r="AG741" i="6"/>
  <c r="AF790" i="6"/>
  <c r="AG790" i="6"/>
  <c r="AF815" i="6"/>
  <c r="AG815" i="6"/>
  <c r="AB821" i="6"/>
  <c r="Z821" i="6" s="1"/>
  <c r="AG870" i="6"/>
  <c r="AF870" i="6"/>
  <c r="AG531" i="6"/>
  <c r="AF531" i="6"/>
  <c r="AG536" i="6"/>
  <c r="AF536" i="6"/>
  <c r="AB631" i="6"/>
  <c r="Z631" i="6" s="1"/>
  <c r="AG686" i="6"/>
  <c r="AF686" i="6"/>
  <c r="AG757" i="6"/>
  <c r="AF757" i="6"/>
  <c r="AG859" i="6"/>
  <c r="AF859" i="6"/>
  <c r="AF716" i="6"/>
  <c r="AG716" i="6"/>
  <c r="AF727" i="6"/>
  <c r="AG727" i="6"/>
  <c r="AF825" i="6"/>
  <c r="AG825" i="6"/>
  <c r="AF882" i="6"/>
  <c r="AG882" i="6"/>
  <c r="AF690" i="6"/>
  <c r="AG690" i="6"/>
  <c r="AG697" i="6"/>
  <c r="AF697" i="6"/>
  <c r="AG747" i="6"/>
  <c r="AF747" i="6"/>
  <c r="AF765" i="6"/>
  <c r="AG765" i="6"/>
  <c r="AG863" i="6"/>
  <c r="AF863" i="6"/>
  <c r="AG595" i="6"/>
  <c r="AF595" i="6"/>
  <c r="AG629" i="6"/>
  <c r="AF629" i="6"/>
  <c r="AF645" i="6"/>
  <c r="AB645" i="6" s="1"/>
  <c r="Z645" i="6" s="1"/>
  <c r="AG669" i="6"/>
  <c r="AF669" i="6"/>
  <c r="AF711" i="6"/>
  <c r="AG711" i="6"/>
  <c r="AG731" i="6"/>
  <c r="AF731" i="6"/>
  <c r="AG798" i="6"/>
  <c r="AF798" i="6"/>
  <c r="AG525" i="6"/>
  <c r="AF525" i="6"/>
  <c r="Z527" i="6"/>
  <c r="AF543" i="6"/>
  <c r="AG543" i="6"/>
  <c r="AG545" i="6"/>
  <c r="AF545" i="6"/>
  <c r="AF580" i="6"/>
  <c r="AG580" i="6"/>
  <c r="AG597" i="6"/>
  <c r="AF597" i="6"/>
  <c r="AB601" i="6"/>
  <c r="Z601" i="6" s="1"/>
  <c r="AG612" i="6"/>
  <c r="AF612" i="6"/>
  <c r="AG663" i="6"/>
  <c r="AB663" i="6" s="1"/>
  <c r="Z663" i="6" s="1"/>
  <c r="AF673" i="6"/>
  <c r="AG673" i="6"/>
  <c r="AF787" i="6"/>
  <c r="AB787" i="6" s="1"/>
  <c r="Z787" i="6" s="1"/>
  <c r="AF794" i="6"/>
  <c r="AB794" i="6" s="1"/>
  <c r="Z794" i="6" s="1"/>
  <c r="AG796" i="6"/>
  <c r="AF796" i="6"/>
  <c r="AG816" i="6"/>
  <c r="AF816" i="6"/>
  <c r="AF848" i="6"/>
  <c r="AB848" i="6" s="1"/>
  <c r="Z848" i="6" s="1"/>
  <c r="AG897" i="6"/>
  <c r="AB897" i="6" s="1"/>
  <c r="Z897" i="6" s="1"/>
  <c r="AB416" i="6"/>
  <c r="Z416" i="6" s="1"/>
  <c r="AF485" i="6"/>
  <c r="AB485" i="6" s="1"/>
  <c r="Z485" i="6" s="1"/>
  <c r="AG503" i="6"/>
  <c r="AB503" i="6" s="1"/>
  <c r="Z503" i="6" s="1"/>
  <c r="AF519" i="6"/>
  <c r="AB519" i="6" s="1"/>
  <c r="Z519" i="6" s="1"/>
  <c r="AG554" i="6"/>
  <c r="AB554" i="6" s="1"/>
  <c r="Z554" i="6" s="1"/>
  <c r="AG556" i="6"/>
  <c r="AB556" i="6" s="1"/>
  <c r="Z556" i="6" s="1"/>
  <c r="AG602" i="6"/>
  <c r="AB602" i="6" s="1"/>
  <c r="Z602" i="6" s="1"/>
  <c r="AG610" i="6"/>
  <c r="AF610" i="6"/>
  <c r="AF619" i="6"/>
  <c r="AB619" i="6" s="1"/>
  <c r="Z619" i="6" s="1"/>
  <c r="AF683" i="6"/>
  <c r="AB683" i="6" s="1"/>
  <c r="Z683" i="6" s="1"/>
  <c r="AG704" i="6"/>
  <c r="AB704" i="6" s="1"/>
  <c r="Z704" i="6" s="1"/>
  <c r="AB712" i="6"/>
  <c r="Z712" i="6" s="1"/>
  <c r="AF773" i="6"/>
  <c r="AB773" i="6" s="1"/>
  <c r="Z773" i="6" s="1"/>
  <c r="AF403" i="6"/>
  <c r="AB403" i="6" s="1"/>
  <c r="Z403" i="6" s="1"/>
  <c r="AF438" i="6"/>
  <c r="AB438" i="6" s="1"/>
  <c r="Z438" i="6" s="1"/>
  <c r="AF444" i="6"/>
  <c r="AB444" i="6" s="1"/>
  <c r="Z444" i="6" s="1"/>
  <c r="AF456" i="6"/>
  <c r="AB456" i="6" s="1"/>
  <c r="Z456" i="6" s="1"/>
  <c r="AF462" i="6"/>
  <c r="AB462" i="6" s="1"/>
  <c r="Z462" i="6" s="1"/>
  <c r="AG476" i="6"/>
  <c r="AB476" i="6" s="1"/>
  <c r="Z476" i="6" s="1"/>
  <c r="AF491" i="6"/>
  <c r="AB491" i="6" s="1"/>
  <c r="Z491" i="6" s="1"/>
  <c r="AG511" i="6"/>
  <c r="AB511" i="6" s="1"/>
  <c r="Z511" i="6" s="1"/>
  <c r="AF549" i="6"/>
  <c r="AB549" i="6" s="1"/>
  <c r="Z549" i="6" s="1"/>
  <c r="AF585" i="6"/>
  <c r="AB585" i="6" s="1"/>
  <c r="Z585" i="6" s="1"/>
  <c r="AF607" i="6"/>
  <c r="AB607" i="6" s="1"/>
  <c r="Z607" i="6" s="1"/>
  <c r="AF616" i="6"/>
  <c r="AG616" i="6"/>
  <c r="AB632" i="6"/>
  <c r="Z632" i="6" s="1"/>
  <c r="AF633" i="6"/>
  <c r="AG633" i="6"/>
  <c r="AG642" i="6"/>
  <c r="AF642" i="6"/>
  <c r="AF660" i="6"/>
  <c r="AB660" i="6" s="1"/>
  <c r="Z660" i="6" s="1"/>
  <c r="AF680" i="6"/>
  <c r="AG680" i="6"/>
  <c r="AG771" i="6"/>
  <c r="AB771" i="6" s="1"/>
  <c r="Z771" i="6" s="1"/>
  <c r="AG789" i="6"/>
  <c r="AB789" i="6" s="1"/>
  <c r="Z789" i="6" s="1"/>
  <c r="AF839" i="6"/>
  <c r="AG839" i="6"/>
  <c r="AG405" i="6"/>
  <c r="AB405" i="6" s="1"/>
  <c r="Z405" i="6" s="1"/>
  <c r="AF414" i="6"/>
  <c r="AB414" i="6" s="1"/>
  <c r="Z414" i="6" s="1"/>
  <c r="AG420" i="6"/>
  <c r="AB420" i="6" s="1"/>
  <c r="Z420" i="6" s="1"/>
  <c r="AF426" i="6"/>
  <c r="AB426" i="6" s="1"/>
  <c r="Z426" i="6" s="1"/>
  <c r="AG447" i="6"/>
  <c r="AB447" i="6" s="1"/>
  <c r="Z447" i="6" s="1"/>
  <c r="AF471" i="6"/>
  <c r="AB471" i="6" s="1"/>
  <c r="Z471" i="6" s="1"/>
  <c r="AG513" i="6"/>
  <c r="AB513" i="6" s="1"/>
  <c r="Z513" i="6" s="1"/>
  <c r="AF530" i="6"/>
  <c r="AB530" i="6" s="1"/>
  <c r="Z530" i="6" s="1"/>
  <c r="AF590" i="6"/>
  <c r="AB590" i="6" s="1"/>
  <c r="Z590" i="6" s="1"/>
  <c r="AF599" i="6"/>
  <c r="AB599" i="6" s="1"/>
  <c r="Z599" i="6" s="1"/>
  <c r="AG698" i="6"/>
  <c r="AF698" i="6"/>
  <c r="AF713" i="6"/>
  <c r="AB713" i="6" s="1"/>
  <c r="Z713" i="6" s="1"/>
  <c r="AG717" i="6"/>
  <c r="AF717" i="6"/>
  <c r="AG758" i="6"/>
  <c r="AB758" i="6" s="1"/>
  <c r="Z758" i="6" s="1"/>
  <c r="AG784" i="6"/>
  <c r="AB784" i="6" s="1"/>
  <c r="Z784" i="6" s="1"/>
  <c r="AG822" i="6"/>
  <c r="AF822" i="6"/>
  <c r="AF894" i="6"/>
  <c r="AG894" i="6"/>
  <c r="AF923" i="6"/>
  <c r="AG923" i="6"/>
  <c r="AB252" i="6"/>
  <c r="Z252" i="6" s="1"/>
  <c r="AB424" i="6"/>
  <c r="Z424" i="6" s="1"/>
  <c r="AG547" i="6"/>
  <c r="AF547" i="6"/>
  <c r="AB852" i="6"/>
  <c r="Z852" i="6" s="1"/>
  <c r="AB887" i="6"/>
  <c r="Z887" i="6" s="1"/>
  <c r="AF930" i="6"/>
  <c r="AG930" i="6"/>
  <c r="AF963" i="6"/>
  <c r="AG963" i="6"/>
  <c r="AG959" i="6"/>
  <c r="AF959" i="6"/>
  <c r="AG592" i="6"/>
  <c r="AF592" i="6"/>
  <c r="AF628" i="6"/>
  <c r="AG628" i="6"/>
  <c r="AB641" i="6"/>
  <c r="Z641" i="6" s="1"/>
  <c r="AB721" i="6"/>
  <c r="Z721" i="6" s="1"/>
  <c r="AB745" i="6"/>
  <c r="Z745" i="6" s="1"/>
  <c r="AG841" i="6"/>
  <c r="AF841" i="6"/>
  <c r="Z230" i="6"/>
  <c r="AB324" i="6"/>
  <c r="Z324" i="6" s="1"/>
  <c r="AF569" i="6"/>
  <c r="AG569" i="6"/>
  <c r="AG671" i="6"/>
  <c r="AF671" i="6"/>
  <c r="AF742" i="6"/>
  <c r="AG742" i="6"/>
  <c r="AF638" i="6"/>
  <c r="AG638" i="6"/>
  <c r="AB699" i="6"/>
  <c r="Z699" i="6" s="1"/>
  <c r="AF800" i="6"/>
  <c r="AG800" i="6"/>
  <c r="AG824" i="6"/>
  <c r="AF824" i="6"/>
  <c r="AF914" i="6"/>
  <c r="AG914" i="6"/>
  <c r="AG943" i="6"/>
  <c r="AF943" i="6"/>
  <c r="AG1017" i="6"/>
  <c r="AF1017" i="6"/>
  <c r="AF890" i="6"/>
  <c r="AB890" i="6" s="1"/>
  <c r="Z890" i="6" s="1"/>
  <c r="AG738" i="6"/>
  <c r="AF738" i="6"/>
  <c r="AF847" i="6"/>
  <c r="AG847" i="6"/>
  <c r="AB714" i="6"/>
  <c r="Z714" i="6" s="1"/>
  <c r="AF775" i="6"/>
  <c r="AG775" i="6"/>
  <c r="AB823" i="6"/>
  <c r="Z823" i="6" s="1"/>
  <c r="AG850" i="6"/>
  <c r="AF850" i="6"/>
  <c r="AG934" i="6"/>
  <c r="AF934" i="6"/>
  <c r="AB567" i="6"/>
  <c r="Z567" i="6" s="1"/>
  <c r="AG855" i="6"/>
  <c r="AF855" i="6"/>
  <c r="AG916" i="6"/>
  <c r="AF916" i="6"/>
  <c r="AG994" i="6"/>
  <c r="AF994" i="6"/>
  <c r="AG950" i="6"/>
  <c r="AF950" i="6"/>
  <c r="AG983" i="6"/>
  <c r="AF983" i="6"/>
  <c r="AF1044" i="6"/>
  <c r="AB1044" i="6" s="1"/>
  <c r="Z1044" i="6" s="1"/>
  <c r="AF1127" i="6"/>
  <c r="AG1127" i="6"/>
  <c r="AG966" i="6"/>
  <c r="AF966" i="6"/>
  <c r="AG968" i="6"/>
  <c r="AF968" i="6"/>
  <c r="AG1012" i="6"/>
  <c r="AF1012" i="6"/>
  <c r="AF972" i="6"/>
  <c r="AG972" i="6"/>
  <c r="AG1114" i="6"/>
  <c r="AF1114" i="6"/>
  <c r="Z945" i="6"/>
  <c r="AG953" i="6"/>
  <c r="AF953" i="6"/>
  <c r="AG1001" i="6"/>
  <c r="AF1001" i="6"/>
  <c r="AF1077" i="6"/>
  <c r="AG1077" i="6"/>
  <c r="AG1025" i="6"/>
  <c r="AF1025" i="6"/>
  <c r="AF866" i="6"/>
  <c r="AG866" i="6"/>
  <c r="AG933" i="6"/>
  <c r="AF933" i="6"/>
  <c r="AG940" i="6"/>
  <c r="AF940" i="6"/>
  <c r="AG1049" i="6"/>
  <c r="AF1049" i="6"/>
  <c r="AG833" i="6"/>
  <c r="AF833" i="6"/>
  <c r="AB888" i="6"/>
  <c r="Z888" i="6" s="1"/>
  <c r="AG903" i="6"/>
  <c r="AF903" i="6"/>
  <c r="AG1028" i="6"/>
  <c r="AF1028" i="6"/>
  <c r="AG1105" i="6"/>
  <c r="AF1105" i="6"/>
  <c r="AB799" i="6"/>
  <c r="Z799" i="6" s="1"/>
  <c r="AB843" i="6"/>
  <c r="Z843" i="6" s="1"/>
  <c r="Z928" i="6"/>
  <c r="AF1199" i="6"/>
  <c r="AG1199" i="6"/>
  <c r="AG1122" i="6"/>
  <c r="AF1122" i="6"/>
  <c r="AG899" i="6"/>
  <c r="AB899" i="6" s="1"/>
  <c r="Z899" i="6" s="1"/>
  <c r="AF956" i="6"/>
  <c r="AB956" i="6" s="1"/>
  <c r="Z956" i="6" s="1"/>
  <c r="AF974" i="6"/>
  <c r="AB974" i="6" s="1"/>
  <c r="Z974" i="6" s="1"/>
  <c r="AF977" i="6"/>
  <c r="AB977" i="6" s="1"/>
  <c r="Z977" i="6" s="1"/>
  <c r="AF985" i="6"/>
  <c r="AB985" i="6" s="1"/>
  <c r="Z985" i="6" s="1"/>
  <c r="AF996" i="6"/>
  <c r="AB996" i="6" s="1"/>
  <c r="Z996" i="6" s="1"/>
  <c r="AG1030" i="6"/>
  <c r="AB1030" i="6" s="1"/>
  <c r="Z1030" i="6" s="1"/>
  <c r="AG936" i="6"/>
  <c r="AB936" i="6" s="1"/>
  <c r="Z936" i="6" s="1"/>
  <c r="AF946" i="6"/>
  <c r="AB946" i="6" s="1"/>
  <c r="Z946" i="6" s="1"/>
  <c r="AG962" i="6"/>
  <c r="AB962" i="6" s="1"/>
  <c r="Z962" i="6" s="1"/>
  <c r="AB975" i="6"/>
  <c r="Z975" i="6" s="1"/>
  <c r="AF993" i="6"/>
  <c r="AB993" i="6" s="1"/>
  <c r="Z993" i="6" s="1"/>
  <c r="AG1014" i="6"/>
  <c r="AB1014" i="6" s="1"/>
  <c r="Z1014" i="6" s="1"/>
  <c r="AB1053" i="6"/>
  <c r="Z1053" i="6" s="1"/>
  <c r="AG1120" i="6"/>
  <c r="AB1120" i="6" s="1"/>
  <c r="Z1120" i="6" s="1"/>
  <c r="AB1050" i="6"/>
  <c r="Z1050" i="6" s="1"/>
  <c r="AF1137" i="6"/>
  <c r="AG1137" i="6"/>
  <c r="AB883" i="6"/>
  <c r="Z883" i="6" s="1"/>
  <c r="AB947" i="6"/>
  <c r="Z947" i="6" s="1"/>
  <c r="AG952" i="6"/>
  <c r="AB952" i="6" s="1"/>
  <c r="Z952" i="6" s="1"/>
  <c r="AF964" i="6"/>
  <c r="AB964" i="6" s="1"/>
  <c r="Z964" i="6" s="1"/>
  <c r="AF1016" i="6"/>
  <c r="AB1016" i="6" s="1"/>
  <c r="Z1016" i="6" s="1"/>
  <c r="AF1037" i="6"/>
  <c r="AB1037" i="6" s="1"/>
  <c r="Z1037" i="6" s="1"/>
  <c r="AB1063" i="6"/>
  <c r="Z1063" i="6" s="1"/>
  <c r="AF1069" i="6"/>
  <c r="AB1069" i="6" s="1"/>
  <c r="Z1069" i="6" s="1"/>
  <c r="AG1135" i="6"/>
  <c r="AB1135" i="6" s="1"/>
  <c r="Z1135" i="6" s="1"/>
  <c r="AF1152" i="6"/>
  <c r="AG1152" i="6"/>
  <c r="AG1239" i="6"/>
  <c r="AF1239" i="6"/>
  <c r="AF881" i="6"/>
  <c r="AB881" i="6" s="1"/>
  <c r="Z881" i="6" s="1"/>
  <c r="AF918" i="6"/>
  <c r="AB918" i="6" s="1"/>
  <c r="Z918" i="6" s="1"/>
  <c r="AG1018" i="6"/>
  <c r="AB1018" i="6" s="1"/>
  <c r="Z1018" i="6" s="1"/>
  <c r="AF1056" i="6"/>
  <c r="AB1056" i="6" s="1"/>
  <c r="Z1056" i="6" s="1"/>
  <c r="AG1150" i="6"/>
  <c r="AB1150" i="6" s="1"/>
  <c r="Z1150" i="6" s="1"/>
  <c r="AF1216" i="6"/>
  <c r="AG1216" i="6"/>
  <c r="AB1250" i="6"/>
  <c r="Z1250" i="6" s="1"/>
  <c r="AG1206" i="6"/>
  <c r="AF1206" i="6"/>
  <c r="AG1230" i="6"/>
  <c r="AF1230" i="6"/>
  <c r="AG1102" i="6"/>
  <c r="AF1102" i="6"/>
  <c r="AB1151" i="6"/>
  <c r="Z1151" i="6" s="1"/>
  <c r="AB1170" i="6"/>
  <c r="Z1170" i="6" s="1"/>
  <c r="AF1144" i="6"/>
  <c r="AG1144" i="6"/>
  <c r="AF1161" i="6"/>
  <c r="AG1161" i="6"/>
  <c r="AF1183" i="6"/>
  <c r="AG1183" i="6"/>
  <c r="AG1134" i="6"/>
  <c r="AF1134" i="6"/>
  <c r="AG1166" i="6"/>
  <c r="AF1166" i="6"/>
  <c r="AF1200" i="6"/>
  <c r="AG1200" i="6"/>
  <c r="AF1217" i="6"/>
  <c r="AG1217" i="6"/>
  <c r="AF1099" i="6"/>
  <c r="AB1099" i="6" s="1"/>
  <c r="Z1099" i="6" s="1"/>
  <c r="AF1104" i="6"/>
  <c r="AB1104" i="6" s="1"/>
  <c r="Z1104" i="6" s="1"/>
  <c r="AF1111" i="6"/>
  <c r="AG1111" i="6"/>
  <c r="AG1210" i="6"/>
  <c r="AB1210" i="6" s="1"/>
  <c r="Z1210" i="6" s="1"/>
  <c r="AG1222" i="6"/>
  <c r="AB1222" i="6" s="1"/>
  <c r="Z1222" i="6" s="1"/>
  <c r="AF1224" i="6"/>
  <c r="AG1224" i="6"/>
  <c r="AG1238" i="6"/>
  <c r="AF1238" i="6"/>
  <c r="AB1075" i="6"/>
  <c r="Z1075" i="6" s="1"/>
  <c r="AF1079" i="6"/>
  <c r="AB1079" i="6" s="1"/>
  <c r="Z1079" i="6" s="1"/>
  <c r="AG1082" i="6"/>
  <c r="AB1082" i="6" s="1"/>
  <c r="Z1082" i="6" s="1"/>
  <c r="AF1090" i="6"/>
  <c r="AB1090" i="6" s="1"/>
  <c r="Z1090" i="6" s="1"/>
  <c r="AG1093" i="6"/>
  <c r="AB1093" i="6" s="1"/>
  <c r="Z1093" i="6" s="1"/>
  <c r="AF1096" i="6"/>
  <c r="AB1096" i="6" s="1"/>
  <c r="Z1096" i="6" s="1"/>
  <c r="AF1106" i="6"/>
  <c r="AB1106" i="6" s="1"/>
  <c r="Z1106" i="6" s="1"/>
  <c r="AB1110" i="6"/>
  <c r="Z1110" i="6" s="1"/>
  <c r="AF1126" i="6"/>
  <c r="AB1126" i="6" s="1"/>
  <c r="Z1126" i="6" s="1"/>
  <c r="AF1128" i="6"/>
  <c r="AG1128" i="6"/>
  <c r="AG1180" i="6"/>
  <c r="AF1180" i="6"/>
  <c r="AB1201" i="6"/>
  <c r="Z1201" i="6" s="1"/>
  <c r="AF1233" i="6"/>
  <c r="AG1233" i="6"/>
  <c r="AG1258" i="6"/>
  <c r="AF1258" i="6"/>
  <c r="AB1015" i="6"/>
  <c r="Z1015" i="6" s="1"/>
  <c r="AB1100" i="6"/>
  <c r="Z1100" i="6" s="1"/>
  <c r="AB1167" i="6"/>
  <c r="Z1167" i="6" s="1"/>
  <c r="AB1186" i="6"/>
  <c r="Z1186" i="6" s="1"/>
  <c r="AG1108" i="6"/>
  <c r="AF1108" i="6"/>
  <c r="AF1187" i="6"/>
  <c r="AB1187" i="6" s="1"/>
  <c r="Z1187" i="6" s="1"/>
  <c r="AF1207" i="6"/>
  <c r="AG1207" i="6"/>
  <c r="AF1242" i="6"/>
  <c r="AB1242" i="6" s="1"/>
  <c r="Z1242" i="6" s="1"/>
  <c r="AG1247" i="6"/>
  <c r="AB1247" i="6" s="1"/>
  <c r="Z1247" i="6" s="1"/>
  <c r="AB875" i="6"/>
  <c r="Z875" i="6" s="1"/>
  <c r="AF1065" i="6"/>
  <c r="AB1065" i="6" s="1"/>
  <c r="Z1065" i="6" s="1"/>
  <c r="AF1073" i="6"/>
  <c r="AB1073" i="6" s="1"/>
  <c r="Z1073" i="6" s="1"/>
  <c r="AG1084" i="6"/>
  <c r="AF1084" i="6"/>
  <c r="AG1095" i="6"/>
  <c r="AF1095" i="6"/>
  <c r="AB1107" i="6"/>
  <c r="Z1107" i="6" s="1"/>
  <c r="AG1138" i="6"/>
  <c r="AB1138" i="6" s="1"/>
  <c r="Z1138" i="6" s="1"/>
  <c r="AF1145" i="6"/>
  <c r="AG1145" i="6"/>
  <c r="AG1194" i="6"/>
  <c r="AF1194" i="6"/>
  <c r="AG1197" i="6"/>
  <c r="AB1197" i="6" s="1"/>
  <c r="Z1197" i="6" s="1"/>
  <c r="AG1254" i="6"/>
  <c r="AF1254" i="6"/>
  <c r="AG1291" i="6"/>
  <c r="AB1291" i="6" s="1"/>
  <c r="Z1291" i="6" s="1"/>
  <c r="AB1268" i="6"/>
  <c r="Z1268" i="6" s="1"/>
  <c r="AG1269" i="6"/>
  <c r="AB1269" i="6" s="1"/>
  <c r="Z1269" i="6" s="1"/>
  <c r="AG1299" i="6"/>
  <c r="AF1299" i="6"/>
  <c r="AG1266" i="6"/>
  <c r="AF1266" i="6"/>
  <c r="AB1292" i="6"/>
  <c r="Z1292" i="6" s="1"/>
  <c r="AB1213" i="6"/>
  <c r="Z1213" i="6" s="1"/>
  <c r="AG1259" i="6"/>
  <c r="AB1259" i="6" s="1"/>
  <c r="Z1259" i="6" s="1"/>
  <c r="AB1263" i="6"/>
  <c r="Z1263" i="6" s="1"/>
  <c r="AG1271" i="6"/>
  <c r="AB1271" i="6" s="1"/>
  <c r="Z1271" i="6" s="1"/>
  <c r="AB1275" i="6"/>
  <c r="Z1275" i="6" s="1"/>
  <c r="AG1315" i="6"/>
  <c r="AF1315" i="6"/>
  <c r="AG1357" i="6"/>
  <c r="AF1357" i="6"/>
  <c r="AB1172" i="6"/>
  <c r="Z1172" i="6" s="1"/>
  <c r="AG1270" i="6"/>
  <c r="AB1270" i="6" s="1"/>
  <c r="Z1270" i="6" s="1"/>
  <c r="AG1277" i="6"/>
  <c r="AF1277" i="6"/>
  <c r="AG1281" i="6"/>
  <c r="AF1281" i="6"/>
  <c r="AF1318" i="6"/>
  <c r="AG1318" i="6"/>
  <c r="Z1360" i="6"/>
  <c r="AG1381" i="6"/>
  <c r="AF1381" i="6"/>
  <c r="AG1354" i="6"/>
  <c r="AF1354" i="6"/>
  <c r="AG1335" i="6"/>
  <c r="AF1335" i="6"/>
  <c r="AG1349" i="6"/>
  <c r="AF1349" i="6"/>
  <c r="AB1257" i="6"/>
  <c r="Z1257" i="6" s="1"/>
  <c r="AF1309" i="6"/>
  <c r="AB1309" i="6" s="1"/>
  <c r="Z1309" i="6" s="1"/>
  <c r="AF1329" i="6"/>
  <c r="AB1329" i="6" s="1"/>
  <c r="Z1329" i="6" s="1"/>
  <c r="AF1343" i="6"/>
  <c r="AB1343" i="6" s="1"/>
  <c r="Z1343" i="6" s="1"/>
  <c r="AB1157" i="6"/>
  <c r="Z1157" i="6" s="1"/>
  <c r="AB1205" i="6"/>
  <c r="Z1205" i="6" s="1"/>
  <c r="AF1371" i="6"/>
  <c r="AB1371" i="6" s="1"/>
  <c r="Z1371" i="6" s="1"/>
  <c r="AF1378" i="6"/>
  <c r="AB1378" i="6" s="1"/>
  <c r="Z1378" i="6" s="1"/>
  <c r="AF1305" i="6"/>
  <c r="AB1305" i="6" s="1"/>
  <c r="Z1305" i="6" s="1"/>
  <c r="AB1327" i="6"/>
  <c r="Z1327" i="6" s="1"/>
  <c r="AF1375" i="6"/>
  <c r="AB1375" i="6" s="1"/>
  <c r="Z1375" i="6" s="1"/>
  <c r="AF1278" i="6"/>
  <c r="AB1278" i="6" s="1"/>
  <c r="Z1278" i="6" s="1"/>
  <c r="AG1287" i="6"/>
  <c r="AB1287" i="6" s="1"/>
  <c r="Z1287" i="6" s="1"/>
  <c r="AF1302" i="6"/>
  <c r="AB1302" i="6" s="1"/>
  <c r="Z1302" i="6" s="1"/>
  <c r="AG1311" i="6"/>
  <c r="AB1311" i="6" s="1"/>
  <c r="Z1311" i="6" s="1"/>
  <c r="AF1317" i="6"/>
  <c r="AB1317" i="6" s="1"/>
  <c r="Z1317" i="6" s="1"/>
  <c r="AF1337" i="6"/>
  <c r="AB1337" i="6" s="1"/>
  <c r="Z1337" i="6" s="1"/>
  <c r="AG1353" i="6"/>
  <c r="AF1353" i="6"/>
  <c r="AF1361" i="6"/>
  <c r="AB1361" i="6" s="1"/>
  <c r="Z1361" i="6" s="1"/>
  <c r="AB1365" i="6"/>
  <c r="Z1365" i="6" s="1"/>
  <c r="AF1293" i="6"/>
  <c r="AB1293" i="6" s="1"/>
  <c r="Z1293" i="6" s="1"/>
  <c r="AB1303" i="6"/>
  <c r="Z1303" i="6" s="1"/>
  <c r="AG1342" i="6"/>
  <c r="AF1342" i="6"/>
  <c r="AB1125" i="6"/>
  <c r="Z1125" i="6" s="1"/>
  <c r="AB1132" i="6"/>
  <c r="Z1132" i="6" s="1"/>
  <c r="AG1325" i="6"/>
  <c r="AF1325" i="6"/>
  <c r="AG1429" i="6"/>
  <c r="AF1429" i="6"/>
  <c r="AG1301" i="6"/>
  <c r="AF1301" i="6"/>
  <c r="AB1301" i="6" s="1"/>
  <c r="Z1301" i="6" s="1"/>
  <c r="Z1338" i="6"/>
  <c r="AB1351" i="6"/>
  <c r="Z1351" i="6" s="1"/>
  <c r="AG1367" i="6"/>
  <c r="AF1367" i="6"/>
  <c r="AG1374" i="6"/>
  <c r="AF1374" i="6"/>
  <c r="AF1289" i="6"/>
  <c r="AB1289" i="6" s="1"/>
  <c r="Z1289" i="6" s="1"/>
  <c r="AF1313" i="6"/>
  <c r="AB1313" i="6" s="1"/>
  <c r="Z1313" i="6" s="1"/>
  <c r="AG1393" i="6"/>
  <c r="AF1393" i="6"/>
  <c r="AG1405" i="6"/>
  <c r="AF1405" i="6"/>
  <c r="AG1417" i="6"/>
  <c r="AF1417" i="6"/>
  <c r="AG1433" i="6"/>
  <c r="AF1433" i="6"/>
  <c r="Z1387" i="6"/>
  <c r="AB1406" i="6"/>
  <c r="Z1406" i="6" s="1"/>
  <c r="AB1418" i="6"/>
  <c r="Z1418" i="6" s="1"/>
  <c r="AG1385" i="6"/>
  <c r="AF1385" i="6"/>
  <c r="AG1397" i="6"/>
  <c r="AF1397" i="6"/>
  <c r="AG1409" i="6"/>
  <c r="AF1409" i="6"/>
  <c r="AG1421" i="6"/>
  <c r="AF1421" i="6"/>
  <c r="AG1437" i="6"/>
  <c r="AF1437" i="6"/>
  <c r="AF1359" i="6"/>
  <c r="AB1359" i="6" s="1"/>
  <c r="Z1359" i="6" s="1"/>
  <c r="AF1366" i="6"/>
  <c r="AB1366" i="6" s="1"/>
  <c r="Z1366" i="6" s="1"/>
  <c r="AF1373" i="6"/>
  <c r="AB1373" i="6" s="1"/>
  <c r="Z1373" i="6" s="1"/>
  <c r="AG1425" i="6"/>
  <c r="AF1425" i="6"/>
  <c r="AG1441" i="6"/>
  <c r="AF1441" i="6"/>
  <c r="AG1389" i="6"/>
  <c r="AF1389" i="6"/>
  <c r="Z1398" i="6"/>
  <c r="AG1401" i="6"/>
  <c r="AF1401" i="6"/>
  <c r="AG1413" i="6"/>
  <c r="AF1413" i="6"/>
  <c r="AF1383" i="6"/>
  <c r="AB1383" i="6" s="1"/>
  <c r="Z1383" i="6" s="1"/>
  <c r="AF1435" i="6"/>
  <c r="AB1435" i="6" s="1"/>
  <c r="Z1435" i="6" s="1"/>
  <c r="AF1439" i="6"/>
  <c r="AB1439" i="6" s="1"/>
  <c r="Z1439" i="6" s="1"/>
  <c r="AF1443" i="6"/>
  <c r="AB1443" i="6" s="1"/>
  <c r="Z1443" i="6" s="1"/>
  <c r="AB811" i="6" l="1"/>
  <c r="Z811" i="6" s="1"/>
  <c r="AB1143" i="6"/>
  <c r="Z1143" i="6" s="1"/>
  <c r="AB90" i="6"/>
  <c r="Z90" i="6" s="1"/>
  <c r="AB1101" i="6"/>
  <c r="Z1101" i="6" s="1"/>
  <c r="AB661" i="6"/>
  <c r="Z661" i="6" s="1"/>
  <c r="AB442" i="6"/>
  <c r="Z442" i="6" s="1"/>
  <c r="AB1330" i="6"/>
  <c r="Z1330" i="6" s="1"/>
  <c r="AB448" i="6"/>
  <c r="Z448" i="6" s="1"/>
  <c r="AB1310" i="6"/>
  <c r="Z1310" i="6" s="1"/>
  <c r="AB175" i="6"/>
  <c r="Z175" i="6" s="1"/>
  <c r="AB1086" i="6"/>
  <c r="Z1086" i="6" s="1"/>
  <c r="AB452" i="6"/>
  <c r="Z452" i="6" s="1"/>
  <c r="AB759" i="6"/>
  <c r="Z759" i="6" s="1"/>
  <c r="AB740" i="6"/>
  <c r="Z740" i="6" s="1"/>
  <c r="AB1434" i="6"/>
  <c r="Z1434" i="6" s="1"/>
  <c r="AB388" i="6"/>
  <c r="Z388" i="6" s="1"/>
  <c r="AB1168" i="6"/>
  <c r="Z1168" i="6" s="1"/>
  <c r="AB1047" i="6"/>
  <c r="Z1047" i="6" s="1"/>
  <c r="AB944" i="6"/>
  <c r="Z944" i="6" s="1"/>
  <c r="AB723" i="6"/>
  <c r="Z723" i="6" s="1"/>
  <c r="AB247" i="6"/>
  <c r="Z247" i="6" s="1"/>
  <c r="AB1280" i="6"/>
  <c r="Z1280" i="6" s="1"/>
  <c r="AB226" i="6"/>
  <c r="Z226" i="6" s="1"/>
  <c r="AB929" i="6"/>
  <c r="Z929" i="6" s="1"/>
  <c r="AB785" i="6"/>
  <c r="Z785" i="6" s="1"/>
  <c r="AB1164" i="6"/>
  <c r="Z1164" i="6" s="1"/>
  <c r="AB614" i="6"/>
  <c r="Z614" i="6" s="1"/>
  <c r="AB1264" i="6"/>
  <c r="Z1264" i="6" s="1"/>
  <c r="AB486" i="6"/>
  <c r="Z486" i="6" s="1"/>
  <c r="AB146" i="6"/>
  <c r="Z146" i="6" s="1"/>
  <c r="AB53" i="6"/>
  <c r="Z53" i="6" s="1"/>
  <c r="AB837" i="6"/>
  <c r="Z837" i="6" s="1"/>
  <c r="AB1211" i="6"/>
  <c r="Z1211" i="6" s="1"/>
  <c r="AB627" i="6"/>
  <c r="Z627" i="6" s="1"/>
  <c r="AB1162" i="6"/>
  <c r="Z1162" i="6" s="1"/>
  <c r="AB210" i="6"/>
  <c r="Z210" i="6" s="1"/>
  <c r="AB163" i="6"/>
  <c r="Z163" i="6" s="1"/>
  <c r="AB280" i="6"/>
  <c r="Z280" i="6" s="1"/>
  <c r="AB181" i="6"/>
  <c r="Z181" i="6" s="1"/>
  <c r="AB865" i="6"/>
  <c r="Z865" i="6" s="1"/>
  <c r="AB639" i="6"/>
  <c r="Z639" i="6" s="1"/>
  <c r="AB139" i="6"/>
  <c r="Z139" i="6" s="1"/>
  <c r="AB1252" i="6"/>
  <c r="Z1252" i="6" s="1"/>
  <c r="AB867" i="6"/>
  <c r="Z867" i="6" s="1"/>
  <c r="AB891" i="6"/>
  <c r="Z891" i="6" s="1"/>
  <c r="AB1282" i="6"/>
  <c r="Z1282" i="6" s="1"/>
  <c r="AB330" i="6"/>
  <c r="Z330" i="6" s="1"/>
  <c r="AB780" i="6"/>
  <c r="Z780" i="6" s="1"/>
  <c r="AB812" i="6"/>
  <c r="Z812" i="6" s="1"/>
  <c r="AB1038" i="6"/>
  <c r="Z1038" i="6" s="1"/>
  <c r="AB849" i="6"/>
  <c r="Z849" i="6" s="1"/>
  <c r="AB500" i="6"/>
  <c r="Z500" i="6" s="1"/>
  <c r="AB1231" i="6"/>
  <c r="Z1231" i="6" s="1"/>
  <c r="AB1001" i="6"/>
  <c r="Z1001" i="6" s="1"/>
  <c r="AB402" i="6"/>
  <c r="Z402" i="6" s="1"/>
  <c r="AB241" i="6"/>
  <c r="Z241" i="6" s="1"/>
  <c r="AB380" i="6"/>
  <c r="Z380" i="6" s="1"/>
  <c r="AB885" i="6"/>
  <c r="Z885" i="6" s="1"/>
  <c r="AB579" i="6"/>
  <c r="Z579" i="6" s="1"/>
  <c r="AB264" i="6"/>
  <c r="Z264" i="6" s="1"/>
  <c r="AB75" i="6"/>
  <c r="Z75" i="6" s="1"/>
  <c r="AB981" i="6"/>
  <c r="Z981" i="6" s="1"/>
  <c r="AB365" i="6"/>
  <c r="Z365" i="6" s="1"/>
  <c r="AB1216" i="6"/>
  <c r="Z1216" i="6" s="1"/>
  <c r="AB1146" i="6"/>
  <c r="Z1146" i="6" s="1"/>
  <c r="AB667" i="6"/>
  <c r="Z667" i="6" s="1"/>
  <c r="AB1246" i="6"/>
  <c r="Z1246" i="6" s="1"/>
  <c r="AB1408" i="6"/>
  <c r="Z1408" i="6" s="1"/>
  <c r="AB755" i="6"/>
  <c r="Z755" i="6" s="1"/>
  <c r="AB1420" i="6"/>
  <c r="Z1420" i="6" s="1"/>
  <c r="AB496" i="6"/>
  <c r="Z496" i="6" s="1"/>
  <c r="AB1113" i="6"/>
  <c r="Z1113" i="6" s="1"/>
  <c r="AB1218" i="6"/>
  <c r="Z1218" i="6" s="1"/>
  <c r="AB348" i="6"/>
  <c r="Z348" i="6" s="1"/>
  <c r="AB1059" i="6"/>
  <c r="Z1059" i="6" s="1"/>
  <c r="AB216" i="6"/>
  <c r="Z216" i="6" s="1"/>
  <c r="AB819" i="6"/>
  <c r="Z819" i="6" s="1"/>
  <c r="AB254" i="6"/>
  <c r="Z254" i="6" s="1"/>
  <c r="AB337" i="6"/>
  <c r="Z337" i="6" s="1"/>
  <c r="AB213" i="6"/>
  <c r="Z213" i="6" s="1"/>
  <c r="AB360" i="6"/>
  <c r="Z360" i="6" s="1"/>
  <c r="AB834" i="6"/>
  <c r="Z834" i="6" s="1"/>
  <c r="AB921" i="6"/>
  <c r="Z921" i="6" s="1"/>
  <c r="AB724" i="6"/>
  <c r="Z724" i="6" s="1"/>
  <c r="AB923" i="6"/>
  <c r="Z923" i="6" s="1"/>
  <c r="AB693" i="6"/>
  <c r="Z693" i="6" s="1"/>
  <c r="AB287" i="6"/>
  <c r="Z287" i="6" s="1"/>
  <c r="AB1000" i="6"/>
  <c r="Z1000" i="6" s="1"/>
  <c r="AB339" i="6"/>
  <c r="Z339" i="6" s="1"/>
  <c r="AB979" i="6"/>
  <c r="Z979" i="6" s="1"/>
  <c r="AB1279" i="6"/>
  <c r="Z1279" i="6" s="1"/>
  <c r="AB1013" i="6"/>
  <c r="Z1013" i="6" s="1"/>
  <c r="AB807" i="6"/>
  <c r="Z807" i="6" s="1"/>
  <c r="AB744" i="6"/>
  <c r="Z744" i="6" s="1"/>
  <c r="AB879" i="6"/>
  <c r="Z879" i="6" s="1"/>
  <c r="AB919" i="6"/>
  <c r="Z919" i="6" s="1"/>
  <c r="AB951" i="6"/>
  <c r="Z951" i="6" s="1"/>
  <c r="AB651" i="6"/>
  <c r="Z651" i="6" s="1"/>
  <c r="AB194" i="6"/>
  <c r="Z194" i="6" s="1"/>
  <c r="AB587" i="6"/>
  <c r="Z587" i="6" s="1"/>
  <c r="AB749" i="6"/>
  <c r="Z749" i="6" s="1"/>
  <c r="AB344" i="6"/>
  <c r="Z344" i="6" s="1"/>
  <c r="AB726" i="6"/>
  <c r="Z726" i="6" s="1"/>
  <c r="AB761" i="6"/>
  <c r="Z761" i="6" s="1"/>
  <c r="AB382" i="6"/>
  <c r="Z382" i="6" s="1"/>
  <c r="AB705" i="6"/>
  <c r="Z705" i="6" s="1"/>
  <c r="AB967" i="6"/>
  <c r="Z967" i="6" s="1"/>
  <c r="AB1441" i="6"/>
  <c r="Z1441" i="6" s="1"/>
  <c r="AB120" i="6"/>
  <c r="Z120" i="6" s="1"/>
  <c r="AB1085" i="6"/>
  <c r="Z1085" i="6" s="1"/>
  <c r="AB141" i="6"/>
  <c r="Z141" i="6" s="1"/>
  <c r="AB544" i="6"/>
  <c r="Z544" i="6" s="1"/>
  <c r="AB1088" i="6"/>
  <c r="Z1088" i="6" s="1"/>
  <c r="AB1136" i="6"/>
  <c r="Z1136" i="6" s="1"/>
  <c r="AB763" i="6"/>
  <c r="Z763" i="6" s="1"/>
  <c r="AB1345" i="6"/>
  <c r="Z1345" i="6" s="1"/>
  <c r="AB16" i="6"/>
  <c r="Z16" i="6" s="1"/>
  <c r="AB847" i="6"/>
  <c r="Z847" i="6" s="1"/>
  <c r="AB1180" i="6"/>
  <c r="Z1180" i="6" s="1"/>
  <c r="AB776" i="6"/>
  <c r="Z776" i="6" s="1"/>
  <c r="AB898" i="6"/>
  <c r="Z898" i="6" s="1"/>
  <c r="AB877" i="6"/>
  <c r="Z877" i="6" s="1"/>
  <c r="AB211" i="6"/>
  <c r="Z211" i="6" s="1"/>
  <c r="AB222" i="6"/>
  <c r="Z222" i="6" s="1"/>
  <c r="AB810" i="6"/>
  <c r="Z810" i="6" s="1"/>
  <c r="AB589" i="6"/>
  <c r="Z589" i="6" s="1"/>
  <c r="AB1409" i="6"/>
  <c r="Z1409" i="6" s="1"/>
  <c r="AB1277" i="6"/>
  <c r="Z1277" i="6" s="1"/>
  <c r="AB762" i="6"/>
  <c r="Z762" i="6" s="1"/>
  <c r="AB170" i="6"/>
  <c r="Z170" i="6" s="1"/>
  <c r="AB796" i="6"/>
  <c r="Z796" i="6" s="1"/>
  <c r="AB597" i="6"/>
  <c r="Z597" i="6" s="1"/>
  <c r="AB863" i="6"/>
  <c r="Z863" i="6" s="1"/>
  <c r="AB790" i="6"/>
  <c r="Z790" i="6" s="1"/>
  <c r="AB1399" i="6"/>
  <c r="Z1399" i="6" s="1"/>
  <c r="AB583" i="6"/>
  <c r="Z583" i="6" s="1"/>
  <c r="AB855" i="6"/>
  <c r="Z855" i="6" s="1"/>
  <c r="AB930" i="6"/>
  <c r="Z930" i="6" s="1"/>
  <c r="AB576" i="6"/>
  <c r="Z576" i="6" s="1"/>
  <c r="AB176" i="6"/>
  <c r="Z176" i="6" s="1"/>
  <c r="AB543" i="6"/>
  <c r="Z543" i="6" s="1"/>
  <c r="AB1283" i="6"/>
  <c r="Z1283" i="6" s="1"/>
  <c r="AB851" i="6"/>
  <c r="Z851" i="6" s="1"/>
  <c r="AB1353" i="6"/>
  <c r="Z1353" i="6" s="1"/>
  <c r="AB1281" i="6"/>
  <c r="Z1281" i="6" s="1"/>
  <c r="AB373" i="6"/>
  <c r="Z373" i="6" s="1"/>
  <c r="AB1196" i="6"/>
  <c r="Z1196" i="6" s="1"/>
  <c r="AB963" i="6"/>
  <c r="Z963" i="6" s="1"/>
  <c r="AB637" i="6"/>
  <c r="Z637" i="6" s="1"/>
  <c r="AB820" i="6"/>
  <c r="Z820" i="6" s="1"/>
  <c r="AB1094" i="6"/>
  <c r="Z1094" i="6" s="1"/>
  <c r="AB196" i="6"/>
  <c r="Z196" i="6" s="1"/>
  <c r="AB591" i="6"/>
  <c r="Z591" i="6" s="1"/>
  <c r="AB1008" i="6"/>
  <c r="Z1008" i="6" s="1"/>
  <c r="AB1159" i="6"/>
  <c r="Z1159" i="6" s="1"/>
  <c r="AB642" i="6"/>
  <c r="Z642" i="6" s="1"/>
  <c r="AB499" i="6"/>
  <c r="Z499" i="6" s="1"/>
  <c r="AB1103" i="6"/>
  <c r="Z1103" i="6" s="1"/>
  <c r="AB450" i="6"/>
  <c r="Z450" i="6" s="1"/>
  <c r="AB214" i="6"/>
  <c r="Z214" i="6" s="1"/>
  <c r="AB1315" i="6"/>
  <c r="Z1315" i="6" s="1"/>
  <c r="AB1152" i="6"/>
  <c r="Z1152" i="6" s="1"/>
  <c r="AB727" i="6"/>
  <c r="Z727" i="6" s="1"/>
  <c r="AB1314" i="6"/>
  <c r="Z1314" i="6" s="1"/>
  <c r="AB1163" i="6"/>
  <c r="Z1163" i="6" s="1"/>
  <c r="AB59" i="6"/>
  <c r="Z59" i="6" s="1"/>
  <c r="AB1181" i="6"/>
  <c r="Z1181" i="6" s="1"/>
  <c r="AB841" i="6"/>
  <c r="Z841" i="6" s="1"/>
  <c r="AB429" i="6"/>
  <c r="Z429" i="6" s="1"/>
  <c r="AB208" i="6"/>
  <c r="Z208" i="6" s="1"/>
  <c r="AB997" i="6"/>
  <c r="Z997" i="6" s="1"/>
  <c r="AB125" i="6"/>
  <c r="Z125" i="6" s="1"/>
  <c r="AB707" i="6"/>
  <c r="Z707" i="6" s="1"/>
  <c r="AB66" i="6"/>
  <c r="Z66" i="6" s="1"/>
  <c r="AB173" i="6"/>
  <c r="Z173" i="6" s="1"/>
  <c r="AB1142" i="6"/>
  <c r="Z1142" i="6" s="1"/>
  <c r="AB174" i="6"/>
  <c r="Z174" i="6" s="1"/>
  <c r="AB1308" i="6"/>
  <c r="Z1308" i="6" s="1"/>
  <c r="AB198" i="6"/>
  <c r="Z198" i="6" s="1"/>
  <c r="AB103" i="6"/>
  <c r="Z103" i="6" s="1"/>
  <c r="AB1061" i="6"/>
  <c r="Z1061" i="6" s="1"/>
  <c r="AB1239" i="6"/>
  <c r="Z1239" i="6" s="1"/>
  <c r="AB384" i="6"/>
  <c r="Z384" i="6" s="1"/>
  <c r="AB437" i="6"/>
  <c r="Z437" i="6" s="1"/>
  <c r="AB1407" i="6"/>
  <c r="Z1407" i="6" s="1"/>
  <c r="AB283" i="6"/>
  <c r="Z283" i="6" s="1"/>
  <c r="AB523" i="6"/>
  <c r="Z523" i="6" s="1"/>
  <c r="AB207" i="6"/>
  <c r="Z207" i="6" s="1"/>
  <c r="AB555" i="6"/>
  <c r="Z555" i="6" s="1"/>
  <c r="AB355" i="6"/>
  <c r="Z355" i="6" s="1"/>
  <c r="AB1041" i="6"/>
  <c r="Z1041" i="6" s="1"/>
  <c r="AB1325" i="6"/>
  <c r="Z1325" i="6" s="1"/>
  <c r="AB775" i="6"/>
  <c r="Z775" i="6" s="1"/>
  <c r="AB569" i="6"/>
  <c r="Z569" i="6" s="1"/>
  <c r="AB959" i="6"/>
  <c r="Z959" i="6" s="1"/>
  <c r="AB822" i="6"/>
  <c r="Z822" i="6" s="1"/>
  <c r="AB616" i="6"/>
  <c r="Z616" i="6" s="1"/>
  <c r="AB296" i="6"/>
  <c r="Z296" i="6" s="1"/>
  <c r="AB710" i="6"/>
  <c r="Z710" i="6" s="1"/>
  <c r="AB725" i="6"/>
  <c r="Z725" i="6" s="1"/>
  <c r="AB729" i="6"/>
  <c r="Z729" i="6" s="1"/>
  <c r="AB999" i="6"/>
  <c r="Z999" i="6" s="1"/>
  <c r="AB468" i="6"/>
  <c r="Z468" i="6" s="1"/>
  <c r="AB87" i="6"/>
  <c r="Z87" i="6" s="1"/>
  <c r="AB670" i="6"/>
  <c r="Z670" i="6" s="1"/>
  <c r="AB809" i="6"/>
  <c r="Z809" i="6" s="1"/>
  <c r="AB1141" i="6"/>
  <c r="Z1141" i="6" s="1"/>
  <c r="AB267" i="6"/>
  <c r="Z267" i="6" s="1"/>
  <c r="AB778" i="6"/>
  <c r="Z778" i="6" s="1"/>
  <c r="AB565" i="6"/>
  <c r="Z565" i="6" s="1"/>
  <c r="AB1020" i="6"/>
  <c r="Z1020" i="6" s="1"/>
  <c r="AB1128" i="6"/>
  <c r="Z1128" i="6" s="1"/>
  <c r="AB612" i="6"/>
  <c r="Z612" i="6" s="1"/>
  <c r="AB346" i="6"/>
  <c r="Z346" i="6" s="1"/>
  <c r="AB801" i="6"/>
  <c r="Z801" i="6" s="1"/>
  <c r="AB1352" i="6"/>
  <c r="Z1352" i="6" s="1"/>
  <c r="AB1369" i="6"/>
  <c r="Z1369" i="6" s="1"/>
  <c r="AB884" i="6"/>
  <c r="Z884" i="6" s="1"/>
  <c r="AB756" i="6"/>
  <c r="Z756" i="6" s="1"/>
  <c r="AB1220" i="6"/>
  <c r="Z1220" i="6" s="1"/>
  <c r="AB347" i="6"/>
  <c r="Z347" i="6" s="1"/>
  <c r="AB550" i="6"/>
  <c r="Z550" i="6" s="1"/>
  <c r="AB135" i="6"/>
  <c r="Z135" i="6" s="1"/>
  <c r="AB1355" i="6"/>
  <c r="Z1355" i="6" s="1"/>
  <c r="AB73" i="6"/>
  <c r="Z73" i="6" s="1"/>
  <c r="AB1105" i="6"/>
  <c r="Z1105" i="6" s="1"/>
  <c r="AB611" i="6"/>
  <c r="Z611" i="6" s="1"/>
  <c r="AB646" i="6"/>
  <c r="Z646" i="6" s="1"/>
  <c r="AB552" i="6"/>
  <c r="Z552" i="6" s="1"/>
  <c r="AB291" i="6"/>
  <c r="Z291" i="6" s="1"/>
  <c r="AB446" i="6"/>
  <c r="Z446" i="6" s="1"/>
  <c r="AB97" i="6"/>
  <c r="Z97" i="6" s="1"/>
  <c r="AB257" i="6"/>
  <c r="Z257" i="6" s="1"/>
  <c r="AB245" i="6"/>
  <c r="Z245" i="6" s="1"/>
  <c r="AB70" i="6"/>
  <c r="Z70" i="6" s="1"/>
  <c r="AB1255" i="6"/>
  <c r="Z1255" i="6" s="1"/>
  <c r="AB1206" i="6"/>
  <c r="Z1206" i="6" s="1"/>
  <c r="AB1028" i="6"/>
  <c r="Z1028" i="6" s="1"/>
  <c r="AB815" i="6"/>
  <c r="Z815" i="6" s="1"/>
  <c r="AB399" i="6"/>
  <c r="Z399" i="6" s="1"/>
  <c r="AB730" i="6"/>
  <c r="Z730" i="6" s="1"/>
  <c r="AB871" i="6"/>
  <c r="Z871" i="6" s="1"/>
  <c r="AB1251" i="6"/>
  <c r="Z1251" i="6" s="1"/>
  <c r="AB1339" i="6"/>
  <c r="Z1339" i="6" s="1"/>
  <c r="AB1232" i="6"/>
  <c r="Z1232" i="6" s="1"/>
  <c r="AB422" i="6"/>
  <c r="Z422" i="6" s="1"/>
  <c r="AB571" i="6"/>
  <c r="Z571" i="6" s="1"/>
  <c r="AB102" i="6"/>
  <c r="Z102" i="6" s="1"/>
  <c r="AB1074" i="6"/>
  <c r="Z1074" i="6" s="1"/>
  <c r="AB1202" i="6"/>
  <c r="Z1202" i="6" s="1"/>
  <c r="AB846" i="6"/>
  <c r="Z846" i="6" s="1"/>
  <c r="AB1095" i="6"/>
  <c r="Z1095" i="6" s="1"/>
  <c r="AB580" i="6"/>
  <c r="Z580" i="6" s="1"/>
  <c r="AB538" i="6"/>
  <c r="Z538" i="6" s="1"/>
  <c r="AB542" i="6"/>
  <c r="Z542" i="6" s="1"/>
  <c r="AB353" i="6"/>
  <c r="Z353" i="6" s="1"/>
  <c r="AB1116" i="6"/>
  <c r="Z1116" i="6" s="1"/>
  <c r="AB864" i="6"/>
  <c r="Z864" i="6" s="1"/>
  <c r="AB751" i="6"/>
  <c r="Z751" i="6" s="1"/>
  <c r="AB243" i="6"/>
  <c r="Z243" i="6" s="1"/>
  <c r="AB431" i="6"/>
  <c r="Z431" i="6" s="1"/>
  <c r="AB1114" i="6"/>
  <c r="Z1114" i="6" s="1"/>
  <c r="AB711" i="6"/>
  <c r="Z711" i="6" s="1"/>
  <c r="AB677" i="6"/>
  <c r="Z677" i="6" s="1"/>
  <c r="AB517" i="6"/>
  <c r="Z517" i="6" s="1"/>
  <c r="AB668" i="6"/>
  <c r="Z668" i="6" s="1"/>
  <c r="AB340" i="6"/>
  <c r="Z340" i="6" s="1"/>
  <c r="AB1273" i="6"/>
  <c r="Z1273" i="6" s="1"/>
  <c r="AB1179" i="6"/>
  <c r="Z1179" i="6" s="1"/>
  <c r="AB743" i="6"/>
  <c r="Z743" i="6" s="1"/>
  <c r="AB786" i="6"/>
  <c r="Z786" i="6" s="1"/>
  <c r="AB703" i="6"/>
  <c r="Z703" i="6" s="1"/>
  <c r="AB269" i="6"/>
  <c r="Z269" i="6" s="1"/>
  <c r="AB493" i="6"/>
  <c r="Z493" i="6" s="1"/>
  <c r="AB299" i="6"/>
  <c r="Z299" i="6" s="1"/>
  <c r="AB122" i="6"/>
  <c r="Z122" i="6" s="1"/>
  <c r="AB235" i="6"/>
  <c r="Z235" i="6" s="1"/>
  <c r="AB218" i="6"/>
  <c r="Z218" i="6" s="1"/>
  <c r="AB833" i="6"/>
  <c r="Z833" i="6" s="1"/>
  <c r="AB824" i="6"/>
  <c r="Z824" i="6" s="1"/>
  <c r="AB716" i="6"/>
  <c r="Z716" i="6" s="1"/>
  <c r="AB531" i="6"/>
  <c r="Z531" i="6" s="1"/>
  <c r="AB400" i="6"/>
  <c r="Z400" i="6" s="1"/>
  <c r="AB553" i="6"/>
  <c r="Z553" i="6" s="1"/>
  <c r="AB484" i="6"/>
  <c r="Z484" i="6" s="1"/>
  <c r="AB666" i="6"/>
  <c r="Z666" i="6" s="1"/>
  <c r="AB1256" i="6"/>
  <c r="Z1256" i="6" s="1"/>
  <c r="AB1388" i="6"/>
  <c r="Z1388" i="6" s="1"/>
  <c r="AB862" i="6"/>
  <c r="Z862" i="6" s="1"/>
  <c r="AB1395" i="6"/>
  <c r="Z1395" i="6" s="1"/>
  <c r="AB1370" i="6"/>
  <c r="Z1370" i="6" s="1"/>
  <c r="AB159" i="6"/>
  <c r="Z159" i="6" s="1"/>
  <c r="AB701" i="6"/>
  <c r="Z701" i="6" s="1"/>
  <c r="AB204" i="6"/>
  <c r="Z204" i="6" s="1"/>
  <c r="AB826" i="6"/>
  <c r="Z826" i="6" s="1"/>
  <c r="AB494" i="6"/>
  <c r="Z494" i="6" s="1"/>
  <c r="AB1348" i="6"/>
  <c r="Z1348" i="6" s="1"/>
  <c r="AB764" i="6"/>
  <c r="Z764" i="6" s="1"/>
  <c r="AB1267" i="6"/>
  <c r="Z1267" i="6" s="1"/>
  <c r="AB1335" i="6"/>
  <c r="Z1335" i="6" s="1"/>
  <c r="AB629" i="6"/>
  <c r="Z629" i="6" s="1"/>
  <c r="AB111" i="6"/>
  <c r="Z111" i="6" s="1"/>
  <c r="AB385" i="6"/>
  <c r="Z385" i="6" s="1"/>
  <c r="AB137" i="6"/>
  <c r="Z137" i="6" s="1"/>
  <c r="AB1118" i="6"/>
  <c r="Z1118" i="6" s="1"/>
  <c r="AB965" i="6"/>
  <c r="Z965" i="6" s="1"/>
  <c r="AB709" i="6"/>
  <c r="Z709" i="6" s="1"/>
  <c r="AB728" i="6"/>
  <c r="Z728" i="6" s="1"/>
  <c r="AB1166" i="6"/>
  <c r="Z1166" i="6" s="1"/>
  <c r="AB853" i="6"/>
  <c r="Z853" i="6" s="1"/>
  <c r="AB872" i="6"/>
  <c r="Z872" i="6" s="1"/>
  <c r="AB249" i="6"/>
  <c r="Z249" i="6" s="1"/>
  <c r="AB479" i="6"/>
  <c r="Z479" i="6" s="1"/>
  <c r="AB889" i="6"/>
  <c r="Z889" i="6" s="1"/>
  <c r="AB502" i="6"/>
  <c r="Z502" i="6" s="1"/>
  <c r="AB98" i="6"/>
  <c r="Z98" i="6" s="1"/>
  <c r="AB314" i="6"/>
  <c r="Z314" i="6" s="1"/>
  <c r="AB172" i="6"/>
  <c r="Z172" i="6" s="1"/>
  <c r="AB1083" i="6"/>
  <c r="Z1083" i="6" s="1"/>
  <c r="AB1224" i="6"/>
  <c r="Z1224" i="6" s="1"/>
  <c r="AB483" i="6"/>
  <c r="Z483" i="6" s="1"/>
  <c r="AB840" i="6"/>
  <c r="Z840" i="6" s="1"/>
  <c r="AB1241" i="6"/>
  <c r="Z1241" i="6" s="1"/>
  <c r="AB1140" i="6"/>
  <c r="Z1140" i="6" s="1"/>
  <c r="AB765" i="6"/>
  <c r="Z765" i="6" s="1"/>
  <c r="AB659" i="6"/>
  <c r="Z659" i="6" s="1"/>
  <c r="AB71" i="6"/>
  <c r="Z71" i="6" s="1"/>
  <c r="AB625" i="6"/>
  <c r="Z625" i="6" s="1"/>
  <c r="AB800" i="6"/>
  <c r="Z800" i="6" s="1"/>
  <c r="AB1194" i="6"/>
  <c r="Z1194" i="6" s="1"/>
  <c r="AB1137" i="6"/>
  <c r="Z1137" i="6" s="1"/>
  <c r="AB1017" i="6"/>
  <c r="Z1017" i="6" s="1"/>
  <c r="AB292" i="6"/>
  <c r="Z292" i="6" s="1"/>
  <c r="AB539" i="6"/>
  <c r="Z539" i="6" s="1"/>
  <c r="AB63" i="6"/>
  <c r="Z63" i="6" s="1"/>
  <c r="AB1261" i="6"/>
  <c r="Z1261" i="6" s="1"/>
  <c r="AB138" i="6"/>
  <c r="Z138" i="6" s="1"/>
  <c r="AB72" i="6"/>
  <c r="Z72" i="6" s="1"/>
  <c r="AB301" i="6"/>
  <c r="Z301" i="6" s="1"/>
  <c r="AB1413" i="6"/>
  <c r="Z1413" i="6" s="1"/>
  <c r="AB983" i="6"/>
  <c r="Z983" i="6" s="1"/>
  <c r="AB383" i="6"/>
  <c r="Z383" i="6" s="1"/>
  <c r="AB1391" i="6"/>
  <c r="Z1391" i="6" s="1"/>
  <c r="AB515" i="6"/>
  <c r="Z515" i="6" s="1"/>
  <c r="AB1012" i="6"/>
  <c r="Z1012" i="6" s="1"/>
  <c r="AB459" i="6"/>
  <c r="Z459" i="6" s="1"/>
  <c r="AB593" i="6"/>
  <c r="Z593" i="6" s="1"/>
  <c r="AB418" i="6"/>
  <c r="Z418" i="6" s="1"/>
  <c r="AB844" i="6"/>
  <c r="Z844" i="6" s="1"/>
  <c r="AB654" i="6"/>
  <c r="Z654" i="6" s="1"/>
  <c r="AB315" i="6"/>
  <c r="Z315" i="6" s="1"/>
  <c r="AB374" i="6"/>
  <c r="Z374" i="6" s="1"/>
  <c r="AB606" i="6"/>
  <c r="Z606" i="6" s="1"/>
  <c r="AB715" i="6"/>
  <c r="Z715" i="6" s="1"/>
  <c r="AB1393" i="6"/>
  <c r="Z1393" i="6" s="1"/>
  <c r="AB839" i="6"/>
  <c r="Z839" i="6" s="1"/>
  <c r="AB575" i="6"/>
  <c r="Z575" i="6" s="1"/>
  <c r="AB282" i="6"/>
  <c r="Z282" i="6" s="1"/>
  <c r="AB474" i="6"/>
  <c r="Z474" i="6" s="1"/>
  <c r="AB95" i="6"/>
  <c r="Z95" i="6" s="1"/>
  <c r="AB1234" i="6"/>
  <c r="Z1234" i="6" s="1"/>
  <c r="AB805" i="6"/>
  <c r="Z805" i="6" s="1"/>
  <c r="AB650" i="6"/>
  <c r="Z650" i="6" s="1"/>
  <c r="AB1297" i="6"/>
  <c r="Z1297" i="6" s="1"/>
  <c r="AB757" i="6"/>
  <c r="Z757" i="6" s="1"/>
  <c r="AB371" i="6"/>
  <c r="Z371" i="6" s="1"/>
  <c r="AB377" i="6"/>
  <c r="Z377" i="6" s="1"/>
  <c r="AB100" i="6"/>
  <c r="Z100" i="6" s="1"/>
  <c r="AB12" i="6"/>
  <c r="Z12" i="6" s="1"/>
  <c r="AB581" i="6"/>
  <c r="Z581" i="6" s="1"/>
  <c r="AB107" i="6"/>
  <c r="Z107" i="6" s="1"/>
  <c r="AB68" i="6"/>
  <c r="Z68" i="6" s="1"/>
  <c r="AB212" i="6"/>
  <c r="Z212" i="6" s="1"/>
  <c r="AB1217" i="6"/>
  <c r="Z1217" i="6" s="1"/>
  <c r="AB1324" i="6"/>
  <c r="Z1324" i="6" s="1"/>
  <c r="AB644" i="6"/>
  <c r="Z644" i="6" s="1"/>
  <c r="AB220" i="6"/>
  <c r="Z220" i="6" s="1"/>
  <c r="AB747" i="6"/>
  <c r="Z747" i="6" s="1"/>
  <c r="AB1397" i="6"/>
  <c r="Z1397" i="6" s="1"/>
  <c r="AB1429" i="6"/>
  <c r="Z1429" i="6" s="1"/>
  <c r="AB1199" i="6"/>
  <c r="Z1199" i="6" s="1"/>
  <c r="AB192" i="6"/>
  <c r="Z192" i="6" s="1"/>
  <c r="AB1436" i="6"/>
  <c r="Z1436" i="6" s="1"/>
  <c r="AB1243" i="6"/>
  <c r="Z1243" i="6" s="1"/>
  <c r="AB279" i="6"/>
  <c r="Z279" i="6" s="1"/>
  <c r="AB506" i="6"/>
  <c r="Z506" i="6" s="1"/>
  <c r="AB2" i="6"/>
  <c r="Z2" i="6" s="1"/>
  <c r="AB856" i="6"/>
  <c r="Z856" i="6" s="1"/>
  <c r="AB445" i="6"/>
  <c r="Z445" i="6" s="1"/>
  <c r="AB595" i="6"/>
  <c r="Z595" i="6" s="1"/>
  <c r="AB47" i="6"/>
  <c r="Z47" i="6" s="1"/>
  <c r="AB453" i="6"/>
  <c r="Z453" i="6" s="1"/>
  <c r="AB372" i="6"/>
  <c r="Z372" i="6" s="1"/>
  <c r="AB1111" i="6"/>
  <c r="Z1111" i="6" s="1"/>
  <c r="AB1161" i="6"/>
  <c r="Z1161" i="6" s="1"/>
  <c r="AB739" i="6"/>
  <c r="Z739" i="6" s="1"/>
  <c r="AB838" i="6"/>
  <c r="Z838" i="6" s="1"/>
  <c r="AB1077" i="6"/>
  <c r="Z1077" i="6" s="1"/>
  <c r="AB1401" i="6"/>
  <c r="Z1401" i="6" s="1"/>
  <c r="AB1437" i="6"/>
  <c r="Z1437" i="6" s="1"/>
  <c r="AB1405" i="6"/>
  <c r="Z1405" i="6" s="1"/>
  <c r="AB1258" i="6"/>
  <c r="Z1258" i="6" s="1"/>
  <c r="AB1144" i="6"/>
  <c r="Z1144" i="6" s="1"/>
  <c r="AB628" i="6"/>
  <c r="Z628" i="6" s="1"/>
  <c r="AB680" i="6"/>
  <c r="Z680" i="6" s="1"/>
  <c r="AB545" i="6"/>
  <c r="Z545" i="6" s="1"/>
  <c r="AB332" i="6"/>
  <c r="Z332" i="6" s="1"/>
  <c r="AB603" i="6"/>
  <c r="Z603" i="6" s="1"/>
  <c r="AB144" i="6"/>
  <c r="Z144" i="6" s="1"/>
  <c r="AB893" i="6"/>
  <c r="Z893" i="6" s="1"/>
  <c r="AB335" i="6"/>
  <c r="Z335" i="6" s="1"/>
  <c r="AB27" i="6"/>
  <c r="Z27" i="6" s="1"/>
  <c r="AB828" i="6"/>
  <c r="Z828" i="6" s="1"/>
  <c r="AB108" i="6"/>
  <c r="Z108" i="6" s="1"/>
  <c r="AB1134" i="6"/>
  <c r="Z1134" i="6" s="1"/>
  <c r="AB903" i="6"/>
  <c r="Z903" i="6" s="1"/>
  <c r="AB966" i="6"/>
  <c r="Z966" i="6" s="1"/>
  <c r="AB994" i="6"/>
  <c r="Z994" i="6" s="1"/>
  <c r="AB850" i="6"/>
  <c r="Z850" i="6" s="1"/>
  <c r="AB633" i="6"/>
  <c r="Z633" i="6" s="1"/>
  <c r="AB731" i="6"/>
  <c r="Z731" i="6" s="1"/>
  <c r="AB596" i="6"/>
  <c r="Z596" i="6" s="1"/>
  <c r="AB160" i="6"/>
  <c r="Z160" i="6" s="1"/>
  <c r="AB684" i="6"/>
  <c r="Z684" i="6" s="1"/>
  <c r="AB626" i="6"/>
  <c r="Z626" i="6" s="1"/>
  <c r="AB409" i="6"/>
  <c r="Z409" i="6" s="1"/>
  <c r="AB477" i="6"/>
  <c r="Z477" i="6" s="1"/>
  <c r="AB1262" i="6"/>
  <c r="Z1262" i="6" s="1"/>
  <c r="AB13" i="6"/>
  <c r="Z13" i="6" s="1"/>
  <c r="AB155" i="6"/>
  <c r="Z155" i="6" s="1"/>
  <c r="AB370" i="6"/>
  <c r="Z370" i="6" s="1"/>
  <c r="AB290" i="6"/>
  <c r="Z290" i="6" s="1"/>
  <c r="AB152" i="6"/>
  <c r="Z152" i="6" s="1"/>
  <c r="AB1318" i="6"/>
  <c r="Z1318" i="6" s="1"/>
  <c r="AB1127" i="6"/>
  <c r="Z1127" i="6" s="1"/>
  <c r="AB547" i="6"/>
  <c r="Z547" i="6" s="1"/>
  <c r="AB673" i="6"/>
  <c r="Z673" i="6" s="1"/>
  <c r="AB697" i="6"/>
  <c r="Z697" i="6" s="1"/>
  <c r="AB473" i="6"/>
  <c r="Z473" i="6" s="1"/>
  <c r="AB119" i="6"/>
  <c r="Z119" i="6" s="1"/>
  <c r="AB648" i="6"/>
  <c r="Z648" i="6" s="1"/>
  <c r="AB546" i="6"/>
  <c r="Z546" i="6" s="1"/>
  <c r="AB425" i="6"/>
  <c r="Z425" i="6" s="1"/>
  <c r="AB1010" i="6"/>
  <c r="Z1010" i="6" s="1"/>
  <c r="AB1322" i="6"/>
  <c r="Z1322" i="6" s="1"/>
  <c r="AB307" i="6"/>
  <c r="Z307" i="6" s="1"/>
  <c r="AB1266" i="6"/>
  <c r="Z1266" i="6" s="1"/>
  <c r="AB1357" i="6"/>
  <c r="Z1357" i="6" s="1"/>
  <c r="AB1230" i="6"/>
  <c r="Z1230" i="6" s="1"/>
  <c r="AB1049" i="6"/>
  <c r="Z1049" i="6" s="1"/>
  <c r="AB1025" i="6"/>
  <c r="Z1025" i="6" s="1"/>
  <c r="AB536" i="6"/>
  <c r="Z536" i="6" s="1"/>
  <c r="AB266" i="6"/>
  <c r="Z266" i="6" s="1"/>
  <c r="AB797" i="6"/>
  <c r="Z797" i="6" s="1"/>
  <c r="AB39" i="6"/>
  <c r="Z39" i="6" s="1"/>
  <c r="AB836" i="6"/>
  <c r="Z836" i="6" s="1"/>
  <c r="AB1122" i="6"/>
  <c r="Z1122" i="6" s="1"/>
  <c r="AB1385" i="6"/>
  <c r="Z1385" i="6" s="1"/>
  <c r="AB1433" i="6"/>
  <c r="Z1433" i="6" s="1"/>
  <c r="AB1354" i="6"/>
  <c r="Z1354" i="6" s="1"/>
  <c r="AB916" i="6"/>
  <c r="Z916" i="6" s="1"/>
  <c r="AB669" i="6"/>
  <c r="Z669" i="6" s="1"/>
  <c r="AB859" i="6"/>
  <c r="Z859" i="6" s="1"/>
  <c r="AB518" i="6"/>
  <c r="Z518" i="6" s="1"/>
  <c r="AB224" i="6"/>
  <c r="Z224" i="6" s="1"/>
  <c r="AB23" i="6"/>
  <c r="Z23" i="6" s="1"/>
  <c r="AB338" i="6"/>
  <c r="Z338" i="6" s="1"/>
  <c r="AB186" i="6"/>
  <c r="Z186" i="6" s="1"/>
  <c r="AB454" i="6"/>
  <c r="Z454" i="6" s="1"/>
  <c r="AB525" i="6"/>
  <c r="Z525" i="6" s="1"/>
  <c r="AB341" i="6"/>
  <c r="Z341" i="6" s="1"/>
  <c r="AB320" i="6"/>
  <c r="Z320" i="6" s="1"/>
  <c r="AB441" i="6"/>
  <c r="Z441" i="6" s="1"/>
  <c r="AB281" i="6"/>
  <c r="Z281" i="6" s="1"/>
  <c r="AB886" i="6"/>
  <c r="Z886" i="6" s="1"/>
  <c r="AB1326" i="6"/>
  <c r="Z1326" i="6" s="1"/>
  <c r="AB938" i="6"/>
  <c r="Z938" i="6" s="1"/>
  <c r="AB1054" i="6"/>
  <c r="Z1054" i="6" s="1"/>
  <c r="AB1425" i="6"/>
  <c r="Z1425" i="6" s="1"/>
  <c r="AB1417" i="6"/>
  <c r="Z1417" i="6" s="1"/>
  <c r="AB1342" i="6"/>
  <c r="Z1342" i="6" s="1"/>
  <c r="AB1381" i="6"/>
  <c r="Z1381" i="6" s="1"/>
  <c r="AB1145" i="6"/>
  <c r="Z1145" i="6" s="1"/>
  <c r="AB1200" i="6"/>
  <c r="Z1200" i="6" s="1"/>
  <c r="AB940" i="6"/>
  <c r="Z940" i="6" s="1"/>
  <c r="AB953" i="6"/>
  <c r="Z953" i="6" s="1"/>
  <c r="AB950" i="6"/>
  <c r="Z950" i="6" s="1"/>
  <c r="AB943" i="6"/>
  <c r="Z943" i="6" s="1"/>
  <c r="AB671" i="6"/>
  <c r="Z671" i="6" s="1"/>
  <c r="AB894" i="6"/>
  <c r="Z894" i="6" s="1"/>
  <c r="AB717" i="6"/>
  <c r="Z717" i="6" s="1"/>
  <c r="AB882" i="6"/>
  <c r="Z882" i="6" s="1"/>
  <c r="AB741" i="6"/>
  <c r="Z741" i="6" s="1"/>
  <c r="AB732" i="6"/>
  <c r="Z732" i="6" s="1"/>
  <c r="AB510" i="6"/>
  <c r="Z510" i="6" s="1"/>
  <c r="AB465" i="6"/>
  <c r="Z465" i="6" s="1"/>
  <c r="AB183" i="6"/>
  <c r="Z183" i="6" s="1"/>
  <c r="AB1389" i="6"/>
  <c r="Z1389" i="6" s="1"/>
  <c r="AB1374" i="6"/>
  <c r="Z1374" i="6" s="1"/>
  <c r="AB1299" i="6"/>
  <c r="Z1299" i="6" s="1"/>
  <c r="AB968" i="6"/>
  <c r="Z968" i="6" s="1"/>
  <c r="AB592" i="6"/>
  <c r="Z592" i="6" s="1"/>
  <c r="AB825" i="6"/>
  <c r="Z825" i="6" s="1"/>
  <c r="AB870" i="6"/>
  <c r="Z870" i="6" s="1"/>
  <c r="AB240" i="6"/>
  <c r="Z240" i="6" s="1"/>
  <c r="AB772" i="6"/>
  <c r="Z772" i="6" s="1"/>
  <c r="AB488" i="6"/>
  <c r="Z488" i="6" s="1"/>
  <c r="AB318" i="6"/>
  <c r="Z318" i="6" s="1"/>
  <c r="AB432" i="6"/>
  <c r="Z432" i="6" s="1"/>
  <c r="AB362" i="6"/>
  <c r="Z362" i="6" s="1"/>
  <c r="AB753" i="6"/>
  <c r="Z753" i="6" s="1"/>
  <c r="AB1349" i="6"/>
  <c r="Z1349" i="6" s="1"/>
  <c r="AB1108" i="6"/>
  <c r="Z1108" i="6" s="1"/>
  <c r="AB1233" i="6"/>
  <c r="Z1233" i="6" s="1"/>
  <c r="AB933" i="6"/>
  <c r="Z933" i="6" s="1"/>
  <c r="AB610" i="6"/>
  <c r="Z610" i="6" s="1"/>
  <c r="AB798" i="6"/>
  <c r="Z798" i="6" s="1"/>
  <c r="AB686" i="6"/>
  <c r="Z686" i="6" s="1"/>
  <c r="AB128" i="6"/>
  <c r="Z128" i="6" s="1"/>
  <c r="AB350" i="6"/>
  <c r="Z350" i="6" s="1"/>
  <c r="AB394" i="6"/>
  <c r="Z394" i="6" s="1"/>
  <c r="AB1320" i="6"/>
  <c r="Z1320" i="6" s="1"/>
  <c r="AB232" i="6"/>
  <c r="Z232" i="6" s="1"/>
  <c r="AB167" i="6"/>
  <c r="Z167" i="6" s="1"/>
  <c r="AB788" i="6"/>
  <c r="Z788" i="6" s="1"/>
  <c r="AB317" i="6"/>
  <c r="Z317" i="6" s="1"/>
  <c r="AB608" i="6"/>
  <c r="Z608" i="6" s="1"/>
  <c r="AB600" i="6"/>
  <c r="Z600" i="6" s="1"/>
  <c r="AB1238" i="6"/>
  <c r="Z1238" i="6" s="1"/>
  <c r="AB934" i="6"/>
  <c r="Z934" i="6" s="1"/>
  <c r="AB816" i="6"/>
  <c r="Z816" i="6" s="1"/>
  <c r="AB534" i="6"/>
  <c r="Z534" i="6" s="1"/>
  <c r="AB410" i="6"/>
  <c r="Z410" i="6" s="1"/>
  <c r="AB522" i="6"/>
  <c r="Z522" i="6" s="1"/>
  <c r="AB638" i="6"/>
  <c r="Z638" i="6" s="1"/>
  <c r="AB1207" i="6"/>
  <c r="Z1207" i="6" s="1"/>
  <c r="AB914" i="6"/>
  <c r="Z914" i="6" s="1"/>
  <c r="AB690" i="6"/>
  <c r="Z690" i="6" s="1"/>
  <c r="AB557" i="6"/>
  <c r="Z557" i="6" s="1"/>
  <c r="AB1367" i="6"/>
  <c r="Z1367" i="6" s="1"/>
  <c r="AB1254" i="6"/>
  <c r="Z1254" i="6" s="1"/>
  <c r="AB1102" i="6"/>
  <c r="Z1102" i="6" s="1"/>
  <c r="AB738" i="6"/>
  <c r="Z738" i="6" s="1"/>
  <c r="AB698" i="6"/>
  <c r="Z698" i="6" s="1"/>
  <c r="AB866" i="6"/>
  <c r="Z866" i="6" s="1"/>
  <c r="AB972" i="6"/>
  <c r="Z972" i="6" s="1"/>
  <c r="AB742" i="6"/>
  <c r="Z742" i="6" s="1"/>
  <c r="AB329" i="6"/>
  <c r="Z329" i="6" s="1"/>
  <c r="AB766" i="6"/>
  <c r="Z766" i="6" s="1"/>
  <c r="AB813" i="6"/>
  <c r="Z813" i="6" s="1"/>
  <c r="AB541" i="6"/>
  <c r="Z541" i="6" s="1"/>
  <c r="AB1183" i="6"/>
  <c r="Z1183" i="6" s="1"/>
  <c r="AB1421" i="6"/>
  <c r="Z1421" i="6" s="1"/>
  <c r="AB1084" i="6"/>
  <c r="Z1084" i="6" s="1"/>
  <c r="AB622" i="6"/>
  <c r="Z622" i="6" s="1"/>
</calcChain>
</file>

<file path=xl/sharedStrings.xml><?xml version="1.0" encoding="utf-8"?>
<sst xmlns="http://schemas.openxmlformats.org/spreadsheetml/2006/main" count="20351" uniqueCount="6103">
  <si>
    <t>Nirvana</t>
  </si>
  <si>
    <t>SoloBand</t>
  </si>
  <si>
    <t>Genre</t>
  </si>
  <si>
    <t>SX</t>
  </si>
  <si>
    <t>BAND</t>
  </si>
  <si>
    <t>XT_OffAnimals</t>
  </si>
  <si>
    <t>ç</t>
  </si>
  <si>
    <t>ñ´-</t>
  </si>
  <si>
    <t>Face to Face</t>
  </si>
  <si>
    <t>Daft Punk</t>
  </si>
  <si>
    <t>Close Your Eyes</t>
  </si>
  <si>
    <t>Heavy Metal</t>
  </si>
  <si>
    <t>Storm</t>
  </si>
  <si>
    <t>Varios Artistas</t>
  </si>
  <si>
    <t>David Guetta, OneRepublic</t>
  </si>
  <si>
    <t>Incognito</t>
  </si>
  <si>
    <t>Musique</t>
  </si>
  <si>
    <t>Hello</t>
  </si>
  <si>
    <t>Jean-Michel Jarre</t>
  </si>
  <si>
    <t>Genesis</t>
  </si>
  <si>
    <t>Arrival</t>
  </si>
  <si>
    <t>Family</t>
  </si>
  <si>
    <t>Reunion</t>
  </si>
  <si>
    <t>Stardust</t>
  </si>
  <si>
    <t>Track ID</t>
  </si>
  <si>
    <t>Track Name</t>
  </si>
  <si>
    <t>Album Name</t>
  </si>
  <si>
    <t>Artist Name(s)</t>
  </si>
  <si>
    <t>Release Date</t>
  </si>
  <si>
    <t>Duration (ms)</t>
  </si>
  <si>
    <t>Popularity</t>
  </si>
  <si>
    <t>Added By</t>
  </si>
  <si>
    <t>Added At</t>
  </si>
  <si>
    <t>Genres</t>
  </si>
  <si>
    <t>Record Label</t>
  </si>
  <si>
    <t>Danceability</t>
  </si>
  <si>
    <t>Energy</t>
  </si>
  <si>
    <t>Key</t>
  </si>
  <si>
    <t>Loudness</t>
  </si>
  <si>
    <t>Mode</t>
  </si>
  <si>
    <t>Speechiness</t>
  </si>
  <si>
    <t>Acousticness</t>
  </si>
  <si>
    <t>Instrumentalness</t>
  </si>
  <si>
    <t>Liveness</t>
  </si>
  <si>
    <t>Valence</t>
  </si>
  <si>
    <t>Tempo</t>
  </si>
  <si>
    <t>Time Signature</t>
  </si>
  <si>
    <t>EMI</t>
  </si>
  <si>
    <t>Universal Music Group</t>
  </si>
  <si>
    <t>Dreams</t>
  </si>
  <si>
    <t>Warner Records</t>
  </si>
  <si>
    <t>Walt Disney Records</t>
  </si>
  <si>
    <t>Oliver</t>
  </si>
  <si>
    <t>Atlantic Records UK</t>
  </si>
  <si>
    <t>Decca (UMO)</t>
  </si>
  <si>
    <t>Track URI</t>
  </si>
  <si>
    <t>Artist URI(s)</t>
  </si>
  <si>
    <t>Album URI</t>
  </si>
  <si>
    <t>Album Artist URI(s)</t>
  </si>
  <si>
    <t>Album Artist Name(s)</t>
  </si>
  <si>
    <t>Album Release Date</t>
  </si>
  <si>
    <t>Album Image URL</t>
  </si>
  <si>
    <t>Disc Number</t>
  </si>
  <si>
    <t>Track Number</t>
  </si>
  <si>
    <t>Track Duration (ms)</t>
  </si>
  <si>
    <t>Track Preview URL</t>
  </si>
  <si>
    <t>Explicit</t>
  </si>
  <si>
    <t>ISRC</t>
  </si>
  <si>
    <t>spotify:user:yjwstn</t>
  </si>
  <si>
    <t>spotify:artist:0LyfQWJT6nXafLPZqxe9Of</t>
  </si>
  <si>
    <t>Falso</t>
  </si>
  <si>
    <t>21/06/1905</t>
  </si>
  <si>
    <t>28/06/1905</t>
  </si>
  <si>
    <t>22/06/1905</t>
  </si>
  <si>
    <t>24/06/1905</t>
  </si>
  <si>
    <t>30/06/1905</t>
  </si>
  <si>
    <t>28/09/2018</t>
  </si>
  <si>
    <t>20/06/2005</t>
  </si>
  <si>
    <t>25/06/2021</t>
  </si>
  <si>
    <t>16/10/2015</t>
  </si>
  <si>
    <t>Verdadero</t>
  </si>
  <si>
    <t>18/11/2016</t>
  </si>
  <si>
    <t>22/06/2018</t>
  </si>
  <si>
    <t>Parlophone (France)</t>
  </si>
  <si>
    <t>Columbia</t>
  </si>
  <si>
    <t>Nocturne</t>
  </si>
  <si>
    <t>Diva</t>
  </si>
  <si>
    <t>Columbia Local</t>
  </si>
  <si>
    <t>17/06/2011</t>
  </si>
  <si>
    <t>24/07/2015</t>
  </si>
  <si>
    <t>26/02/2012</t>
  </si>
  <si>
    <t>13/05/2016</t>
  </si>
  <si>
    <t>18/03/2022</t>
  </si>
  <si>
    <t>22/10/2021</t>
  </si>
  <si>
    <t>I Believe</t>
  </si>
  <si>
    <t>Mirage</t>
  </si>
  <si>
    <t>No More</t>
  </si>
  <si>
    <t>Memories</t>
  </si>
  <si>
    <t>Let It Be Me</t>
  </si>
  <si>
    <t>75c7B7CF7n06YFSgnoxVMm</t>
  </si>
  <si>
    <t>Oxygene, Pt. 1</t>
  </si>
  <si>
    <t>Oxygène</t>
  </si>
  <si>
    <t>2025-02-17T18:06:18Z</t>
  </si>
  <si>
    <t>new age,electrónica,space music</t>
  </si>
  <si>
    <t>Sony Music Catalog</t>
  </si>
  <si>
    <t>4roqhhRarPSjK7V9viFOVU</t>
  </si>
  <si>
    <t>Oxygene, Pt. 2</t>
  </si>
  <si>
    <t>2A1Xj74FRxsLuD2cloaCKO</t>
  </si>
  <si>
    <t>Oxygene, Pt. 3</t>
  </si>
  <si>
    <t>0Tt2jli0yAD1MKSTb5MvS2</t>
  </si>
  <si>
    <t>Oxygene, Pt. 4</t>
  </si>
  <si>
    <t>44nUMbOtZHfAvYZG0gcxOH</t>
  </si>
  <si>
    <t>Oxygene, Pt. 5</t>
  </si>
  <si>
    <t>6sRwKAE9wBr8Iuoxo7JcWf</t>
  </si>
  <si>
    <t>Oxygene, Pt. 6</t>
  </si>
  <si>
    <t>2vpkLvyod4DAhOe57yWmmb</t>
  </si>
  <si>
    <t>Equinoxe, Pt. 1</t>
  </si>
  <si>
    <t>Equinoxe</t>
  </si>
  <si>
    <t>1978-12</t>
  </si>
  <si>
    <t>4tyOqBrBcQkVWuTdn4agZ1</t>
  </si>
  <si>
    <t>Equinoxe, Pt. 2</t>
  </si>
  <si>
    <t>42nHgxhP9Muia0WSASl4yh</t>
  </si>
  <si>
    <t>Equinoxe, Pt. 3</t>
  </si>
  <si>
    <t>362MZclYQ5wRw468UxT5Uf</t>
  </si>
  <si>
    <t>Equinoxe, Pt. 4</t>
  </si>
  <si>
    <t>3ZchdqDVsdeOq6PbHGt3MV</t>
  </si>
  <si>
    <t>Equinoxe, Pt. 5</t>
  </si>
  <si>
    <t>6enUU7hJmBvGNvJSnBHQQn</t>
  </si>
  <si>
    <t>Equinoxe, Pt. 6</t>
  </si>
  <si>
    <t>0n6IYNXlxuhhS0j7DLc2o1</t>
  </si>
  <si>
    <t>Equinoxe, Pt. 7</t>
  </si>
  <si>
    <t>7xMtDCcezZQz3TsJy4tjy6</t>
  </si>
  <si>
    <t>Equinoxe, Pt. 8</t>
  </si>
  <si>
    <t>21ZLxvFYTLuZd5qo54zep7</t>
  </si>
  <si>
    <t>Magnetic Fields, Pt. 1</t>
  </si>
  <si>
    <t>Les Chants Magnétiques / Magnetic Fields</t>
  </si>
  <si>
    <t>4DcBG214umbrGEsw4pFmcN</t>
  </si>
  <si>
    <t>Magnetic Fields, Pt. 2</t>
  </si>
  <si>
    <t>6uaHYFzeToZuMies4PpopZ</t>
  </si>
  <si>
    <t>Magnetic Fields, Pt. 3</t>
  </si>
  <si>
    <t>2OScH9Of8K8nw6gXrkpEFn</t>
  </si>
  <si>
    <t>Magnetic Fields, Pt. 4</t>
  </si>
  <si>
    <t>3eP3hJlv3aAVlSHp63lKwY</t>
  </si>
  <si>
    <t>Magnetic Fields, Pt. 5</t>
  </si>
  <si>
    <t>76R14gNja6xy5uMT3veK7T</t>
  </si>
  <si>
    <t>Ethnicolor - Remastered</t>
  </si>
  <si>
    <t>Zoolook</t>
  </si>
  <si>
    <t>763VwsBCMj3gYxDKgWLTNl</t>
  </si>
  <si>
    <t>Diva - Remastered</t>
  </si>
  <si>
    <t>0iD4M9Rg3AYH0pC05WYv2d</t>
  </si>
  <si>
    <t>Zoolook - Remastered</t>
  </si>
  <si>
    <t>7rqPdVmfmIwLrHXGRUnNXz</t>
  </si>
  <si>
    <t>Wooloomooloo - Remastered</t>
  </si>
  <si>
    <t>0zGodtZuJZiiGDT2UZKPt9</t>
  </si>
  <si>
    <t>Zoolookologie</t>
  </si>
  <si>
    <t>77KYpCVUtOhWdOplQkTZcv</t>
  </si>
  <si>
    <t>Blah Blah Cafe</t>
  </si>
  <si>
    <t>2b3o7jn1LjTR7Pe0GgL5ZM</t>
  </si>
  <si>
    <t>Ethnicolor II - Remastered</t>
  </si>
  <si>
    <t>2VCMWisWwtobo1igBNE5S1</t>
  </si>
  <si>
    <t>First Rendez Vous</t>
  </si>
  <si>
    <t>Rendez-Vous</t>
  </si>
  <si>
    <t>31OX2Wq5revTT0UzpwPJtG</t>
  </si>
  <si>
    <t>Second Rendez-Vous - Remastered</t>
  </si>
  <si>
    <t>6EHxxArxPhwdLdWcLwt7zY</t>
  </si>
  <si>
    <t>Third Rendez Vous - Remastered</t>
  </si>
  <si>
    <t>4ilhAiU52ZiHlfmQbmfhWq</t>
  </si>
  <si>
    <t>Fourth Rendez-Vous</t>
  </si>
  <si>
    <t>6a6N8I5BpjwJj9ORZh71ie</t>
  </si>
  <si>
    <t>Fifth Rendez Vous - Remastered</t>
  </si>
  <si>
    <t>5isUpzj066F75FVBc6u6ek</t>
  </si>
  <si>
    <t>Last Rendez Vous - Remastered</t>
  </si>
  <si>
    <t>31y4sv1YGJQXDYj2C7nDKs</t>
  </si>
  <si>
    <t>Industrial Revolution: Overture - Remastered</t>
  </si>
  <si>
    <t>Revolutions</t>
  </si>
  <si>
    <t>6Ec0hPvNpwpKaiG8rOdkWf</t>
  </si>
  <si>
    <t>Industrial Revolution, Pt. 1 - Remastered</t>
  </si>
  <si>
    <t>6x6pubKnkkBvtRqml4cL5I</t>
  </si>
  <si>
    <t>Industrial Revolution, Pt. 2</t>
  </si>
  <si>
    <t>25UjUgXZtViJjkx4e2NeGt</t>
  </si>
  <si>
    <t>Industrial Revolution, Pt. 3 - Remastered</t>
  </si>
  <si>
    <t>6epO5UW19MqkygGj2psxM4</t>
  </si>
  <si>
    <t>London Kid - Remastered</t>
  </si>
  <si>
    <t>5GCkIY71A7d1YSwT14mX6C</t>
  </si>
  <si>
    <t>Revolution, Revolutions - Remastered</t>
  </si>
  <si>
    <t>4rykdPTPQrbV7Gr06JlBCS</t>
  </si>
  <si>
    <t>Tokyo Kid - Remastered</t>
  </si>
  <si>
    <t>7sNRvRQ7ZEIqY1jjPxiCTi</t>
  </si>
  <si>
    <t>Computer Weekend - Remastered</t>
  </si>
  <si>
    <t>3baGbxe0b6XVaIKe7OE8VB</t>
  </si>
  <si>
    <t>September - Remastered</t>
  </si>
  <si>
    <t>3S0etOAbLoiroOtNIXcOIy</t>
  </si>
  <si>
    <t>The Emigrant - Remastered</t>
  </si>
  <si>
    <t>509Buxe6Y3nTrlX73th4LL</t>
  </si>
  <si>
    <t>Calypso - Remastered</t>
  </si>
  <si>
    <t>Waiting for Cousteau</t>
  </si>
  <si>
    <t>5w9xiXCrZ79aEjCgcjg9Pb</t>
  </si>
  <si>
    <t>Calypso, Pt. 2 - Remastered</t>
  </si>
  <si>
    <t>5R367tkJ5I6VjwjH9K0f6a</t>
  </si>
  <si>
    <t>Calypso, Pt. 3 - Remastered</t>
  </si>
  <si>
    <t>2BirEbHitEwxH7yu2YmXN6</t>
  </si>
  <si>
    <t>Waiting for Cousteau - Remastered</t>
  </si>
  <si>
    <t>1GHtYVZiwvoe4oaGOKy41t</t>
  </si>
  <si>
    <t>Chronology, Pt. 1 - Remastered</t>
  </si>
  <si>
    <t>Chronology</t>
  </si>
  <si>
    <t>2Y9SDgNMSS7RQUNN50QXyJ</t>
  </si>
  <si>
    <t>Chronology, Pt. 2 - Remastered</t>
  </si>
  <si>
    <t>57lNeDaEviGpkmSaLUjNpZ</t>
  </si>
  <si>
    <t>Chronology, Pt. 3 - Remastered</t>
  </si>
  <si>
    <t>5Wi2zLwER77wQaZxnr6sx0</t>
  </si>
  <si>
    <t>Chronology, Pt. 4 - Remastered</t>
  </si>
  <si>
    <t>48qo2DeBfn2rU9uCrLIKxp</t>
  </si>
  <si>
    <t>Chronology, Pt. 5 - Remastered</t>
  </si>
  <si>
    <t>6noyQTtUSeIYzTY40f1UN9</t>
  </si>
  <si>
    <t>Chronology, Pt. 6 - Remastered</t>
  </si>
  <si>
    <t>3InwjuZNOlPYDI2zifQ2AP</t>
  </si>
  <si>
    <t>Chronology, Pt. 7 - Remastered</t>
  </si>
  <si>
    <t>0zskUo87Jk5RDgdGFC6KOK</t>
  </si>
  <si>
    <t>Chronology, Pt. 8 - Remastered</t>
  </si>
  <si>
    <t>1ubifiz3Tr6r0e8WlqGMhu</t>
  </si>
  <si>
    <t>Oxygene, Pt. 7</t>
  </si>
  <si>
    <t>Oxygene Trilogy</t>
  </si>
  <si>
    <t>4oG1q5553B5JpQmKk7kP13</t>
  </si>
  <si>
    <t>Oxygene, Pt. 8</t>
  </si>
  <si>
    <t>4iyRdqr6dcXuK6Sgdkxsg2</t>
  </si>
  <si>
    <t>Oxygene, Pt. 9</t>
  </si>
  <si>
    <t>0Pj5O8kcB2XHuzqm7AlzNs</t>
  </si>
  <si>
    <t>Oxygene, Pt. 10</t>
  </si>
  <si>
    <t>4GthiA5PmK7dVygni8Cypl</t>
  </si>
  <si>
    <t>Oxygene, Pt. 11</t>
  </si>
  <si>
    <t>5cjCeXnZDaljutam2gnm4m</t>
  </si>
  <si>
    <t>Oxygene, Pt. 12</t>
  </si>
  <si>
    <t>47X9Xi7W0X9S4YQ8UdJrCS</t>
  </si>
  <si>
    <t>Oxygene, Pt. 13</t>
  </si>
  <si>
    <t>6bs3jM42PGtnVZEhH6JYk8</t>
  </si>
  <si>
    <t>The Time Machine</t>
  </si>
  <si>
    <t>Electronica 1: The Time Machine</t>
  </si>
  <si>
    <t>new age,electrónica,space music,electro house</t>
  </si>
  <si>
    <t>5cqVCvkfwsYh88VXdt5HTq</t>
  </si>
  <si>
    <t>Glory</t>
  </si>
  <si>
    <t>new age,electrónica,space music,indietronica</t>
  </si>
  <si>
    <t>0SZbhpp6ZxDhsdUoEARngS</t>
  </si>
  <si>
    <t>new age,electrónica,space music,trip hop,downtempo,house francés</t>
  </si>
  <si>
    <t>1HwMjMwGaUpC5kWWgfKwul</t>
  </si>
  <si>
    <t>Automatic, Pt. 1</t>
  </si>
  <si>
    <t>3Nge9dphsx1RhHd0kHLozc</t>
  </si>
  <si>
    <t>Automatic, Pt. 2</t>
  </si>
  <si>
    <t>2cssgMF2aD8Y8jZta2Bct3</t>
  </si>
  <si>
    <t>If..!</t>
  </si>
  <si>
    <t>new age,electrónica,space music,electropop</t>
  </si>
  <si>
    <t>6FuGdbjGbdd6dRdDytiTdP</t>
  </si>
  <si>
    <t>Immortals</t>
  </si>
  <si>
    <t>new age,electrónica,space music,idm,post-rock</t>
  </si>
  <si>
    <t>5HUF4klgbWeh243kiO5pIa</t>
  </si>
  <si>
    <t>Suns Have Gone</t>
  </si>
  <si>
    <t>new age,electrónica,space music,downtempo,trip hop</t>
  </si>
  <si>
    <t>2Ak4Lj4PBRbiiiGX9NeUm7</t>
  </si>
  <si>
    <t>Conquistador</t>
  </si>
  <si>
    <t>7cKsZ4ISSaBs7iCc2dd6bd</t>
  </si>
  <si>
    <t>Travelator, Pt. 2</t>
  </si>
  <si>
    <t>new age,electrónica,space music,art rock</t>
  </si>
  <si>
    <t>45X1Q7TtEPnv4B9jrsT6k3</t>
  </si>
  <si>
    <t>Zero Gravity</t>
  </si>
  <si>
    <t>new age,electrónica,space music,krautrock,rock espacial,rock progresivo,ambient</t>
  </si>
  <si>
    <t>2vfCY6GFjOdgiljkCklUnE</t>
  </si>
  <si>
    <t>Rely on Me</t>
  </si>
  <si>
    <t>new age,electrónica,space music,art pop,avant-garde,art rock,spoken word</t>
  </si>
  <si>
    <t>11VcrifJFrqF6uOCWHv3if</t>
  </si>
  <si>
    <t>new age,electrónica,space music,trance,house progresivo,edm</t>
  </si>
  <si>
    <t>6UszayidrPCJcL0nOiyXJf</t>
  </si>
  <si>
    <t>Watching You</t>
  </si>
  <si>
    <t>37IJhWZb4wCuBZjFo53Xmf</t>
  </si>
  <si>
    <t>A Question of Blood</t>
  </si>
  <si>
    <t>2yQZnTK4GolwKP8Qc85YHq</t>
  </si>
  <si>
    <t>The Train &amp; The River</t>
  </si>
  <si>
    <t>new age,electrónica,space music,piano clásico,clásica</t>
  </si>
  <si>
    <t>4G2Dn6w4ME5TV4I6jfRboe</t>
  </si>
  <si>
    <t>Continuous Mix</t>
  </si>
  <si>
    <t>78v0F8s5vH7cdUVaGj0J5a</t>
  </si>
  <si>
    <t>The Heart of Noise, Pt. 1</t>
  </si>
  <si>
    <t>Electronica 2: The Heart of Noise</t>
  </si>
  <si>
    <t>new age,electrónica,space music,electro</t>
  </si>
  <si>
    <t>3gMk1HI9r3vjt1tEhnAMWu</t>
  </si>
  <si>
    <t>The Heart of Noise, Pt. 2</t>
  </si>
  <si>
    <t>45VG6m5fYU3rIMT7dnBq9h</t>
  </si>
  <si>
    <t>Brick England</t>
  </si>
  <si>
    <t>new age,electrónica,space music,synthpop,new wave</t>
  </si>
  <si>
    <t>6qIvyUAbZ5xkHEff3qpT3a</t>
  </si>
  <si>
    <t>These Creatures</t>
  </si>
  <si>
    <t>new age,electrónica,space music,art pop,chamber pop,pop barroco</t>
  </si>
  <si>
    <t>5Bozk731GZkPkaGYP4j32W</t>
  </si>
  <si>
    <t>As One</t>
  </si>
  <si>
    <t>new age,electrónica,space music,madchester,britpop,dance alternativo</t>
  </si>
  <si>
    <t>5Pk2QcWwb9ejQQRwJ1OA9H</t>
  </si>
  <si>
    <t>Here for You</t>
  </si>
  <si>
    <t>new age,electrónica,space music,new wave,synthpop,rock industrial,industrial</t>
  </si>
  <si>
    <t>628HVZokcdhqIokmhEZgrr</t>
  </si>
  <si>
    <t>Electrees</t>
  </si>
  <si>
    <t>new age,electrónica,space music,banda sonora</t>
  </si>
  <si>
    <t>3Y6eCU8Xm1OmVSw4OfpxE5</t>
  </si>
  <si>
    <t>Exit</t>
  </si>
  <si>
    <t>5ktmcF720G1gIhCBSVlhnS</t>
  </si>
  <si>
    <t>What You Want</t>
  </si>
  <si>
    <t>new age,electrónica,space music,electroclash</t>
  </si>
  <si>
    <t>3Z6fpDC2cLmgyELDwzF5J8</t>
  </si>
  <si>
    <t>Gisele</t>
  </si>
  <si>
    <t>new age,electrónica,space music,house francés,downtempo</t>
  </si>
  <si>
    <t>5YYjzjQKL32k7pqJmaJRQn</t>
  </si>
  <si>
    <t>Switch on Leon</t>
  </si>
  <si>
    <t>new age,electrónica,space music,idm,ambient</t>
  </si>
  <si>
    <t>0b75URz7q61Tshr9edlaGL</t>
  </si>
  <si>
    <t>Circus</t>
  </si>
  <si>
    <t>new age,electrónica,space music,house francés,electroclash</t>
  </si>
  <si>
    <t>4DPvCWbCytzZI0QMO6t0xf</t>
  </si>
  <si>
    <t>Why This, Why That and Why</t>
  </si>
  <si>
    <t>new age,electrónica,space music,synthpop</t>
  </si>
  <si>
    <t>5Z3U3FbhTtU9nTZddJy2QD</t>
  </si>
  <si>
    <t>The Architect</t>
  </si>
  <si>
    <t>new age,electrónica,space music,techno,minimal techno</t>
  </si>
  <si>
    <t>2N9Es6fUoyHgyqoOFwj96m</t>
  </si>
  <si>
    <t>Swipe to the Right</t>
  </si>
  <si>
    <t>6UxQzqbzPMJsyNiWwMXGsI</t>
  </si>
  <si>
    <t>Walking the Mile</t>
  </si>
  <si>
    <t>new age,electrónica,space music,variété française,chanson,pop francés</t>
  </si>
  <si>
    <t>5dEgib9DAcIWMRRWWxfNFf</t>
  </si>
  <si>
    <t>Falling Down</t>
  </si>
  <si>
    <t>7pxpEfYqCMM4H8tTJUdRwo</t>
  </si>
  <si>
    <t>The Heart of Noise (The Origin)</t>
  </si>
  <si>
    <t>4MAW2YYAqoMvhshsJw2n7Y</t>
  </si>
  <si>
    <t>4FGaQU8rrECcr65tuoasdD</t>
  </si>
  <si>
    <t>Oxygene, Pt. 14</t>
  </si>
  <si>
    <t>Oxygene 3</t>
  </si>
  <si>
    <t>5ko4SXKfxH5P5CBFTK3RKn</t>
  </si>
  <si>
    <t>Oxygene, Pt. 15</t>
  </si>
  <si>
    <t>0mrUxeWQYBI506yBPTFc73</t>
  </si>
  <si>
    <t>Oxygene, Pt. 16</t>
  </si>
  <si>
    <t>00oC1ZmwLhcATZxHjkgk9X</t>
  </si>
  <si>
    <t>Oxygene, Pt. 17</t>
  </si>
  <si>
    <t>0KnjQfcgSpvZ7X5zgKbVdg</t>
  </si>
  <si>
    <t>Oxygene, Pt. 18</t>
  </si>
  <si>
    <t>1yyFs2qjhfFwrBMj5a2fzj</t>
  </si>
  <si>
    <t>Oxygene, Pt. 19</t>
  </si>
  <si>
    <t>1LqUlHY5YWfhTLhcWN0biH</t>
  </si>
  <si>
    <t>Oxygene, Pt. 20</t>
  </si>
  <si>
    <t>4Tc1D9UmpdinoHSAw2ez4Y</t>
  </si>
  <si>
    <t>3i9WNlsgmtOfiluFYLuVqt</t>
  </si>
  <si>
    <t>L'Ouverture - Live</t>
  </si>
  <si>
    <t>Les concerts en Chine 1981 (Live)</t>
  </si>
  <si>
    <t>1CNCPVuomfDW044o3a6Nfh</t>
  </si>
  <si>
    <t>Arpegiateur - Live</t>
  </si>
  <si>
    <t>7GnhfWwkF0mKbS5Zdmkxdk</t>
  </si>
  <si>
    <t>Equinoxe, Pt. 4 - Live</t>
  </si>
  <si>
    <t>2n4hQzVCgUwxIhDU8S8XGL</t>
  </si>
  <si>
    <t>0A2bb4yH6ZYMakXX4beb0E</t>
  </si>
  <si>
    <t>L'Orchestre Sous La Pluie</t>
  </si>
  <si>
    <t>1LiIkt1hMxbMjH1BvWiFHl</t>
  </si>
  <si>
    <t>Equinoxe, Pt. 7 - Live</t>
  </si>
  <si>
    <t>4047wmWRxoxzvvaVIDcNaO</t>
  </si>
  <si>
    <t>Orient Express - Live</t>
  </si>
  <si>
    <t>0TNEDtT4F4rnYXJGjxukWj</t>
  </si>
  <si>
    <t>Chants Magnetiques, Pt. 1 - Live</t>
  </si>
  <si>
    <t>3ZFr5fEyb4fFp9Saae1Wlo</t>
  </si>
  <si>
    <t>Chants Magnetiques, Pt. 3 - Live</t>
  </si>
  <si>
    <t>3GVngD7WxHN16JUFtRyAl5</t>
  </si>
  <si>
    <t>Chants Magnetiques, Pt. 4 - Live</t>
  </si>
  <si>
    <t>1nIwRk3tRopmLdzKnkuXe4</t>
  </si>
  <si>
    <t>Harpe Laser - Live</t>
  </si>
  <si>
    <t>57EBou6lQwEDSuBeRriGDD</t>
  </si>
  <si>
    <t>Nuit A Shanghai - Live</t>
  </si>
  <si>
    <t>5kpKK9pNs2cXt86QeoVDkb</t>
  </si>
  <si>
    <t>6fe1l33l8I1937Suemnmiw</t>
  </si>
  <si>
    <t>Chants Magnetiques, Pt. 2 - Live</t>
  </si>
  <si>
    <t>5UBeEIUrTP2mUrfwWosPvD</t>
  </si>
  <si>
    <t>Souvenir de Chine</t>
  </si>
  <si>
    <t>38Uk3XRsyhqxRHfRyHaBXC</t>
  </si>
  <si>
    <t>Oxygene V - Live</t>
  </si>
  <si>
    <t>Houston / Lyon 1986</t>
  </si>
  <si>
    <t>7zt57sw7RC2QNBsC5uik5x</t>
  </si>
  <si>
    <t>Ethnicolor</t>
  </si>
  <si>
    <t>4jM3POJgBREXcY9CKNxkBo</t>
  </si>
  <si>
    <t>Chants Magnetiques 1</t>
  </si>
  <si>
    <t>6Z30LSk9T1pWxEZuVgILIc</t>
  </si>
  <si>
    <t>Souvenir De Chine</t>
  </si>
  <si>
    <t>3HuZmaUkRksBDXgmZ9a72B</t>
  </si>
  <si>
    <t>5WvucXzTLBDeREzvPou11N</t>
  </si>
  <si>
    <t>Benediction Du Pape</t>
  </si>
  <si>
    <t>5aHExIulrsGr5msDVrsqq1</t>
  </si>
  <si>
    <t>Troisieme Rendez-Vous</t>
  </si>
  <si>
    <t>7DRM1wZW6WqCJFZNYdJXr3</t>
  </si>
  <si>
    <t>Second Rendez-Vous</t>
  </si>
  <si>
    <t>1oU6qIxc3NVRl5LkavfWJc</t>
  </si>
  <si>
    <t>Ron's Piece</t>
  </si>
  <si>
    <t>1HNCdK0pKLsShi49cs5fgs</t>
  </si>
  <si>
    <t>Quatrieme Rendez-Vous</t>
  </si>
  <si>
    <t>7BvOArmaJVIRaDyO1jjyBX</t>
  </si>
  <si>
    <t>Destination Docklands 1988</t>
  </si>
  <si>
    <t>1YcEb3YMX5U3zkOpIs54fr</t>
  </si>
  <si>
    <t>Revolution Industrielle-Ouverture</t>
  </si>
  <si>
    <t>0NoS3PdCUEU84kk5cS0Jnh</t>
  </si>
  <si>
    <t>Revolution Industrielle, Pt. 1-2-3</t>
  </si>
  <si>
    <t>4o13fctGYzFjjVwX5NnYdD</t>
  </si>
  <si>
    <t>Chants magnétiques, Pt. 2</t>
  </si>
  <si>
    <t>3SOENmkGOkQ55VoT3DTAvg</t>
  </si>
  <si>
    <t>2YqHVtid9KfkI5am4Akqf5</t>
  </si>
  <si>
    <t>Computer Week-End</t>
  </si>
  <si>
    <t>24jE2dugUJrEyuzOH8mEI2</t>
  </si>
  <si>
    <t>Revolution</t>
  </si>
  <si>
    <t>2sTOKjhfKHGx3rQ5tLzX3o</t>
  </si>
  <si>
    <t>London Kid</t>
  </si>
  <si>
    <t>2A8MetIc67TIfwAIW29BBc</t>
  </si>
  <si>
    <t>7LZ7sncvFMQmhKbXthTerz</t>
  </si>
  <si>
    <t>4WpcTSjHv1Q8qsCj7XHChI</t>
  </si>
  <si>
    <t>September</t>
  </si>
  <si>
    <t>1Y3sO6KPi7SMpd8HBvqvs2</t>
  </si>
  <si>
    <t>L'Emigrant</t>
  </si>
  <si>
    <t>048UDvWoL3ijmqFiGZni6j</t>
  </si>
  <si>
    <t>THE WATCHERS (movement 1)</t>
  </si>
  <si>
    <t>Equinoxe Infinity</t>
  </si>
  <si>
    <t>05M6zX62Q2k2u7W6NuxLTR</t>
  </si>
  <si>
    <t>FLYING TOTEMS (movement 2)</t>
  </si>
  <si>
    <t>7vQqaXVfyEk7AJvV6PUpss</t>
  </si>
  <si>
    <t>ROBOTS DON'T CRY (movement 3)</t>
  </si>
  <si>
    <t>2OXgn4Yeiwk58MaA46JSSV</t>
  </si>
  <si>
    <t>ALL THAT YOU LEAVE BEHIND (movement 4)</t>
  </si>
  <si>
    <t>2YLprSud8UIMJTVzW6shba</t>
  </si>
  <si>
    <t>IF THE WIND COULD SPEAK (movement 5)</t>
  </si>
  <si>
    <t>4Zzd3w1fGtydVVLkpxRhug</t>
  </si>
  <si>
    <t>INFINITY (movement 6)</t>
  </si>
  <si>
    <t>0kgB70BEoFU5CIddZLU6qD</t>
  </si>
  <si>
    <t>MACHINES ARE LEARNING (movement 7)</t>
  </si>
  <si>
    <t>24CyE6SLG5VS3MoEcRKbmY</t>
  </si>
  <si>
    <t>THE OPENING (movement 8)</t>
  </si>
  <si>
    <t>18adhAArbxmEkdDP3qJOK2</t>
  </si>
  <si>
    <t>DON'T LOOK BACK (movement 9)</t>
  </si>
  <si>
    <t>6VVKI8eTwXeu6Clug8A4O0</t>
  </si>
  <si>
    <t>EQUINOXE INFINITY (movement 10)</t>
  </si>
  <si>
    <t>6AsZMTEqvprlf2fBq5PWr9</t>
  </si>
  <si>
    <t>Continous Mix</t>
  </si>
  <si>
    <t>01zs0b20vuP47FcAemsynb</t>
  </si>
  <si>
    <t>AGORA</t>
  </si>
  <si>
    <t>OXYMORE</t>
  </si>
  <si>
    <t>2D6xpqvtL4KGoHudumtONN</t>
  </si>
  <si>
    <t>6mbTHElaDmrP7NInQvxxxI</t>
  </si>
  <si>
    <t>NEON LIPS</t>
  </si>
  <si>
    <t>5A0EFRaKn1wXyoWzOMoQON</t>
  </si>
  <si>
    <t>SONIC LAND</t>
  </si>
  <si>
    <t>2Clb4qyaRzjQl9E9w8ysSg</t>
  </si>
  <si>
    <t>SYNTHY SISTERS</t>
  </si>
  <si>
    <t>4mRTRLnSrB8b73ix5eWViI</t>
  </si>
  <si>
    <t>ANIMAL GENESIS</t>
  </si>
  <si>
    <t>5fNlhGpZHqIESg8lIY5PuH</t>
  </si>
  <si>
    <t>SEX IN THE MACHINE</t>
  </si>
  <si>
    <t>58btW4EZGiyNxXcbfPhk2d</t>
  </si>
  <si>
    <t>ZEITGEIST</t>
  </si>
  <si>
    <t>28pMCoPPwJZoGrfHDW9FJH</t>
  </si>
  <si>
    <t>CRYSTAL GARDEN</t>
  </si>
  <si>
    <t>2JySZ9ICCsLcdwAuNUGs0V</t>
  </si>
  <si>
    <t>BRUTALISM</t>
  </si>
  <si>
    <t>18vFSvsqDV07MeV0XlE60R</t>
  </si>
  <si>
    <t>EPICA</t>
  </si>
  <si>
    <t>62aj6pzjrfimmXIMWHMYiU</t>
  </si>
  <si>
    <t>Take It Easy on Me</t>
  </si>
  <si>
    <t>2025-02-17T18:07:05Z</t>
  </si>
  <si>
    <t>house francés,disco house</t>
  </si>
  <si>
    <t>Yellow Productions</t>
  </si>
  <si>
    <t>0TP2cAD0rKVqGigB6dAwVv</t>
  </si>
  <si>
    <t>Amora Amor - Sagan Remix</t>
  </si>
  <si>
    <t>Amora Amor (Sagan Remix)</t>
  </si>
  <si>
    <t>house francés,disco house,future house</t>
  </si>
  <si>
    <t>Yellow productions</t>
  </si>
  <si>
    <t>5pmkpXJRA8SKWw641grc6O</t>
  </si>
  <si>
    <t>Kiss My Eyes - Daddy's Groove Rework</t>
  </si>
  <si>
    <t>Kiss My Eyes (Daddy's Groove Rework)</t>
  </si>
  <si>
    <t>house francés,disco house,electro house,house latino,tribal house</t>
  </si>
  <si>
    <t>0Rx9o4cMFrDQommZX3r3UC</t>
  </si>
  <si>
    <t>World Hold On - Soubeiran &amp; Sasson Remix - Edit</t>
  </si>
  <si>
    <t>World Hold On (Soubeiran &amp; Sasson Remix)</t>
  </si>
  <si>
    <t>house francés,disco house,afro house,house melódico</t>
  </si>
  <si>
    <t>1doxuytmXDBTUdYcIT0gCp</t>
  </si>
  <si>
    <t>House Music - Edit</t>
  </si>
  <si>
    <t>Yellow Productions : A French Touch by Bob Sinclar &amp; Dj Yellow Vol. 2</t>
  </si>
  <si>
    <t>5NHejAdLgs0ZGWv1ZBntrh</t>
  </si>
  <si>
    <t>Rock This Party - Crusy Remix Edit</t>
  </si>
  <si>
    <t>Rock This Party (Remixes)</t>
  </si>
  <si>
    <t>house francés,disco house,house latino,tech house,tribal house,bass house,raï</t>
  </si>
  <si>
    <t>6rORCm67WgDgaf69uKkaGy</t>
  </si>
  <si>
    <t>Rock This Party - Andrea Govoni Remix Edit</t>
  </si>
  <si>
    <t>house francés,disco house,raï</t>
  </si>
  <si>
    <t>2toSZyPADIFdkZArAUKUXf</t>
  </si>
  <si>
    <t>Digane - Raphael Afro Vibe Remix</t>
  </si>
  <si>
    <t>Digane (Raphael Afro Vibe Remix)</t>
  </si>
  <si>
    <t>house francés,disco house,afro house</t>
  </si>
  <si>
    <t>0XNmVc3Q1wVIgY4hRAYaTv</t>
  </si>
  <si>
    <t>Love Generation - Reimagined</t>
  </si>
  <si>
    <t>Love Generation (Reimagined)</t>
  </si>
  <si>
    <t>house francés,disco house,afro house,house melódico,tribal house,gqom,deep house,amapiano</t>
  </si>
  <si>
    <t>2jRH7jNpx7kqTHLyay4Fhe</t>
  </si>
  <si>
    <t>Digane</t>
  </si>
  <si>
    <t>7EWrl2CNImybsSwWAhVhXJ</t>
  </si>
  <si>
    <t>Lonely in LA</t>
  </si>
  <si>
    <t>Yellow Productions : A French Touch by Bob Sinclar &amp; Dj Yellow Vol. 1</t>
  </si>
  <si>
    <t>Bob Sinclar</t>
  </si>
  <si>
    <t>689ghDMwOpD5J4t0NjjJtm</t>
  </si>
  <si>
    <t>Summer Moon - Eran Hersh &amp; Stadiumx Remix - Edit</t>
  </si>
  <si>
    <t>Summer Moon Remix</t>
  </si>
  <si>
    <t>house francés,tribal house,house latino,afro house,house melódico,house orgánico,house progresivo,future house,edm,disco house,dance,electro house,funky house</t>
  </si>
  <si>
    <t>6kTwzV93qpcovlRPmBOXmn</t>
  </si>
  <si>
    <t>World Hold On (Children Of The Sky) - FISHER Rework</t>
  </si>
  <si>
    <t>World Hold On (Children Of The Sky) [FISHER Rework]</t>
  </si>
  <si>
    <t>house francés,disco house,tech house,house,techno</t>
  </si>
  <si>
    <t>5qiIxojpo8YTFgOOcDuOaB</t>
  </si>
  <si>
    <t>Rock This Party (Everybody Dance Now)</t>
  </si>
  <si>
    <t>7iee007QypdrTXbLVF5KuF</t>
  </si>
  <si>
    <t>Love Generation - Edit</t>
  </si>
  <si>
    <t>Love Generation (Edit)</t>
  </si>
  <si>
    <t>6mXnVOmZxvtvZgyS3h36qe</t>
  </si>
  <si>
    <t>Summer Moon - Edit</t>
  </si>
  <si>
    <t>Africanism Vol. 3</t>
  </si>
  <si>
    <t>house francés,tribal house,house latino,afro house,disco house,edm,dance,electro house,funky house</t>
  </si>
  <si>
    <t>4DgPcCPpxVN28ZOQBZBhu4</t>
  </si>
  <si>
    <t>Gym tonic - Original</t>
  </si>
  <si>
    <t>Paradise</t>
  </si>
  <si>
    <t>3zAU6cqXVFTzz1Yvnw87x1</t>
  </si>
  <si>
    <t>I feel for you - Original</t>
  </si>
  <si>
    <t>Champs elysées</t>
  </si>
  <si>
    <t>5EVquFfVz4vXEqNniCZ4yE</t>
  </si>
  <si>
    <t>Digane - RE\MIND Remix</t>
  </si>
  <si>
    <t>Digane EP</t>
  </si>
  <si>
    <t>house francés,disco house,afro house,house melódico,techno melódico</t>
  </si>
  <si>
    <t>3m5WQZeRfYjm0KlvXqOOX8</t>
  </si>
  <si>
    <t>Far l'amore</t>
  </si>
  <si>
    <t>Disco Crash</t>
  </si>
  <si>
    <t>1ImL7WO6LCqlYsF9D4k9NR</t>
  </si>
  <si>
    <t>The Beat Goes On - Radio Edit</t>
  </si>
  <si>
    <t>The Beat Goes On</t>
  </si>
  <si>
    <t>33RI8pn4JrOLUE70jo2vJb</t>
  </si>
  <si>
    <t>Mathar</t>
  </si>
  <si>
    <t>house francés,tribal house,house latino,afro house,disco house</t>
  </si>
  <si>
    <t>3HGwI9qwq5XqBDeZBV3zti</t>
  </si>
  <si>
    <t>World Hold On (Children of the Sky) - Radio Edit</t>
  </si>
  <si>
    <t>World Hold On (Children of the Sky) [Radio Edit]</t>
  </si>
  <si>
    <t>0oBUOlD8XPyRNmVOqkv7QA</t>
  </si>
  <si>
    <t>Adore</t>
  </si>
  <si>
    <t>4VJsBxqe4axxwAjbpLVj71</t>
  </si>
  <si>
    <t>My only love - Original</t>
  </si>
  <si>
    <t>6cfL3qmvIsS3ZsVQff2nvw</t>
  </si>
  <si>
    <t>Digane - Dual Beat Sunset Cut Mix</t>
  </si>
  <si>
    <t>house francés,disco house,afro house,house latino,tribal house</t>
  </si>
  <si>
    <t>2sTEiEN6OTO9Xi7ZE2DFs0</t>
  </si>
  <si>
    <t>Save Our Soul - Rework 2021</t>
  </si>
  <si>
    <t>Save Our Soul (Rework 2021)</t>
  </si>
  <si>
    <t>4HlO5c4GMMRayf1tumQeuP</t>
  </si>
  <si>
    <t>Kiss my eyes - Original</t>
  </si>
  <si>
    <t>III</t>
  </si>
  <si>
    <t>5Dsu3qDOH9KPYbgfCXbi1R</t>
  </si>
  <si>
    <t>Ultimate funk - Original</t>
  </si>
  <si>
    <t>4Na0IHAbrCfM67CUZwjvD4</t>
  </si>
  <si>
    <t>Darlin' - Original</t>
  </si>
  <si>
    <t>3RqR44ne7N3ORaviV3TZl5</t>
  </si>
  <si>
    <t>Get into the music - Original</t>
  </si>
  <si>
    <t>4ufD4x1aqaOBfr8XwdwYjK</t>
  </si>
  <si>
    <t>Back Again - Original Mix</t>
  </si>
  <si>
    <t>Back Again</t>
  </si>
  <si>
    <t>Toolroom</t>
  </si>
  <si>
    <t>77Ew0wYIc8b2x7LMR8aXSK</t>
  </si>
  <si>
    <t>I Believe - Inpetto Remix</t>
  </si>
  <si>
    <t>I Believe (Inpetto Remix)</t>
  </si>
  <si>
    <t>Columbia/B1 Recordings</t>
  </si>
  <si>
    <t>2uukIpWhy3xuVUqszUriov</t>
  </si>
  <si>
    <t>Burning</t>
  </si>
  <si>
    <t>Spinnin' Records</t>
  </si>
  <si>
    <t>7c53MoaEd6aRU7omlRnKgP</t>
  </si>
  <si>
    <t>What I Want</t>
  </si>
  <si>
    <t>Soundz of Freedom (My Ultimate Summer of Love Mix)</t>
  </si>
  <si>
    <t>45dPJAvkEEP0KgB9V8efoI</t>
  </si>
  <si>
    <t>Rock the Boat</t>
  </si>
  <si>
    <t>house francés,disco house,funky house</t>
  </si>
  <si>
    <t>0QBsRtRPoEvBssTHpepcup</t>
  </si>
  <si>
    <t>Sound of Freedom</t>
  </si>
  <si>
    <t>3Mq2LmVDCGzlonbl8FwVuC</t>
  </si>
  <si>
    <t>New New New</t>
  </si>
  <si>
    <t>Born in 69</t>
  </si>
  <si>
    <t>house francés,disco house,reggae,lovers rock,ragga,roots reggae,dancehall,riddim</t>
  </si>
  <si>
    <t>7ATiYC8dVEalousSwTsv7L</t>
  </si>
  <si>
    <t>Tik Tok</t>
  </si>
  <si>
    <t>house francés,disco house,dancehall</t>
  </si>
  <si>
    <t>367BbT7Cg2xZLv5redErC9</t>
  </si>
  <si>
    <t>We Could Be Dancing (feat. Molly Hammar)</t>
  </si>
  <si>
    <t>39rCjMwNSGk7xeJ1zZRzuX</t>
  </si>
  <si>
    <t>Cinderella (She Said Her Name) - Radio Edit</t>
  </si>
  <si>
    <t>Cinderella (She Said Her Name)</t>
  </si>
  <si>
    <t>5PcmvoBshN5YfFmU4uSXwd</t>
  </si>
  <si>
    <t>Ti Sento</t>
  </si>
  <si>
    <t>house francés,disco house,italo dance,disco italiana</t>
  </si>
  <si>
    <t>Time Records</t>
  </si>
  <si>
    <t>4eB54t0RNCDdTwN6o3mlfk</t>
  </si>
  <si>
    <t>Til the Sun Rise Up (feat. Akon)</t>
  </si>
  <si>
    <t>Til The Sun Rise Up (feat. Akon)</t>
  </si>
  <si>
    <t>Big Beat Records</t>
  </si>
  <si>
    <t>7hJU6SBf0imF3QN52KUM4o</t>
  </si>
  <si>
    <t>Borderline</t>
  </si>
  <si>
    <t>7oNT84XA7GAxohEKbTGDMZ</t>
  </si>
  <si>
    <t>Never Knew Love Like This Before</t>
  </si>
  <si>
    <t>33j07i11MnfbGKgeD5Gb1u</t>
  </si>
  <si>
    <t>Together</t>
  </si>
  <si>
    <t>7sZdfV1hHSNlwPuRuWA7C9</t>
  </si>
  <si>
    <t>Rainbow of Love - Original Radio Edit</t>
  </si>
  <si>
    <t>Rainbow of Love</t>
  </si>
  <si>
    <t>1CldwIerGmuHqAVeEcT5Rx</t>
  </si>
  <si>
    <t>Romantico Starlight (feat. Robbie Williams)</t>
  </si>
  <si>
    <t>179y9mW20MmpQNc53F60tQ</t>
  </si>
  <si>
    <t>The Ghetto - Ian Pooley's Paradisiaque Mix</t>
  </si>
  <si>
    <t>Paradise (Remixed)</t>
  </si>
  <si>
    <t>40UK41z8wyc2Qb0v03L0IG</t>
  </si>
  <si>
    <t>Save our soul - Original</t>
  </si>
  <si>
    <t>0KRhwcMAkFXglWz58wPBrn</t>
  </si>
  <si>
    <t>Capoeira Mata Um (Zum Zum Zum) - Tom Staar Remix</t>
  </si>
  <si>
    <t>Capoeira Mata Um (Zum Zum Zum) Remixes</t>
  </si>
  <si>
    <t>house francés,disco house,tribal house,house latino</t>
  </si>
  <si>
    <t>13BZ9kfuEhkNmlTKky1Chj</t>
  </si>
  <si>
    <t>Lala Song - Original Radio Edit</t>
  </si>
  <si>
    <t>Lala Song</t>
  </si>
  <si>
    <t>5Rgp3AE86uNhsmHJ40PwVF</t>
  </si>
  <si>
    <t>Vision Of Paradise - Riva Starr Remix</t>
  </si>
  <si>
    <t>Vision Of Paradise (Riva Starr Remix)</t>
  </si>
  <si>
    <t>house francés,disco house,tech house,house</t>
  </si>
  <si>
    <t>3XP8GMDnfqknsCtzzte9t3</t>
  </si>
  <si>
    <t>I Feel for You - Mercer Remix</t>
  </si>
  <si>
    <t>I Feel for You (Mercer Remix)</t>
  </si>
  <si>
    <t>56ggEwgh0zcUaXAJbQz6Xo</t>
  </si>
  <si>
    <t>What A Wonderful World - Greg Cerrone Remix</t>
  </si>
  <si>
    <t>What A Wonderful World (Greg Cerrone Remix)</t>
  </si>
  <si>
    <t>house francés,disco house,edm,house progresivo</t>
  </si>
  <si>
    <t>0OxSxzKSExGSjbnsth0dm4</t>
  </si>
  <si>
    <t>Give a Lil' Love</t>
  </si>
  <si>
    <t>Western Dream</t>
  </si>
  <si>
    <t>6fU55C7VdMSSkJ0ZGmX2Kg</t>
  </si>
  <si>
    <t>Tequila - Jax Jones &amp; Martin Solveig Present Europa</t>
  </si>
  <si>
    <t>Snacks (Supersize)</t>
  </si>
  <si>
    <t>2025-02-17T18:07:32Z</t>
  </si>
  <si>
    <t>house francés</t>
  </si>
  <si>
    <t>Polydor Records</t>
  </si>
  <si>
    <t>6O85MfGECKBqAK2MgSbCaj</t>
  </si>
  <si>
    <t>Places</t>
  </si>
  <si>
    <t>house francés,pop noruego</t>
  </si>
  <si>
    <t>4jay2G7QI61dlPd8qKy5BP</t>
  </si>
  <si>
    <t>Hey Now (feat. Kyle) - Single Mix</t>
  </si>
  <si>
    <t>Hey Now (feat. Kyle)</t>
  </si>
  <si>
    <t>Relentless Records</t>
  </si>
  <si>
    <t>3aLSrx8qhssXrh5yjB6oy9</t>
  </si>
  <si>
    <t>All Stars</t>
  </si>
  <si>
    <t>7pZ00FeIkpuzHskuDWQnU5</t>
  </si>
  <si>
    <t>My Love</t>
  </si>
  <si>
    <t>Martin Solveig</t>
  </si>
  <si>
    <t>767AsV1cQwmOU4PJG96MzO</t>
  </si>
  <si>
    <t>Do It Right</t>
  </si>
  <si>
    <t>house francés,r&amp;b alternativo</t>
  </si>
  <si>
    <t>49aLCvvEKM5EA8IYwDmtaE</t>
  </si>
  <si>
    <t>Intoxicated - Radio Edit</t>
  </si>
  <si>
    <t>Intoxicated (Radio Edit)</t>
  </si>
  <si>
    <t>Virgin</t>
  </si>
  <si>
    <t>4FFgTmTBIYtkgbglR28hcR</t>
  </si>
  <si>
    <t>No Lie</t>
  </si>
  <si>
    <t>1CRy08G60mS5jvhB27xMpS</t>
  </si>
  <si>
    <t>Juliet &amp; Romeo</t>
  </si>
  <si>
    <t>Positiva</t>
  </si>
  <si>
    <t>0LOx1VdHtAL8dl49kQik4i</t>
  </si>
  <si>
    <t>+1 (Radio Edit)</t>
  </si>
  <si>
    <t>73TCSu9lIBosJX5QpL6T2n</t>
  </si>
  <si>
    <t>Hello - Radio Edit</t>
  </si>
  <si>
    <t>Kontor Records</t>
  </si>
  <si>
    <t>0JUa73C2r5beBMhy9NXX1E</t>
  </si>
  <si>
    <t>The Night Out - Madeon Remix</t>
  </si>
  <si>
    <t>The Night Out EP</t>
  </si>
  <si>
    <t>Big Beat Records/Atlantic</t>
  </si>
  <si>
    <t>5Im1YuHHVqyOs1lx6K517X</t>
  </si>
  <si>
    <t>Never Be Like You - Martin Solveig Remix</t>
  </si>
  <si>
    <t>Skin: The Remixes</t>
  </si>
  <si>
    <t>future bass,house francés</t>
  </si>
  <si>
    <t>Transgressive</t>
  </si>
  <si>
    <t>3doQLOpEgZKAQL2GIPR9Bg</t>
  </si>
  <si>
    <t>Let's not play Games</t>
  </si>
  <si>
    <t>Smash (Deluxe Version)</t>
  </si>
  <si>
    <t>48jF98ZchEUimJtaKJplZk</t>
  </si>
  <si>
    <t>Blow - Radio Edit</t>
  </si>
  <si>
    <t>Blow</t>
  </si>
  <si>
    <t>house francés,big room,electro house</t>
  </si>
  <si>
    <t>Mixture</t>
  </si>
  <si>
    <t>3YHs6pQ8w1BTSRWdBjeQBN</t>
  </si>
  <si>
    <t>Ready 2 Go - Single Edit</t>
  </si>
  <si>
    <t>Ready 2 Go</t>
  </si>
  <si>
    <t>All Around The World</t>
  </si>
  <si>
    <t>33CfD8UkDEcSdAP9j4QpUY</t>
  </si>
  <si>
    <t>All Day And Night</t>
  </si>
  <si>
    <t>All Day And Night (Jax Jones &amp; Martin Solveig Present Europa)</t>
  </si>
  <si>
    <t>0bdBYIxW8tEcNw885Qr53b</t>
  </si>
  <si>
    <t>1234 (feat. Chuckie &amp; Martin Solveig) - Original Mix</t>
  </si>
  <si>
    <t>1234 (feat. Chuckie &amp; Martin Solveig)</t>
  </si>
  <si>
    <t>big room,electro house,melbourne bounce,house francés</t>
  </si>
  <si>
    <t>Mixmash Records</t>
  </si>
  <si>
    <t>4l2saDd5DUBLbBbnvbP9Jl</t>
  </si>
  <si>
    <t>Cabo Parano - Main Mix</t>
  </si>
  <si>
    <t>Timeless Vol. 1</t>
  </si>
  <si>
    <t>Vega Records</t>
  </si>
  <si>
    <t>5dPWNdVX5k1CSfPAyT2Kth</t>
  </si>
  <si>
    <t>Big In Japan</t>
  </si>
  <si>
    <t>house francés,anime</t>
  </si>
  <si>
    <t>7wW3P4NjQqV3IgeZavPImG</t>
  </si>
  <si>
    <t>Boys &amp; Girls - Original Edit</t>
  </si>
  <si>
    <t>Boys &amp; Girls</t>
  </si>
  <si>
    <t>5jHO3Elq0qeJaC7v4K1jmt</t>
  </si>
  <si>
    <t>Rocking Music (Radio Edit)</t>
  </si>
  <si>
    <t>Rocking Music</t>
  </si>
  <si>
    <t>Mixture Classics</t>
  </si>
  <si>
    <t>257ftWS6FQYbpJlZyZ1y89</t>
  </si>
  <si>
    <t>Jealousy (Radio Edit)</t>
  </si>
  <si>
    <t>Jealousy</t>
  </si>
  <si>
    <t>6KB39k2DejOxaIxOp5qwji</t>
  </si>
  <si>
    <t>Edony - Clap your Hands</t>
  </si>
  <si>
    <t>Africanism</t>
  </si>
  <si>
    <t>house francés,flamenco</t>
  </si>
  <si>
    <t>3HVAItEuqhLrySlDektIO9</t>
  </si>
  <si>
    <t>Can't Stop</t>
  </si>
  <si>
    <t>22sEwXJU8SnbdzojgfdO3Q</t>
  </si>
  <si>
    <t>Linda</t>
  </si>
  <si>
    <t>Sur La Terre</t>
  </si>
  <si>
    <t>0IhTEIjFaRt3B2NQYf9azQ</t>
  </si>
  <si>
    <t>Thing for You (with Martin Solveig)</t>
  </si>
  <si>
    <t>Thing For You (With Martin Solveig)</t>
  </si>
  <si>
    <t>edm,dance,house francés</t>
  </si>
  <si>
    <t>5naYe7rLMZcLfO1DKg48MK</t>
  </si>
  <si>
    <t>Snacks</t>
  </si>
  <si>
    <t>0LtKw37CYqXqsRF9pyDGGx</t>
  </si>
  <si>
    <t>Thing for You - David Guetta Remix</t>
  </si>
  <si>
    <t>Thing For You (David Guetta Remix)</t>
  </si>
  <si>
    <t>3aQ9MHkMeL7Yu7jpyF62xn</t>
  </si>
  <si>
    <t>Neverender</t>
  </si>
  <si>
    <t>Hyperdrama</t>
  </si>
  <si>
    <t>2025-02-17T18:07:53Z</t>
  </si>
  <si>
    <t>house francés,new rave,rock electrónico,indie,pop psicodélico</t>
  </si>
  <si>
    <t>5lhIY0YgH7JhszpQNUC1dm</t>
  </si>
  <si>
    <t>The End</t>
  </si>
  <si>
    <t>house francés,new rave,rock electrónico</t>
  </si>
  <si>
    <t>4sF1MqAGu6HKx2Ggw20Xn4</t>
  </si>
  <si>
    <t>Generator</t>
  </si>
  <si>
    <t>Justice</t>
  </si>
  <si>
    <t>2Oidi4pAbR9X81PBaV71N8</t>
  </si>
  <si>
    <t>One Night/All Night</t>
  </si>
  <si>
    <t>4IsbtqsROVspyi7kzh3Vkx</t>
  </si>
  <si>
    <t>Afterimage</t>
  </si>
  <si>
    <t>house francés,new rave,rock electrónico,r&amp;b alternativo,neo soul</t>
  </si>
  <si>
    <t>7sgHtLlsrOSRUPlYhGkPDD</t>
  </si>
  <si>
    <t>Dear Alan</t>
  </si>
  <si>
    <t>2hgJytc4y91EjqJ1LHXqDz</t>
  </si>
  <si>
    <t>4csm3bIilOko37LEVW1v8P</t>
  </si>
  <si>
    <t>Mannequin Love</t>
  </si>
  <si>
    <t>48cyBWVdq8n5sZ6G8qghOJ</t>
  </si>
  <si>
    <t>Moonlight Rendez-vous</t>
  </si>
  <si>
    <t>2L4XgrYkmihRb0wNLe2qUu</t>
  </si>
  <si>
    <t>Explorer</t>
  </si>
  <si>
    <t>house francés,new rave,rock electrónico,pop psicodélico</t>
  </si>
  <si>
    <t>5Jhp7Fbg1hmJ0WZlEYoVf3</t>
  </si>
  <si>
    <t>Muscle Memory</t>
  </si>
  <si>
    <t>5Uk1huyqQjCVocc70bgTUF</t>
  </si>
  <si>
    <t>Harpy dream</t>
  </si>
  <si>
    <t>0pKV7fa9uYAEcYmNkk6Pld</t>
  </si>
  <si>
    <t>Saturnine</t>
  </si>
  <si>
    <t>house francés,new rave,rock electrónico,r&amp;b</t>
  </si>
  <si>
    <t>33yAEqzKXexYM3WlOYtTfQ</t>
  </si>
  <si>
    <t>D.A.N.C.E</t>
  </si>
  <si>
    <t>Ed Banger Records</t>
  </si>
  <si>
    <t>3qVsBGUBYC7bfV5Pul6HWM</t>
  </si>
  <si>
    <t>Cross</t>
  </si>
  <si>
    <t>Ed Banger Records / Because Music</t>
  </si>
  <si>
    <t>49ErwcBYfYRPNBdRuPvpYA</t>
  </si>
  <si>
    <t>We Are Your Friends - Justice Vs Simian</t>
  </si>
  <si>
    <t>We Are Your Friends</t>
  </si>
  <si>
    <t>Ten Records</t>
  </si>
  <si>
    <t>26NQzsYvTbSutlj2i4ILXW</t>
  </si>
  <si>
    <t>Safe and Sound</t>
  </si>
  <si>
    <t>Woman</t>
  </si>
  <si>
    <t>Because Music/WMI</t>
  </si>
  <si>
    <t>64wvOif8vaAbkfU3x5KUVs</t>
  </si>
  <si>
    <t>Civilization</t>
  </si>
  <si>
    <t>5BACZadGU5u08HCtlP0JOC</t>
  </si>
  <si>
    <t>On'n'On</t>
  </si>
  <si>
    <t>Audio, Video, Disco.</t>
  </si>
  <si>
    <t>0HfnwR7f9RGZ6H3hg3fEMu</t>
  </si>
  <si>
    <t>Phantom Pt. II</t>
  </si>
  <si>
    <t>69M2K57uFNovg9S5XdVRiZ</t>
  </si>
  <si>
    <t>New Lands</t>
  </si>
  <si>
    <t>0WQbCSbujb6bSPVENrWYrl</t>
  </si>
  <si>
    <t>Stop</t>
  </si>
  <si>
    <t>5cOKKOFgMhjZaOT5qvnagi</t>
  </si>
  <si>
    <t>Randy</t>
  </si>
  <si>
    <t>57QoP2UP5AtmqSmrwcj0r6</t>
  </si>
  <si>
    <t>DVNO</t>
  </si>
  <si>
    <t>2CPnSfkS5EhJzKvAQgIyaz</t>
  </si>
  <si>
    <t>Fire</t>
  </si>
  <si>
    <t>6AxPSKRlKIZEItFu5IjP11</t>
  </si>
  <si>
    <t>Stress</t>
  </si>
  <si>
    <t>0AsWm6xS5rhejl5GqhO1GP</t>
  </si>
  <si>
    <t>Waters Of Nazareth</t>
  </si>
  <si>
    <t>2weNFSRqkClXtfBPTteafY</t>
  </si>
  <si>
    <t>Phantom</t>
  </si>
  <si>
    <t>1z4835vzYgbtb26uRWpGhq</t>
  </si>
  <si>
    <t>The Party</t>
  </si>
  <si>
    <t>7LG6dQGMIDFKV1SazzWGjK</t>
  </si>
  <si>
    <t>Let There Be Light</t>
  </si>
  <si>
    <t>3tSHe7snfqAjavH74QtbQl</t>
  </si>
  <si>
    <t>D.A.N.C.E. - Demo</t>
  </si>
  <si>
    <t>D.A.N.C.E. (Extended)</t>
  </si>
  <si>
    <t>0ma6IAmnvlik8oxgf8HUQg</t>
  </si>
  <si>
    <t>Alakazam !</t>
  </si>
  <si>
    <t>7HHOdafzGMkXhwbdLGaNDp</t>
  </si>
  <si>
    <t>0N6BmMvOpSwfnaYLqDO2JE</t>
  </si>
  <si>
    <t>Helix</t>
  </si>
  <si>
    <t>64KZZUapCQHba7jibt5yYQ</t>
  </si>
  <si>
    <t>Newjack</t>
  </si>
  <si>
    <t>19ts4uqOimLvSbu4DyOWE2</t>
  </si>
  <si>
    <t>Pleasure</t>
  </si>
  <si>
    <t>5Q6OXP4UlS1stbtGfBLZ9I</t>
  </si>
  <si>
    <t>Valentine</t>
  </si>
  <si>
    <t>4RWp46k6W4T1SISIuzgpH1</t>
  </si>
  <si>
    <t>Horsepower</t>
  </si>
  <si>
    <t>6R0o9mEwZsYtqZsQrXYVOO</t>
  </si>
  <si>
    <t>One Minute To Midnight</t>
  </si>
  <si>
    <t>5GsdNmkpAbtZnUt5VxtbHm</t>
  </si>
  <si>
    <t>Canon</t>
  </si>
  <si>
    <t>3K3gJEbDUQPUIhw15MytrL</t>
  </si>
  <si>
    <t>Love S.O.S</t>
  </si>
  <si>
    <t>17H905JnTq4srwp8R00qD2</t>
  </si>
  <si>
    <t>Ohio</t>
  </si>
  <si>
    <t>621W0YFtYurfPC6hwvmWgc</t>
  </si>
  <si>
    <t>1XkvKjUQUvNgLXKFfk8tBZ</t>
  </si>
  <si>
    <t>Force majeure</t>
  </si>
  <si>
    <t>Escapades</t>
  </si>
  <si>
    <t>18IARgL5t0TkfCvARd8Ndn</t>
  </si>
  <si>
    <t>Planisphere</t>
  </si>
  <si>
    <t>6XDFFeinPXgy3auyC7huoC</t>
  </si>
  <si>
    <t>Intro</t>
  </si>
  <si>
    <t>Hurry Up, We're Dreaming</t>
  </si>
  <si>
    <t>M83</t>
  </si>
  <si>
    <t>2025-02-17T18:09:27Z</t>
  </si>
  <si>
    <t>indietronica</t>
  </si>
  <si>
    <t>Mute</t>
  </si>
  <si>
    <t>1eyzqe2QqGZUmfcPZtrIyt</t>
  </si>
  <si>
    <t>Midnight City</t>
  </si>
  <si>
    <t>7zZkPiqHnL7icGGb4Almf6</t>
  </si>
  <si>
    <t>5cF3UVkFX8k9WZP4TyscYi</t>
  </si>
  <si>
    <t>Where The Boats Go</t>
  </si>
  <si>
    <t>3rTnGUeDrnZV22DvRuUuXr</t>
  </si>
  <si>
    <t>Wait</t>
  </si>
  <si>
    <t>0SeMmdPt7Ksu1fIAgnPIOG</t>
  </si>
  <si>
    <t>Raconte-Moi Une Histoire</t>
  </si>
  <si>
    <t>5ovJD4orq3aCbJnQHMwKmt</t>
  </si>
  <si>
    <t>Train To Pluton</t>
  </si>
  <si>
    <t>2OYMcth0dXHv5qcoli4HPv</t>
  </si>
  <si>
    <t>Claudia Lewis</t>
  </si>
  <si>
    <t>1oesncxikaS73FcSGECZep</t>
  </si>
  <si>
    <t>This Bright Flash</t>
  </si>
  <si>
    <t>0ILPnIuTZ2TJ8pbYxmOHzF</t>
  </si>
  <si>
    <t>When Will You Come Home?</t>
  </si>
  <si>
    <t>11GXRfMCSD2wdwgEXXEEc4</t>
  </si>
  <si>
    <t>Soon, My Friend</t>
  </si>
  <si>
    <t>1Fwj0wThn3kTg8D7KgWdsU</t>
  </si>
  <si>
    <t>My Tears Are Becoming A Sea</t>
  </si>
  <si>
    <t>6GdbwI8ytDROXDv1G7p34o</t>
  </si>
  <si>
    <t>New Map</t>
  </si>
  <si>
    <t>0xAOmpRlrqsr0afkC3NzVU</t>
  </si>
  <si>
    <t>Ok Pal</t>
  </si>
  <si>
    <t>1XVO06yjToSOSTTaL6YqV5</t>
  </si>
  <si>
    <t>Another Wave From You</t>
  </si>
  <si>
    <t>0NOQxyVgo8javoH9H4wvU7</t>
  </si>
  <si>
    <t>Splendor</t>
  </si>
  <si>
    <t>6QOfkcfdrEZ2nwi5R9KJTK</t>
  </si>
  <si>
    <t>Year One, One Ufo</t>
  </si>
  <si>
    <t>4S1TcxIV42zhABqofPxsvN</t>
  </si>
  <si>
    <t>Fountains</t>
  </si>
  <si>
    <t>5iXWkUMZYRZADokxXnniYt</t>
  </si>
  <si>
    <t>Steve McQueen</t>
  </si>
  <si>
    <t>5jWvCQXM7plS3T9FAAeBCR</t>
  </si>
  <si>
    <t>Echoes Of Mine</t>
  </si>
  <si>
    <t>4XeX53Xs0zZRLGwIm45aDf</t>
  </si>
  <si>
    <t>Klaus I Love You</t>
  </si>
  <si>
    <t>2QVmiA93GVhWNTWQctyY1K</t>
  </si>
  <si>
    <t>Outro</t>
  </si>
  <si>
    <t>6GyFP1nfCDB8lbD2bG0Hq9</t>
  </si>
  <si>
    <t>Hurry up, We're Dreaming</t>
  </si>
  <si>
    <t>2025-02-17T18:09:42Z</t>
  </si>
  <si>
    <t>M83 Recording Inc</t>
  </si>
  <si>
    <t>6RK3IsiUW6YaSMEodbO4tk</t>
  </si>
  <si>
    <t>Solitude - Felsmann + Tiley Reinterpretation</t>
  </si>
  <si>
    <t>Solitude (Felsmann + Tiley Reinterpretation)</t>
  </si>
  <si>
    <t>naïve</t>
  </si>
  <si>
    <t>1mshGixz5e5ZXIUmeaDnWd</t>
  </si>
  <si>
    <t>Wait - Kygo Remix (2024 Edit)</t>
  </si>
  <si>
    <t>KYGO</t>
  </si>
  <si>
    <t>tropical house,indietronica</t>
  </si>
  <si>
    <t>Kygo/RCA Records</t>
  </si>
  <si>
    <t>79npfYK6N5RnBc1jiaoHCr</t>
  </si>
  <si>
    <t>Oblivion</t>
  </si>
  <si>
    <t>Oblivion (Original Motion Picture Soundtrack)</t>
  </si>
  <si>
    <t>indietronica,pop noruego,art pop</t>
  </si>
  <si>
    <t>Back Lot Music</t>
  </si>
  <si>
    <t>1s9i7W8zx7Nxx78MUIsvjV</t>
  </si>
  <si>
    <t>2SPEvXfbe2LGBlvYKKAvVC</t>
  </si>
  <si>
    <t>Adieux</t>
  </si>
  <si>
    <t>Les rencontres d'après minuit / You and the Night (Original Motion Picture Soundtrack)</t>
  </si>
  <si>
    <t>1na2MOlie83rN9sTNRuEOj</t>
  </si>
  <si>
    <t>I Need You</t>
  </si>
  <si>
    <t>Divergent: Original Motion Picture Soundtrack</t>
  </si>
  <si>
    <t>Lionsgate/Divergent Score</t>
  </si>
  <si>
    <t>0v9Ud7xm4hiYEFu5nKcYzC</t>
  </si>
  <si>
    <t>StarWaves</t>
  </si>
  <si>
    <t>indietronica,banda sonora</t>
  </si>
  <si>
    <t>01Q3OyB05mLgH01fpdAMPP</t>
  </si>
  <si>
    <t>18mNRyfNGQvVfwTJo27sNR</t>
  </si>
  <si>
    <t>Go!</t>
  </si>
  <si>
    <t>Junk</t>
  </si>
  <si>
    <t>0FoSiffuAmaJ3VyPaebY6I</t>
  </si>
  <si>
    <t>Midnight City - Eric Prydz Private Remix</t>
  </si>
  <si>
    <t>Midnight City (Eric Prydz Private Remix)</t>
  </si>
  <si>
    <t>5enkqK9P5NU5SofFUOl9e6</t>
  </si>
  <si>
    <t>Waking Up</t>
  </si>
  <si>
    <t>08wnOyN1wyMaNrup3m353f</t>
  </si>
  <si>
    <t>My Tears Are Becoming a Sea</t>
  </si>
  <si>
    <t>7DzQAoFm8oJIZjXXif6mcn</t>
  </si>
  <si>
    <t>Do It, Try It</t>
  </si>
  <si>
    <t>2s8q3MEyTXW7wZjmXkDxDW</t>
  </si>
  <si>
    <t>We Own the Sky</t>
  </si>
  <si>
    <t>Saturdays = Youth</t>
  </si>
  <si>
    <t>6TXjm95ccVAvzv6QeW1Z1j</t>
  </si>
  <si>
    <t>Fearful Odds</t>
  </si>
  <si>
    <t>6vi4I2vZkN5mDePmVSSVTq</t>
  </si>
  <si>
    <t>3EWHIBw5UYb88fOZQOTSMs</t>
  </si>
  <si>
    <t>Holograms</t>
  </si>
  <si>
    <t>0z2seOlqPfp4Mgoerkwl0i</t>
  </si>
  <si>
    <t>I Guess I'm Floating</t>
  </si>
  <si>
    <t>Before the Dawn Heals Us</t>
  </si>
  <si>
    <t>Naive</t>
  </si>
  <si>
    <t>23hwmf8pb3L5ZP5c9AU8hn</t>
  </si>
  <si>
    <t>Jack's Dream</t>
  </si>
  <si>
    <t>1wDmpfDEpw9DJhGShl072X</t>
  </si>
  <si>
    <t>Where the Boats Go</t>
  </si>
  <si>
    <t>0m6pHsgfp0w35w1mEOVepJ</t>
  </si>
  <si>
    <t>Insurgent (Original Motion Picture Soundtrack)</t>
  </si>
  <si>
    <t>UMGRI Interscope</t>
  </si>
  <si>
    <t>6ZzItbgnMdQ0cKFy4lFV7A</t>
  </si>
  <si>
    <t>Un nouveau soleil</t>
  </si>
  <si>
    <t>1ztl4JF98F6Q3qBDYcbsuf</t>
  </si>
  <si>
    <t>I'm Sending You Away</t>
  </si>
  <si>
    <t>6iyUPiRoHqlKOR94xSQYfq</t>
  </si>
  <si>
    <t>Tu m'as tuée</t>
  </si>
  <si>
    <t>Knife + Heart (Original Soundtrack)</t>
  </si>
  <si>
    <t>6T0dHDN1lPn5jamdHlWypt</t>
  </si>
  <si>
    <t>Kim &amp; Jessie</t>
  </si>
  <si>
    <t>1rlZtficvzdcOpY9ujHb9X</t>
  </si>
  <si>
    <t>Slight Night Shiver</t>
  </si>
  <si>
    <t>00s77x3CO21IhBAsGndnqM</t>
  </si>
  <si>
    <t>Us And The Rest</t>
  </si>
  <si>
    <t>Fantasy</t>
  </si>
  <si>
    <t>Virgin Music FR LAS (S&amp;D)</t>
  </si>
  <si>
    <t>1ZdpLzCg0IqieNn2NwYfGq</t>
  </si>
  <si>
    <t>Sister, Pt. 2</t>
  </si>
  <si>
    <t>Digital Shades, Vol. 1</t>
  </si>
  <si>
    <t>1cOt6gIVfc3KCYHYAJie22</t>
  </si>
  <si>
    <t>Walkway Blues</t>
  </si>
  <si>
    <t>indietronica,synthpop,indie dance</t>
  </si>
  <si>
    <t>0nZGWdj8BxugWUKb5w4FG9</t>
  </si>
  <si>
    <t>Vision, pt. 1</t>
  </si>
  <si>
    <t>3yARL62FmZMcL1LyReKqKX</t>
  </si>
  <si>
    <t>Amnesia</t>
  </si>
  <si>
    <t>6iFr5JLC9396GKxAh8nzoC</t>
  </si>
  <si>
    <t>Goodbye Captain Lee</t>
  </si>
  <si>
    <t>DSVII</t>
  </si>
  <si>
    <t>2kH4liBtDANTBWYcMTyM4Z</t>
  </si>
  <si>
    <t>Laser Gun</t>
  </si>
  <si>
    <t>48HbuihGi43xm0qy4sErwH</t>
  </si>
  <si>
    <t>To Sudden Silence</t>
  </si>
  <si>
    <t>6bwfJR5HlIZT0oiDrjWd4F</t>
  </si>
  <si>
    <t>Oceans Niagara</t>
  </si>
  <si>
    <t>5jcrFtjW9dscpbkFjjLmyH</t>
  </si>
  <si>
    <t>Moonchild</t>
  </si>
  <si>
    <t>6Cg63kL4yLAawT6HGrJlPO</t>
  </si>
  <si>
    <t>Coloring the Void</t>
  </si>
  <si>
    <t>3ETFK4bJe6LOJRuTnoR4Nl</t>
  </si>
  <si>
    <t>Fantasy - Sofia Kourtesis Remix</t>
  </si>
  <si>
    <t>Fantasy Remixes</t>
  </si>
  <si>
    <t>indietronica,lo-fi house</t>
  </si>
  <si>
    <t>4xT29Eb884f9g5JS4G8TDq</t>
  </si>
  <si>
    <t>Laura</t>
  </si>
  <si>
    <t>5BA1ROT938UOvQ5kTvVMsI</t>
  </si>
  <si>
    <t>Road Blaster</t>
  </si>
  <si>
    <t>0ldqUhgUHeaZcaosF7RsrZ</t>
  </si>
  <si>
    <t>Skin of the Night</t>
  </si>
  <si>
    <t>3lanP7waF2wZd7OSXWhnaM</t>
  </si>
  <si>
    <t>1m69cgoCdNLhtnyVw9yzWr</t>
  </si>
  <si>
    <t>Earth To Sea</t>
  </si>
  <si>
    <t>2DbffuVNN87tjPOTmWzQx7</t>
  </si>
  <si>
    <t>Bibi the Dog</t>
  </si>
  <si>
    <t>3PB6vtx2qvTAawlPbyYw7v</t>
  </si>
  <si>
    <t>Midnight Souls Still Remain</t>
  </si>
  <si>
    <t>5WMnCJcI1CGG33Uhn2tjMc</t>
  </si>
  <si>
    <t>Lower Your Eyelids To Die With the Sun</t>
  </si>
  <si>
    <t>3qEeps4iJiSXB0PZf73UEI</t>
  </si>
  <si>
    <t>Water Deep</t>
  </si>
  <si>
    <t>1575cf1JynRm5cN24JGTbj</t>
  </si>
  <si>
    <t>Waves, Waves, Waves</t>
  </si>
  <si>
    <t>5lLyDsLiemfY2w3N7NCKlW</t>
  </si>
  <si>
    <t>You Appearing</t>
  </si>
  <si>
    <t>3bg2qahpZmsg5wV2EMPXIk</t>
  </si>
  <si>
    <t>Forever Young</t>
  </si>
  <si>
    <t>2025-02-17T18:10:04Z</t>
  </si>
  <si>
    <t>edm,dance,synthpop</t>
  </si>
  <si>
    <t>Parlophone UK</t>
  </si>
  <si>
    <t>2dOTkLZFbpNXrhc24CnTFd</t>
  </si>
  <si>
    <t>Titanium (feat. Sia)</t>
  </si>
  <si>
    <t>Nothing but the Beat Ultimate</t>
  </si>
  <si>
    <t>edm,dance</t>
  </si>
  <si>
    <t>5xYC48nOppVemY6U5GRGTb</t>
  </si>
  <si>
    <t>Memories (feat. Kid Cudi)</t>
  </si>
  <si>
    <t>One More Love</t>
  </si>
  <si>
    <t>7K1BLb6MpvKuGEPpHw35mO</t>
  </si>
  <si>
    <t>Never Going Home Tonight (feat. Madison Love)</t>
  </si>
  <si>
    <t>331l3xABO0HMr1Kkyh2LZq</t>
  </si>
  <si>
    <t>I Don't Wanna Wait</t>
  </si>
  <si>
    <t>edm,dance,pop suave</t>
  </si>
  <si>
    <t>4uUG5RXrOk84mYEfFvj3cK</t>
  </si>
  <si>
    <t>I'm Good (Blue)</t>
  </si>
  <si>
    <t>7yO48FWUkqsrdxrwkGcnwl</t>
  </si>
  <si>
    <t>Where Them Girls At (feat. Nicki Minaj &amp; Flo Rida)</t>
  </si>
  <si>
    <t>3BKD1PwArikchz2Zrlp1qi</t>
  </si>
  <si>
    <t>Baby Don't Hurt Me</t>
  </si>
  <si>
    <t>127uq83uGFapbddqiMUKky</t>
  </si>
  <si>
    <t>Sexy Bitch (feat. Akon)</t>
  </si>
  <si>
    <t>33IOhptvC2Qoy2UhjiHXLV</t>
  </si>
  <si>
    <t>Flames</t>
  </si>
  <si>
    <t>53Y0kdCa1CZ9gRqEuknfwy</t>
  </si>
  <si>
    <t>Bang My Head (feat. Sia &amp; Fetty Wap)</t>
  </si>
  <si>
    <t>Listen Again</t>
  </si>
  <si>
    <t>4zuy08yhEhlu5YSTM3WqRD</t>
  </si>
  <si>
    <t>She Wolf (Falling to Pieces) [feat. Sia]</t>
  </si>
  <si>
    <t>6lhZLbb0czULpjb2kFryPS</t>
  </si>
  <si>
    <t>Let's Love</t>
  </si>
  <si>
    <t>2ludbmtPoyCPe2K08fAlFl</t>
  </si>
  <si>
    <t>Helium (Sia vs. David Guetta &amp; Afrojack)</t>
  </si>
  <si>
    <t>edm,dance,big room</t>
  </si>
  <si>
    <t>Monkey Puzzle/Atlantic</t>
  </si>
  <si>
    <t>2AceGjiX9isUbXmMZa0Dl1</t>
  </si>
  <si>
    <t>Floating Through Space</t>
  </si>
  <si>
    <t>4J1DXVKlC7h5wSgeuULPYh</t>
  </si>
  <si>
    <t>The Whisperer (feat. Sia)</t>
  </si>
  <si>
    <t>Listen</t>
  </si>
  <si>
    <t>63lctya7LlMoW5iht9JAVZ</t>
  </si>
  <si>
    <t>Light Headed</t>
  </si>
  <si>
    <t>2rtkijCiF44Uy4EqBhOsQP</t>
  </si>
  <si>
    <t>Feeling Good</t>
  </si>
  <si>
    <t>Warner Music Central Europe</t>
  </si>
  <si>
    <t>5VAKwJzAJgpysx7FL9W6MJ</t>
  </si>
  <si>
    <t>Without You (feat. Usher)</t>
  </si>
  <si>
    <t>edm,dance,r&amp;b</t>
  </si>
  <si>
    <t>1CcLA0eaauck34YEIrvAAq</t>
  </si>
  <si>
    <t>When We Were Young (The Logical Song)</t>
  </si>
  <si>
    <t>0BBZuOGGBj9u4X3rAfmae8</t>
  </si>
  <si>
    <t>Play Hard (feat. Ne-Yo &amp; Akon)</t>
  </si>
  <si>
    <t>285HeuLxsngjFn4GGegGNm</t>
  </si>
  <si>
    <t>Hey Mama (feat. Nicki Minaj, Bebe Rexha &amp; Afrojack)</t>
  </si>
  <si>
    <t>1WCEAGGRD066z2Q89ObXTq</t>
  </si>
  <si>
    <t>Crazy What Love Can Do</t>
  </si>
  <si>
    <t>1hRFVIy9As8OVRk8B7CrD5</t>
  </si>
  <si>
    <t>When Love Takes Over (feat. Kelly Rowland)</t>
  </si>
  <si>
    <t>6qUSs4FDzZUdAhY6JDIJfa</t>
  </si>
  <si>
    <t>Who's That Chick? (feat. Rihanna)</t>
  </si>
  <si>
    <t>3YfGTvsTAWGC2lgoDOikUz</t>
  </si>
  <si>
    <t>One in a Million</t>
  </si>
  <si>
    <t>6PtXobrqImYfnpIxNsJApa</t>
  </si>
  <si>
    <t>Bad (feat. Vassy) - Radio Edit</t>
  </si>
  <si>
    <t>Bad (feat. Vassy) [Radio Edit]</t>
  </si>
  <si>
    <t>edm,dance,hardstyle,big room,electrónica</t>
  </si>
  <si>
    <t>0lwyzp7GppQxv0Eu6wRkUo</t>
  </si>
  <si>
    <t>Satisfaction</t>
  </si>
  <si>
    <t>edm,dance,electro house</t>
  </si>
  <si>
    <t>0YammaEkYSeo9vQYZ1OwS6</t>
  </si>
  <si>
    <t>Say My Name</t>
  </si>
  <si>
    <t>edm,dance,reggaetón,latina</t>
  </si>
  <si>
    <t>6F6TsdD0ijquDSjcr9lgIt</t>
  </si>
  <si>
    <t>Turn Me On (feat. Nicki Minaj)</t>
  </si>
  <si>
    <t>7hdNTegC0TCKKoxB6GTFH3</t>
  </si>
  <si>
    <t>Lighter</t>
  </si>
  <si>
    <t>2rgtCOVK2tpfao2VjURn84</t>
  </si>
  <si>
    <t>Lovers on the Sun (feat. Sam Martin)</t>
  </si>
  <si>
    <t>46NBoIAHrmR7qcUGCIFEjR</t>
  </si>
  <si>
    <t>This One's for You (feat. Zara Larsson) (Official Song UEFA EURO 2016)</t>
  </si>
  <si>
    <t>This One's for You (feat. Zara Larsson) [Official Song UEFA EURO 2016]</t>
  </si>
  <si>
    <t>0siYMEsGrzzzlWLXK5zJfS</t>
  </si>
  <si>
    <t>BED</t>
  </si>
  <si>
    <t>dance pop,edm,dance</t>
  </si>
  <si>
    <t>Perfect Havoc / Asylum Records</t>
  </si>
  <si>
    <t>1FkbBFzuPskyOvIoipKug5</t>
  </si>
  <si>
    <t>Dangerous (feat. Sam Martin) - Robin Schulz Remix</t>
  </si>
  <si>
    <t>3A7qX2QjDlPnazUsRk5y0M</t>
  </si>
  <si>
    <t>2U (feat. Justin Bieber)</t>
  </si>
  <si>
    <t>0mIAWTIXUP9Os5RBXKclO6</t>
  </si>
  <si>
    <t>Love Don't Let Me Go</t>
  </si>
  <si>
    <t>Just a Little More Love</t>
  </si>
  <si>
    <t>David Guetta</t>
  </si>
  <si>
    <t>1dP519dbEob8H6wiouRdaY</t>
  </si>
  <si>
    <t>Family Affair (Dance For Me)</t>
  </si>
  <si>
    <t>FFRR</t>
  </si>
  <si>
    <t>6RnkFd8Fqqgk1Uni8RgqCQ</t>
  </si>
  <si>
    <t>Like I Do</t>
  </si>
  <si>
    <t>edm,dance,electrónica,house progresivo,future house</t>
  </si>
  <si>
    <t>59GJyU1FgV4ApeHE0uvSZV</t>
  </si>
  <si>
    <t>Love Is Gone</t>
  </si>
  <si>
    <t>5TnF44IQRsopRNa63BEyFd</t>
  </si>
  <si>
    <t>If You Really Love Me (How Will I Know)</t>
  </si>
  <si>
    <t>1U6hOheaJGUCWzn3ot1cbm</t>
  </si>
  <si>
    <t>Raving</t>
  </si>
  <si>
    <t>4fqwEothoIOcKr3pARJCgu</t>
  </si>
  <si>
    <t>Gettin' Over (feat. Chris Willis &amp; Fergie)</t>
  </si>
  <si>
    <t>4Mw1vqYfDWL2d8dJLWFYQp</t>
  </si>
  <si>
    <t>Kill The Vibe</t>
  </si>
  <si>
    <t>Future Rave</t>
  </si>
  <si>
    <t>1cG0umU5TKStygKsPFZ9pY</t>
  </si>
  <si>
    <t>Shed a Light</t>
  </si>
  <si>
    <t>tropical house,edm,dance</t>
  </si>
  <si>
    <t>Tonspiel</t>
  </si>
  <si>
    <t>7qfwcqfGOkQYtzjF4UzJHM</t>
  </si>
  <si>
    <t>Shot Me Down (feat. Skylar Grey) - Radio Edit</t>
  </si>
  <si>
    <t>Shot Me Down (feat. Skylar Grey)</t>
  </si>
  <si>
    <t>6KBD2g9nzhDlPdW7cbAEix</t>
  </si>
  <si>
    <t>Little Bad Girl (feat. Taio Cruz &amp; Ludacris)</t>
  </si>
  <si>
    <t>edm,dance,hip hop sureño americano</t>
  </si>
  <si>
    <t>6sL2YetAdQYTOh1k56kiuY</t>
  </si>
  <si>
    <t>Dreams (feat. Lanie Gardner) - Extended</t>
  </si>
  <si>
    <t>Dreams (feat. Lanie Gardner)</t>
  </si>
  <si>
    <t>5K6Ssv4Z3zRvxt0P6EKUAP</t>
  </si>
  <si>
    <t>Heartbreak Anthem (with David Guetta &amp; Little Mix)</t>
  </si>
  <si>
    <t>4PdJSsESm34djLfBde9Pr2</t>
  </si>
  <si>
    <t>Would I Lie to You - Radio Edit</t>
  </si>
  <si>
    <t>Would I Lie to You</t>
  </si>
  <si>
    <t>0QFhSpTIEGnv7F4VxHOvKA</t>
  </si>
  <si>
    <t>Gettin' Over You (feat. Fergie &amp; LMFAO)</t>
  </si>
  <si>
    <t>6cckkNz643s6DcIBdEuPDd</t>
  </si>
  <si>
    <t>Sexy Chick (feat. Akon)</t>
  </si>
  <si>
    <t>5UJshy5HDHdNEVqlJwzsQB</t>
  </si>
  <si>
    <t>Versace on the Floor (Bruno Mars vs. David Guetta)</t>
  </si>
  <si>
    <t>Versace On The Floor (Bruno Mars vs. David Guetta)</t>
  </si>
  <si>
    <t>Atlantic Records</t>
  </si>
  <si>
    <t>5o06Ga8GxzI35T7AHCeARL</t>
  </si>
  <si>
    <t>Lost In The Rhythm</t>
  </si>
  <si>
    <t>617tj2kCbyrza6mHhzT6JQ</t>
  </si>
  <si>
    <t>Something To Hold On To (feat. Clementine Douglas)</t>
  </si>
  <si>
    <t>4xbXuRfZ2ZLktw5QEdGYnX</t>
  </si>
  <si>
    <t>On Repeat</t>
  </si>
  <si>
    <t>WM Germany</t>
  </si>
  <si>
    <t>2F83FxNVkK6PPMHuYnwyVc</t>
  </si>
  <si>
    <t>Let It Be Me (feat. Ava Max)</t>
  </si>
  <si>
    <t>1D2ZNECRd7KIlA4pyOUGsv</t>
  </si>
  <si>
    <t>What Would You Do?</t>
  </si>
  <si>
    <t>dance pop,edm,dance,r&amp;b</t>
  </si>
  <si>
    <t>2lYTJK94hb0fd1LQtb6Dhk</t>
  </si>
  <si>
    <t>Don't Leave Me Alone (feat. Anne-Marie)</t>
  </si>
  <si>
    <t>4Tvw0lweq9l2JPQKFbpbBQ</t>
  </si>
  <si>
    <t>Better When You're Gone</t>
  </si>
  <si>
    <t>edm,dance,future house</t>
  </si>
  <si>
    <t>1q6IK1l4qpYykOaWaLJkWG</t>
  </si>
  <si>
    <t>The World Is Mine</t>
  </si>
  <si>
    <t>electro house,edm,dance</t>
  </si>
  <si>
    <t>5Xn4IyTtW6FUGIUyWjbUHG</t>
  </si>
  <si>
    <t>Goodbye (feat. Nicki Minaj &amp; Willy William)</t>
  </si>
  <si>
    <t>Beluga Heights/Warner Records</t>
  </si>
  <si>
    <t>2NZJKUPIGfJqLAzONNr4gv</t>
  </si>
  <si>
    <t>Kill Me Slow</t>
  </si>
  <si>
    <t>New Rave</t>
  </si>
  <si>
    <t>30uJvYj0JwozcqYLvfl24k</t>
  </si>
  <si>
    <t>Baby When the Light (feat. Cozi)</t>
  </si>
  <si>
    <t>Pop Life (Bonus Track)</t>
  </si>
  <si>
    <t>edm,dance,house progresivo</t>
  </si>
  <si>
    <t>7K5RRMqYyFJsAEplmYLSBE</t>
  </si>
  <si>
    <t>Down</t>
  </si>
  <si>
    <t>10w1VHXe5Ti6YK80yM9A8K</t>
  </si>
  <si>
    <t>I Can Only Imagine (feat. Chris Brown &amp; Lil Wayne)</t>
  </si>
  <si>
    <t>edm,dance,r&amp;b,rap,hip hop</t>
  </si>
  <si>
    <t>3WsbAGQt6HgTj9kg6f466M</t>
  </si>
  <si>
    <t>Here We Go Again</t>
  </si>
  <si>
    <t>1YRjRHdl0aEtzHEn1uGi8k</t>
  </si>
  <si>
    <t>2HbTwmup8SWz5tMcKZXFLh</t>
  </si>
  <si>
    <t>Big FU</t>
  </si>
  <si>
    <t>edm,dance,afrobeats,afrobeat,afropop,afro soul,drill</t>
  </si>
  <si>
    <t>0HLhptvI8NozbOHRLNniFz</t>
  </si>
  <si>
    <t>Family (feat. Bebe Rexha, Ty Dolla $ign &amp; A Boogie Wit da Hoodie)</t>
  </si>
  <si>
    <t>edm,dance,rap melódico</t>
  </si>
  <si>
    <t>0tPQPaOKM32WgMSbPCYyRH</t>
  </si>
  <si>
    <t>Dirty Sexy Money (feat. Charli XCX &amp; French Montana)</t>
  </si>
  <si>
    <t>edm,dance,big room,hyperpop,art pop</t>
  </si>
  <si>
    <t>4YhN72dRYL2Z3MsaKyT7rS</t>
  </si>
  <si>
    <t>Stay (Don't Go Away) [feat. Raye]</t>
  </si>
  <si>
    <t>4tl0gTWQPRjCRrAAdDqyLU</t>
  </si>
  <si>
    <t>One Love (feat. Estelle)</t>
  </si>
  <si>
    <t>0tgbSxoFjZ20MjfoKwWevV</t>
  </si>
  <si>
    <t>Your Love</t>
  </si>
  <si>
    <t>4RWeizdES94TbsDWSrQdLU</t>
  </si>
  <si>
    <t>Isometric (Intro)</t>
  </si>
  <si>
    <t>Adventure (Deluxe)</t>
  </si>
  <si>
    <t>Madeon</t>
  </si>
  <si>
    <t>2025-02-17T18:10:31Z</t>
  </si>
  <si>
    <t>edm,house francés</t>
  </si>
  <si>
    <t>4PTPZeJlK1rYlYr6bf11hk</t>
  </si>
  <si>
    <t>You're On (feat. Kyan)</t>
  </si>
  <si>
    <t>43HB8rqTgyyvG74mMAHXnL</t>
  </si>
  <si>
    <t>OK</t>
  </si>
  <si>
    <t>1UCDE2UIE5cC6B1o0nsrSv</t>
  </si>
  <si>
    <t>La Lune (feat. Dan Smith)</t>
  </si>
  <si>
    <t>3rsq3qtqNBId48c0IVraTS</t>
  </si>
  <si>
    <t>Pay No Mind (feat. Passion Pit)</t>
  </si>
  <si>
    <t>edm,house francés,indietronica,indie</t>
  </si>
  <si>
    <t>7vkPu9wwdUpB6dPmWBNcPv</t>
  </si>
  <si>
    <t>Beings</t>
  </si>
  <si>
    <t>2NRKqJK2nFpr0VHn74EwhV</t>
  </si>
  <si>
    <t>Imperium</t>
  </si>
  <si>
    <t>058WYdKjtPVuahMU1ey9DS</t>
  </si>
  <si>
    <t>Zephyr</t>
  </si>
  <si>
    <t>71SDRIbBoAGYgvagVL9KRb</t>
  </si>
  <si>
    <t>Nonsense (feat. Mark Foster)</t>
  </si>
  <si>
    <t>edm,house francés,coral</t>
  </si>
  <si>
    <t>4B59CsEpwMFAOQXu7snoJF</t>
  </si>
  <si>
    <t>Innocence (feat. Aquilo)</t>
  </si>
  <si>
    <t>7erByqCV1mcImSeCYh1XmW</t>
  </si>
  <si>
    <t>Home</t>
  </si>
  <si>
    <t>1pUsdir2xhSxP0RyBe9lLH</t>
  </si>
  <si>
    <t>Icarus</t>
  </si>
  <si>
    <t>4ATmY1hv93ehw77LrIdbEh</t>
  </si>
  <si>
    <t>Finale (feat. Nicholas Petricca)</t>
  </si>
  <si>
    <t>36HA2woC1glnLa4vqWY3IC</t>
  </si>
  <si>
    <t>The City</t>
  </si>
  <si>
    <t>6HCYraYP2Q91yZZ9wQqkBi</t>
  </si>
  <si>
    <t>Cut the Kid</t>
  </si>
  <si>
    <t>3OgU43E7rPo3u9fNEIpdWi</t>
  </si>
  <si>
    <t>Technicolor</t>
  </si>
  <si>
    <t>4jryPeoj0IzKENkhcX0Lpm</t>
  </si>
  <si>
    <t>Only Way Out (feat. Vancouver Sleep Clinic)</t>
  </si>
  <si>
    <t>5FAFRyxvtiFzPTsKmfXudD</t>
  </si>
  <si>
    <t>Dream Dream Dream</t>
  </si>
  <si>
    <t>Good Faith</t>
  </si>
  <si>
    <t>3ArdPRbscsYB2uI70AzpuG</t>
  </si>
  <si>
    <t>All My Friends</t>
  </si>
  <si>
    <t>7vm3Z78elWY11Xl6MNuXng</t>
  </si>
  <si>
    <t>Be Fine</t>
  </si>
  <si>
    <t>1KdEqgbQtzGffswF29Jc5U</t>
  </si>
  <si>
    <t>4Nnsl0Ji84Bcku8uVbFbjV</t>
  </si>
  <si>
    <t>Mania</t>
  </si>
  <si>
    <t>7JSS036IjVSwD64TAr6n32</t>
  </si>
  <si>
    <t>Miracle</t>
  </si>
  <si>
    <t>2TZ9kaTiLewawHZK7yylSC</t>
  </si>
  <si>
    <t>No Fear No More</t>
  </si>
  <si>
    <t>3WTbsKon4Spdj8jOabrg5a</t>
  </si>
  <si>
    <t>Hold Me Just Because</t>
  </si>
  <si>
    <t>2W2e6TBrwJt4ASh5jyYgvZ</t>
  </si>
  <si>
    <t>Heavy With Hoping</t>
  </si>
  <si>
    <t>0OomkPDgVnSGwnrK8ywiSX</t>
  </si>
  <si>
    <t>Borealis</t>
  </si>
  <si>
    <t>3K1RnBxBkrMwoBE8gC63eY</t>
  </si>
  <si>
    <t>All Ur Luv</t>
  </si>
  <si>
    <t>dubstep,future bass,edm,house francés,chillwave,indietronica</t>
  </si>
  <si>
    <t>FADER Label</t>
  </si>
  <si>
    <t>5Tlwkpy7AU3yMXydeFwhCp</t>
  </si>
  <si>
    <t>Gonna Be Good - Live Edit</t>
  </si>
  <si>
    <t>Gonna Be Good (Live Edit)</t>
  </si>
  <si>
    <t>Mom+Pop</t>
  </si>
  <si>
    <t>3QlTYe8r9KVWhG7gAAVAIz</t>
  </si>
  <si>
    <t>Gonna Be Good</t>
  </si>
  <si>
    <t>42LSQpK6JdGjqRttkxIoy1</t>
  </si>
  <si>
    <t>5wM6LOw2U6XeIFHfsgI6wU</t>
  </si>
  <si>
    <t>Love You Back</t>
  </si>
  <si>
    <t>15ccEhr9NN3Blmdr0hQwj9</t>
  </si>
  <si>
    <t>popcultur</t>
  </si>
  <si>
    <t>3BwVwNRyBGyWTPNz794yG1</t>
  </si>
  <si>
    <t>Icarus - Extended Mix</t>
  </si>
  <si>
    <t>0DanGj9TtgZIjJnHdTbW9v</t>
  </si>
  <si>
    <t>Finale</t>
  </si>
  <si>
    <t>0TcUVcSUPTnoXwgkpi9C1y</t>
  </si>
  <si>
    <t>Finale (feat. Nicholas Petricca) - Dub Mix</t>
  </si>
  <si>
    <t>5EfAmLL4M5IBkumn3RdwPM</t>
  </si>
  <si>
    <t>59iJua476fbi3PbddfPrez</t>
  </si>
  <si>
    <t>0vDRdcRmmzn4Nuly7HGihv</t>
  </si>
  <si>
    <t>The City - Extended Mix</t>
  </si>
  <si>
    <t>048AbE9LVZn2qc4mKxoEO9</t>
  </si>
  <si>
    <t>Finale (feat. Nicholas Petricca) - Netsky Remix</t>
  </si>
  <si>
    <t>3O1jfpFsvDLhSQGGvqhOs0</t>
  </si>
  <si>
    <t>Icarus - Live Version</t>
  </si>
  <si>
    <t>1yjhzuKlLUFR2YDGHZynjs</t>
  </si>
  <si>
    <t>Icarus - Fred V &amp; Grafix Remix</t>
  </si>
  <si>
    <t>edm,house francés,drum and bass,liquid funk</t>
  </si>
  <si>
    <t>3EfOzBsC8in9ZYuD3NR2v9</t>
  </si>
  <si>
    <t>For You</t>
  </si>
  <si>
    <t>2Ldx9kUwqKt8GKaqPYGT6e</t>
  </si>
  <si>
    <t>0ZtLv7aVallYjnPJNZJWk7</t>
  </si>
  <si>
    <t>1KTbpwGwSPGH1TlqJrA6aO</t>
  </si>
  <si>
    <t>You're On (feat. Kyan) - Alex Metric Remix</t>
  </si>
  <si>
    <t>You're On (Remixes) (feat. Kyan)</t>
  </si>
  <si>
    <t>08mdSJqfbNZ5hvIeCVWB2F</t>
  </si>
  <si>
    <t>You're On (feat. Kyan) - Oliver Remix</t>
  </si>
  <si>
    <t>2OlZu4pJaqsq5rXgc5EqaK</t>
  </si>
  <si>
    <t>You're On (feat. Kyan) - Gramatik Remix</t>
  </si>
  <si>
    <t>edm,house francés,electro swing,trip hop,nu jazz,downtempo</t>
  </si>
  <si>
    <t>1XT95SWe6U0nZmchAfZh2T</t>
  </si>
  <si>
    <t>3o5OyQ2tghLhOFjemvEloF</t>
  </si>
  <si>
    <t>6YnvgEoOgfE59tByZM6src</t>
  </si>
  <si>
    <t>1l0xt0rcF2n1263yMGfYD3</t>
  </si>
  <si>
    <t>Pay No Mind (feat. Passion Pit) - Lemaitre Remix</t>
  </si>
  <si>
    <t>Pay No Mind (Remixes) (feat. Passion Pit)</t>
  </si>
  <si>
    <t>6jjvHp4skHKCEvhFvQfbd7</t>
  </si>
  <si>
    <t>Pay No Mind (feat. Passion Pit) - Yasutaka Nakata 'CAPSULE' Remix</t>
  </si>
  <si>
    <t>edm,house francés,indietronica,indie,j-pop</t>
  </si>
  <si>
    <t>057gYs1uPBfMKyN7YxQZbc</t>
  </si>
  <si>
    <t>Pay No Mind (feat. Passion Pit) - Live Version</t>
  </si>
  <si>
    <t>5sj5gye9fsojnLDx6cskIJ</t>
  </si>
  <si>
    <t>Imperium - Dillon Francis Remix</t>
  </si>
  <si>
    <t>edm,house francés,moombahton,electro house</t>
  </si>
  <si>
    <t>7sGTH1fber0bhncNMfNxmt</t>
  </si>
  <si>
    <t>2ewEh7LuvToYyGHq7yT8N1</t>
  </si>
  <si>
    <t>Shelter</t>
  </si>
  <si>
    <t>edm,electrónica,house francés</t>
  </si>
  <si>
    <t>Popcultur / mTheory</t>
  </si>
  <si>
    <t>1oUbYmF4SYYHorKY1wKo0K</t>
  </si>
  <si>
    <t>3Yrp5kBXOp0Nbb09AmkD58</t>
  </si>
  <si>
    <t>36X1P3v7N1dv06bh2aPtMF</t>
  </si>
  <si>
    <t>No Fear No More (Remix)</t>
  </si>
  <si>
    <t>Madeon Productions</t>
  </si>
  <si>
    <t>5MT2w1BexEAWjJ62OOHE6q</t>
  </si>
  <si>
    <t>The Prince</t>
  </si>
  <si>
    <t>6T10XPeC9X5xEaD6tMcK6M</t>
  </si>
  <si>
    <t>All I Need (feat. Beth Hirsch)</t>
  </si>
  <si>
    <t>Moon Safari</t>
  </si>
  <si>
    <t>2025-02-17T18:10:55Z</t>
  </si>
  <si>
    <t>trip hop,downtempo,house francés</t>
  </si>
  <si>
    <t>052z2UsE2wPrHsBJ9tly0g</t>
  </si>
  <si>
    <t>Playground Love</t>
  </si>
  <si>
    <t>The Virgin Suicides (Original Motion Picture Score)</t>
  </si>
  <si>
    <t>Aircheology</t>
  </si>
  <si>
    <t>4m8ttWM8IKXyhpv89E867J</t>
  </si>
  <si>
    <t>Cherry Blossom Girl</t>
  </si>
  <si>
    <t>Talkie Walkie</t>
  </si>
  <si>
    <t>Air</t>
  </si>
  <si>
    <t>4zSrcTmkkNotgvJE97rIhO</t>
  </si>
  <si>
    <t>Retour sur terre</t>
  </si>
  <si>
    <t>Le voyage dans la lune</t>
  </si>
  <si>
    <t>3ZzhV6JIDKWvWR7wiKWD0C</t>
  </si>
  <si>
    <t>La femme d'argent</t>
  </si>
  <si>
    <t>366QpkppDb9f5TVamPSpgH</t>
  </si>
  <si>
    <t>Highschool Lover</t>
  </si>
  <si>
    <t>40UlFC0dIxv7lAEJaPZLnm</t>
  </si>
  <si>
    <t>Alone in Kyoto</t>
  </si>
  <si>
    <t>3Aa4ijCL9iilxsCLk48JnG</t>
  </si>
  <si>
    <t>Le soleil est près de moi</t>
  </si>
  <si>
    <t>Premiers Symptômes</t>
  </si>
  <si>
    <t>6INLpBxo9F5QMer04VXEnd</t>
  </si>
  <si>
    <t>Sexy Boy</t>
  </si>
  <si>
    <t>30enq9c8DPG52Yn1xBsqqU</t>
  </si>
  <si>
    <t>Mer du Japon</t>
  </si>
  <si>
    <t>Pocket Symphony</t>
  </si>
  <si>
    <t>0RFduQOfkrP1jhoV0m8US2</t>
  </si>
  <si>
    <t>Surfing on a Rocket</t>
  </si>
  <si>
    <t>19s3me6x3fJ1teEh6id1mj</t>
  </si>
  <si>
    <t>African Velvet</t>
  </si>
  <si>
    <t>Love 2</t>
  </si>
  <si>
    <t>4XxbBFfKlXY2E5PN3dHAfz</t>
  </si>
  <si>
    <t>Talisman</t>
  </si>
  <si>
    <t>4IoqGTH2D6zMrGzg9gW0DL</t>
  </si>
  <si>
    <t>How Does It Make You Feel?</t>
  </si>
  <si>
    <t>10 000 Hz Legend</t>
  </si>
  <si>
    <t>2q0WFOsFc7Gd9cujpPmZMC</t>
  </si>
  <si>
    <t>Universal Traveler</t>
  </si>
  <si>
    <t>3f3LIPVIMkRi5G11KtRvpl</t>
  </si>
  <si>
    <t>Love</t>
  </si>
  <si>
    <t>5tR13oIwi5J3elcTZPTTIU</t>
  </si>
  <si>
    <t>Kelly Watch the Stars</t>
  </si>
  <si>
    <t>4NsBEdmbgu9u8cH21ycyBv</t>
  </si>
  <si>
    <t>Modular Mix</t>
  </si>
  <si>
    <t>14EMkYvQQ3E7gI8MFc9bFd</t>
  </si>
  <si>
    <t>Venus</t>
  </si>
  <si>
    <t>0jCeocEAgVyglk0fY6urTr</t>
  </si>
  <si>
    <t>Space Maker</t>
  </si>
  <si>
    <t>7yieArGOFIdoGJv1V8hDr2</t>
  </si>
  <si>
    <t>Ce matin-là</t>
  </si>
  <si>
    <t>2LVZsGYt8Cq8TIGgS1eGjR</t>
  </si>
  <si>
    <t>Les professionnels</t>
  </si>
  <si>
    <t>1Mtwi6CmEHxkZvsNWR9qVE</t>
  </si>
  <si>
    <t>The Vagabond</t>
  </si>
  <si>
    <t>2sNGaLOMBIkyVFPsQqPQdW</t>
  </si>
  <si>
    <t>Alpha Beta Gaga</t>
  </si>
  <si>
    <t>5htfTGt3OFyVdktEJKiJg2</t>
  </si>
  <si>
    <t>Clouds Up</t>
  </si>
  <si>
    <t>5O3fsEG10OEvVAVMVlJkJu</t>
  </si>
  <si>
    <t>Left Bank</t>
  </si>
  <si>
    <t>4Li5lpGpbRdj60kUegIGku</t>
  </si>
  <si>
    <t>J'ai dormi sous l'eau - Live BBC 1998</t>
  </si>
  <si>
    <t>Moon Safari Rarities (25th Anniversary Edition)</t>
  </si>
  <si>
    <t>1TTz7vRGZEQgpL6HJOEhWo</t>
  </si>
  <si>
    <t>Sing Sang Sung</t>
  </si>
  <si>
    <t>3mKB8BUg6JIXlNChQXQQNR</t>
  </si>
  <si>
    <t>Moon Fever</t>
  </si>
  <si>
    <t>75da4TDuprIIxMhjUbbl63</t>
  </si>
  <si>
    <t>Bathroom Girl</t>
  </si>
  <si>
    <t>4brxErgyyAdhyNyDyG3V89</t>
  </si>
  <si>
    <t>Casanova 70 - The Secret of Cool</t>
  </si>
  <si>
    <t>The Remixes - Vol.1</t>
  </si>
  <si>
    <t>7Kio6nzVbnCwBDrel86jKK</t>
  </si>
  <si>
    <t>Heaven's Light</t>
  </si>
  <si>
    <t>4eZvw3vnwX6wmwK8H1YgcD</t>
  </si>
  <si>
    <t>Décollage</t>
  </si>
  <si>
    <t>65bi0pq577npdVoHCqF7dc</t>
  </si>
  <si>
    <t>Cemetary Party</t>
  </si>
  <si>
    <t>0Qm1CN3ZFzClfWkaA2CymZ</t>
  </si>
  <si>
    <t>Lost Message</t>
  </si>
  <si>
    <t>2KRtaifTqFrba2d5fa33w7</t>
  </si>
  <si>
    <t>Radian</t>
  </si>
  <si>
    <t>3idNEgoJiR3hjnj6S5VZI1</t>
  </si>
  <si>
    <t>Soldissimo - EDC Remix</t>
  </si>
  <si>
    <t>Super Discount</t>
  </si>
  <si>
    <t>house francés,electroclash,electro,trip hop,downtempo</t>
  </si>
  <si>
    <t>Pixadelic</t>
  </si>
  <si>
    <t>4sZL5qbJ6VU0y8vcjShkIS</t>
  </si>
  <si>
    <t>Dark Messages</t>
  </si>
  <si>
    <t>7dvkAGglW9TS6VmQ6sufAX</t>
  </si>
  <si>
    <t>Once Upon a Time</t>
  </si>
  <si>
    <t>0C3vrVa4c8R2ZlTAn2WiMt</t>
  </si>
  <si>
    <t>Electronic Performers</t>
  </si>
  <si>
    <t>71b8YyXwgzkXxBlbdVOyZ2</t>
  </si>
  <si>
    <t>Bossa 96 - Demo</t>
  </si>
  <si>
    <t>Moon Safari Remixes, Rarities and Radio Sessions</t>
  </si>
  <si>
    <t>50OXXMC0drCHGdSFINtUkI</t>
  </si>
  <si>
    <t>So Light Is Her Footfall - Breakbot Remix</t>
  </si>
  <si>
    <t>So Light Is Her Footfall</t>
  </si>
  <si>
    <t>trip hop,downtempo,house francés,nu disco</t>
  </si>
  <si>
    <t>7KLreOZ3iUjAOoYlGUuLkv</t>
  </si>
  <si>
    <t>Napalm Love</t>
  </si>
  <si>
    <t>7Cq5wNRNsHdnIDT7s2iBH9</t>
  </si>
  <si>
    <t>Dirty Hiroshima</t>
  </si>
  <si>
    <t>3QZVQXOelrTfabDg4IdRJk</t>
  </si>
  <si>
    <t>You Can Tell It to Everybody</t>
  </si>
  <si>
    <t>1vO7cEdUkYHjHuSKg1HdSC</t>
  </si>
  <si>
    <t>Don't Be Light</t>
  </si>
  <si>
    <t>2TinQlb11XoAIF6koTT75b</t>
  </si>
  <si>
    <t>Maggot Brain - Live at Paradiso, Amsterdam 31/10/1998</t>
  </si>
  <si>
    <t>6dacsOp1V5oI22BQ2wZxfq</t>
  </si>
  <si>
    <t>Au fond du rêve doré</t>
  </si>
  <si>
    <t>0WSidzg7a5e5YofecV5nZd</t>
  </si>
  <si>
    <t>People in the City</t>
  </si>
  <si>
    <t>49yNskzLtR1VNTWhSF90mu</t>
  </si>
  <si>
    <t>Remember</t>
  </si>
  <si>
    <t>2025-02-17T18:11:04Z</t>
  </si>
  <si>
    <t>6kYwzIqAj4Wp6ApoPpoqny</t>
  </si>
  <si>
    <t>You Make It Easy</t>
  </si>
  <si>
    <t>7E2NpVcD3i6AIm3uyd343i</t>
  </si>
  <si>
    <t>New Star in the Sky</t>
  </si>
  <si>
    <t>2AFttonwFsCFpC6Cos9pcZ</t>
  </si>
  <si>
    <t>Le voyage de Pénélope</t>
  </si>
  <si>
    <t>0lYBSQXN6rCTvUZvg9S0lU</t>
  </si>
  <si>
    <t>Let Me Love You</t>
  </si>
  <si>
    <t>Encore</t>
  </si>
  <si>
    <t>2025-02-17T18:11:18Z</t>
  </si>
  <si>
    <t>DJ Snake Def Jam</t>
  </si>
  <si>
    <t>0g5EKLgdKvNlln7TNqBByK</t>
  </si>
  <si>
    <t>Middle</t>
  </si>
  <si>
    <t>67awxiNHNyjMXhVgsHuIrs</t>
  </si>
  <si>
    <t>Turn Down for What</t>
  </si>
  <si>
    <t>crunk</t>
  </si>
  <si>
    <t>57kR5SniQIbsbVoIjjOUDa</t>
  </si>
  <si>
    <t>You Know You Like It</t>
  </si>
  <si>
    <t>Universal-Island Records Ltd.</t>
  </si>
  <si>
    <t>6IPNp9PfaEqrzotY47TIWy</t>
  </si>
  <si>
    <t>SG (with Ozuna, Megan Thee Stallion &amp; LISA of BLACKPINK)</t>
  </si>
  <si>
    <t>reggaetón,latina,trap latino,urbano latino,k-pop</t>
  </si>
  <si>
    <t>DJ Snake Music Productions Limited</t>
  </si>
  <si>
    <t>6osaMSJh9NguagEDQcZaKx</t>
  </si>
  <si>
    <t>Loco Contigo (feat. J. Balvin &amp; Tyga)</t>
  </si>
  <si>
    <t>Carte Blanche</t>
  </si>
  <si>
    <t>reggaetón,latina</t>
  </si>
  <si>
    <t>4w8niZpiMy6qz1mntFA5uM</t>
  </si>
  <si>
    <t>Taki Taki (with Selena Gomez, Ozuna &amp; Cardi B)</t>
  </si>
  <si>
    <t>pop,reggaetón,latina,trap latino,urbano latino</t>
  </si>
  <si>
    <t>DJ Snake Music Productions Limited, under exclusive license to Geffen Records</t>
  </si>
  <si>
    <t>3dsyqPDiWYYilRZNBxgxHE</t>
  </si>
  <si>
    <t>Magenta Riddim</t>
  </si>
  <si>
    <t>DJ Snake</t>
  </si>
  <si>
    <t>1YMBg7rOjxzbya0fPOYfNX</t>
  </si>
  <si>
    <t>A Different Way (with Lauv)</t>
  </si>
  <si>
    <t>Geffen</t>
  </si>
  <si>
    <t>0RVmOh80HfpuygCBt2d1va</t>
  </si>
  <si>
    <t>Disco Maghreb</t>
  </si>
  <si>
    <t>2YWjW3wwQIBLNhxWKBQd16</t>
  </si>
  <si>
    <t>Peace Is The Mission : Extended</t>
  </si>
  <si>
    <t>moombahton</t>
  </si>
  <si>
    <t>1CpCIb8zybdjskLQRL6rEC</t>
  </si>
  <si>
    <t>Here Comes The Night</t>
  </si>
  <si>
    <t>7sn0OyaKn1XKx18JjUZkSw</t>
  </si>
  <si>
    <t>Propaganda</t>
  </si>
  <si>
    <t>0KoiMHhqKLoL4xM54rcWYY</t>
  </si>
  <si>
    <t>Taki Taki (feat. Selena Gomez, Ozuna &amp; Cardi B)</t>
  </si>
  <si>
    <t>3S7A85bAWOd6ltk6r2ANOI</t>
  </si>
  <si>
    <t>U Are My High</t>
  </si>
  <si>
    <t>08bDGEzsYd9ebCc7p23X4j</t>
  </si>
  <si>
    <t>Trust Nobody</t>
  </si>
  <si>
    <t>3oZoXyU0SkDldgS7AcN4y4</t>
  </si>
  <si>
    <t>Get Low</t>
  </si>
  <si>
    <t>Money Sucks, Friends Rule</t>
  </si>
  <si>
    <t>moombahton,edm,electro house</t>
  </si>
  <si>
    <t>3XoflnowYPFRPOh3uFvHcm</t>
  </si>
  <si>
    <t>Selfish Love (with Selena Gomez)</t>
  </si>
  <si>
    <t>pop</t>
  </si>
  <si>
    <t>5GokpIAufFJxKqkJgRtdKD</t>
  </si>
  <si>
    <t>Sahara</t>
  </si>
  <si>
    <t>dubstep,edm,electro,electrónica</t>
  </si>
  <si>
    <t>4lDYedHtcFwkMTVwpdSRUN</t>
  </si>
  <si>
    <t>No Option (feat. Burna Boy)</t>
  </si>
  <si>
    <t>afrobeats,afrobeat,afropop,afroswing,dancehall</t>
  </si>
  <si>
    <t>0pSL76Z9uhRAfFd09VmF24</t>
  </si>
  <si>
    <t>When The Lights Go Down</t>
  </si>
  <si>
    <t>6lg0Md3xQ7U5EYAcsnysiv</t>
  </si>
  <si>
    <t>Butterfly Effect</t>
  </si>
  <si>
    <t>7LWPWw7PtYHrDn194kNCPA</t>
  </si>
  <si>
    <t>Ocho Cinco</t>
  </si>
  <si>
    <t>edm,edm trap</t>
  </si>
  <si>
    <t>3xBEwwc1zwGpOFtkp5HVkB</t>
  </si>
  <si>
    <t>Quiet Storm (with Zomboy)</t>
  </si>
  <si>
    <t>dubstep,riddim,dub,deathstep,bass music,drumstep,edm</t>
  </si>
  <si>
    <t>0E3L4BNuUlZyvcZyySTfKr</t>
  </si>
  <si>
    <t>Made In France (with Tchami &amp; Malaa, feat. Mercer)</t>
  </si>
  <si>
    <t>future house,bass house,g-house,house</t>
  </si>
  <si>
    <t>5gjsW5lwLen4vTq2kGNoAX</t>
  </si>
  <si>
    <t>Paris (feat. GASHI)</t>
  </si>
  <si>
    <t>6GTxdh4FiA8XyCLFK1vvgG</t>
  </si>
  <si>
    <t>Pigalle</t>
  </si>
  <si>
    <t>bass house,future house,g-house</t>
  </si>
  <si>
    <t>660eekzsNZ7sdATvfIsAkR</t>
  </si>
  <si>
    <t>Fuego (with Sean Paul &amp; Anitta, feat. Tainy)</t>
  </si>
  <si>
    <t>dancehall,pop brasileño,funk pop,funk carioca,funk,reggaetón</t>
  </si>
  <si>
    <t>5Mf84BbHYdrewDABZOH5H6</t>
  </si>
  <si>
    <t>Talk</t>
  </si>
  <si>
    <t>69bDRy5MeWQl1lNeEJQIBE</t>
  </si>
  <si>
    <t>The Half</t>
  </si>
  <si>
    <t>rap,rap melódico,trap</t>
  </si>
  <si>
    <t>5wldXGLEOoRXxMWJ8rIUWE</t>
  </si>
  <si>
    <t>Lean On</t>
  </si>
  <si>
    <t>Peace Is The Mission</t>
  </si>
  <si>
    <t>Mad Decent</t>
  </si>
  <si>
    <t>3SSzqNGH8gRHBXohGx7BcV</t>
  </si>
  <si>
    <t>Frequency 75</t>
  </si>
  <si>
    <t>5vTtANNlQK5UhwfooDek5y</t>
  </si>
  <si>
    <t>Try Me (with Plastic Toy)</t>
  </si>
  <si>
    <t>4nDGkRGsh7kZKWPFZnbqZN</t>
  </si>
  <si>
    <t>Gassed Up</t>
  </si>
  <si>
    <t>bass house,edm,future house,dubstep,electro house,bassline</t>
  </si>
  <si>
    <t>Bite This</t>
  </si>
  <si>
    <t>1j4MPw77pRZ77fMBuaRCZl</t>
  </si>
  <si>
    <t>No More (feat. ZHU)</t>
  </si>
  <si>
    <t>edm</t>
  </si>
  <si>
    <t>3J5AcWRzmgbq4svZt91l3e</t>
  </si>
  <si>
    <t>Let's Get Ill</t>
  </si>
  <si>
    <t>DJ Snake Music/Geffen Records</t>
  </si>
  <si>
    <t>6HeKrqik6GxcbdKsk7FRnt</t>
  </si>
  <si>
    <t>Ring The Alarm</t>
  </si>
  <si>
    <t>g-house,bass house,future house</t>
  </si>
  <si>
    <t>3qgtGhoCutbBX73cd6ArCW</t>
  </si>
  <si>
    <t>SouthSide (feat. Eptic)</t>
  </si>
  <si>
    <t>dubstep,riddim,bass music,deathstep,bass house,dub</t>
  </si>
  <si>
    <t>5PsLICW9HfBbHZ64TT1liT</t>
  </si>
  <si>
    <t>Future Pt 2</t>
  </si>
  <si>
    <t>6NsxPxFzZ18TKBcTgxX3dh</t>
  </si>
  <si>
    <t>Sober</t>
  </si>
  <si>
    <t>1qowUCis8gYY9KOMuy8fCi</t>
  </si>
  <si>
    <t>Made In China</t>
  </si>
  <si>
    <t>hip hop chino,r&amp;b chino</t>
  </si>
  <si>
    <t>21yo11TFsfpDtuYyCbqhZS</t>
  </si>
  <si>
    <t>Intro (A86)</t>
  </si>
  <si>
    <t>1MUL6DO2gVimj2YrVedubd</t>
  </si>
  <si>
    <t>Creep On Me</t>
  </si>
  <si>
    <t>Honesty Saves Time/RCA Records</t>
  </si>
  <si>
    <t>56urRCfhQX5H3tfGt6q3uU</t>
  </si>
  <si>
    <t>Oh Me Oh My</t>
  </si>
  <si>
    <t>rap,trap</t>
  </si>
  <si>
    <t>0IoJNiqfeORsU6nMY9zC85</t>
  </si>
  <si>
    <t>Pondicherry</t>
  </si>
  <si>
    <t>2zzwSQ5xhBsZ5FoYv4IS82</t>
  </si>
  <si>
    <t>Recognize (feat. Majid Jordan)</t>
  </si>
  <si>
    <t>282R6Lvm9nLtpx8AzUwJe0</t>
  </si>
  <si>
    <t>Run It (feat. Rick Ross &amp; Rich Brian)</t>
  </si>
  <si>
    <t>hip hop sureño americano</t>
  </si>
  <si>
    <t>MARVEL/Hollywood Records, Inc./Interscope Records</t>
  </si>
  <si>
    <t>3z5ITnx50sxmTospLAcM03</t>
  </si>
  <si>
    <t>Enjoy Enjaami - Spotify Singles (with Dhee feat. Arivu &amp; Santhosh Narayanan)</t>
  </si>
  <si>
    <t>pop tamil,kollywood,tollywood,hip hop en tamil,indie tamil,hip hop en malabar,desi hip hop</t>
  </si>
  <si>
    <t>DJ Snake PS</t>
  </si>
  <si>
    <t>5w8wL9IpVlOerzOzOvkjvG</t>
  </si>
  <si>
    <t>Enzo (with Sheck Wes, feat. Offset, 21 Savage &amp; Gucci Mane)</t>
  </si>
  <si>
    <t>hip hop sureño americano,rap,trap</t>
  </si>
  <si>
    <t>2cs9NbGdcutSqoy0SEmyuY</t>
  </si>
  <si>
    <t>4 Life</t>
  </si>
  <si>
    <t>0ITaSRuI0L1RNL7ZNYTTi7</t>
  </si>
  <si>
    <t>U Are My High (with Future)</t>
  </si>
  <si>
    <t>rap</t>
  </si>
  <si>
    <t>3syIqcdNRjbFcWkEMRRT1d</t>
  </si>
  <si>
    <t>damn Right Pt. 2</t>
  </si>
  <si>
    <t>r&amp;b alternativo</t>
  </si>
  <si>
    <t>Arista Records</t>
  </si>
  <si>
    <t>30d50iqspscgtULK3QcEpf</t>
  </si>
  <si>
    <t>Slow Down</t>
  </si>
  <si>
    <t>Amsterdam Twerk Music</t>
  </si>
  <si>
    <t>0qczhh8fOxKyXqnaKouJyZ</t>
  </si>
  <si>
    <t>Smile (feat. Bryson Tiller)</t>
  </si>
  <si>
    <t>r&amp;b</t>
  </si>
  <si>
    <t>6QsMORizT7A2vwfOwU8xAM</t>
  </si>
  <si>
    <t>Maradona Riddim</t>
  </si>
  <si>
    <t>afrobeats,afrobeat,afropop,amapiano,afro house,alté</t>
  </si>
  <si>
    <t>2mQ7KmAI8gFLH3baaDXc6o</t>
  </si>
  <si>
    <t>How Deep Is Your Love - DJ Snake Remix</t>
  </si>
  <si>
    <t>How Deep Is Your Love (DJ Snake Remix)</t>
  </si>
  <si>
    <t>edm,house</t>
  </si>
  <si>
    <t>49uT6cp7GWk8GKnGOdPA1Q</t>
  </si>
  <si>
    <t>Dog Eat Dog (feat. Duke Deuce) - DJ Snake Remix</t>
  </si>
  <si>
    <t>Dog Eat Dog (feat. Duke Deuce) [DJ Snake Remix]</t>
  </si>
  <si>
    <t>rap de memphis</t>
  </si>
  <si>
    <t>Ultra Records, LLC</t>
  </si>
  <si>
    <t>60AUuYrFbCBnPvDfofMfVF</t>
  </si>
  <si>
    <t>SouthSide</t>
  </si>
  <si>
    <t>1f38Gx6xQz6r4H1jGVNBJo</t>
  </si>
  <si>
    <t>Loco Contigo (with J. Balvin &amp; Tyga)</t>
  </si>
  <si>
    <t>DJ Snake Music Productions Limited/Geffen Records</t>
  </si>
  <si>
    <t>6GwKMtW7nX6W8i36myS7TY</t>
  </si>
  <si>
    <t>Finding My Way</t>
  </si>
  <si>
    <t>Shara Rose</t>
  </si>
  <si>
    <t>Wildfire Music Records</t>
  </si>
  <si>
    <t>4WnxF24O6C5tQJbASiRkiq</t>
  </si>
  <si>
    <t>Purpose in the Process</t>
  </si>
  <si>
    <t>3ZKUHU0pexGkjgaNWutuUk</t>
  </si>
  <si>
    <t>Falling</t>
  </si>
  <si>
    <t>66mEgt9NFTsK2AVI1MnOHt</t>
  </si>
  <si>
    <t>Heart on Her Sleeve</t>
  </si>
  <si>
    <t>514sKNEFGsPYy0fRBYyPLK</t>
  </si>
  <si>
    <t>Four Chord Song</t>
  </si>
  <si>
    <t>2E9C2eNsb6ynk4FOwsDv2u</t>
  </si>
  <si>
    <t>Coming Home</t>
  </si>
  <si>
    <t>03Roej1xJUxdZxWpGof2OH</t>
  </si>
  <si>
    <t>Hold On</t>
  </si>
  <si>
    <t>2GIfOOa8hAywfzZptFz3xK</t>
  </si>
  <si>
    <t>Nightcall</t>
  </si>
  <si>
    <t>Kavinsky</t>
  </si>
  <si>
    <t>2025-02-17T18:11:36Z</t>
  </si>
  <si>
    <t>synthwave,house francés</t>
  </si>
  <si>
    <t>Mercury</t>
  </si>
  <si>
    <t>7D1Dq1oEmlKNJltvzTL0wN</t>
  </si>
  <si>
    <t>Roadgame</t>
  </si>
  <si>
    <t>OutRun</t>
  </si>
  <si>
    <t>Universal Music Division Virgin Music</t>
  </si>
  <si>
    <t>3T1CEAG5ukgdqGvQuXWzqI</t>
  </si>
  <si>
    <t>Odd Look</t>
  </si>
  <si>
    <t>5WsJ2FGI4e9JWKb6TCG3kL</t>
  </si>
  <si>
    <t>ProtoVision</t>
  </si>
  <si>
    <t>5MOwFMdgsaysrVPcE7Flnj</t>
  </si>
  <si>
    <t>Testarossa Autodrive</t>
  </si>
  <si>
    <t>2L229dt48Ged4SdbenZrd7</t>
  </si>
  <si>
    <t>Rampage</t>
  </si>
  <si>
    <t>3fGcMJNaGMxzfm0N1PkCVu</t>
  </si>
  <si>
    <t>First Blood</t>
  </si>
  <si>
    <t>1VVxgl7Xr1W7qsMe9yjsWx</t>
  </si>
  <si>
    <t>Endless</t>
  </si>
  <si>
    <t>7gJKrxhUIg4CRda1nkq5aj</t>
  </si>
  <si>
    <t>Pacific Coast Highway</t>
  </si>
  <si>
    <t>0WWBeDKdXmGbZD1XVOVqot</t>
  </si>
  <si>
    <t>I &lt;3 U SO</t>
  </si>
  <si>
    <t>The Rawkers (I &lt;3 U SO Edition)</t>
  </si>
  <si>
    <t>Cassius</t>
  </si>
  <si>
    <t>2025-02-17T18:12:13Z</t>
  </si>
  <si>
    <t>Cassius Records</t>
  </si>
  <si>
    <t>7cHhpJV9fC2AqgdiLvq1AO</t>
  </si>
  <si>
    <t>Toop Toop</t>
  </si>
  <si>
    <t>15 Again (Deluxe Edition)</t>
  </si>
  <si>
    <t>Love Supreme / Justice</t>
  </si>
  <si>
    <t>4CHGyhVoq5AVpG47klsVrL</t>
  </si>
  <si>
    <t>Cassius 1999 - Radio Edit</t>
  </si>
  <si>
    <t>1999 (Deluxe Edition)</t>
  </si>
  <si>
    <t>27tQgsWuNaFswSGGvHbohM</t>
  </si>
  <si>
    <t>The Sound of Violence (Cosmo Vitelli)</t>
  </si>
  <si>
    <t>Au Rêve (Deluxe Edition)</t>
  </si>
  <si>
    <t>house francés,disco house,electroclash</t>
  </si>
  <si>
    <t>5n9o0Z4Is58SMhpX3WWTLi</t>
  </si>
  <si>
    <t>Don't Let Me Be</t>
  </si>
  <si>
    <t>Dreems</t>
  </si>
  <si>
    <t>Universal Music Distribution Deal</t>
  </si>
  <si>
    <t>2SkmHcU5pmRjAjBZrrJr9f</t>
  </si>
  <si>
    <t>Go Up - Butch Remix</t>
  </si>
  <si>
    <t>Go Up</t>
  </si>
  <si>
    <t>house francés,disco house,slowcore,cantautores,tech house,minimal techno,acid techno</t>
  </si>
  <si>
    <t>0UHhtA7tNKZaEPh7hYZVGP</t>
  </si>
  <si>
    <t>Feeling for You</t>
  </si>
  <si>
    <t>0QaCNjtdot0XiD8E347iQn</t>
  </si>
  <si>
    <t>Oh My My</t>
  </si>
  <si>
    <t>pop suave,house francés,disco house</t>
  </si>
  <si>
    <t>Mosley / Interscope</t>
  </si>
  <si>
    <t>2dAcb7rIb2EeFsz8hebdue</t>
  </si>
  <si>
    <t>Under The Moon - Cassius Remix - Edit</t>
  </si>
  <si>
    <t>Under The Moon (Remixes)</t>
  </si>
  <si>
    <t>techno melódico,house melódico,house francés,disco house</t>
  </si>
  <si>
    <t>Different Recordings</t>
  </si>
  <si>
    <t>1XIq6CyuR7ye5s9Th88QZI</t>
  </si>
  <si>
    <t>Feel Like Me</t>
  </si>
  <si>
    <t>Ibifornia (Deluxe)</t>
  </si>
  <si>
    <t>house francés,disco house,slowcore,cantautores</t>
  </si>
  <si>
    <t>3xhvwPraj72arwAKX7SOPg</t>
  </si>
  <si>
    <t>Fame</t>
  </si>
  <si>
    <t>2Z30URGywcgNw8P8Vx0sHe</t>
  </si>
  <si>
    <t>Brotherhood</t>
  </si>
  <si>
    <t>43yQiATsXbfGkY7kKj40iM</t>
  </si>
  <si>
    <t>La Mouche - DJ Falcon Metal Mix</t>
  </si>
  <si>
    <t>house francés,disco house,frenchcore,gabber,speedcore,hardcore</t>
  </si>
  <si>
    <t>4NxfIPv4ZjTaMzVZtH9oow</t>
  </si>
  <si>
    <t>I &lt;3 U SO (Orchestral Version)</t>
  </si>
  <si>
    <t>Ed Banger 15</t>
  </si>
  <si>
    <t>clásica,ópera,house francés,disco house</t>
  </si>
  <si>
    <t>4FEmIwaDVpSuuwF3sGpHEr</t>
  </si>
  <si>
    <t>See Me Now</t>
  </si>
  <si>
    <t>61u5gfLBqZLu016cgE2ehk</t>
  </si>
  <si>
    <t>Chuffed</t>
  </si>
  <si>
    <t>4egymkz3Sz1R4kPVAaW5on</t>
  </si>
  <si>
    <t>W18</t>
  </si>
  <si>
    <t>2fuYIxtQ5RaI2jtk8ZBm8u</t>
  </si>
  <si>
    <t>Foxxy</t>
  </si>
  <si>
    <t>4LpGEnvKB8YMwBopulXG8o</t>
  </si>
  <si>
    <t>Action</t>
  </si>
  <si>
    <t>5rA7DqTr9MOmtQkqP8cblf</t>
  </si>
  <si>
    <t>Summer</t>
  </si>
  <si>
    <t>4Cr1sZks5f15M3dtFyOk8U</t>
  </si>
  <si>
    <t>Rock Number One</t>
  </si>
  <si>
    <t>6fxvRw4JYk4YsH4ZLXTON1</t>
  </si>
  <si>
    <t>Planetz</t>
  </si>
  <si>
    <t>6KUJhb05GZl7RdXzPC5QBM</t>
  </si>
  <si>
    <t>I'm a Woman</t>
  </si>
  <si>
    <t>6aV09cyg1Uc9GCMaYJDsBy</t>
  </si>
  <si>
    <t>Vedra</t>
  </si>
  <si>
    <t>1IHYSptLB6r1j6qdGFTmk6</t>
  </si>
  <si>
    <t>The Missing</t>
  </si>
  <si>
    <t>3YcI9SNFwDicWhnO15lJoB</t>
  </si>
  <si>
    <t>Chase</t>
  </si>
  <si>
    <t>43zYkiPqRoZDhBJaVBFbJQ</t>
  </si>
  <si>
    <t>Under Influence</t>
  </si>
  <si>
    <t>2iiKsk30JWTLhrzeHtPEoc</t>
  </si>
  <si>
    <t>Nothing About You</t>
  </si>
  <si>
    <t>0iC8WNLQnugOqfYhxz83oo</t>
  </si>
  <si>
    <t>Viber</t>
  </si>
  <si>
    <t>hard techno,disco,post-disco,house francés,disco house</t>
  </si>
  <si>
    <t>YAMA media group</t>
  </si>
  <si>
    <t>63y61SPPIwudZf7dWgqZRS</t>
  </si>
  <si>
    <t>Les Enfants - Gesaffelstein Remix</t>
  </si>
  <si>
    <t>0WNcBgiah3a1pBQyH3BWYQ</t>
  </si>
  <si>
    <t>Au Rêve</t>
  </si>
  <si>
    <t>3u0OuMebTDRivr1dliUzr6</t>
  </si>
  <si>
    <t>La Notte</t>
  </si>
  <si>
    <t>1p3QuCGM4EinShaanRe34E</t>
  </si>
  <si>
    <t>Ibifornia - Myd Remix</t>
  </si>
  <si>
    <t>Best Of 1996-2019</t>
  </si>
  <si>
    <t>2tUs6k338p9Sso0WARZR31</t>
  </si>
  <si>
    <t>The no no's</t>
  </si>
  <si>
    <t>1R9Qydz0HxT7XWE6ZaSLCD</t>
  </si>
  <si>
    <t>Ponce</t>
  </si>
  <si>
    <t>4mPlhnvLhHAOb00PNybMep</t>
  </si>
  <si>
    <t>Jackrock</t>
  </si>
  <si>
    <t>41Q0oON0fvLWptmfS8rDcO</t>
  </si>
  <si>
    <t>Youth Speed Trouble Cigarettes</t>
  </si>
  <si>
    <t>6PalltUabSklqyptHb10ja</t>
  </si>
  <si>
    <t>Till We Got You and Me</t>
  </si>
  <si>
    <t>1SDI72TghVIqM12vHBc5LC</t>
  </si>
  <si>
    <t>Remedy - Cassius Remix</t>
  </si>
  <si>
    <t>Remedy (Remixes)</t>
  </si>
  <si>
    <t>minimal techno,house francés,disco house</t>
  </si>
  <si>
    <t>Virgin/Mercury</t>
  </si>
  <si>
    <t>39DPuI340NQv3j3MQFHSO3</t>
  </si>
  <si>
    <t>All I Want</t>
  </si>
  <si>
    <t>5635ezDE4F4lPRNzKGDb5s</t>
  </si>
  <si>
    <t>Blue Jean Smile - Featuring John Gourley of Portugal. The Man</t>
  </si>
  <si>
    <t>5srk2inzioMC3Sxv7CFQqd</t>
  </si>
  <si>
    <t>Room Tone</t>
  </si>
  <si>
    <t>2ppFlHHSRwRSa33j2ZUezc</t>
  </si>
  <si>
    <t>Arcadine</t>
  </si>
  <si>
    <t>3J8iU2ojNU4XA6f04PLptc</t>
  </si>
  <si>
    <t>Dinapoly</t>
  </si>
  <si>
    <t>2yHeuf0e6LKaCCQc2psygi</t>
  </si>
  <si>
    <t>Hey You!</t>
  </si>
  <si>
    <t>5JLBYOuPItHb41YL95Tw8L</t>
  </si>
  <si>
    <t>Introverted Division</t>
  </si>
  <si>
    <t>A Normal Lost Phone (Original Game Soundtrack)</t>
  </si>
  <si>
    <t>G4F Records</t>
  </si>
  <si>
    <t>6LBiYp0Io5esqQrJWZlewV</t>
  </si>
  <si>
    <t>Shark Simple</t>
  </si>
  <si>
    <t>38bTq8itgA1oUsx8levUD1</t>
  </si>
  <si>
    <t>Grateful</t>
  </si>
  <si>
    <t>afrobeats,afrobeat,afropop,eurodance,house francés,disco house</t>
  </si>
  <si>
    <t>Solo artist</t>
  </si>
  <si>
    <t>0JIh11lSj8ZSvtVShKDUw8</t>
  </si>
  <si>
    <t>Cassius 99 - Original</t>
  </si>
  <si>
    <t>Cassius 99</t>
  </si>
  <si>
    <t>Ministry Of Sound</t>
  </si>
  <si>
    <t>76e4nwnkyaFp4y0T2g01dg</t>
  </si>
  <si>
    <t>2025-02-17T18:12:23Z</t>
  </si>
  <si>
    <t>7fYIXtdOUl8WqXAqQGyIHQ</t>
  </si>
  <si>
    <t>Daftendirekt</t>
  </si>
  <si>
    <t>Homework</t>
  </si>
  <si>
    <t>2025-02-17T18:13:24Z</t>
  </si>
  <si>
    <t>house francés,electrónica,electro</t>
  </si>
  <si>
    <t>Daft Life Ltd./ADA France</t>
  </si>
  <si>
    <t>7dTWkvPOPgbGuMk4HDxNpY</t>
  </si>
  <si>
    <t>WDPK 83.7 FM</t>
  </si>
  <si>
    <t>5pgZpHqfv4TSomtkfGZGrG</t>
  </si>
  <si>
    <t>Revolution 909</t>
  </si>
  <si>
    <t>0MyY4WcN7DIfbSmp5yej5z</t>
  </si>
  <si>
    <t>Da Funk</t>
  </si>
  <si>
    <t>6nQy5XEEEJKu8FE1FS2Wbt</t>
  </si>
  <si>
    <t>Phoenix</t>
  </si>
  <si>
    <t>78H72MElkOY9cRnaudxZFY</t>
  </si>
  <si>
    <t>Fresh</t>
  </si>
  <si>
    <t>1pKYYY0dkg23sQQXi0Q5zN</t>
  </si>
  <si>
    <t>Around the World</t>
  </si>
  <si>
    <t>6hgBJPTHoDJyxydmtFWHKf</t>
  </si>
  <si>
    <t>Rollin' &amp; Scratchin'</t>
  </si>
  <si>
    <t>4ZdjCuiWBv2weLftWPJ72c</t>
  </si>
  <si>
    <t>Teachers</t>
  </si>
  <si>
    <t>63ZAmhkAV6Kaw955ohbEsN</t>
  </si>
  <si>
    <t>High Fidelity</t>
  </si>
  <si>
    <t>1nluqUxDKnwWyScYVeQHXa</t>
  </si>
  <si>
    <t>Rock'n Roll</t>
  </si>
  <si>
    <t>3Pm4jgrXCu0W7gTqyrlR4F</t>
  </si>
  <si>
    <t>Oh Yeah</t>
  </si>
  <si>
    <t>6nSOhDfZOulWp0pnEHFrnn</t>
  </si>
  <si>
    <t>Burnin'</t>
  </si>
  <si>
    <t>4jF8GAMRCOenL17cNnBDI0</t>
  </si>
  <si>
    <t>Indo Silver Club</t>
  </si>
  <si>
    <t>1PH5Es89c1cENU8WVuWwbp</t>
  </si>
  <si>
    <t>Alive</t>
  </si>
  <si>
    <t>0cjavaamK4gxP9iZYw5I2X</t>
  </si>
  <si>
    <t>Funk Ad</t>
  </si>
  <si>
    <t>0DiWol3AO6WpXZgp0goxAV</t>
  </si>
  <si>
    <t>One More Time</t>
  </si>
  <si>
    <t>Discovery</t>
  </si>
  <si>
    <t>3H3cOQ6LBLSvmcaV7QkZEu</t>
  </si>
  <si>
    <t>Aerodynamic</t>
  </si>
  <si>
    <t>2VEZx7NWsZ1D0eJ4uv5Fym</t>
  </si>
  <si>
    <t>Digital Love</t>
  </si>
  <si>
    <t>5W3cjX2J3tjhG8zb6u0qHn</t>
  </si>
  <si>
    <t>Harder, Better, Faster, Stronger</t>
  </si>
  <si>
    <t>6vuPZX9fWESg5js2JFTQRJ</t>
  </si>
  <si>
    <t>Crescendolls</t>
  </si>
  <si>
    <t>63JXZZRbmzooashakb0zbu</t>
  </si>
  <si>
    <t>Nightvision</t>
  </si>
  <si>
    <t>186hvCTyrni4KT9nwIQ7zS</t>
  </si>
  <si>
    <t>Superheroes</t>
  </si>
  <si>
    <t>098ttCNmncrO4YvqWUNMvn</t>
  </si>
  <si>
    <t>High Life</t>
  </si>
  <si>
    <t>1NeLwFETswx8Fzxl2AFl91</t>
  </si>
  <si>
    <t>Something About Us</t>
  </si>
  <si>
    <t>7cMFjxhbXBpOlais7KMF3j</t>
  </si>
  <si>
    <t>Voyager</t>
  </si>
  <si>
    <t>2LD2gT7gwAurzdQDQtILds</t>
  </si>
  <si>
    <t>Veridis Quo</t>
  </si>
  <si>
    <t>4npMbTuxrUA3Wd7edACZ2L</t>
  </si>
  <si>
    <t>Short Circuit</t>
  </si>
  <si>
    <t>7v9Q0dAb9t7h8gJOkcJHay</t>
  </si>
  <si>
    <t>3zMvotMEQK3xvH01vA9wAP</t>
  </si>
  <si>
    <t>Too Long</t>
  </si>
  <si>
    <t>1pyTJdbGVBVvKXC3MtemHA</t>
  </si>
  <si>
    <t>Ouverture</t>
  </si>
  <si>
    <t>Daft Club</t>
  </si>
  <si>
    <t>15WSNNQZRQDOrzuKYMyrDX</t>
  </si>
  <si>
    <t>Aerodynamite</t>
  </si>
  <si>
    <t>3aByRUC2BVL6Fs1zI723sd</t>
  </si>
  <si>
    <t>Human After All</t>
  </si>
  <si>
    <t>2ABpuao3ZbTjP2cSiX9KZc</t>
  </si>
  <si>
    <t>The Prime Time of Your Life</t>
  </si>
  <si>
    <t>4zu9wo2FXoBSsKjO6tRB3R</t>
  </si>
  <si>
    <t>Robot Rock</t>
  </si>
  <si>
    <t>07KtTNn0wZndtN5NOYdBWR</t>
  </si>
  <si>
    <t>Steam Machine</t>
  </si>
  <si>
    <t>1WnXCfO6oIxG0TbJj29MqR</t>
  </si>
  <si>
    <t>Make Love</t>
  </si>
  <si>
    <t>61qwHnU8dyMqPemGzopDcp</t>
  </si>
  <si>
    <t>The Brainwasher</t>
  </si>
  <si>
    <t>0cV1dl2k19YoGbxTKDb0rH</t>
  </si>
  <si>
    <t>On / Off</t>
  </si>
  <si>
    <t>73mTIDCNKGfUF4MiFfR3b5</t>
  </si>
  <si>
    <t>Television Rules the Nation</t>
  </si>
  <si>
    <t>0LSLM0zuWRkEYemF7JcfEE</t>
  </si>
  <si>
    <t>Technologic</t>
  </si>
  <si>
    <t>3PsJ6zisndTa3F9eOjBfCc</t>
  </si>
  <si>
    <t>Emotion</t>
  </si>
  <si>
    <t>2easgxsXK5j6lNp63yZF7S</t>
  </si>
  <si>
    <t>Musique, Vol. 1</t>
  </si>
  <si>
    <t>3vYg8WcDdRyiHfOpfjqlTa</t>
  </si>
  <si>
    <t>TRON: Legacy</t>
  </si>
  <si>
    <t>4Bvxi5oUS3M4DezTfsd5pp</t>
  </si>
  <si>
    <t>1xPec5BN0Zxv77zrWKq43S</t>
  </si>
  <si>
    <t>0sl4vCvb4kyAnTDGqN94pb</t>
  </si>
  <si>
    <t>4AH5yql7KezJBvVBdW90Dc</t>
  </si>
  <si>
    <t>2aUDpZRSit5Zg2R6L5r6dW</t>
  </si>
  <si>
    <t>2xP7MLAMo06fuhne2M8pXA</t>
  </si>
  <si>
    <t>08DBDmvEgY2ZTVMVH2A8lt</t>
  </si>
  <si>
    <t>1YCO0AUl7FJyY0UsDIWUVo</t>
  </si>
  <si>
    <t>0ghtKRiQjRVAwK0syn43HA</t>
  </si>
  <si>
    <t>6d0B924xI8hHs3Xk7enRjj</t>
  </si>
  <si>
    <t>72MoCPAnz0UljAVmwHHw3Y</t>
  </si>
  <si>
    <t>5X4ojuZG2mZ68EcLyBQ1D3</t>
  </si>
  <si>
    <t>4XReCJmkuaKe5uuUhkjI7Q</t>
  </si>
  <si>
    <t>0Jc2SfIHv63JNsUZpunh54</t>
  </si>
  <si>
    <t>1H36BBwHZuAWszr2EET29m</t>
  </si>
  <si>
    <t>6sa8y1XKi2ljJd0z6sUEz3</t>
  </si>
  <si>
    <t>0GmOKTeqDD8OJdl15LBpyD</t>
  </si>
  <si>
    <t>5XxnQCH09YiaPPdUGS8xNC</t>
  </si>
  <si>
    <t>2OQS6fFDpJzpDVC6gNzoj5</t>
  </si>
  <si>
    <t>0mHayzmzEB485RkUCETcCL</t>
  </si>
  <si>
    <t>63Ul5qgAxlXbtj97gKaAfn</t>
  </si>
  <si>
    <t>0dEIca2nhcxDUV8C5QkPYb</t>
  </si>
  <si>
    <t>Give Life Back to Music</t>
  </si>
  <si>
    <t>Random Access Memories</t>
  </si>
  <si>
    <t>3ctALmweZBapfBdFiIVpji</t>
  </si>
  <si>
    <t>The Game of Love</t>
  </si>
  <si>
    <t>0oks4FnzhNp5QPTZtoet7c</t>
  </si>
  <si>
    <t>Giorgio by Moroder</t>
  </si>
  <si>
    <t>7Bxv0WL7UC6WwQpk9TzdMJ</t>
  </si>
  <si>
    <t>Within</t>
  </si>
  <si>
    <t>2cGxRwrMyEAp8dEbuZaVv6</t>
  </si>
  <si>
    <t>Instant Crush (feat. Julian Casablancas)</t>
  </si>
  <si>
    <t>5CMjjywI0eZMixPeqNd75R</t>
  </si>
  <si>
    <t>Lose Yourself to Dance (feat. Pharrell Williams)</t>
  </si>
  <si>
    <t>7oaEjLP2dTJLJsITbAxTOz</t>
  </si>
  <si>
    <t>Touch (feat. Paul Williams)</t>
  </si>
  <si>
    <t>69kOkLUCkxIZYexIgSG8rq</t>
  </si>
  <si>
    <t>Get Lucky (feat. Pharrell Williams and Nile Rodgers)</t>
  </si>
  <si>
    <t>0k1xMUwn9sb7bZiqdT9ygx</t>
  </si>
  <si>
    <t>Beyond</t>
  </si>
  <si>
    <t>79koEJRtKOOGJ0VSAF3FMk</t>
  </si>
  <si>
    <t>Motherboard</t>
  </si>
  <si>
    <t>0IedgQjjJ8Ad4B3UDQ5Lyn</t>
  </si>
  <si>
    <t>Fragments of Time (feat. Todd Edwards)</t>
  </si>
  <si>
    <t>house francés,electrónica,electro,uk garage</t>
  </si>
  <si>
    <t>36c4JohayB9qd64eidQMBi</t>
  </si>
  <si>
    <t>Doin' it Right (feat. Panda Bear)</t>
  </si>
  <si>
    <t>house francés,electrónica,electro,pop psicodélico</t>
  </si>
  <si>
    <t>2KHRENHQzTIQ001nlP9Gdc</t>
  </si>
  <si>
    <t>Contact</t>
  </si>
  <si>
    <t>5eS6pTvDNOvh2kyxeZtK3r</t>
  </si>
  <si>
    <t>Robot Rock / Oh Yeah</t>
  </si>
  <si>
    <t>Alive 2007</t>
  </si>
  <si>
    <t>4IdiGMOzEYXOh2897XOV8i</t>
  </si>
  <si>
    <t>Touch It / Technologic</t>
  </si>
  <si>
    <t>1E8S3CSv20KrKT0C1yAjkO</t>
  </si>
  <si>
    <t>Television Rules the Nation / Crescendolls</t>
  </si>
  <si>
    <t>3n4ow4XGzwSIPxA3JHLF9p</t>
  </si>
  <si>
    <t>Too Long / Steam Machine</t>
  </si>
  <si>
    <t>5RByQFt9Mlo8hDYJ921tCv</t>
  </si>
  <si>
    <t>Around the World / Harder, Better, Faster, Stronger</t>
  </si>
  <si>
    <t>3Ons6C3wXBMi8nYpLBMlVe</t>
  </si>
  <si>
    <t>Burnin' / Too Long</t>
  </si>
  <si>
    <t>5XzGyYZemDuCG3OdbhVFvh</t>
  </si>
  <si>
    <t>Face to Face / Short Circuit</t>
  </si>
  <si>
    <t>1H1d4dr7Hk5Rrd8Tb5y5yr</t>
  </si>
  <si>
    <t>One More Time / Aerodynamic</t>
  </si>
  <si>
    <t>0rFTPTXuVFIOYGnqXbWm3X</t>
  </si>
  <si>
    <t>Aerodynamic Beats / Gabrielle , Forget About the World</t>
  </si>
  <si>
    <t>3qVD67mL0JxgU0VQVKR52G</t>
  </si>
  <si>
    <t>Prime Time of Your Life / Brainwasher / Rollin' &amp; Scratchin' / Alive</t>
  </si>
  <si>
    <t>5OWhFeNXZ2RGbsGpl3rIc3</t>
  </si>
  <si>
    <t>Da Funk / Daftendirekt</t>
  </si>
  <si>
    <t>029O4HWI1pVXLfFdfQd1Jb</t>
  </si>
  <si>
    <t>Superheroes / Human After All / Rock'n Roll</t>
  </si>
  <si>
    <t>5q2KGgJV5l4MAnnGIrvKSK</t>
  </si>
  <si>
    <t>Human After All / Together / One More Time / Music Sounds Better with You</t>
  </si>
  <si>
    <t>4r4fX4NZIqVIhGyDvERp0l</t>
  </si>
  <si>
    <t>Infinity Repeating (2013 Demo) [feat. Julian Casablancas+The Voidz]</t>
  </si>
  <si>
    <t>Random Access Memories (10th Anniversary Edition)</t>
  </si>
  <si>
    <t>Columbia/Legacy</t>
  </si>
  <si>
    <t>0itnOxZv0jVH0E6PaV02RR</t>
  </si>
  <si>
    <t>Heterotopia (feat. Yelle)</t>
  </si>
  <si>
    <t>Full Circle</t>
  </si>
  <si>
    <t>2025-02-17T18:18:00Z</t>
  </si>
  <si>
    <t>nu disco,house francés,pop francés,electroclash,electropop</t>
  </si>
  <si>
    <t>Pulse Recordings/Interscope</t>
  </si>
  <si>
    <t>7DDBUYDTVDXs4OLU2maVaP</t>
  </si>
  <si>
    <t>All the time / Tout le temps (feat. Yelle)</t>
  </si>
  <si>
    <t>nu disco,dance alternativo,pop francés,house francés,electroclash,electropop</t>
  </si>
  <si>
    <t>Neon Gold</t>
  </si>
  <si>
    <t>4H9637mkUDyk9Rq0WgDEwc</t>
  </si>
  <si>
    <t>Je veux te voir</t>
  </si>
  <si>
    <t>Pop-Up</t>
  </si>
  <si>
    <t>Yelle</t>
  </si>
  <si>
    <t>pop francés,house francés,electroclash,electropop</t>
  </si>
  <si>
    <t>57yvq1ThmT4PYWa8iaK4GJ</t>
  </si>
  <si>
    <t>Box Of Stars Pt. 1 (feat. Kirk Franklin, CHIKA, D Smoke, Sho Madjozi, Yelle &amp; Kanyi Mavi)</t>
  </si>
  <si>
    <t>Djesse Vol. 4</t>
  </si>
  <si>
    <t>gqom,amapiano,afrobeats,afrobeat,afropop,gengetone,pop francés,house francés,electroclash,electropop,góspel,góspel r&amp;b,adoración,r&amp;b alternativo</t>
  </si>
  <si>
    <t>0vQH42DnQe4F0i7uxlcY0t</t>
  </si>
  <si>
    <t>Je t'aime encore</t>
  </si>
  <si>
    <t>L'Ère du Verseau</t>
  </si>
  <si>
    <t>Recreation Center</t>
  </si>
  <si>
    <t>0N5NY3HZ3IQ4oawVUGZysh</t>
  </si>
  <si>
    <t>Safari Disco Club</t>
  </si>
  <si>
    <t>2KjJhGtseXQBI5Cg6ZZdc9</t>
  </si>
  <si>
    <t>Ce jeu</t>
  </si>
  <si>
    <t>5MgRdYexoyjUNHX1QLI4Sv</t>
  </si>
  <si>
    <t>Pas touche !</t>
  </si>
  <si>
    <t>Les reines du drame (Bande originale du film)</t>
  </si>
  <si>
    <t>B Original</t>
  </si>
  <si>
    <t>1zvmRYVcCbdr2ml6U9cqxw</t>
  </si>
  <si>
    <t>Des Choses</t>
  </si>
  <si>
    <t>coldwave,pop francés,house francés,electroclash,electropop</t>
  </si>
  <si>
    <t>bORDEL</t>
  </si>
  <si>
    <t>5i8mPZVSSAlKEP0wSvOVrR</t>
  </si>
  <si>
    <t>Que veux-tu - Madeon Remix - Bonus Track</t>
  </si>
  <si>
    <t>pop francés,house francés,electroclash,electropop,edm</t>
  </si>
  <si>
    <t>4kti5sAkWBOhPyCVItDYf8</t>
  </si>
  <si>
    <t>À cause des garçons</t>
  </si>
  <si>
    <t>1AWfu7duhNfynT4UdtIqZT</t>
  </si>
  <si>
    <t>Kitsuné Maison Compilation 5</t>
  </si>
  <si>
    <t>Kitsuné Musique</t>
  </si>
  <si>
    <t>2WW7Arojbo2WaeSwLma08q</t>
  </si>
  <si>
    <t>Les bruits de la ville (feat. Yelle)</t>
  </si>
  <si>
    <t>Les bruits de la ville</t>
  </si>
  <si>
    <t>Entreprise</t>
  </si>
  <si>
    <t>3OQGpcCuGCIJXGHy0NEVPS</t>
  </si>
  <si>
    <t>Karaté</t>
  </si>
  <si>
    <t>53PRjczQXUh21lIxNwk3yL</t>
  </si>
  <si>
    <t>Tu peux toucher</t>
  </si>
  <si>
    <t>2c5qBGUZBUm6g369hX6nSz</t>
  </si>
  <si>
    <t>Les glaçons</t>
  </si>
  <si>
    <t>Adieu les monstres</t>
  </si>
  <si>
    <t>Wagram Music / Cinq 7</t>
  </si>
  <si>
    <t>3rfTe2727kQq0XgI9Z2W5v</t>
  </si>
  <si>
    <t>Complètement fou</t>
  </si>
  <si>
    <t>Kemosabe Records</t>
  </si>
  <si>
    <t>20LrIavRVjwwj3vo4E0clF</t>
  </si>
  <si>
    <t>J'veux un chien</t>
  </si>
  <si>
    <t>4JD8PzfV0eBiRMQhHPB36L</t>
  </si>
  <si>
    <t>T'as Vu</t>
  </si>
  <si>
    <t>Up Music/WM France</t>
  </si>
  <si>
    <t>539ckdvQ87wGhh80AvvTka</t>
  </si>
  <si>
    <t>Diane</t>
  </si>
  <si>
    <t>Music</t>
  </si>
  <si>
    <t>Dad Feels</t>
  </si>
  <si>
    <t>2Ab2xJJw3hcXBi7LZM3PC5</t>
  </si>
  <si>
    <t>Ba$$in</t>
  </si>
  <si>
    <t>6lqFOh4asrkApenj6JBnDG</t>
  </si>
  <si>
    <t>Noir</t>
  </si>
  <si>
    <t>2eljp0UvqxmnHoyHyd7x8z</t>
  </si>
  <si>
    <t>Romeo</t>
  </si>
  <si>
    <t>0GilgfvWdDZDG6BtdtORLF</t>
  </si>
  <si>
    <t>Cooler Couleur</t>
  </si>
  <si>
    <t>Kitsuné Maison Compilation 9: Petit Bateau Edition</t>
  </si>
  <si>
    <t>0Te2a3FekGW0Y8iLmJr5L0</t>
  </si>
  <si>
    <t>Comme un enfant</t>
  </si>
  <si>
    <t>1HTHa7DI817mV9pZrwG5s7</t>
  </si>
  <si>
    <t>Vue d'en face</t>
  </si>
  <si>
    <t>5sxKFQFUkAeREUdCAaHS1G</t>
  </si>
  <si>
    <t>Ophélie</t>
  </si>
  <si>
    <t>Version Française</t>
  </si>
  <si>
    <t>lounge,pop francés,house francés,electroclash,electropop</t>
  </si>
  <si>
    <t>[PIAS] Recordings France</t>
  </si>
  <si>
    <t>782OONM1PMurXVSIyINPvY</t>
  </si>
  <si>
    <t>Tristesse / joie</t>
  </si>
  <si>
    <t>5alNDd1XkheweO5fUygqDO</t>
  </si>
  <si>
    <t>Moteur Action (SOPHIE &amp; A. G. Cook remix)</t>
  </si>
  <si>
    <t>Complètement Fou (Remix) [EP]</t>
  </si>
  <si>
    <t>1KvgSMOsFH2hgGMg2yNSzE</t>
  </si>
  <si>
    <t>Emancipense</t>
  </si>
  <si>
    <t>4RGtbLNiQtyRv7ZuLUowJQ</t>
  </si>
  <si>
    <t>Ici &amp; Maintenant (Here &amp; Now)</t>
  </si>
  <si>
    <t>Ici &amp; Maintenant (Here &amp; Now) - Single</t>
  </si>
  <si>
    <t>3Q434tG4MdftCIgsYP0xQa</t>
  </si>
  <si>
    <t>Tu es beau</t>
  </si>
  <si>
    <t>6c6AgSLuZIDB0cXRtnohnC</t>
  </si>
  <si>
    <t>Nuit de baise I</t>
  </si>
  <si>
    <t>4DHT5FB2rVe1PuJMcgZmg2</t>
  </si>
  <si>
    <t>Top Fan</t>
  </si>
  <si>
    <t>6yBf1Jw66gvBrqNzIs8Pp0</t>
  </si>
  <si>
    <t>La musique</t>
  </si>
  <si>
    <t>5TnHQX4kZylRUcL9L6CJ4o</t>
  </si>
  <si>
    <t>Les femmes</t>
  </si>
  <si>
    <t>2Ml26UFwFntcVB2vSyWXoX</t>
  </si>
  <si>
    <t>Bouquet final</t>
  </si>
  <si>
    <t>2iZnEWmk0bbBZDBPS4TYma</t>
  </si>
  <si>
    <t>Qui est cette fille ?</t>
  </si>
  <si>
    <t>1vRVZ16JdxOS8F9onFk3rn</t>
  </si>
  <si>
    <t>Chimie Physique</t>
  </si>
  <si>
    <t>0lkLFSn0AX6x3MNx6bpG9L</t>
  </si>
  <si>
    <t>Interpassion</t>
  </si>
  <si>
    <t>6RPZOMgZsnPKa4BQYQLWXL</t>
  </si>
  <si>
    <t>Coca sans bulles</t>
  </si>
  <si>
    <t>4haR6dW3UdBjhidpeYL62h</t>
  </si>
  <si>
    <t>L'amour parfait</t>
  </si>
  <si>
    <t>3T1i3LVFwISRrtLP5qSjwH</t>
  </si>
  <si>
    <t>C'est pas une vie</t>
  </si>
  <si>
    <t>1Xe5FfC6zb0ExE4lBB8OlM</t>
  </si>
  <si>
    <t>OMG!!!</t>
  </si>
  <si>
    <t>4Sltbsa3u76jjUlZeb258y</t>
  </si>
  <si>
    <t>Nuit de baise II</t>
  </si>
  <si>
    <t>spotify:artist:5MhLmv7GgyjbxGqiIGasvT</t>
  </si>
  <si>
    <t>spotify:album:3e7TxckusgnC1AYnAqbl2z</t>
  </si>
  <si>
    <t>OxygÃ¨ne</t>
  </si>
  <si>
    <t>https://i.scdn.co/image/ab67616d0000b273d51e6d66cda008f80104c821</t>
  </si>
  <si>
    <t>https://p.scdn.co/mp3-preview/8405242374be52b736c9efe9f8c28c7c331bf63d?cid=9950ac751e34487dbbe027c4fd7f8e99</t>
  </si>
  <si>
    <t>FR45F7600100</t>
  </si>
  <si>
    <t>https://p.scdn.co/mp3-preview/a5148318145d97f0c37db25bff2a6a510d4c09f5?cid=9950ac751e34487dbbe027c4fd7f8e99</t>
  </si>
  <si>
    <t>FR45F1100060</t>
  </si>
  <si>
    <t>https://p.scdn.co/mp3-preview/1871777600513828bc3d38dd2ed323148c0592b3?cid=9950ac751e34487dbbe027c4fd7f8e99</t>
  </si>
  <si>
    <t>FR45F1100070</t>
  </si>
  <si>
    <t>https://p.scdn.co/mp3-preview/bc5ae7d35f8e2238a99ca27ff127d25b615f1f48?cid=9950ac751e34487dbbe027c4fd7f8e99</t>
  </si>
  <si>
    <t>FR45F1100080</t>
  </si>
  <si>
    <t>https://p.scdn.co/mp3-preview/0819087f1b87e614a81c17a3ae4e30610cd7dffe?cid=9950ac751e34487dbbe027c4fd7f8e99</t>
  </si>
  <si>
    <t>FR45F1100090</t>
  </si>
  <si>
    <t>https://p.scdn.co/mp3-preview/4d88d13b8d05ef642ea713c4b0ac667f0e79806a?cid=9950ac751e34487dbbe027c4fd7f8e99</t>
  </si>
  <si>
    <t>FR45F1100100</t>
  </si>
  <si>
    <t>spotify:album:41Dl68Kik63nV6zvn07NgY</t>
  </si>
  <si>
    <t>https://i.scdn.co/image/ab67616d0000b2733d70ce0abd4c2e65b4b54f23</t>
  </si>
  <si>
    <t>https://p.scdn.co/mp3-preview/a7176ca31725e114b234ebd489e151e5e089822b?cid=9950ac751e34487dbbe027c4fd7f8e99</t>
  </si>
  <si>
    <t>FR14F7800180</t>
  </si>
  <si>
    <t>https://p.scdn.co/mp3-preview/55a1d09d1b7ad2e0570948b461ce631ee3c47bc9?cid=9950ac751e34487dbbe027c4fd7f8e99</t>
  </si>
  <si>
    <t>FR14F7800240</t>
  </si>
  <si>
    <t>https://p.scdn.co/mp3-preview/a5d89f6698e46413767247a060ff9ad53b4d3c0b?cid=9950ac751e34487dbbe027c4fd7f8e99</t>
  </si>
  <si>
    <t>FR14F1100590</t>
  </si>
  <si>
    <t>https://p.scdn.co/mp3-preview/8365ecd9bb09b7c223698e74ded4d0b038d8b371?cid=9950ac751e34487dbbe027c4fd7f8e99</t>
  </si>
  <si>
    <t>FR14F1100540</t>
  </si>
  <si>
    <t>https://p.scdn.co/mp3-preview/0acdf64777e94eb330f2f68fe9c8d1f90771fde9?cid=9950ac751e34487dbbe027c4fd7f8e99</t>
  </si>
  <si>
    <t>FR14F7800260</t>
  </si>
  <si>
    <t>https://p.scdn.co/mp3-preview/41d7a38e1207bb00b84f9994ffaca859b08d30d7?cid=9950ac751e34487dbbe027c4fd7f8e99</t>
  </si>
  <si>
    <t>FR14F1100550</t>
  </si>
  <si>
    <t>https://p.scdn.co/mp3-preview/43ba26d10dd2b6c3ddfb60fa12684f1bbad03e08?cid=9950ac751e34487dbbe027c4fd7f8e99</t>
  </si>
  <si>
    <t>FR14F1100560</t>
  </si>
  <si>
    <t>https://p.scdn.co/mp3-preview/5aff85f69392a66a8ee54255df5bc049523f99b3?cid=9950ac751e34487dbbe027c4fd7f8e99</t>
  </si>
  <si>
    <t>FR14F7800190</t>
  </si>
  <si>
    <t>spotify:album:7G4AN82pnj8i93f03cnm8D</t>
  </si>
  <si>
    <t>Les Chants MagnÃ©tiques / Magnetic Fields</t>
  </si>
  <si>
    <t>https://i.scdn.co/image/ab67616d0000b273fa367ab926d31e57e37b908d</t>
  </si>
  <si>
    <t>https://p.scdn.co/mp3-preview/94fa4fd7a42f5646fe0afc9b0786a8695dc6f0cb?cid=9950ac751e34487dbbe027c4fd7f8e99</t>
  </si>
  <si>
    <t>FR14F8100180</t>
  </si>
  <si>
    <t>https://p.scdn.co/mp3-preview/ea22fca36d5e855cc243124b2107189cf1a73fbd?cid=9950ac751e34487dbbe027c4fd7f8e99</t>
  </si>
  <si>
    <t>FR14F8100120</t>
  </si>
  <si>
    <t>https://p.scdn.co/mp3-preview/e373f41c593c2fcce69ee3e44474c11048852d34?cid=9950ac751e34487dbbe027c4fd7f8e99</t>
  </si>
  <si>
    <t>FR14F1100570</t>
  </si>
  <si>
    <t>https://p.scdn.co/mp3-preview/d21e051d0ac30f7092fbfc29b4522e046719b084?cid=9950ac751e34487dbbe027c4fd7f8e99</t>
  </si>
  <si>
    <t>FR14F1100580</t>
  </si>
  <si>
    <t>https://p.scdn.co/mp3-preview/30822e14d980a318be2ad37af78bf6edf84b1641?cid=9950ac751e34487dbbe027c4fd7f8e99</t>
  </si>
  <si>
    <t>FR14F8100140</t>
  </si>
  <si>
    <t>spotify:album:5AWvWkGvVtkZy9JfPYnLeS</t>
  </si>
  <si>
    <t>https://i.scdn.co/image/ab67616d0000b2731e04e7479f1714b14987e599</t>
  </si>
  <si>
    <t>https://p.scdn.co/mp3-preview/783b8772db95e86a574f81ae09e39a4c4b2a6888?cid=9950ac751e34487dbbe027c4fd7f8e99</t>
  </si>
  <si>
    <t>DEE861400722</t>
  </si>
  <si>
    <t>https://p.scdn.co/mp3-preview/085b10b5c322cb173c911c7dd9d5f8777b7857ad?cid=9950ac751e34487dbbe027c4fd7f8e99</t>
  </si>
  <si>
    <t>DEE861400723</t>
  </si>
  <si>
    <t>https://p.scdn.co/mp3-preview/fc5ab7ce661c881e96f8bc0f2dfc9e7626c0da77?cid=9950ac751e34487dbbe027c4fd7f8e99</t>
  </si>
  <si>
    <t>DEE861400724</t>
  </si>
  <si>
    <t>https://p.scdn.co/mp3-preview/906e3297a05dbe4f5f615de7def9176c2fd9dff2?cid=9950ac751e34487dbbe027c4fd7f8e99</t>
  </si>
  <si>
    <t>DEE861400725</t>
  </si>
  <si>
    <t>https://p.scdn.co/mp3-preview/df19fbc10b46d04583a771afd0f65b47cb6c598b?cid=9950ac751e34487dbbe027c4fd7f8e99</t>
  </si>
  <si>
    <t>DEE861400726</t>
  </si>
  <si>
    <t>https://p.scdn.co/mp3-preview/44af7d291b356ab1baa0c2eafdf4577129964105?cid=9950ac751e34487dbbe027c4fd7f8e99</t>
  </si>
  <si>
    <t>DEE861400727</t>
  </si>
  <si>
    <t>https://p.scdn.co/mp3-preview/6f1c167fa69a45c294c861a36a646b6e51d4b547?cid=9950ac751e34487dbbe027c4fd7f8e99</t>
  </si>
  <si>
    <t>DEE861400728</t>
  </si>
  <si>
    <t>spotify:album:3YrKqMhEdhdvS3BrmKurFr</t>
  </si>
  <si>
    <t>https://i.scdn.co/image/ab67616d0000b273a8c95c467d2912d2289142e4</t>
  </si>
  <si>
    <t>DEE861400756</t>
  </si>
  <si>
    <t>DEE861400757</t>
  </si>
  <si>
    <t>DEE861400758</t>
  </si>
  <si>
    <t>DEE861400759</t>
  </si>
  <si>
    <t>DEE861400760</t>
  </si>
  <si>
    <t>DEE861400761</t>
  </si>
  <si>
    <t>spotify:album:07hWHCwj1oI1aUWJhZ03l2</t>
  </si>
  <si>
    <t>https://i.scdn.co/image/ab67616d0000b273a230a349d6256817ee39c950</t>
  </si>
  <si>
    <t>https://p.scdn.co/mp3-preview/7b1013519c0408289e10f8144a06e2f89337fdad?cid=9950ac751e34487dbbe027c4fd7f8e99</t>
  </si>
  <si>
    <t>DEE861400770</t>
  </si>
  <si>
    <t>https://p.scdn.co/mp3-preview/9bd71bdf32f7579519078867354c531f5f0e4302?cid=9950ac751e34487dbbe027c4fd7f8e99</t>
  </si>
  <si>
    <t>DEE861400771</t>
  </si>
  <si>
    <t>https://p.scdn.co/mp3-preview/597b8cb965d65ae774c233df47afeda5a18e1a87?cid=9950ac751e34487dbbe027c4fd7f8e99</t>
  </si>
  <si>
    <t>DEE861400772</t>
  </si>
  <si>
    <t>https://p.scdn.co/mp3-preview/26e980d0e1dc2bfdbb17789c96a7bd2c532514ef?cid=9950ac751e34487dbbe027c4fd7f8e99</t>
  </si>
  <si>
    <t>DEE861400773</t>
  </si>
  <si>
    <t>https://p.scdn.co/mp3-preview/8b6d71119f892ace4825a6d31b51d21cbeac9495?cid=9950ac751e34487dbbe027c4fd7f8e99</t>
  </si>
  <si>
    <t>DEE861400774</t>
  </si>
  <si>
    <t>https://p.scdn.co/mp3-preview/d6d3cd4649d3edaa6d54645b23faa383a40ee17f?cid=9950ac751e34487dbbe027c4fd7f8e99</t>
  </si>
  <si>
    <t>DEE861400775</t>
  </si>
  <si>
    <t>https://p.scdn.co/mp3-preview/0a915993437e59112903cb5855f15273791e21cd?cid=9950ac751e34487dbbe027c4fd7f8e99</t>
  </si>
  <si>
    <t>DEE861400776</t>
  </si>
  <si>
    <t>https://p.scdn.co/mp3-preview/45144a9abe9ffcb2dfdd7cb47094e02ddb0ddfe6?cid=9950ac751e34487dbbe027c4fd7f8e99</t>
  </si>
  <si>
    <t>DEE861400777</t>
  </si>
  <si>
    <t>https://p.scdn.co/mp3-preview/d288223fd5c9b2dc72cd76da96ddd14fe1137782?cid=9950ac751e34487dbbe027c4fd7f8e99</t>
  </si>
  <si>
    <t>DEE861400778</t>
  </si>
  <si>
    <t>https://p.scdn.co/mp3-preview/7e19c8a60fd808439e4610c70f240380279f24ee?cid=9950ac751e34487dbbe027c4fd7f8e99</t>
  </si>
  <si>
    <t>DEE861400779</t>
  </si>
  <si>
    <t>spotify:album:60vXLMUO9Usc7txfM7wmJL</t>
  </si>
  <si>
    <t>https://i.scdn.co/image/ab67616d0000b273fccf49c7f9a31f591e72d8a0</t>
  </si>
  <si>
    <t>https://p.scdn.co/mp3-preview/3b868f4e922eed07f5f7e30f1f1ccddb252a6c05?cid=9950ac751e34487dbbe027c4fd7f8e99</t>
  </si>
  <si>
    <t>DEE861400780</t>
  </si>
  <si>
    <t>https://p.scdn.co/mp3-preview/d80dadbfe49d6a8c66f1e3e621262eae8a1276f1?cid=9950ac751e34487dbbe027c4fd7f8e99</t>
  </si>
  <si>
    <t>DEE861400781</t>
  </si>
  <si>
    <t>https://p.scdn.co/mp3-preview/e856086e5a9573a09df35358fce545cef231143c?cid=9950ac751e34487dbbe027c4fd7f8e99</t>
  </si>
  <si>
    <t>DEE861400782</t>
  </si>
  <si>
    <t>https://p.scdn.co/mp3-preview/382d414a14642676bf4587e763bd8fd26251332e?cid=9950ac751e34487dbbe027c4fd7f8e99</t>
  </si>
  <si>
    <t>DEE861400783</t>
  </si>
  <si>
    <t>spotify:album:4RTDlj21LMbDZD5sm4WTEW</t>
  </si>
  <si>
    <t>https://i.scdn.co/image/ab67616d0000b273dae32ab51194394f576a6f3c</t>
  </si>
  <si>
    <t>https://p.scdn.co/mp3-preview/1fba5c98f7857e294eb9a308f4ed6edb6b725668?cid=9950ac751e34487dbbe027c4fd7f8e99</t>
  </si>
  <si>
    <t>DEE861400762</t>
  </si>
  <si>
    <t>https://p.scdn.co/mp3-preview/3cd31966b691fedbb9bf20e9fb11a3a71750f5f3?cid=9950ac751e34487dbbe027c4fd7f8e99</t>
  </si>
  <si>
    <t>DEE861400763</t>
  </si>
  <si>
    <t>https://p.scdn.co/mp3-preview/01bb108723e21a726e59da01b1297b7af2de221c?cid=9950ac751e34487dbbe027c4fd7f8e99</t>
  </si>
  <si>
    <t>DEE861400764</t>
  </si>
  <si>
    <t>https://p.scdn.co/mp3-preview/e274a59c0578b48e205207c117d556798e5c1841?cid=9950ac751e34487dbbe027c4fd7f8e99</t>
  </si>
  <si>
    <t>DEE861400765</t>
  </si>
  <si>
    <t>https://p.scdn.co/mp3-preview/9658a092b4cbcb74d04c67d66abcf18321a4f3c8?cid=9950ac751e34487dbbe027c4fd7f8e99</t>
  </si>
  <si>
    <t>DEE861400766</t>
  </si>
  <si>
    <t>https://p.scdn.co/mp3-preview/7b54927923ca268cae909b5848a5ec1574592fdb?cid=9950ac751e34487dbbe027c4fd7f8e99</t>
  </si>
  <si>
    <t>DEE861400767</t>
  </si>
  <si>
    <t>https://p.scdn.co/mp3-preview/bf36986d452c86a0d3ecdba1c7b57a8d1d3d469b?cid=9950ac751e34487dbbe027c4fd7f8e99</t>
  </si>
  <si>
    <t>DEE861400768</t>
  </si>
  <si>
    <t>https://p.scdn.co/mp3-preview/37c38a709ce79e513ca663bb3723ba5f867b3388?cid=9950ac751e34487dbbe027c4fd7f8e99</t>
  </si>
  <si>
    <t>DEE861400769</t>
  </si>
  <si>
    <t>spotify:album:469JDZgyHrDdZT25FeLKgT</t>
  </si>
  <si>
    <t>https://i.scdn.co/image/ab67616d0000b273f0ebde6d9dd82a4f12462245</t>
  </si>
  <si>
    <t>https://p.scdn.co/mp3-preview/5e3fdb1040b82c9cc4e78a128577b478a270b785?cid=9950ac751e34487dbbe027c4fd7f8e99</t>
  </si>
  <si>
    <t>FR14F9600370</t>
  </si>
  <si>
    <t>https://p.scdn.co/mp3-preview/579a0364eb3b3260fa19e1d3222e72c612270e59?cid=9950ac751e34487dbbe027c4fd7f8e99</t>
  </si>
  <si>
    <t>FR14F9600380</t>
  </si>
  <si>
    <t>https://p.scdn.co/mp3-preview/623ae959e79cdfcd8b2a7c8b9b1da1c273ab6aa0?cid=9950ac751e34487dbbe027c4fd7f8e99</t>
  </si>
  <si>
    <t>FR14F9600390</t>
  </si>
  <si>
    <t>https://p.scdn.co/mp3-preview/550af884767622e613f626826487bdb705043078?cid=9950ac751e34487dbbe027c4fd7f8e99</t>
  </si>
  <si>
    <t>FR14F9600400</t>
  </si>
  <si>
    <t>https://p.scdn.co/mp3-preview/921f52eb7529625adcaf6d3b4fb8372e124d9789?cid=9950ac751e34487dbbe027c4fd7f8e99</t>
  </si>
  <si>
    <t>FR14F9600410</t>
  </si>
  <si>
    <t>https://p.scdn.co/mp3-preview/0a01402e3e2e5c08a0b24917924b3fb72d7fe03b?cid=9950ac751e34487dbbe027c4fd7f8e99</t>
  </si>
  <si>
    <t>FR14F9600420</t>
  </si>
  <si>
    <t>https://p.scdn.co/mp3-preview/aab73179a7d60372108dbc0044330cfd84a5229a?cid=9950ac751e34487dbbe027c4fd7f8e99</t>
  </si>
  <si>
    <t>FR14F9600430</t>
  </si>
  <si>
    <t>spotify:artist:5MhLmv7GgyjbxGqiIGasvT, spotify:artist:62k5LKMhymqlDNo2DWOvvv</t>
  </si>
  <si>
    <t>Jean-Michel Jarre, Boys Noize</t>
  </si>
  <si>
    <t>spotify:album:1an1egJawYV7ms2iu7rSA3</t>
  </si>
  <si>
    <t>https://i.scdn.co/image/ab67616d0000b27376987a71d6639ea8f44b5c09</t>
  </si>
  <si>
    <t>https://p.scdn.co/mp3-preview/af1f33a563a97207f43122626900f7482185207f?cid=9950ac751e34487dbbe027c4fd7f8e99</t>
  </si>
  <si>
    <t>UK9LA1400101</t>
  </si>
  <si>
    <t>spotify:artist:5MhLmv7GgyjbxGqiIGasvT, spotify:artist:63MQldklfxkjYDoUE4Tppz</t>
  </si>
  <si>
    <t>Jean-Michel Jarre, M83</t>
  </si>
  <si>
    <t>https://p.scdn.co/mp3-preview/d0194d7fcef8b92e692350548283b3ea37485821?cid=9950ac751e34487dbbe027c4fd7f8e99</t>
  </si>
  <si>
    <t>UK9LA1400103</t>
  </si>
  <si>
    <t>spotify:artist:5MhLmv7GgyjbxGqiIGasvT, spotify:artist:1P6U1dCeHxPui5pIrGmndZ</t>
  </si>
  <si>
    <t>Jean-Michel Jarre, Air</t>
  </si>
  <si>
    <t>https://p.scdn.co/mp3-preview/9bb80ea6fd329b0e0b6aeae20cb95f97d05791e4?cid=9950ac751e34487dbbe027c4fd7f8e99</t>
  </si>
  <si>
    <t>UK9LA1400109</t>
  </si>
  <si>
    <t>spotify:artist:5MhLmv7GgyjbxGqiIGasvT, spotify:artist:5cqFwqJIN9AVvX6zy8NmZ6</t>
  </si>
  <si>
    <t>Jean-Michel Jarre, Vincent Clarke</t>
  </si>
  <si>
    <t>https://p.scdn.co/mp3-preview/ecc42aabb0e7d2f042e33d9202cc7a685aa14a74?cid=9950ac751e34487dbbe027c4fd7f8e99</t>
  </si>
  <si>
    <t>UK9LA1400104</t>
  </si>
  <si>
    <t>https://p.scdn.co/mp3-preview/7cbb7249ad7a93dccd0b8f51c3885c18fb3ba0d4?cid=9950ac751e34487dbbe027c4fd7f8e99</t>
  </si>
  <si>
    <t>UK9LA1400105</t>
  </si>
  <si>
    <t>spotify:artist:5MhLmv7GgyjbxGqiIGasvT, spotify:artist:0MoXIHcFwhIWnFgBfdvQ30</t>
  </si>
  <si>
    <t>Jean-Michel Jarre, Little Boots</t>
  </si>
  <si>
    <t>https://p.scdn.co/mp3-preview/1eb8f7f9b5084a8b2411c25b92a0e236d5849e04?cid=9950ac751e34487dbbe027c4fd7f8e99</t>
  </si>
  <si>
    <t>UK9LA1400106</t>
  </si>
  <si>
    <t>spotify:artist:5MhLmv7GgyjbxGqiIGasvT, spotify:artist:6tCENAD2FBfIMyygJMeOJV</t>
  </si>
  <si>
    <t>Jean-Michel Jarre, Fuck Buttons</t>
  </si>
  <si>
    <t>https://p.scdn.co/mp3-preview/560cac1e91ce1bcaf54d9d54d9e97cc7e8baf936?cid=9950ac751e34487dbbe027c4fd7f8e99</t>
  </si>
  <si>
    <t>UK9LA1400107</t>
  </si>
  <si>
    <t>spotify:artist:5MhLmv7GgyjbxGqiIGasvT, spotify:artist:3OsRAKCvk37zwYcnzRf5XF</t>
  </si>
  <si>
    <t>Jean-Michel Jarre, Moby</t>
  </si>
  <si>
    <t>https://p.scdn.co/mp3-preview/32b0c55131014ab9b8bc1b2244fbdaaddb62882b?cid=9950ac751e34487dbbe027c4fd7f8e99</t>
  </si>
  <si>
    <t>UK9LA1400108</t>
  </si>
  <si>
    <t>spotify:artist:5MhLmv7GgyjbxGqiIGasvT, spotify:artist:3hteYQFiMFbJY7wS0xDymP</t>
  </si>
  <si>
    <t>Jean-Michel Jarre, Gesaffelstein</t>
  </si>
  <si>
    <t>https://p.scdn.co/mp3-preview/800a364674af0736b49f0275edca079b868dc1ec?cid=9950ac751e34487dbbe027c4fd7f8e99</t>
  </si>
  <si>
    <t>UK9LA1400102</t>
  </si>
  <si>
    <t>spotify:artist:5MhLmv7GgyjbxGqiIGasvT, spotify:artist:24Wa5wIZIo1sPkzVGP0B5p</t>
  </si>
  <si>
    <t>Jean-Michel Jarre, Pete Townshend</t>
  </si>
  <si>
    <t>https://p.scdn.co/mp3-preview/8f39536485f7d9e320bd998d2ecf70d95cce9b37?cid=9950ac751e34487dbbe027c4fd7f8e99</t>
  </si>
  <si>
    <t>UK9LA1400111</t>
  </si>
  <si>
    <t>spotify:artist:5MhLmv7GgyjbxGqiIGasvT, spotify:artist:1BGN1IdyiSR0ZYrkoKNchl</t>
  </si>
  <si>
    <t>Jean-Michel Jarre, Tangerine Dream</t>
  </si>
  <si>
    <t>https://p.scdn.co/mp3-preview/27612f29a0999997891ff39f12f58b94b818d2d5?cid=9950ac751e34487dbbe027c4fd7f8e99</t>
  </si>
  <si>
    <t>UK9LA1400113</t>
  </si>
  <si>
    <t>spotify:artist:5MhLmv7GgyjbxGqiIGasvT, spotify:artist:5hqB3Fxgin9YGYa0mIGf1G</t>
  </si>
  <si>
    <t>Jean-Michel Jarre, Laurie Anderson</t>
  </si>
  <si>
    <t>https://p.scdn.co/mp3-preview/12d2c296218f203e11bbbd87e053c7e94578950d?cid=9950ac751e34487dbbe027c4fd7f8e99</t>
  </si>
  <si>
    <t>UK9LA1400114</t>
  </si>
  <si>
    <t>spotify:artist:5MhLmv7GgyjbxGqiIGasvT, spotify:artist:0SfsnGyD8FpIN4U4WCkBZ5</t>
  </si>
  <si>
    <t>Jean-Michel Jarre, Armin van Buuren</t>
  </si>
  <si>
    <t>https://p.scdn.co/mp3-preview/615f75c0216c4f8a479f926af221ba89b9fb6a9a?cid=9950ac751e34487dbbe027c4fd7f8e99</t>
  </si>
  <si>
    <t>UK9LA1400116</t>
  </si>
  <si>
    <t>spotify:artist:5MhLmv7GgyjbxGqiIGasvT, spotify:artist:4zAWaK86OnoWfLOCEXk1gA</t>
  </si>
  <si>
    <t>Jean-Michel Jarre, 3D (Massive Attack)</t>
  </si>
  <si>
    <t>https://p.scdn.co/mp3-preview/8a64cb6715c029b3a2eb9aa0818892495fd9382f?cid=9950ac751e34487dbbe027c4fd7f8e99</t>
  </si>
  <si>
    <t>UK9LA1400115</t>
  </si>
  <si>
    <t>spotify:artist:5MhLmv7GgyjbxGqiIGasvT, spotify:artist:0hxQtmgWiPtEsDPeIuKxXq</t>
  </si>
  <si>
    <t>Jean-Michel Jarre, John Carpenter</t>
  </si>
  <si>
    <t>https://p.scdn.co/mp3-preview/b150b5f178e7ac954f9eb3360292048bdef148d1?cid=9950ac751e34487dbbe027c4fd7f8e99</t>
  </si>
  <si>
    <t>UK9LA1400117</t>
  </si>
  <si>
    <t>spotify:artist:5MhLmv7GgyjbxGqiIGasvT, spotify:artist:1YZhNFBxkEB5UKTgMDvot4</t>
  </si>
  <si>
    <t>Jean-Michel Jarre, Lang Lang</t>
  </si>
  <si>
    <t>https://p.scdn.co/mp3-preview/1cb469c6673dae27fc662fe050be18308c6bd43b?cid=9950ac751e34487dbbe027c4fd7f8e99</t>
  </si>
  <si>
    <t>UK9LA1400118</t>
  </si>
  <si>
    <t>https://p.scdn.co/mp3-preview/d2567af41d936d78c7aacb6ad3e604c49f9991bd?cid=9950ac751e34487dbbe027c4fd7f8e99</t>
  </si>
  <si>
    <t>UK9LA1411111</t>
  </si>
  <si>
    <t>spotify:artist:5MhLmv7GgyjbxGqiIGasvT, spotify:artist:3Dw9w3jnmr58ocgxiwITcq</t>
  </si>
  <si>
    <t>Jean-Michel Jarre, Rone</t>
  </si>
  <si>
    <t>spotify:album:2Q5Mrul369ojL9N8DWkWQZ</t>
  </si>
  <si>
    <t>https://i.scdn.co/image/ab67616d0000b273359a423dd08ed414400e0cb7</t>
  </si>
  <si>
    <t>https://p.scdn.co/mp3-preview/1a4fc4192d142983aa63c737f5e1b9480619955e?cid=9950ac751e34487dbbe027c4fd7f8e99</t>
  </si>
  <si>
    <t>UK9LA1600101</t>
  </si>
  <si>
    <t>https://p.scdn.co/mp3-preview/52ce20ccece044265565bece361a76f20ff1717f?cid=9950ac751e34487dbbe027c4fd7f8e99</t>
  </si>
  <si>
    <t>UK9LA1600102</t>
  </si>
  <si>
    <t>spotify:artist:5MhLmv7GgyjbxGqiIGasvT, spotify:artist:2ycnb8Er79LoH2AsR5ldjh</t>
  </si>
  <si>
    <t>Jean-Michel Jarre, Pet Shop Boys</t>
  </si>
  <si>
    <t>https://p.scdn.co/mp3-preview/cd2fd18636d2676d23ed79d207aaa2355391cea7?cid=9950ac751e34487dbbe027c4fd7f8e99</t>
  </si>
  <si>
    <t>UK9LA1600103</t>
  </si>
  <si>
    <t>spotify:artist:5MhLmv7GgyjbxGqiIGasvT, spotify:artist:0bsV0sUjnCuCTYOnNHQl3E</t>
  </si>
  <si>
    <t>Jean-Michel Jarre, Julia Holter</t>
  </si>
  <si>
    <t>https://p.scdn.co/mp3-preview/b4a49e65518cd35207242dae19eaf8efb1742d99?cid=9950ac751e34487dbbe027c4fd7f8e99</t>
  </si>
  <si>
    <t>UK9LA1600104</t>
  </si>
  <si>
    <t>spotify:artist:5MhLmv7GgyjbxGqiIGasvT, spotify:artist:3wury2nd8idV4GecUg5xze</t>
  </si>
  <si>
    <t>Jean-Michel Jarre, Primal Scream</t>
  </si>
  <si>
    <t>https://p.scdn.co/mp3-preview/e64c956d87692305c50706efe285470925260de7?cid=9950ac751e34487dbbe027c4fd7f8e99</t>
  </si>
  <si>
    <t>UK9LA1600105</t>
  </si>
  <si>
    <t>spotify:artist:5MhLmv7GgyjbxGqiIGasvT, spotify:artist:5KQMtyPE8DCQNUzoNqlEsE</t>
  </si>
  <si>
    <t>Jean-Michel Jarre, Gary Numan</t>
  </si>
  <si>
    <t>https://p.scdn.co/mp3-preview/6a4e217b773d6417a0af5e99d85218dbcc2e78b0?cid=9950ac751e34487dbbe027c4fd7f8e99</t>
  </si>
  <si>
    <t>UK9LA1600106</t>
  </si>
  <si>
    <t>spotify:artist:5MhLmv7GgyjbxGqiIGasvT, spotify:artist:0YC192cP3KPCRWx8zr8MfZ</t>
  </si>
  <si>
    <t>Jean-Michel Jarre, Hans Zimmer</t>
  </si>
  <si>
    <t>https://p.scdn.co/mp3-preview/53abdab736e224b2ee679a41d9414aa83004a0a4?cid=9950ac751e34487dbbe027c4fd7f8e99</t>
  </si>
  <si>
    <t>UK9LA1600107</t>
  </si>
  <si>
    <t>spotify:artist:5MhLmv7GgyjbxGqiIGasvT, spotify:artist:5Qay5yizWXqdijRvNd5KX2</t>
  </si>
  <si>
    <t>Jean-Michel Jarre, Edward Snowden</t>
  </si>
  <si>
    <t>https://p.scdn.co/mp3-preview/b4787c64b9c52941a32e77816b2782e8d723efcb?cid=9950ac751e34487dbbe027c4fd7f8e99</t>
  </si>
  <si>
    <t>UK9LA1600108</t>
  </si>
  <si>
    <t>spotify:artist:5MhLmv7GgyjbxGqiIGasvT, spotify:artist:1gkSl4XpHIHI4I1WQbfXOE</t>
  </si>
  <si>
    <t>Jean-Michel Jarre, Peaches</t>
  </si>
  <si>
    <t>https://p.scdn.co/mp3-preview/ac5d9f9ad34d90aff1e9c7c355317133bd83b8cf?cid=9950ac751e34487dbbe027c4fd7f8e99</t>
  </si>
  <si>
    <t>UK9LA1600109</t>
  </si>
  <si>
    <t>spotify:artist:5MhLmv7GgyjbxGqiIGasvT, spotify:artist:23ymPLjbtAMzTJS2qRtQ8Z</t>
  </si>
  <si>
    <t>Jean-Michel Jarre, SÃ©bastien Tellier</t>
  </si>
  <si>
    <t>https://p.scdn.co/mp3-preview/0487bc1047a4bb21e79b6269d72d28d05ed5089f?cid=9950ac751e34487dbbe027c4fd7f8e99</t>
  </si>
  <si>
    <t>UK9LA1600110</t>
  </si>
  <si>
    <t>spotify:artist:5MhLmv7GgyjbxGqiIGasvT, spotify:artist:5HAtRoEPUvGSA7ziTGB1cF</t>
  </si>
  <si>
    <t>Jean-Michel Jarre, The Orb</t>
  </si>
  <si>
    <t>https://p.scdn.co/mp3-preview/40fb3be52e36734524c70acf2118ca2f73880bdd?cid=9950ac751e34487dbbe027c4fd7f8e99</t>
  </si>
  <si>
    <t>UK9LA1600111</t>
  </si>
  <si>
    <t>spotify:artist:5MhLmv7GgyjbxGqiIGasvT, spotify:artist:22680B8sUdq6bL6nQaJfwg</t>
  </si>
  <si>
    <t>Jean-Michel Jarre, Siriusmo</t>
  </si>
  <si>
    <t>https://p.scdn.co/mp3-preview/24b12b9c7f6b1ea637df7a7af81cde3ce9d7ad26?cid=9950ac751e34487dbbe027c4fd7f8e99</t>
  </si>
  <si>
    <t>UK9LA1600112</t>
  </si>
  <si>
    <t>spotify:artist:5MhLmv7GgyjbxGqiIGasvT, spotify:artist:3xgj17ZsWxxU86S4qlWvOi</t>
  </si>
  <si>
    <t>Jean-Michel Jarre, Yello</t>
  </si>
  <si>
    <t>https://p.scdn.co/mp3-preview/8c2aa43f20a15fe788e81dd3810e8107026560e2?cid=9950ac751e34487dbbe027c4fd7f8e99</t>
  </si>
  <si>
    <t>UK9LA1600113</t>
  </si>
  <si>
    <t>spotify:artist:5MhLmv7GgyjbxGqiIGasvT, spotify:artist:2eIDAcLKnWc4D350YyzvgS</t>
  </si>
  <si>
    <t>Jean-Michel Jarre, Jeff Mills</t>
  </si>
  <si>
    <t>https://p.scdn.co/mp3-preview/cab6cd9e8026f8697b415671c7ab275f316203e3?cid=9950ac751e34487dbbe027c4fd7f8e99</t>
  </si>
  <si>
    <t>UK9LA1600114</t>
  </si>
  <si>
    <t>spotify:artist:5MhLmv7GgyjbxGqiIGasvT, spotify:artist:2BTZIqw0ntH9MvilQ3ewNY</t>
  </si>
  <si>
    <t>Jean-Michel Jarre, Cyndi Lauper</t>
  </si>
  <si>
    <t>https://p.scdn.co/mp3-preview/fd56e952a5ccd64f26dc21694ccee3f1d7ac54b6?cid=9950ac751e34487dbbe027c4fd7f8e99</t>
  </si>
  <si>
    <t>UK9LA1600115</t>
  </si>
  <si>
    <t>spotify:artist:5MhLmv7GgyjbxGqiIGasvT, spotify:artist:6MmRTVIPIe35OsFqWgRKQJ</t>
  </si>
  <si>
    <t>Jean-Michel Jarre, Christophe</t>
  </si>
  <si>
    <t>https://p.scdn.co/mp3-preview/4ce2d27ca137e2ed1ede69cf2e1f7724d51c1f4c?cid=9950ac751e34487dbbe027c4fd7f8e99</t>
  </si>
  <si>
    <t>UK9LA1600116</t>
  </si>
  <si>
    <t>https://p.scdn.co/mp3-preview/a5c760f9534425501bff23f13c23918fa1a3287d?cid=9950ac751e34487dbbe027c4fd7f8e99</t>
  </si>
  <si>
    <t>UK9LA1600117</t>
  </si>
  <si>
    <t>https://p.scdn.co/mp3-preview/9ff2a6752fb01e126bed38bc46918459a842cecb?cid=9950ac751e34487dbbe027c4fd7f8e99</t>
  </si>
  <si>
    <t>UK9LA1600118</t>
  </si>
  <si>
    <t>https://p.scdn.co/mp3-preview/7fb8146306553246064801db43fb427752c6d819?cid=9950ac751e34487dbbe027c4fd7f8e99</t>
  </si>
  <si>
    <t>UK9LA1622222</t>
  </si>
  <si>
    <t>spotify:album:6YUl40nDFQSE2BlDOjxK6R</t>
  </si>
  <si>
    <t>https://i.scdn.co/image/ab67616d0000b2732a85d17ba6acdb1c7ca734cc</t>
  </si>
  <si>
    <t>https://p.scdn.co/mp3-preview/f9f217afe299814390d240cc17844830fe8b778c?cid=9950ac751e34487dbbe027c4fd7f8e99</t>
  </si>
  <si>
    <t>FR0LO1600023</t>
  </si>
  <si>
    <t>https://p.scdn.co/mp3-preview/6712e57aac359e2c095b2446c4484e6621b6bd3b?cid=9950ac751e34487dbbe027c4fd7f8e99</t>
  </si>
  <si>
    <t>FR0LO1600024</t>
  </si>
  <si>
    <t>https://p.scdn.co/mp3-preview/b3bc67350c0cedcaed456df97b1ec7a9853b0798?cid=9950ac751e34487dbbe027c4fd7f8e99</t>
  </si>
  <si>
    <t>FR0LO1600025</t>
  </si>
  <si>
    <t>https://p.scdn.co/mp3-preview/5f5fdcc66dfb6777b23b4275cddf24a4979da440?cid=9950ac751e34487dbbe027c4fd7f8e99</t>
  </si>
  <si>
    <t>FR0LO1600026</t>
  </si>
  <si>
    <t>https://p.scdn.co/mp3-preview/a0d8233a7326ec4b5ed750c6325771b94f4ca90d?cid=9950ac751e34487dbbe027c4fd7f8e99</t>
  </si>
  <si>
    <t>FR0LO1600027</t>
  </si>
  <si>
    <t>https://p.scdn.co/mp3-preview/66e365e23d9d8e3ce827e39d8f236e144e5bcc68?cid=9950ac751e34487dbbe027c4fd7f8e99</t>
  </si>
  <si>
    <t>FR0LO1600028</t>
  </si>
  <si>
    <t>https://p.scdn.co/mp3-preview/d71cb5ee48c68d25e8abfcefc056cc17a9d6bcd2?cid=9950ac751e34487dbbe027c4fd7f8e99</t>
  </si>
  <si>
    <t>FR0LO1600029</t>
  </si>
  <si>
    <t>FR0LO1600030</t>
  </si>
  <si>
    <t>spotify:album:1I15TUSEsDHXn4IIvDsFHe</t>
  </si>
  <si>
    <t>https://i.scdn.co/image/ab67616d0000b273ca09e2edf097c13c8399a43b</t>
  </si>
  <si>
    <t>https://p.scdn.co/mp3-preview/74f1598127192392681310c5a32b5dbfd596bfc9?cid=9950ac751e34487dbbe027c4fd7f8e99</t>
  </si>
  <si>
    <t>FR14F8200160</t>
  </si>
  <si>
    <t>https://p.scdn.co/mp3-preview/eb9725b1683fda80a6f1c17b30561f09ed2741ab?cid=9950ac751e34487dbbe027c4fd7f8e99</t>
  </si>
  <si>
    <t>FR14F8200150</t>
  </si>
  <si>
    <t>https://p.scdn.co/mp3-preview/6206c7b61ec1eddcd05611e188d7b75ed294142a?cid=9950ac751e34487dbbe027c4fd7f8e99</t>
  </si>
  <si>
    <t>FR14F8200140</t>
  </si>
  <si>
    <t>Jonques De PÃªcheurs Au Crepuscule - Live</t>
  </si>
  <si>
    <t>https://p.scdn.co/mp3-preview/b30423d6c0b5559947bcecf0035b690418445069?cid=9950ac751e34487dbbe027c4fd7f8e99</t>
  </si>
  <si>
    <t>FR14F8200130</t>
  </si>
  <si>
    <t>https://p.scdn.co/mp3-preview/f792600da63e5cc4f22e384aac0f8cea5f4467cc?cid=9950ac751e34487dbbe027c4fd7f8e99</t>
  </si>
  <si>
    <t>FR14F8200120</t>
  </si>
  <si>
    <t>https://p.scdn.co/mp3-preview/69d1e9d0dafb4a3786ee55962205b513773c6b2e?cid=9950ac751e34487dbbe027c4fd7f8e99</t>
  </si>
  <si>
    <t>FR14F8200110</t>
  </si>
  <si>
    <t>https://p.scdn.co/mp3-preview/2e0d2f105b677bca773cb1de47d4eaf8a7240b32?cid=9950ac751e34487dbbe027c4fd7f8e99</t>
  </si>
  <si>
    <t>FR14F8200100</t>
  </si>
  <si>
    <t>https://p.scdn.co/mp3-preview/d7adfe1db0b59a74423c7480e0f9650d491c6d2d?cid=9950ac751e34487dbbe027c4fd7f8e99</t>
  </si>
  <si>
    <t>FR14F8200490</t>
  </si>
  <si>
    <t>https://p.scdn.co/mp3-preview/93b47c46c971a48846ab5c90cad6ed968584d6b9?cid=9950ac751e34487dbbe027c4fd7f8e99</t>
  </si>
  <si>
    <t>FR14F8200080</t>
  </si>
  <si>
    <t>https://p.scdn.co/mp3-preview/f7b7ce37d518cff9dc602c6208dfbfe3fc382274?cid=9950ac751e34487dbbe027c4fd7f8e99</t>
  </si>
  <si>
    <t>FR14F8200070</t>
  </si>
  <si>
    <t>https://p.scdn.co/mp3-preview/7b346eedc149e6c2b5a786551814984db146a0ef?cid=9950ac751e34487dbbe027c4fd7f8e99</t>
  </si>
  <si>
    <t>FR14F8200510</t>
  </si>
  <si>
    <t>https://p.scdn.co/mp3-preview/55b80ad53e205a8793b550c2eac649b99d4cb12f?cid=9950ac751e34487dbbe027c4fd7f8e99</t>
  </si>
  <si>
    <t>FR14F8200050</t>
  </si>
  <si>
    <t>La DerniÃ¨re Rumba - Live</t>
  </si>
  <si>
    <t>https://p.scdn.co/mp3-preview/d71835be65c9adc46b4cb32e341581d8d2b283c3?cid=9950ac751e34487dbbe027c4fd7f8e99</t>
  </si>
  <si>
    <t>FR14F8200520</t>
  </si>
  <si>
    <t>https://p.scdn.co/mp3-preview/1c7ca96bda446e10d552d263253f8d0334fb7e7e?cid=9950ac751e34487dbbe027c4fd7f8e99</t>
  </si>
  <si>
    <t>FR14F8200220</t>
  </si>
  <si>
    <t>https://p.scdn.co/mp3-preview/d409959bb3bc07ea3317feb53713d2f876c97b89?cid=9950ac751e34487dbbe027c4fd7f8e99</t>
  </si>
  <si>
    <t>FR14F8200010</t>
  </si>
  <si>
    <t>spotify:album:3CZGEWr6wQBWbGbFnJkV6Q</t>
  </si>
  <si>
    <t>https://i.scdn.co/image/ab67616d0000b273b97b9dd6c74f157dcde149e0</t>
  </si>
  <si>
    <t>https://p.scdn.co/mp3-preview/6252e76ed54f52b6da91514ca7c328a95980a5a5?cid=9950ac751e34487dbbe027c4fd7f8e99</t>
  </si>
  <si>
    <t>FR45F8600010</t>
  </si>
  <si>
    <t>https://p.scdn.co/mp3-preview/fa3b4b69eb2bb7b17654e116f4e36006aaba45d7?cid=9950ac751e34487dbbe027c4fd7f8e99</t>
  </si>
  <si>
    <t>FR14F8600270</t>
  </si>
  <si>
    <t>https://p.scdn.co/mp3-preview/f1f1b4e9302bb897059d2eead05b23d80bdce512?cid=9950ac751e34487dbbe027c4fd7f8e99</t>
  </si>
  <si>
    <t>FR14F8600320</t>
  </si>
  <si>
    <t>https://p.scdn.co/mp3-preview/44a202a304f8af6835161ff91f0e4e0ef847c342?cid=9950ac751e34487dbbe027c4fd7f8e99</t>
  </si>
  <si>
    <t>FR14F8600310</t>
  </si>
  <si>
    <t>https://p.scdn.co/mp3-preview/81dd231fcc1f32c76a010d46fd439b0831fed31e?cid=9950ac751e34487dbbe027c4fd7f8e99</t>
  </si>
  <si>
    <t>FR14F8600300</t>
  </si>
  <si>
    <t>https://p.scdn.co/mp3-preview/e10d04071340ba6facb3fdd1246af491c79cc8ae?cid=9950ac751e34487dbbe027c4fd7f8e99</t>
  </si>
  <si>
    <t>FR14F8600640</t>
  </si>
  <si>
    <t>https://p.scdn.co/mp3-preview/94c21a7f59c3bc6ceeee117791f8ddcc0a10c283?cid=9950ac751e34487dbbe027c4fd7f8e99</t>
  </si>
  <si>
    <t>FR14F8600290</t>
  </si>
  <si>
    <t>https://p.scdn.co/mp3-preview/47fd306d950d63f027795554fc336b3f85c3006f?cid=9950ac751e34487dbbe027c4fd7f8e99</t>
  </si>
  <si>
    <t>FR14F8600150</t>
  </si>
  <si>
    <t>https://p.scdn.co/mp3-preview/062f76b2aa9794869ac113a3dc7f502525390e32?cid=9950ac751e34487dbbe027c4fd7f8e99</t>
  </si>
  <si>
    <t>FR14F8600250</t>
  </si>
  <si>
    <t>https://p.scdn.co/mp3-preview/00fea04a1bf3b43e8b45059523dde63ab5ac7f2b?cid=9950ac751e34487dbbe027c4fd7f8e99</t>
  </si>
  <si>
    <t>FR14F8600330</t>
  </si>
  <si>
    <t>spotify:album:4w2HxmFer408GFuO3a9V3a</t>
  </si>
  <si>
    <t>https://i.scdn.co/image/ab67616d0000b27379bb9bfdbe6d5f49aa75ab22</t>
  </si>
  <si>
    <t>https://p.scdn.co/mp3-preview/9e9ab1224c2ea18bb867ad6cd2c4e01f89c3a645?cid=9950ac751e34487dbbe027c4fd7f8e99</t>
  </si>
  <si>
    <t>FR14F8900270</t>
  </si>
  <si>
    <t>https://p.scdn.co/mp3-preview/6d17a9edcf32fb1df8e996a8d031488bae9ee454?cid=9950ac751e34487dbbe027c4fd7f8e99</t>
  </si>
  <si>
    <t>FR14F8900280</t>
  </si>
  <si>
    <t>https://p.scdn.co/mp3-preview/ce5c73276485285ef77166d6b85e5d23850f95ff?cid=9950ac751e34487dbbe027c4fd7f8e99</t>
  </si>
  <si>
    <t>FR14F8900290</t>
  </si>
  <si>
    <t>Chants magnÃ©tiques, Pt. 2</t>
  </si>
  <si>
    <t>https://p.scdn.co/mp3-preview/0e5147c55f2673fed53911d279659d952b3e2dfb?cid=9950ac751e34487dbbe027c4fd7f8e99</t>
  </si>
  <si>
    <t>FR14F8900350</t>
  </si>
  <si>
    <t>https://p.scdn.co/mp3-preview/a311da7af000608b70c6fe951c687ad027e18bac?cid=9950ac751e34487dbbe027c4fd7f8e99</t>
  </si>
  <si>
    <t>FR45F8800010</t>
  </si>
  <si>
    <t>https://p.scdn.co/mp3-preview/2ade5e30da89d23df57729d7fca436e9325b093b?cid=9950ac751e34487dbbe027c4fd7f8e99</t>
  </si>
  <si>
    <t>FR14F8900030</t>
  </si>
  <si>
    <t>https://p.scdn.co/mp3-preview/4be91dc35e9ed21c50f1b9e4bb3fbc01b5e54a93?cid=9950ac751e34487dbbe027c4fd7f8e99</t>
  </si>
  <si>
    <t>FR14F8900300</t>
  </si>
  <si>
    <t>https://p.scdn.co/mp3-preview/8d3ee3cc05d82f4c31fe3b6cbdf43390e8506b37?cid=9950ac751e34487dbbe027c4fd7f8e99</t>
  </si>
  <si>
    <t>FR14F8900050</t>
  </si>
  <si>
    <t>https://p.scdn.co/mp3-preview/8c32e2abad3f8d0ada7b94254365d8d34c0d3e95?cid=9950ac751e34487dbbe027c4fd7f8e99</t>
  </si>
  <si>
    <t>FR14F8900310</t>
  </si>
  <si>
    <t>https://p.scdn.co/mp3-preview/bb9884158ad97add637123e3016c430d509ab8eb?cid=9950ac751e34487dbbe027c4fd7f8e99</t>
  </si>
  <si>
    <t>FR14F8900320</t>
  </si>
  <si>
    <t>https://p.scdn.co/mp3-preview/85c97d3fdb2d1042b5a8a031dd4af5dab6b428f7?cid=9950ac751e34487dbbe027c4fd7f8e99</t>
  </si>
  <si>
    <t>FR14F8900040</t>
  </si>
  <si>
    <t>https://p.scdn.co/mp3-preview/291dbdc2da97eea7fde74259379fe08acb661df8?cid=9950ac751e34487dbbe027c4fd7f8e99</t>
  </si>
  <si>
    <t>FR14F8900330</t>
  </si>
  <si>
    <t>spotify:album:4jgAODRrzEoKHSBOAp7g3y</t>
  </si>
  <si>
    <t>https://i.scdn.co/image/ab67616d0000b273549c7972b8511360e8761adf</t>
  </si>
  <si>
    <t>https://p.scdn.co/mp3-preview/99dd8f7d535e196c58577f22de44de60d282e931?cid=9950ac751e34487dbbe027c4fd7f8e99</t>
  </si>
  <si>
    <t>FR0LO1800024</t>
  </si>
  <si>
    <t>https://p.scdn.co/mp3-preview/d65afe59191e2d151d88692bbd513014004b1f6a?cid=9950ac751e34487dbbe027c4fd7f8e99</t>
  </si>
  <si>
    <t>FR0LO1800025</t>
  </si>
  <si>
    <t>https://p.scdn.co/mp3-preview/d903bd1992e43d26f9b4ec3d94dc70db51743d9b?cid=9950ac751e34487dbbe027c4fd7f8e99</t>
  </si>
  <si>
    <t>FR0LO1800026</t>
  </si>
  <si>
    <t>https://p.scdn.co/mp3-preview/589427eedbf4719dcb4fe9847dfe712daac14f98?cid=9950ac751e34487dbbe027c4fd7f8e99</t>
  </si>
  <si>
    <t>FR0LO1800027</t>
  </si>
  <si>
    <t>https://p.scdn.co/mp3-preview/5f1e6b50088e01eb14bbddddc17d68ab84ebcfce?cid=9950ac751e34487dbbe027c4fd7f8e99</t>
  </si>
  <si>
    <t>FR0LO1800034</t>
  </si>
  <si>
    <t>https://p.scdn.co/mp3-preview/f87cbbe0a368049b8b6a018356c4a3690ba806c2?cid=9950ac751e34487dbbe027c4fd7f8e99</t>
  </si>
  <si>
    <t>FR0LO1800029</t>
  </si>
  <si>
    <t>https://p.scdn.co/mp3-preview/4a1faa5d65221796ef0e254bf686888094a7a6ba?cid=9950ac751e34487dbbe027c4fd7f8e99</t>
  </si>
  <si>
    <t>FR0LO1800030</t>
  </si>
  <si>
    <t>https://p.scdn.co/mp3-preview/0c4f421aafa26eba90c8eb53cc7a5565d029f913?cid=9950ac751e34487dbbe027c4fd7f8e99</t>
  </si>
  <si>
    <t>FR0LO1800031</t>
  </si>
  <si>
    <t>https://p.scdn.co/mp3-preview/e0b4cbb83c9e6a58888bd3bb4d4e640b88dfaf79?cid=9950ac751e34487dbbe027c4fd7f8e99</t>
  </si>
  <si>
    <t>FR0LO1800032</t>
  </si>
  <si>
    <t>https://p.scdn.co/mp3-preview/5b73893196ccaf519956714d0030e14c3fd47082?cid=9950ac751e34487dbbe027c4fd7f8e99</t>
  </si>
  <si>
    <t>FR0LO1800033</t>
  </si>
  <si>
    <t>https://p.scdn.co/mp3-preview/cee0086e9f51aa7ef68b9b4435326802bc34ce9d?cid=9950ac751e34487dbbe027c4fd7f8e99</t>
  </si>
  <si>
    <t>FR0LO1800045</t>
  </si>
  <si>
    <t>spotify:album:4xUil17gSLUP4ktGAcL6Nq</t>
  </si>
  <si>
    <t>https://i.scdn.co/image/ab67616d0000b273dd2407f614598ef1d6cfa50e</t>
  </si>
  <si>
    <t>https://p.scdn.co/mp3-preview/1b75cec39eb9afa842d5d235d344d7e3cdde11c6?cid=9950ac751e34487dbbe027c4fd7f8e99</t>
  </si>
  <si>
    <t>UK9LA2200001</t>
  </si>
  <si>
    <t>https://p.scdn.co/mp3-preview/077c54f85c4d2b7c8aafb19698125facdf260ef6?cid=9950ac751e34487dbbe027c4fd7f8e99</t>
  </si>
  <si>
    <t>UK9LA2200002</t>
  </si>
  <si>
    <t>https://p.scdn.co/mp3-preview/a14a4eaa2c574510c43583d59574bc5384a81d13?cid=9950ac751e34487dbbe027c4fd7f8e99</t>
  </si>
  <si>
    <t>UK9LA2200003</t>
  </si>
  <si>
    <t>https://p.scdn.co/mp3-preview/030401cc9920ce974e9ad4ff2caba5f044abdaaa?cid=9950ac751e34487dbbe027c4fd7f8e99</t>
  </si>
  <si>
    <t>UK9LA2200004</t>
  </si>
  <si>
    <t>https://p.scdn.co/mp3-preview/21d9f639f71fc8d33d61e0d718accd75125fe3fd?cid=9950ac751e34487dbbe027c4fd7f8e99</t>
  </si>
  <si>
    <t>UK9LA2200006</t>
  </si>
  <si>
    <t>https://p.scdn.co/mp3-preview/91b8146505391bb69877a2e98d84719fea2c8c0d?cid=9950ac751e34487dbbe027c4fd7f8e99</t>
  </si>
  <si>
    <t>UK9LA2200005</t>
  </si>
  <si>
    <t>https://p.scdn.co/mp3-preview/e17fcabbf8ba266347986e71f9e2364ad2d279b2?cid=9950ac751e34487dbbe027c4fd7f8e99</t>
  </si>
  <si>
    <t>UK9LA2200007</t>
  </si>
  <si>
    <t>https://p.scdn.co/mp3-preview/623aedaabd284687f327af15abaa83fa73520a69?cid=9950ac751e34487dbbe027c4fd7f8e99</t>
  </si>
  <si>
    <t>UK9LA2200008</t>
  </si>
  <si>
    <t>https://p.scdn.co/mp3-preview/d349ae879caa195df63993d5665a41735d005376?cid=9950ac751e34487dbbe027c4fd7f8e99</t>
  </si>
  <si>
    <t>UK9LA2200009</t>
  </si>
  <si>
    <t>https://p.scdn.co/mp3-preview/d20ff83d177335ec242131e2af81c4023e1887b3?cid=9950ac751e34487dbbe027c4fd7f8e99</t>
  </si>
  <si>
    <t>UK9LA2200010</t>
  </si>
  <si>
    <t>https://p.scdn.co/mp3-preview/0c1bf2f226f2df0576d81897ffd0247d6dc2c8e8?cid=9950ac751e34487dbbe027c4fd7f8e99</t>
  </si>
  <si>
    <t>UK9LA2200011</t>
  </si>
  <si>
    <t>spotify:artist:5YFS41yoX0YuFY39fq21oN, spotify:artist:2WImvuJ2dUdnyZDT69SROJ</t>
  </si>
  <si>
    <t>Bob Sinclar, Michael Ekow</t>
  </si>
  <si>
    <t>spotify:album:61t1NrQrjIvnOozh9h212U</t>
  </si>
  <si>
    <t>https://i.scdn.co/image/ab67616d0000b27338f27a9b574b0bd8fef586c5</t>
  </si>
  <si>
    <t>https://p.scdn.co/mp3-preview/a37ba0b9c013620e42899b814b4d426893e8db5b?cid=9950ac751e34487dbbe027c4fd7f8e99</t>
  </si>
  <si>
    <t>FR4E42445910</t>
  </si>
  <si>
    <t>spotify:artist:5YFS41yoX0YuFY39fq21oN, spotify:artist:5JHw3zW4kgwIZlh33geR1K</t>
  </si>
  <si>
    <t>Bob Sinclar, Sagan</t>
  </si>
  <si>
    <t>spotify:album:3viYw8nLorPbKNdVLZyVBV</t>
  </si>
  <si>
    <t>https://i.scdn.co/image/ab67616d0000b2733b32a86445629a1c158d069f</t>
  </si>
  <si>
    <t>https://p.scdn.co/mp3-preview/2d5f7e5bcc3e238d18b8aae47daa4ab42c088f9c?cid=9950ac751e34487dbbe027c4fd7f8e99</t>
  </si>
  <si>
    <t>FR4E42445880</t>
  </si>
  <si>
    <t>spotify:artist:5YFS41yoX0YuFY39fq21oN, spotify:artist:3kcQ94iDBwumLfddrCrse8</t>
  </si>
  <si>
    <t>Bob Sinclar, Daddy's Groove</t>
  </si>
  <si>
    <t>spotify:album:3l8QB4025pQFrh2Sn05hVy</t>
  </si>
  <si>
    <t>https://i.scdn.co/image/ab67616d0000b273dcf2516f1207d2dd954a02c2</t>
  </si>
  <si>
    <t>https://p.scdn.co/mp3-preview/1ce6b57ce4e2c91fe1628a05cc3f480b8eeb96ca?cid=9950ac751e34487dbbe027c4fd7f8e99</t>
  </si>
  <si>
    <t>FR4E42445710</t>
  </si>
  <si>
    <t>spotify:artist:5YFS41yoX0YuFY39fq21oN, spotify:artist:67FwmaxZpKVnuwP9moY06z, spotify:artist:6wG0hZz1XJNZEDaNUyfpSa, spotify:artist:2SwhNukah1MYpLR594PnuC</t>
  </si>
  <si>
    <t>Bob Sinclar, Soubeiran, Sasson (FR), Steve Edwards</t>
  </si>
  <si>
    <t>spotify:album:1kFMtMlyRitEMTkuOm9i3L</t>
  </si>
  <si>
    <t>spotify:artist:5YFS41yoX0YuFY39fq21oN, spotify:artist:67FwmaxZpKVnuwP9moY06z, spotify:artist:6wG0hZz1XJNZEDaNUyfpSa</t>
  </si>
  <si>
    <t>Bob Sinclar, Soubeiran, Sasson (FR)</t>
  </si>
  <si>
    <t>https://i.scdn.co/image/ab67616d0000b273835c0d22cb6459a6cfef2d74</t>
  </si>
  <si>
    <t>https://p.scdn.co/mp3-preview/d1172bd50a3ddd9c08872391d58f2f4332edc0cc?cid=9950ac751e34487dbbe027c4fd7f8e99</t>
  </si>
  <si>
    <t>FR4E42445690</t>
  </si>
  <si>
    <t>spotify:artist:5YFS41yoX0YuFY39fq21oN, spotify:artist:4GcXer1D6UzmWfW1wTqS9r</t>
  </si>
  <si>
    <t>Bob Sinclar, Ron Carroll</t>
  </si>
  <si>
    <t>spotify:album:1RkCmF3rQDxfFe8h97OBSR</t>
  </si>
  <si>
    <t>spotify:artist:4i80vEqtmiE3CENhYDp8zm</t>
  </si>
  <si>
    <t>https://i.scdn.co/image/ab67616d0000b27396e3dc54541d55d7bff2144c</t>
  </si>
  <si>
    <t>https://p.scdn.co/mp3-preview/461a19c8ad3a3f2fc12a88f285d71d2899fc508c?cid=9950ac751e34487dbbe027c4fd7f8e99</t>
  </si>
  <si>
    <t>FR4E41309640</t>
  </si>
  <si>
    <t>spotify:artist:5YFS41yoX0YuFY39fq21oN, spotify:artist:6oIoaURalGEtkYTswOLoft, spotify:artist:0TsTesOYlZmHOLnFPLPKLZ, spotify:artist:4LqXqd68BBoEk9RDYeS0ls, spotify:artist:0f5cjky3a6ee9e0WicpzhW</t>
  </si>
  <si>
    <t>Bob Sinclar, Crusy, DollarMan, Big Ali, Makedah</t>
  </si>
  <si>
    <t>spotify:album:3cXhEZYQhz8POGc8CDSQhM</t>
  </si>
  <si>
    <t>spotify:artist:5YFS41yoX0YuFY39fq21oN, spotify:artist:6oIoaURalGEtkYTswOLoft, spotify:artist:00oE4tUtPtGAg39Z3kTn8L</t>
  </si>
  <si>
    <t>Bob Sinclar, Crusy, Andrea Govoni</t>
  </si>
  <si>
    <t>https://i.scdn.co/image/ab67616d0000b273b711dd7d3f87268a3ddcd121</t>
  </si>
  <si>
    <t>https://p.scdn.co/mp3-preview/f5c4e3597ee6bd46678069fc71ecfb258a39de44?cid=9950ac751e34487dbbe027c4fd7f8e99</t>
  </si>
  <si>
    <t>FR4E42445610</t>
  </si>
  <si>
    <t>spotify:artist:5YFS41yoX0YuFY39fq21oN, spotify:artist:00oE4tUtPtGAg39Z3kTn8L, spotify:artist:0TsTesOYlZmHOLnFPLPKLZ, spotify:artist:4LqXqd68BBoEk9RDYeS0ls, spotify:artist:0f5cjky3a6ee9e0WicpzhW</t>
  </si>
  <si>
    <t>Bob Sinclar, Andrea Govoni, DollarMan, Big Ali, Makedah</t>
  </si>
  <si>
    <t>https://p.scdn.co/mp3-preview/7b8fec26b5132c79422f9f6ad3461722d0a62609?cid=9950ac751e34487dbbe027c4fd7f8e99</t>
  </si>
  <si>
    <t>FR4E42445630</t>
  </si>
  <si>
    <t>spotify:artist:5YFS41yoX0YuFY39fq21oN, spotify:artist:5Y2FS5YbGf7yRDumzD5nY3, spotify:artist:2pPXhvvsskybTdBCuOnjV1</t>
  </si>
  <si>
    <t>Bob Sinclar, Sofiya Nzau, Raphael</t>
  </si>
  <si>
    <t>spotify:album:0yXa0touOce9Gfm7lctKfV</t>
  </si>
  <si>
    <t>https://i.scdn.co/image/ab67616d0000b273ab6fb10c783ea52b68735fb4</t>
  </si>
  <si>
    <t>https://p.scdn.co/mp3-preview/611a436fee9d3af2e921ce09dfa2462cfe4bbd1b?cid=9950ac751e34487dbbe027c4fd7f8e99</t>
  </si>
  <si>
    <t>FR4E42445580</t>
  </si>
  <si>
    <t>spotify:artist:5YFS41yoX0YuFY39fq21oN, spotify:artist:0Z7zcsIphrPDnfZj9Ppqw0, spotify:artist:5mZLaYqN0ZkjxfeUUmiuqL, spotify:artist:2cSQyZg5t274Y3Nv0uuwjd</t>
  </si>
  <si>
    <t>Bob Sinclar, &amp;friends, Zakes Bantwini, Gary Pine</t>
  </si>
  <si>
    <t>spotify:album:1ulfBxeNo0QvBBgkO8mALO</t>
  </si>
  <si>
    <t>spotify:artist:5YFS41yoX0YuFY39fq21oN, spotify:artist:0Z7zcsIphrPDnfZj9Ppqw0, spotify:artist:5mZLaYqN0ZkjxfeUUmiuqL</t>
  </si>
  <si>
    <t>Bob Sinclar, &amp;friends, Zakes Bantwini</t>
  </si>
  <si>
    <t>https://i.scdn.co/image/ab67616d0000b2735c8c53b4753079f6d2cb6fe4</t>
  </si>
  <si>
    <t>https://p.scdn.co/mp3-preview/4795e24323f79a2630e7163310f8d079fc3db19b?cid=9950ac751e34487dbbe027c4fd7f8e99</t>
  </si>
  <si>
    <t>FR4E42445490</t>
  </si>
  <si>
    <t>spotify:artist:5YFS41yoX0YuFY39fq21oN, spotify:artist:5Y2FS5YbGf7yRDumzD5nY3</t>
  </si>
  <si>
    <t>Bob Sinclar, Sofiya Nzau</t>
  </si>
  <si>
    <t>spotify:album:01w2MOtpTJWuQafvkTqR6v</t>
  </si>
  <si>
    <t>https://i.scdn.co/image/ab67616d0000b2732732b79514bbad858cda02da</t>
  </si>
  <si>
    <t>https://p.scdn.co/mp3-preview/81fd57f33f15e487867e1f1e6fd571c8a14f3a98?cid=9950ac751e34487dbbe027c4fd7f8e99</t>
  </si>
  <si>
    <t>FR4E42445220</t>
  </si>
  <si>
    <t>spotify:artist:5YFS41yoX0YuFY39fq21oN</t>
  </si>
  <si>
    <t>spotify:album:4ksqeIcvNfFtxWfBzmBEeJ</t>
  </si>
  <si>
    <t>https://i.scdn.co/image/ab67616d0000b2738f50746d7a70072c413ec038</t>
  </si>
  <si>
    <t>https://p.scdn.co/mp3-preview/a495a1351f5476ce2d791b3600e33fd1ebb83b3c?cid=9950ac751e34487dbbe027c4fd7f8e99</t>
  </si>
  <si>
    <t>FRR679800033</t>
  </si>
  <si>
    <t>spotify:artist:3E9XtGFNNweLtiR8y5aZO5, spotify:artist:5cqctR1IEdc11lN3KEmoGW, spotify:artist:0DRf6JJDQnRnz0Yp209CmH, spotify:artist:5YFS41yoX0YuFY39fq21oN, spotify:artist:1Cs0zKBU1kc0i8ypK3B9ai, spotify:artist:4EhiIwwMPecLznwn87sRw2, spotify:artist:7mEVrXcsq3PjsKT3BXnhp0, spotify:artist:51aVjCscbm1uAAgyfd7JOb</t>
  </si>
  <si>
    <t>Africanism, Eran Hersh, Stadiumx, Bob Sinclar, David Guetta, Joachim Garraud, Tim Deluxe, Ben Onono</t>
  </si>
  <si>
    <t>spotify:album:3kTUJB513TveXkmFPQ1HES</t>
  </si>
  <si>
    <t>spotify:artist:3E9XtGFNNweLtiR8y5aZO5, spotify:artist:5cqctR1IEdc11lN3KEmoGW, spotify:artist:0DRf6JJDQnRnz0Yp209CmH</t>
  </si>
  <si>
    <t>Africanism, Eran Hersh, Stadiumx</t>
  </si>
  <si>
    <t>https://i.scdn.co/image/ab67616d0000b2738f50c78c162e0978cc0ce84d</t>
  </si>
  <si>
    <t>https://p.scdn.co/mp3-preview/7102808dc99b7d05cb901ba25ded0bea2e6797f6?cid=9950ac751e34487dbbe027c4fd7f8e99</t>
  </si>
  <si>
    <t>FR4E42445240</t>
  </si>
  <si>
    <t>spotify:artist:5YFS41yoX0YuFY39fq21oN, spotify:artist:1VJ0briNOlXRtJUAzoUJdt, spotify:artist:2SwhNukah1MYpLR594PnuC</t>
  </si>
  <si>
    <t>Bob Sinclar, FISHER, Steve Edwards</t>
  </si>
  <si>
    <t>spotify:album:6VoEqXw1611XhQ60m0Uv3E</t>
  </si>
  <si>
    <t>spotify:artist:5YFS41yoX0YuFY39fq21oN, spotify:artist:1VJ0briNOlXRtJUAzoUJdt</t>
  </si>
  <si>
    <t>Bob Sinclar, FISHER</t>
  </si>
  <si>
    <t>https://i.scdn.co/image/ab67616d0000b273a03a119d2adb25e05b6042c3</t>
  </si>
  <si>
    <t>https://p.scdn.co/mp3-preview/4cd3cb209c459ca66e0df9974d3265ae99a713bd?cid=9950ac751e34487dbbe027c4fd7f8e99</t>
  </si>
  <si>
    <t>FR4E42227000</t>
  </si>
  <si>
    <t>spotify:artist:5YFS41yoX0YuFY39fq21oN, spotify:artist:5PTDGbHPxxXf81RrubpIOO, spotify:artist:0TsTesOYlZmHOLnFPLPKLZ, spotify:artist:4LqXqd68BBoEk9RDYeS0ls, spotify:artist:0f5cjky3a6ee9e0WicpzhW</t>
  </si>
  <si>
    <t>Bob Sinclar, Cutee B., DollarMan, Big Ali, Makedah</t>
  </si>
  <si>
    <t>spotify:album:57mlkm7WBwmoT0DZ6EDYpH</t>
  </si>
  <si>
    <t>spotify:artist:5YFS41yoX0YuFY39fq21oN, spotify:artist:5PTDGbHPxxXf81RrubpIOO</t>
  </si>
  <si>
    <t>Bob Sinclar, Cutee B.</t>
  </si>
  <si>
    <t>https://i.scdn.co/image/ab67616d0000b273b455cd4374adeb19ebc22c84</t>
  </si>
  <si>
    <t>https://p.scdn.co/mp3-preview/d29e2e739899dcd7ccecdf08a46d79f3abd09e1b?cid=9950ac751e34487dbbe027c4fd7f8e99</t>
  </si>
  <si>
    <t>FR4E40500380</t>
  </si>
  <si>
    <t>spotify:artist:5YFS41yoX0YuFY39fq21oN, spotify:artist:2cSQyZg5t274Y3Nv0uuwjd</t>
  </si>
  <si>
    <t>Bob Sinclar, Gary Pine</t>
  </si>
  <si>
    <t>spotify:album:65crznT6OSNgS5riyglAKu</t>
  </si>
  <si>
    <t>https://i.scdn.co/image/ab67616d0000b273522b4cb1dd67178f9d10f15e</t>
  </si>
  <si>
    <t>https://p.scdn.co/mp3-preview/e2cb227b9d66ab83ef98012a536b33f0abff289d?cid=9950ac751e34487dbbe027c4fd7f8e99</t>
  </si>
  <si>
    <t>FR4E41811680</t>
  </si>
  <si>
    <t>spotify:artist:3E9XtGFNNweLtiR8y5aZO5, spotify:artist:5YFS41yoX0YuFY39fq21oN, spotify:artist:1Cs0zKBU1kc0i8ypK3B9ai, spotify:artist:4EhiIwwMPecLznwn87sRw2, spotify:artist:7mEVrXcsq3PjsKT3BXnhp0, spotify:artist:51aVjCscbm1uAAgyfd7JOb</t>
  </si>
  <si>
    <t>Africanism, Bob Sinclar, David Guetta, Joachim Garraud, Tim Deluxe, Ben Onono</t>
  </si>
  <si>
    <t>spotify:album:4ptQuucuOFAlR9KEURug1f</t>
  </si>
  <si>
    <t>spotify:artist:3E9XtGFNNweLtiR8y5aZO5</t>
  </si>
  <si>
    <t>https://i.scdn.co/image/ab67616d0000b27303d074dc5a376442644a3a0b</t>
  </si>
  <si>
    <t>https://p.scdn.co/mp3-preview/b8ca680c4cca89a92b6ff211d2756fb17f60e1f9?cid=9950ac751e34487dbbe027c4fd7f8e99</t>
  </si>
  <si>
    <t>FR4E42445210</t>
  </si>
  <si>
    <t>spotify:album:2ZHeCVucwVH7H3qC4abtTd</t>
  </si>
  <si>
    <t>https://i.scdn.co/image/ab67616d0000b273e7ede9ebf87a8fdde6191e59</t>
  </si>
  <si>
    <t>https://p.scdn.co/mp3-preview/25ccb12b852b8c17a3a133db6373b8544405e0c5?cid=9950ac751e34487dbbe027c4fd7f8e99</t>
  </si>
  <si>
    <t>FR6V89802983</t>
  </si>
  <si>
    <t>spotify:album:7xRnsA4UR8FgkMOSsfnizs</t>
  </si>
  <si>
    <t>Champs elysÃ©es</t>
  </si>
  <si>
    <t>https://i.scdn.co/image/ab67616d0000b2732a4bf35dbae486853c53394b</t>
  </si>
  <si>
    <t>https://p.scdn.co/mp3-preview/b7f81ce76a10f5f474b919a5f1135fc6dbb8732e?cid=9950ac751e34487dbbe027c4fd7f8e99</t>
  </si>
  <si>
    <t>FR6V80005132</t>
  </si>
  <si>
    <t>spotify:artist:5YFS41yoX0YuFY39fq21oN, spotify:artist:5Y2FS5YbGf7yRDumzD5nY3, spotify:artist:3V9dIUKIoVArPUrt30P4XX</t>
  </si>
  <si>
    <t>Bob Sinclar, Sofiya Nzau, RE\MIND</t>
  </si>
  <si>
    <t>spotify:album:6n0pnZ9ZjPXWyaRaPmafXf</t>
  </si>
  <si>
    <t>https://i.scdn.co/image/ab67616d0000b27389cf71655293a5e6d6e9c998</t>
  </si>
  <si>
    <t>https://p.scdn.co/mp3-preview/fe95ac27001b7a054c5ab9353d9d4ddc21de5c55?cid=9950ac751e34487dbbe027c4fd7f8e99</t>
  </si>
  <si>
    <t>FR4E42445280</t>
  </si>
  <si>
    <t>spotify:artist:5YFS41yoX0YuFY39fq21oN, spotify:artist:6EVyI0S0b1Ld2nm37m5x85</t>
  </si>
  <si>
    <t>Bob Sinclar, Raffaella CarrÃ </t>
  </si>
  <si>
    <t>spotify:album:12mDtYncYuHHwqgvnBdyow</t>
  </si>
  <si>
    <t>https://i.scdn.co/image/ab67616d0000b273a470b4379a80530774c13e8f</t>
  </si>
  <si>
    <t>https://p.scdn.co/mp3-preview/e082693f04c51580389e04542a0e3600718c4ab8?cid=9950ac751e34487dbbe027c4fd7f8e99</t>
  </si>
  <si>
    <t>FR4E41107480</t>
  </si>
  <si>
    <t>spotify:album:5F0LTsqs0zqhJ4w9mi2WfQ</t>
  </si>
  <si>
    <t>https://i.scdn.co/image/ab67616d0000b2736d035eb1e2830b0b3e47d761</t>
  </si>
  <si>
    <t>https://p.scdn.co/mp3-preview/af89f8cda9dd27c1b9b1eacf97c2c80d49c508c0?cid=9950ac751e34487dbbe027c4fd7f8e99</t>
  </si>
  <si>
    <t>FR6V80115853</t>
  </si>
  <si>
    <t>spotify:artist:3E9XtGFNNweLtiR8y5aZO5, spotify:artist:5YFS41yoX0YuFY39fq21oN</t>
  </si>
  <si>
    <t>Africanism, Bob Sinclar</t>
  </si>
  <si>
    <t>spotify:album:60PvjJASsiaqj2jlY4daQN</t>
  </si>
  <si>
    <t>https://i.scdn.co/image/ab67616d0000b2736de9fce11cb7c733a07141bf</t>
  </si>
  <si>
    <t>https://p.scdn.co/mp3-preview/a2ce32f536f1c5ed17dac839cf120d8aeff3a8ff?cid=9950ac751e34487dbbe027c4fd7f8e99</t>
  </si>
  <si>
    <t>FR4E42445160</t>
  </si>
  <si>
    <t>spotify:artist:5YFS41yoX0YuFY39fq21oN, spotify:artist:2SwhNukah1MYpLR594PnuC</t>
  </si>
  <si>
    <t>Bob Sinclar, Steve Edwards</t>
  </si>
  <si>
    <t>spotify:album:4nJFwHTd4JySzd5vRehPQG</t>
  </si>
  <si>
    <t>https://i.scdn.co/image/ab67616d0000b273b65ae9724ee6b6c05c3337ad</t>
  </si>
  <si>
    <t>https://p.scdn.co/mp3-preview/f9486b488212fc55d3734861e5e89fdb01299bc9?cid=9950ac751e34487dbbe027c4fd7f8e99</t>
  </si>
  <si>
    <t>FR4E41811690</t>
  </si>
  <si>
    <t>spotify:album:2YNKQr2HhFMF6qLUu3JQUJ</t>
  </si>
  <si>
    <t>https://i.scdn.co/image/ab67616d0000b273db66b6247cd3312de5d2cf5d</t>
  </si>
  <si>
    <t>https://p.scdn.co/mp3-preview/a5794cb01f2b96cd28c0e41762dd60ee08e9c320?cid=9950ac751e34487dbbe027c4fd7f8e99</t>
  </si>
  <si>
    <t>FR4E42240000</t>
  </si>
  <si>
    <t>https://p.scdn.co/mp3-preview/6cd5c5d55e33249614106b6fd40c7e35bfa03982?cid=9950ac751e34487dbbe027c4fd7f8e99</t>
  </si>
  <si>
    <t>FR6V89802985</t>
  </si>
  <si>
    <t>spotify:artist:5YFS41yoX0YuFY39fq21oN, spotify:artist:5Y2FS5YbGf7yRDumzD5nY3, spotify:artist:0MPPw4tjpM25hY0X5aGktZ</t>
  </si>
  <si>
    <t>Bob Sinclar, Sofiya Nzau, Dual Beat</t>
  </si>
  <si>
    <t>https://p.scdn.co/mp3-preview/1d4fd7927058dfe340c74432e3c2e05f3eb75530?cid=9950ac751e34487dbbe027c4fd7f8e99</t>
  </si>
  <si>
    <t>FR4E42445300</t>
  </si>
  <si>
    <t>spotify:album:6nhmbrMX50vf3l0AzOEaTx</t>
  </si>
  <si>
    <t>https://i.scdn.co/image/ab67616d0000b273f9cfb7c8563a313cf370cf06</t>
  </si>
  <si>
    <t>https://p.scdn.co/mp3-preview/e565ffdb4317177028d4a5679237eb5371c0caa1?cid=9950ac751e34487dbbe027c4fd7f8e99</t>
  </si>
  <si>
    <t>FR4E42112360</t>
  </si>
  <si>
    <t>spotify:album:4UIpY52Qbq6NV0nEG15wka</t>
  </si>
  <si>
    <t>https://i.scdn.co/image/ab67616d0000b273486da7ad3e4987ebebf363ec</t>
  </si>
  <si>
    <t>https://p.scdn.co/mp3-preview/a3e0548c2b82b9e94b0c405c74b13817bd35dc73?cid=9950ac751e34487dbbe027c4fd7f8e99</t>
  </si>
  <si>
    <t>FR6V80309922</t>
  </si>
  <si>
    <t>https://p.scdn.co/mp3-preview/91585cc97cd2e23d4a9bc159c056ac64eef59755?cid=9950ac751e34487dbbe027c4fd7f8e99</t>
  </si>
  <si>
    <t>FR6V89802989</t>
  </si>
  <si>
    <t>https://p.scdn.co/mp3-preview/8dd33b73724538f83e64fae2d69cdf3d1e14b071?cid=9950ac751e34487dbbe027c4fd7f8e99</t>
  </si>
  <si>
    <t>FR6V80005141</t>
  </si>
  <si>
    <t>https://p.scdn.co/mp3-preview/f04e572d0defd8b31643bba9a1fc17057162e1e1?cid=9950ac751e34487dbbe027c4fd7f8e99</t>
  </si>
  <si>
    <t>FR6V89802982</t>
  </si>
  <si>
    <t>spotify:album:2HRpVCOeL9m57yGobQJlnf</t>
  </si>
  <si>
    <t>https://i.scdn.co/image/ab67616d0000b27314526661a737d36c7f507547</t>
  </si>
  <si>
    <t>https://p.scdn.co/mp3-preview/674ba027a1d9b1f8177e044ef1365a5d8f0898f1?cid=9950ac751e34487dbbe027c4fd7f8e99</t>
  </si>
  <si>
    <t>FR4E41410600</t>
  </si>
  <si>
    <t>spotify:album:162zw0s81pmyYEgZL7FgYB</t>
  </si>
  <si>
    <t>https://i.scdn.co/image/ab67616d0000b273c376c08be7a00f87b7d17c87</t>
  </si>
  <si>
    <t>https://p.scdn.co/mp3-preview/10030fe7b8c47c64f01a0eaee0a2980670e98ade?cid=9950ac751e34487dbbe027c4fd7f8e99</t>
  </si>
  <si>
    <t>FR4E41811650</t>
  </si>
  <si>
    <t>spotify:album:4WJekdXFvd7QXsbGW8aBpr</t>
  </si>
  <si>
    <t>https://i.scdn.co/image/ab67616d0000b273ee1a5f16b703247f34dcd026</t>
  </si>
  <si>
    <t>https://p.scdn.co/mp3-preview/bc1e3c2d2813e0153d747c040ce52b4f47dfefd2?cid=9950ac751e34487dbbe027c4fd7f8e99</t>
  </si>
  <si>
    <t>NLZ541600807</t>
  </si>
  <si>
    <t>spotify:artist:5YFS41yoX0YuFY39fq21oN, spotify:artist:1n77te1QseHYMIVyEtTfpg</t>
  </si>
  <si>
    <t>Bob Sinclar, Fireball</t>
  </si>
  <si>
    <t>spotify:album:6gnHb4btc0NLg0otP1H30f</t>
  </si>
  <si>
    <t>https://i.scdn.co/image/ab67616d0000b273f140b49d2e02f6eb74c8bd17</t>
  </si>
  <si>
    <t>https://p.scdn.co/mp3-preview/139a35f558dbc2b9c9b56f083f90a990c2e9cbe9?cid=9950ac751e34487dbbe027c4fd7f8e99</t>
  </si>
  <si>
    <t>FR4E40701600</t>
  </si>
  <si>
    <t>spotify:artist:5YFS41yoX0YuFY39fq21oN, spotify:artist:0TnOYISbd1XYRBk9myaseg, spotify:artist:0ygDwK3yvsnfbKimQxXGbo, spotify:artist:15GGbJKqC6w0VYyAJtjej6</t>
  </si>
  <si>
    <t>Bob Sinclar, Pitbull, Dragonfly, Fatman Scoop</t>
  </si>
  <si>
    <t>https://p.scdn.co/mp3-preview/8102e487127e13c428c44ed6dd7cabcd219c1db5?cid=9950ac751e34487dbbe027c4fd7f8e99</t>
  </si>
  <si>
    <t>FR4E41107460</t>
  </si>
  <si>
    <t>spotify:artist:5YFS41yoX0YuFY39fq21oN, spotify:artist:2cSQyZg5t274Y3Nv0uuwjd, spotify:artist:0TsTesOYlZmHOLnFPLPKLZ</t>
  </si>
  <si>
    <t>Bob Sinclar, Gary Pine, DollarMan</t>
  </si>
  <si>
    <t>spotify:album:4JFfTtEPJhOLusnFGe4WzU</t>
  </si>
  <si>
    <t>https://i.scdn.co/image/ab67616d0000b273c40516e2e21d191f41971456</t>
  </si>
  <si>
    <t>https://p.scdn.co/mp3-preview/4f7d45f7eab78dd67355a6e81197e7d55812f9cd?cid=9950ac751e34487dbbe027c4fd7f8e99</t>
  </si>
  <si>
    <t>FR4E40701580</t>
  </si>
  <si>
    <t>spotify:artist:5YFS41yoX0YuFY39fq21oN, spotify:artist:0ksCgIZvnTRqDOIIiU1Z2C, spotify:artist:5SK75gxwqKq5Zc1mdLfwv9, spotify:artist:0f5cjky3a6ee9e0WicpzhW</t>
  </si>
  <si>
    <t>Bob Sinclar, Vybrate, Queen Ifrica, Makedah</t>
  </si>
  <si>
    <t>spotify:album:1tfuwH33mO0Tn5UFlLR1B0</t>
  </si>
  <si>
    <t>https://i.scdn.co/image/ab67616d0000b2739b97500c5e0128f1dfdaa4e4</t>
  </si>
  <si>
    <t>https://p.scdn.co/mp3-preview/08feb07cd8a1fe69c849eefa51111a9c817f26b2?cid=9950ac751e34487dbbe027c4fd7f8e99</t>
  </si>
  <si>
    <t>FR6V80948666</t>
  </si>
  <si>
    <t>spotify:artist:5YFS41yoX0YuFY39fq21oN, spotify:artist:3Isy6kedDrgPYoTS1dazA9</t>
  </si>
  <si>
    <t>Bob Sinclar, Sean Paul</t>
  </si>
  <si>
    <t>https://p.scdn.co/mp3-preview/cd2ad33064fdfee3e061a4283d7d9ce2b3117ed8?cid=9950ac751e34487dbbe027c4fd7f8e99</t>
  </si>
  <si>
    <t>FR4E41107530</t>
  </si>
  <si>
    <t>spotify:artist:5YFS41yoX0YuFY39fq21oN, spotify:artist:4mh3iy6yf2oZYSiy2fdccM</t>
  </si>
  <si>
    <t>Bob Sinclar, Molly Hammar</t>
  </si>
  <si>
    <t>spotify:album:6DdE4wnc55MRvUJakqPECB</t>
  </si>
  <si>
    <t>https://i.scdn.co/image/ab67616d0000b273ef42a47a766c3b54610bd6e1</t>
  </si>
  <si>
    <t>https://p.scdn.co/mp3-preview/f51bc868322a6b408bc10841afc85f48e2c277c1?cid=9950ac751e34487dbbe027c4fd7f8e99</t>
  </si>
  <si>
    <t>FR4E42112160</t>
  </si>
  <si>
    <t>spotify:album:3lrWOtdSGnCIXUk5HC8PMx</t>
  </si>
  <si>
    <t>https://i.scdn.co/image/ab67616d0000b273eab2695925132b7a6de2335b</t>
  </si>
  <si>
    <t>https://p.scdn.co/mp3-preview/88dd35aa4df0c89a7a65752d5d195597427ca047?cid=9950ac751e34487dbbe027c4fd7f8e99</t>
  </si>
  <si>
    <t>FR4E41309890</t>
  </si>
  <si>
    <t>spotify:artist:5YFS41yoX0YuFY39fq21oN, spotify:artist:449mAbddAC2PAgNM3TLyc5, spotify:artist:7xELwlmfwkTUMKJNSxN5To</t>
  </si>
  <si>
    <t>Bob Sinclar, Matia Bazar, Antonella Ruggiero</t>
  </si>
  <si>
    <t>spotify:album:7Cm248Tj1NigR5Jujq0IJq</t>
  </si>
  <si>
    <t>spotify:artist:5YFS41yoX0YuFY39fq21oN, spotify:artist:449mAbddAC2PAgNM3TLyc5</t>
  </si>
  <si>
    <t>Bob Sinclar, Matia Bazar</t>
  </si>
  <si>
    <t>https://i.scdn.co/image/ab67616d0000b273241e84548e080e4f0f06c49e</t>
  </si>
  <si>
    <t>https://p.scdn.co/mp3-preview/f0330fe5ccafbc7c00fab5f60d90d5c3dbb89930?cid=9950ac751e34487dbbe027c4fd7f8e99</t>
  </si>
  <si>
    <t>ITL012300067</t>
  </si>
  <si>
    <t>spotify:artist:5YFS41yoX0YuFY39fq21oN, spotify:artist:0z4gvV4rjIZ9wHck67ucSV</t>
  </si>
  <si>
    <t>Bob Sinclar, Akon</t>
  </si>
  <si>
    <t>spotify:album:4awNiEAQNSo788xF8OJA3A</t>
  </si>
  <si>
    <t>https://i.scdn.co/image/ab67616d0000b2737617c69c820a900b7d0a3e93</t>
  </si>
  <si>
    <t>https://p.scdn.co/mp3-preview/43daf3f1df0eef470a5a5863bf3d4ec590cf0d8c?cid=9950ac751e34487dbbe027c4fd7f8e99</t>
  </si>
  <si>
    <t>NLZ541701052</t>
  </si>
  <si>
    <t>spotify:artist:5YFS41yoX0YuFY39fq21oN, spotify:artist:1ciw0LLweRvHpU9zhiOYyq</t>
  </si>
  <si>
    <t>Bob Sinclar, Nyv</t>
  </si>
  <si>
    <t>spotify:album:4kv6wnpH1DrGvZzuBWKPPJ</t>
  </si>
  <si>
    <t>https://i.scdn.co/image/ab67616d0000b2730530a8d5e5ed923d3a32ca95</t>
  </si>
  <si>
    <t>https://p.scdn.co/mp3-preview/678ec0ceb7fb14f369eecc2a0c5cf5b4ce5e6f79?cid=9950ac751e34487dbbe027c4fd7f8e99</t>
  </si>
  <si>
    <t>FR4E42215000</t>
  </si>
  <si>
    <t>spotify:artist:20gDD3CGKvzoW5nVHT8oPa, spotify:artist:5YFS41yoX0YuFY39fq21oN</t>
  </si>
  <si>
    <t>QUINZE, Bob Sinclar</t>
  </si>
  <si>
    <t>spotify:album:61ltNUgRtP1DymAGD7XuE3</t>
  </si>
  <si>
    <t>https://i.scdn.co/image/ab67616d0000b273caf835bf6733ee3be5b74c4f</t>
  </si>
  <si>
    <t>https://p.scdn.co/mp3-preview/faa0e972f57dcb3b68fc57b0ffb872a512ef3375?cid=9950ac751e34487dbbe027c4fd7f8e99</t>
  </si>
  <si>
    <t>FR4E42344030</t>
  </si>
  <si>
    <t>https://p.scdn.co/mp3-preview/3116f6ce72691ee9abf53cd3dcac2e97b8af2056?cid=9950ac751e34487dbbe027c4fd7f8e99</t>
  </si>
  <si>
    <t>FR4E40701700</t>
  </si>
  <si>
    <t>spotify:artist:5YFS41yoX0YuFY39fq21oN, spotify:artist:51aVjCscbm1uAAgyfd7JOb</t>
  </si>
  <si>
    <t>Bob Sinclar, Ben Onono</t>
  </si>
  <si>
    <t>spotify:album:0fDCWbrwDloENasRG8MBDq</t>
  </si>
  <si>
    <t>https://i.scdn.co/image/ab67616d0000b273b136c5849e09f85c1f7b6451</t>
  </si>
  <si>
    <t>https://p.scdn.co/mp3-preview/1e481c6fa9b2b7c746124c390fd3c3fe323aed6e?cid=9950ac751e34487dbbe027c4fd7f8e99</t>
  </si>
  <si>
    <t>FR6V80866017</t>
  </si>
  <si>
    <t>spotify:artist:5YFS41yoX0YuFY39fq21oN, spotify:artist:08dJ0NJ9jMf8qdLmdhQ2yA, spotify:artist:2HcwFjNelS49kFbfvMxQYw</t>
  </si>
  <si>
    <t>Bob Sinclar, The Supermen Lovers, Robbie Williams</t>
  </si>
  <si>
    <t>spotify:album:2JbNqoIUhPRTw24Yvxu7zV</t>
  </si>
  <si>
    <t>spotify:artist:5YFS41yoX0YuFY39fq21oN, spotify:artist:08dJ0NJ9jMf8qdLmdhQ2yA</t>
  </si>
  <si>
    <t>Bob Sinclar, The Supermen Lovers</t>
  </si>
  <si>
    <t>https://i.scdn.co/image/ab67616d0000b2738d01b4a3d27964521094dc0c</t>
  </si>
  <si>
    <t>https://p.scdn.co/mp3-preview/97def2bc3dee9a2c5117103a6e9b41b718a963ab?cid=9950ac751e34487dbbe027c4fd7f8e99</t>
  </si>
  <si>
    <t>FR4E41911840</t>
  </si>
  <si>
    <t>spotify:artist:5YFS41yoX0YuFY39fq21oN, spotify:artist:1m4GViPjIy4T8Pd0Iz6hRS</t>
  </si>
  <si>
    <t>Bob Sinclar, Ian Pooley</t>
  </si>
  <si>
    <t>spotify:album:1fNjDEiTYutLoThqTGKvgI</t>
  </si>
  <si>
    <t>https://i.scdn.co/image/ab67616d0000b2730e31ff8e8f9dffabe5e59b25</t>
  </si>
  <si>
    <t>https://p.scdn.co/mp3-preview/079ae78d0cfe531d22ecc8bc7e9476157be978cd?cid=9950ac751e34487dbbe027c4fd7f8e99</t>
  </si>
  <si>
    <t>FR4E42445130</t>
  </si>
  <si>
    <t>https://p.scdn.co/mp3-preview/c91bf1d203c71b60ef5d2ef17d78f8a9e1f6510b?cid=9950ac751e34487dbbe027c4fd7f8e99</t>
  </si>
  <si>
    <t>FR6V80005137</t>
  </si>
  <si>
    <t>spotify:artist:5YFS41yoX0YuFY39fq21oN, spotify:artist:0iSYvHKAdhWVdZkS1PYK3u</t>
  </si>
  <si>
    <t>Bob Sinclar, Tom Staar</t>
  </si>
  <si>
    <t>spotify:album:5rTMk3fudOrimAWAu6ZkJw</t>
  </si>
  <si>
    <t>https://i.scdn.co/image/ab67616d0000b273a2d05ee1382183fa3d391b8c</t>
  </si>
  <si>
    <t>https://p.scdn.co/mp3-preview/ac260342719906f9a23fbac90d072146265f1583?cid=9950ac751e34487dbbe027c4fd7f8e99</t>
  </si>
  <si>
    <t>FR4E42344320</t>
  </si>
  <si>
    <t>spotify:artist:5YFS41yoX0YuFY39fq21oN, spotify:artist:0s6iJQ4DrjnpnGxFU3JLFJ, spotify:artist:4bvn27Ydo1BFGci2bcYX8G, spotify:artist:0SbLtjxgxj2cbtqlK7IsqN</t>
  </si>
  <si>
    <t>Bob Sinclar, Hendogg, Wonder Mike, Master Gee</t>
  </si>
  <si>
    <t>spotify:album:2yRyAScp2U412AbmpO9Zlx</t>
  </si>
  <si>
    <t>https://i.scdn.co/image/ab67616d0000b273ebaecfa7969c4121a8f8737e</t>
  </si>
  <si>
    <t>https://p.scdn.co/mp3-preview/fc2698ab543a0b1dc218a12828f992424f02bdb4?cid=9950ac751e34487dbbe027c4fd7f8e99</t>
  </si>
  <si>
    <t>FR6V80948801</t>
  </si>
  <si>
    <t>spotify:artist:5YFS41yoX0YuFY39fq21oN, spotify:artist:1TRFAJu3Cw64APToZaGk9D</t>
  </si>
  <si>
    <t>Bob Sinclar, Riva Starr</t>
  </si>
  <si>
    <t>spotify:album:3Enrs2ORSgywq1Z6toGspu</t>
  </si>
  <si>
    <t>https://i.scdn.co/image/ab67616d0000b273ddc154015f9a03e22e4b4362</t>
  </si>
  <si>
    <t>https://p.scdn.co/mp3-preview/9d89a032ea7d472161600e02ede198cce270eb83?cid=9950ac751e34487dbbe027c4fd7f8e99</t>
  </si>
  <si>
    <t>FR4E42344180</t>
  </si>
  <si>
    <t>spotify:artist:5YFS41yoX0YuFY39fq21oN, spotify:artist:7aSsnDTH11xS2yIn6cNtsF</t>
  </si>
  <si>
    <t>Bob Sinclar, Mercer</t>
  </si>
  <si>
    <t>spotify:album:4DEHgjZhGIRs5ZSh8VJCD4</t>
  </si>
  <si>
    <t>https://i.scdn.co/image/ab67616d0000b2732b97d1f02a257f8728f7e92a</t>
  </si>
  <si>
    <t>https://p.scdn.co/mp3-preview/dea9789363abfe0e20a1b1acd099ace32786b009?cid=9950ac751e34487dbbe027c4fd7f8e99</t>
  </si>
  <si>
    <t>FR4E42011960</t>
  </si>
  <si>
    <t>spotify:artist:5YFS41yoX0YuFY39fq21oN, spotify:artist:1xNmvlEiICkRlRGqlNFZ43, spotify:artist:4GcXer1D6UzmWfW1wTqS9r, spotify:artist:2UOiCy0MQgPxoBSKPatc3X</t>
  </si>
  <si>
    <t>Bob Sinclar, Axwell, Ron Carroll, Greg Cerrone</t>
  </si>
  <si>
    <t>spotify:album:1miEyp3H9WdZtHXQPMui4r</t>
  </si>
  <si>
    <t>spotify:artist:5YFS41yoX0YuFY39fq21oN, spotify:artist:1xNmvlEiICkRlRGqlNFZ43, spotify:artist:2UOiCy0MQgPxoBSKPatc3X</t>
  </si>
  <si>
    <t>Bob Sinclar, Axwell, Greg Cerrone</t>
  </si>
  <si>
    <t>https://i.scdn.co/image/ab67616d0000b273d5563d63928b0bd5e8f8fbab</t>
  </si>
  <si>
    <t>https://p.scdn.co/mp3-preview/b4d3ef35f41a2ec5030516ae66d39f041144d83a?cid=9950ac751e34487dbbe027c4fd7f8e99</t>
  </si>
  <si>
    <t>FR4E42344920</t>
  </si>
  <si>
    <t>spotify:album:2kscq6zA1a9vFQy8MsWFM0</t>
  </si>
  <si>
    <t>https://i.scdn.co/image/ab67616d0000b273b6515dd60db533a38b4ddac5</t>
  </si>
  <si>
    <t>https://p.scdn.co/mp3-preview/293ac9ff409f53b046c93fc4e5efabbb75963f69?cid=9950ac751e34487dbbe027c4fd7f8e99</t>
  </si>
  <si>
    <t>FR4E40500270</t>
  </si>
  <si>
    <t>spotify:artist:4Q6nIcaBED8qUel8bBx6Cr, spotify:artist:1bj5GrcLom5gZFF5t949Xl, spotify:artist:5KKpBU5eC2tJDzf0wmlRp2, spotify:artist:2NlKrNMdpYxGjt3Pvw87rC</t>
  </si>
  <si>
    <t>Jax Jones, Martin Solveig, RAYE, Europa</t>
  </si>
  <si>
    <t>spotify:album:4PBfH44I6nfqf3sibVoG8O</t>
  </si>
  <si>
    <t>spotify:artist:4Q6nIcaBED8qUel8bBx6Cr</t>
  </si>
  <si>
    <t>Jax Jones</t>
  </si>
  <si>
    <t>https://i.scdn.co/image/ab67616d0000b2734979572d04a804394f849aeb</t>
  </si>
  <si>
    <t>https://p.scdn.co/mp3-preview/ce85850a176be1bf4cc4a865ab59175fc88488b3?cid=9950ac751e34487dbbe027c4fd7f8e99</t>
  </si>
  <si>
    <t>GBUM72000217</t>
  </si>
  <si>
    <t>spotify:artist:1bj5GrcLom5gZFF5t949Xl, spotify:artist:7hssUdpvtY5oiARaUDgFZ3</t>
  </si>
  <si>
    <t>Martin Solveig, Ina Wroldsen</t>
  </si>
  <si>
    <t>spotify:album:2qGpT0C22qkBM2KLziCMGC</t>
  </si>
  <si>
    <t>spotify:artist:1bj5GrcLom5gZFF5t949Xl</t>
  </si>
  <si>
    <t>https://i.scdn.co/image/ab67616d0000b273ca054d40b77799bdc02dfa80</t>
  </si>
  <si>
    <t>https://p.scdn.co/mp3-preview/fe0e6daec73b835082fd5abe2125cfebfa045134?cid=9950ac751e34487dbbe027c4fd7f8e99</t>
  </si>
  <si>
    <t>UK98Q1600200</t>
  </si>
  <si>
    <t>spotify:artist:1bj5GrcLom5gZFF5t949Xl, spotify:artist:7C64wNX3howEFZjAYRKsfP, spotify:artist:4qBgvVog0wzW75IQ48mU7v</t>
  </si>
  <si>
    <t>Martin Solveig, The Cataracs, KYLE</t>
  </si>
  <si>
    <t>spotify:album:28J1RAAn2HzrBFjUUEfeYI</t>
  </si>
  <si>
    <t>spotify:artist:1bj5GrcLom5gZFF5t949Xl, spotify:artist:7C64wNX3howEFZjAYRKsfP</t>
  </si>
  <si>
    <t>Martin Solveig, The Cataracs</t>
  </si>
  <si>
    <t>https://i.scdn.co/image/ab67616d0000b273facae2a987cc89b76f07dcba</t>
  </si>
  <si>
    <t>https://p.scdn.co/mp3-preview/8f459510de68896a30d5d2d86981c1f1c4ed4272?cid=9950ac751e34487dbbe027c4fd7f8e99</t>
  </si>
  <si>
    <t>FR2PA1300010</t>
  </si>
  <si>
    <t>spotify:artist:1bj5GrcLom5gZFF5t949Xl, spotify:artist:6c0mTNAxJxlp9HpKTUZwA8</t>
  </si>
  <si>
    <t>Martin Solveig, ALMA</t>
  </si>
  <si>
    <t>spotify:album:6ODMll7MM8Q89W8Wj6Y7j4</t>
  </si>
  <si>
    <t>https://i.scdn.co/image/ab67616d0000b2734a4ec708ff1b2d40930dc9fc</t>
  </si>
  <si>
    <t>https://p.scdn.co/mp3-preview/f9e6b892b7de63ded5a3fa322bb5c751d3c4a358?cid=9950ac751e34487dbbe027c4fd7f8e99</t>
  </si>
  <si>
    <t>UK98Q1700100</t>
  </si>
  <si>
    <t>spotify:album:2dTutpFR3OI9RbQB1AFWsf</t>
  </si>
  <si>
    <t>https://i.scdn.co/image/ab67616d0000b273dbdfeae3f3af6e9843ac0176</t>
  </si>
  <si>
    <t>https://p.scdn.co/mp3-preview/f05c3fddd42ac5344ab5b3ac001824fab2061190?cid=9950ac751e34487dbbe027c4fd7f8e99</t>
  </si>
  <si>
    <t>FR2PA1800100</t>
  </si>
  <si>
    <t>spotify:artist:1bj5GrcLom5gZFF5t949Xl, spotify:artist:1kMPdZQVdUhMDKDWOJM5iK</t>
  </si>
  <si>
    <t>Martin Solveig, Tkay Maidza</t>
  </si>
  <si>
    <t>spotify:album:0MyAvZHiGor4KbZ961SNm5</t>
  </si>
  <si>
    <t>https://i.scdn.co/image/ab67616d0000b2733a5d1b6521606a4cd41f691f</t>
  </si>
  <si>
    <t>https://p.scdn.co/mp3-preview/58f90744a60cdf913fc8cdae161aa63d0e8be2aa?cid=9950ac751e34487dbbe027c4fd7f8e99</t>
  </si>
  <si>
    <t>UK98Q1600001</t>
  </si>
  <si>
    <t>spotify:artist:1bj5GrcLom5gZFF5t949Xl, spotify:artist:6M7RdR9ZP52h2mfNLmiHtU</t>
  </si>
  <si>
    <t>Martin Solveig, Good Times Ahead</t>
  </si>
  <si>
    <t>spotify:album:6heKMHyHa6R2jrsUaX7LWm</t>
  </si>
  <si>
    <t>https://i.scdn.co/image/ab67616d0000b273b99c3ca911714a526b7e19e4</t>
  </si>
  <si>
    <t>https://p.scdn.co/mp3-preview/20916d60ddbbc21507abe84b8252eb4e65dba4cc?cid=9950ac751e34487dbbe027c4fd7f8e99</t>
  </si>
  <si>
    <t>UK98Q1500003</t>
  </si>
  <si>
    <t>spotify:artist:4CuipEvwcoQggmCV8jpKF9, spotify:artist:1bj5GrcLom5gZFF5t949Xl</t>
  </si>
  <si>
    <t>Michael Calfan, Martin Solveig</t>
  </si>
  <si>
    <t>spotify:album:3e1dFzE4BYmgStWjN1BHEM</t>
  </si>
  <si>
    <t>https://i.scdn.co/image/ab67616d0000b2732b29cf9dfaf89115d124d0ac</t>
  </si>
  <si>
    <t>https://p.scdn.co/mp3-preview/6136dcaa224911015dccd1324455300b88417ec8?cid=9950ac751e34487dbbe027c4fd7f8e99</t>
  </si>
  <si>
    <t>GBAHT2000187</t>
  </si>
  <si>
    <t>spotify:artist:1bj5GrcLom5gZFF5t949Xl, spotify:artist:7mDU6nMUJnOSY2Hkjz5oqM</t>
  </si>
  <si>
    <t>Martin Solveig, Roy Woods</t>
  </si>
  <si>
    <t>spotify:album:4ndTH1x8j5zYaidYSO5MXh</t>
  </si>
  <si>
    <t>https://i.scdn.co/image/ab67616d0000b273d774de200b0f8d0b001b25ae</t>
  </si>
  <si>
    <t>https://p.scdn.co/mp3-preview/045525e5583400aa3918c771472b90c629da50dd?cid=9950ac751e34487dbbe027c4fd7f8e99</t>
  </si>
  <si>
    <t>FR2PA1900100</t>
  </si>
  <si>
    <t>spotify:artist:1bj5GrcLom5gZFF5t949Xl, spotify:artist:1YPTXq9n1T2Zlw3dLR3Zdf</t>
  </si>
  <si>
    <t>Martin Solveig, SAM WHITE</t>
  </si>
  <si>
    <t>spotify:album:3jREGj5JfCoaM2160ZR2KZ</t>
  </si>
  <si>
    <t>https://i.scdn.co/image/ab67616d0000b27334caad4b1536df8374035ab0</t>
  </si>
  <si>
    <t>https://p.scdn.co/mp3-preview/c66c39dc96431a02abec3a4e6193c1de5c2bab62?cid=9950ac751e34487dbbe027c4fd7f8e99</t>
  </si>
  <si>
    <t>UK98Q1500201</t>
  </si>
  <si>
    <t>spotify:artist:1bj5GrcLom5gZFF5t949Xl, spotify:artist:4GLJPBj5Cdr9AgLKvLWM4n</t>
  </si>
  <si>
    <t>Martin Solveig, Dragonette</t>
  </si>
  <si>
    <t>spotify:album:7LdLbMbPPNE5Y0X2rtD2hC</t>
  </si>
  <si>
    <t>https://i.scdn.co/image/ab67616d0000b273554e1dae9a3ca0f634fae45b</t>
  </si>
  <si>
    <t>https://p.scdn.co/mp3-preview/62c5719e0466f8b57694e01d606b3ef32707415d?cid=9950ac751e34487dbbe027c4fd7f8e99</t>
  </si>
  <si>
    <t>FR2PA1000030</t>
  </si>
  <si>
    <t>spotify:album:4koAWSQBYnonjggr8UooQk</t>
  </si>
  <si>
    <t>https://i.scdn.co/image/ab67616d0000b273af7e594311ca9163d3361853</t>
  </si>
  <si>
    <t>https://p.scdn.co/mp3-preview/9435d9331252da7dff6034f72c992c0d136c27a2?cid=9950ac751e34487dbbe027c4fd7f8e99</t>
  </si>
  <si>
    <t>FR2PA1200040</t>
  </si>
  <si>
    <t>spotify:artist:6nxWCVXbOlEVRexSbLsTer, spotify:artist:6xHUXzrfhFgnIv86EBR3Ml, spotify:artist:1bj5GrcLom5gZFF5t949Xl</t>
  </si>
  <si>
    <t>Flume, kai, Martin Solveig</t>
  </si>
  <si>
    <t>spotify:album:7eJNOeBvrPrIZoZnOHAQcZ</t>
  </si>
  <si>
    <t>spotify:artist:6nxWCVXbOlEVRexSbLsTer</t>
  </si>
  <si>
    <t>Flume</t>
  </si>
  <si>
    <t>https://i.scdn.co/image/ab67616d0000b273bc28a762666a95955d536b61</t>
  </si>
  <si>
    <t>https://p.scdn.co/mp3-preview/f9c393cb647bca8e404be5add194f0c8a61776d5?cid=9950ac751e34487dbbe027c4fd7f8e99</t>
  </si>
  <si>
    <t>AUFF01600867</t>
  </si>
  <si>
    <t>spotify:artist:1bj5GrcLom5gZFF5t949Xl, spotify:artist:0Vz1JgVCal0g2BcznmVDBe</t>
  </si>
  <si>
    <t>Martin Solveig, Sundaygirl</t>
  </si>
  <si>
    <t>spotify:album:0wp1yThq7Tgrec3Mw3PVYg</t>
  </si>
  <si>
    <t>https://i.scdn.co/image/ab67616d0000b273504d4da46208d3fefeaaa844</t>
  </si>
  <si>
    <t>https://p.scdn.co/mp3-preview/5ecf42572b197901de59cfb125aabe7da3fa39b1?cid=9950ac751e34487dbbe027c4fd7f8e99</t>
  </si>
  <si>
    <t>FR2PA1100140</t>
  </si>
  <si>
    <t>spotify:artist:1bj5GrcLom5gZFF5t949Xl, spotify:artist:53cQZtWDwDJwVCNZlfJ6Qk</t>
  </si>
  <si>
    <t>Martin Solveig, Laidback Luke</t>
  </si>
  <si>
    <t>spotify:album:1f3HKGES3f21gAqmbmu6rq</t>
  </si>
  <si>
    <t>https://i.scdn.co/image/ab67616d0000b273041d38cdd50a09758ca9d2b5</t>
  </si>
  <si>
    <t>https://p.scdn.co/mp3-preview/67544192f3bd105cf6c972893a45ea6249902361?cid=9950ac751e34487dbbe027c4fd7f8e99</t>
  </si>
  <si>
    <t>FR2PA1308020</t>
  </si>
  <si>
    <t>spotify:artist:1bj5GrcLom5gZFF5t949Xl, spotify:artist:0LsO2x5E0KNdMxkWh0EmE0</t>
  </si>
  <si>
    <t>Martin Solveig, Kele</t>
  </si>
  <si>
    <t>spotify:album:0u5JEQjakXzEWMRJDIgHx6</t>
  </si>
  <si>
    <t>https://i.scdn.co/image/ab67616d0000b2737b2e16380f6c00c2b088819e</t>
  </si>
  <si>
    <t>https://p.scdn.co/mp3-preview/c90bc63438b7e26e11710ddf92ef607b7f538e4d?cid=9950ac751e34487dbbe027c4fd7f8e99</t>
  </si>
  <si>
    <t>FR2PA1100020</t>
  </si>
  <si>
    <t>spotify:artist:4Q6nIcaBED8qUel8bBx6Cr, spotify:artist:1bj5GrcLom5gZFF5t949Xl, spotify:artist:2kRfqPViCqYdSGhYSM9R0Q, spotify:artist:2NlKrNMdpYxGjt3Pvw87rC</t>
  </si>
  <si>
    <t>Jax Jones, Martin Solveig, Madison Beer, Europa</t>
  </si>
  <si>
    <t>spotify:album:1VQjtx21AAQnQe442bJssW</t>
  </si>
  <si>
    <t>spotify:artist:4Q6nIcaBED8qUel8bBx6Cr, spotify:artist:1bj5GrcLom5gZFF5t949Xl, spotify:artist:2kRfqPViCqYdSGhYSM9R0Q</t>
  </si>
  <si>
    <t>Jax Jones, Martin Solveig, Madison Beer</t>
  </si>
  <si>
    <t>https://i.scdn.co/image/ab67616d0000b273a382ac3d6d192d24f0858672</t>
  </si>
  <si>
    <t>https://p.scdn.co/mp3-preview/cf2d91dbe34beb51857fdcf5a5f5367e3df3740e?cid=9950ac751e34487dbbe027c4fd7f8e99</t>
  </si>
  <si>
    <t>GBUM71900522</t>
  </si>
  <si>
    <t>spotify:artist:53cQZtWDwDJwVCNZlfJ6Qk, spotify:artist:4x7gxsrTH3gThvSKZPPwaQ, spotify:artist:1bj5GrcLom5gZFF5t949Xl</t>
  </si>
  <si>
    <t>Laidback Luke, Chuckie, Martin Solveig</t>
  </si>
  <si>
    <t>spotify:album:2y1v5M177Uo3B5Lq784dVg</t>
  </si>
  <si>
    <t>https://i.scdn.co/image/ab67616d0000b273341197af3752cbcaab7bcaf7</t>
  </si>
  <si>
    <t>https://p.scdn.co/mp3-preview/564bab896acb744d88711c11a8a1b2f086fed4c7?cid=9950ac751e34487dbbe027c4fd7f8e99</t>
  </si>
  <si>
    <t>NLBW51200055</t>
  </si>
  <si>
    <t>spotify:artist:1bj5GrcLom5gZFF5t949Xl, spotify:artist:0FXfw2PCMixE773X8L1zXj</t>
  </si>
  <si>
    <t>Martin Solveig, Stephy Haik</t>
  </si>
  <si>
    <t>spotify:album:1SHOOkR0rX45e1SKtvMGs0</t>
  </si>
  <si>
    <t>https://i.scdn.co/image/ab67616d0000b273e5361726b5a45810889fe68c</t>
  </si>
  <si>
    <t>https://p.scdn.co/mp3-preview/68b8649016cab698a2e7141a78111e0c201838a4?cid=9950ac751e34487dbbe027c4fd7f8e99</t>
  </si>
  <si>
    <t>US4DK0400188</t>
  </si>
  <si>
    <t>spotify:artist:1bj5GrcLom5gZFF5t949Xl, spotify:artist:4GLJPBj5Cdr9AgLKvLWM4n, spotify:artist:4MMquRKVnKJLWy1FW5vVKO</t>
  </si>
  <si>
    <t>Martin Solveig, Dragonette, Idoling!!!</t>
  </si>
  <si>
    <t>spotify:album:5ZQNmMa6LUxUjs3fPult5w</t>
  </si>
  <si>
    <t>https://i.scdn.co/image/ab67616d0000b2739acc6c9fada570d1058ade5b</t>
  </si>
  <si>
    <t>https://p.scdn.co/mp3-preview/25c0d2a9de00e75aed6a109b6e3391e9ef1a9acc?cid=9950ac751e34487dbbe027c4fd7f8e99</t>
  </si>
  <si>
    <t>FR2PA1100270</t>
  </si>
  <si>
    <t>spotify:album:3EiP9M1FRRfR92CkQRinaJ</t>
  </si>
  <si>
    <t>https://i.scdn.co/image/ab67616d0000b27395a74c6f53ffb15870f32d9b</t>
  </si>
  <si>
    <t>https://p.scdn.co/mp3-preview/f3063eba217424bdc1338a8eafee6adeb9700e55?cid=9950ac751e34487dbbe027c4fd7f8e99</t>
  </si>
  <si>
    <t>FR2PA0900150</t>
  </si>
  <si>
    <t>spotify:album:5H5zk4n8pKswsgc9IDgbgc</t>
  </si>
  <si>
    <t>https://i.scdn.co/image/ab67616d0000b273b44aaeade923762e5a290f0d</t>
  </si>
  <si>
    <t>https://p.scdn.co/mp3-preview/30395a7c855fc43aa821058a3f1e599966b0ad81?cid=9950ac751e34487dbbe027c4fd7f8e99</t>
  </si>
  <si>
    <t>FRU240300589</t>
  </si>
  <si>
    <t>spotify:album:1IcCtsBMZXUHyT2BbKwzcE</t>
  </si>
  <si>
    <t>https://i.scdn.co/image/ab67616d0000b2733d59810bcd5f1214a1c6f437</t>
  </si>
  <si>
    <t>https://p.scdn.co/mp3-preview/67fa5ece85e928a4676bf5a0ed1990d0fc781841?cid=9950ac751e34487dbbe027c4fd7f8e99</t>
  </si>
  <si>
    <t>FRU240500048</t>
  </si>
  <si>
    <t>spotify:artist:1bj5GrcLom5gZFF5t949Xl, spotify:artist:1f52NJ98E9Pz2hJQ8oe4sD</t>
  </si>
  <si>
    <t>Martin Solveig, Hossam Ramzy</t>
  </si>
  <si>
    <t>spotify:album:1Ty46CHvm7P0XOks0hvG8d</t>
  </si>
  <si>
    <t>https://i.scdn.co/image/ab67616d0000b2735ac1e65db9c92cab7e64e198</t>
  </si>
  <si>
    <t>https://p.scdn.co/mp3-preview/f245db6e9e83c46f5fe1a5ba7f5abcde43bc60b3?cid=9950ac751e34487dbbe027c4fd7f8e99</t>
  </si>
  <si>
    <t>FRQ679800091</t>
  </si>
  <si>
    <t>https://p.scdn.co/mp3-preview/68a1c9ee73bedaec75d3348665261cf2bcb1d745?cid=9950ac751e34487dbbe027c4fd7f8e99</t>
  </si>
  <si>
    <t>FR2PA1100090</t>
  </si>
  <si>
    <t>spotify:album:5RE0oKzGrnu8AOlcMD69qu</t>
  </si>
  <si>
    <t>https://i.scdn.co/image/ab67616d0000b273b6cfddd899d2b39d0e3a331a</t>
  </si>
  <si>
    <t>https://p.scdn.co/mp3-preview/a963f5cda0a5e763fe99989df13a05e6e25c3c6a?cid=9950ac751e34487dbbe027c4fd7f8e99</t>
  </si>
  <si>
    <t>FRU240100490</t>
  </si>
  <si>
    <t>spotify:artist:1Cs0zKBU1kc0i8ypK3B9ai, spotify:artist:1bj5GrcLom5gZFF5t949Xl</t>
  </si>
  <si>
    <t>David Guetta, Martin Solveig</t>
  </si>
  <si>
    <t>spotify:album:1cbCgek1ORPGZFKlBIhBmH</t>
  </si>
  <si>
    <t>https://i.scdn.co/image/ab67616d0000b273fd85df3eaae86a2772e31072</t>
  </si>
  <si>
    <t>https://p.scdn.co/mp3-preview/87c0235504d271ffd6f9b09613d901d147b89d96?cid=9950ac751e34487dbbe027c4fd7f8e99</t>
  </si>
  <si>
    <t>GB28K1900054</t>
  </si>
  <si>
    <t>spotify:album:16H9XbDP9IxeyOohsXkKXb</t>
  </si>
  <si>
    <t>https://i.scdn.co/image/ab67616d0000b273bb3c162ddba09bfba12199ea</t>
  </si>
  <si>
    <t>https://p.scdn.co/mp3-preview/d2362c7c31d6d6cff44f262608fd6a0ee5779591?cid=9950ac751e34487dbbe027c4fd7f8e99</t>
  </si>
  <si>
    <t>spotify:album:6gx82bA4SOtNQsuPzaEUeU</t>
  </si>
  <si>
    <t>https://i.scdn.co/image/ab67616d0000b27398c0382ea9d8d68582f3c031</t>
  </si>
  <si>
    <t>https://p.scdn.co/mp3-preview/15ca825b2413e6daade527ff3a3d3f995f48884c?cid=9950ac751e34487dbbe027c4fd7f8e99</t>
  </si>
  <si>
    <t>GB28K1900081</t>
  </si>
  <si>
    <t>spotify:artist:1gR0gsQYfi6joyO1dlp76N, spotify:artist:5INjqkS1o8h1imAzPqGZBb</t>
  </si>
  <si>
    <t>Justice, Tame Impala</t>
  </si>
  <si>
    <t>spotify:album:6ooBxhsOVedpX4zPTCyL86</t>
  </si>
  <si>
    <t>spotify:artist:1gR0gsQYfi6joyO1dlp76N</t>
  </si>
  <si>
    <t>https://i.scdn.co/image/ab67616d0000b2738f4b5df3a6ee2abb733080a9</t>
  </si>
  <si>
    <t>https://p.scdn.co/mp3-preview/8314f126a5acedf146ff74f745b15859e6bb847f?cid=9950ac751e34487dbbe027c4fd7f8e99</t>
  </si>
  <si>
    <t>FR8EU2300010</t>
  </si>
  <si>
    <t>spotify:artist:1gR0gsQYfi6joyO1dlp76N, spotify:artist:4frXpPxQQZwbCu3eTGnZEw</t>
  </si>
  <si>
    <t>Justice, Thundercat</t>
  </si>
  <si>
    <t>https://p.scdn.co/mp3-preview/00a5fc560212285f32d1782b84e8f2dfc2dcd69d?cid=9950ac751e34487dbbe027c4fd7f8e99</t>
  </si>
  <si>
    <t>FR8EU2300130</t>
  </si>
  <si>
    <t>https://p.scdn.co/mp3-preview/ae8bcfa9727226718ff4f393ded4daece58bf3a6?cid=9950ac751e34487dbbe027c4fd7f8e99</t>
  </si>
  <si>
    <t>FR8EU2300020</t>
  </si>
  <si>
    <t>https://p.scdn.co/mp3-preview/a8742ce4b1598a9c702bcb582ada7617dde41e6e?cid=9950ac751e34487dbbe027c4fd7f8e99</t>
  </si>
  <si>
    <t>FR8EU2300040</t>
  </si>
  <si>
    <t>spotify:artist:1gR0gsQYfi6joyO1dlp76N, spotify:artist:4DtUsfaVQBhypuwYmobdSm</t>
  </si>
  <si>
    <t>Justice, RIMON</t>
  </si>
  <si>
    <t>https://p.scdn.co/mp3-preview/93f86dbb49ee7e8f14e0a3d17343b728c5b20374?cid=9950ac751e34487dbbe027c4fd7f8e99</t>
  </si>
  <si>
    <t>FR8EU2300030</t>
  </si>
  <si>
    <t>https://p.scdn.co/mp3-preview/2ee0f96c8e35c63f815fda12f86491384583f1bf?cid=9950ac751e34487dbbe027c4fd7f8e99</t>
  </si>
  <si>
    <t>FR8EU2300050</t>
  </si>
  <si>
    <t>https://p.scdn.co/mp3-preview/8da0911e6032d8d677e73d036aa20f7ed3f160b6?cid=9950ac751e34487dbbe027c4fd7f8e99</t>
  </si>
  <si>
    <t>FR8EU2300060</t>
  </si>
  <si>
    <t>spotify:artist:1gR0gsQYfi6joyO1dlp76N, spotify:artist:4yJmzmjRodRbsqgOVpHD1v</t>
  </si>
  <si>
    <t>Justice, The Flints</t>
  </si>
  <si>
    <t>https://p.scdn.co/mp3-preview/caffc0443ec363a28365368cb09de22785cd9033?cid=9950ac751e34487dbbe027c4fd7f8e99</t>
  </si>
  <si>
    <t>FR8EU2300070</t>
  </si>
  <si>
    <t>https://p.scdn.co/mp3-preview/728abeae31d4610f2361e5e6e178e975474573c0?cid=9950ac751e34487dbbe027c4fd7f8e99</t>
  </si>
  <si>
    <t>FR8EU2300080</t>
  </si>
  <si>
    <t>spotify:artist:1gR0gsQYfi6joyO1dlp76N, spotify:artist:247AfC9pLuqwgpH8Mo96oA</t>
  </si>
  <si>
    <t>Justice, Connan Mockasin</t>
  </si>
  <si>
    <t>https://p.scdn.co/mp3-preview/706617b495c43765f66262d414d25a48fcc72f8b?cid=9950ac751e34487dbbe027c4fd7f8e99</t>
  </si>
  <si>
    <t>FR8EU2300090</t>
  </si>
  <si>
    <t>https://p.scdn.co/mp3-preview/d844e08e00d00793c1c68acd71e53afab9b15fb8?cid=9950ac751e34487dbbe027c4fd7f8e99</t>
  </si>
  <si>
    <t>FR8EU2300100</t>
  </si>
  <si>
    <t>https://p.scdn.co/mp3-preview/3908973f5fb7336f6cb528be83586b8bf6247d7d?cid=9950ac751e34487dbbe027c4fd7f8e99</t>
  </si>
  <si>
    <t>FR8EU2300110</t>
  </si>
  <si>
    <t>spotify:artist:1gR0gsQYfi6joyO1dlp76N, spotify:artist:360IAlyVv4PCEVjgyMZrxK</t>
  </si>
  <si>
    <t>Justice, Miguel</t>
  </si>
  <si>
    <t>https://p.scdn.co/mp3-preview/b0aebaee50e68d1686f97e9e02edca19aea97a37?cid=9950ac751e34487dbbe027c4fd7f8e99</t>
  </si>
  <si>
    <t>FR8EU2300120</t>
  </si>
  <si>
    <t>spotify:album:4GGazqHvuKwxBjWLFaJkDL</t>
  </si>
  <si>
    <t>https://i.scdn.co/image/ab67616d0000b2731c0bcf8b536295438d26c70d</t>
  </si>
  <si>
    <t>https://p.scdn.co/mp3-preview/0412ef6b21192bc79fc1fb3389d8c95172e2c2bf?cid=9950ac751e34487dbbe027c4fd7f8e99</t>
  </si>
  <si>
    <t>FR0NT0700420</t>
  </si>
  <si>
    <t>spotify:album:38wVbgi0KToecxWxNYNutr</t>
  </si>
  <si>
    <t>https://i.scdn.co/image/ab67616d0000b2733258d5263985543e8648326e</t>
  </si>
  <si>
    <t>https://p.scdn.co/mp3-preview/55472f0781a3baa60e650302ce348524bc2b1b4b?cid=9950ac751e34487dbbe027c4fd7f8e99</t>
  </si>
  <si>
    <t>FR0NT0700300</t>
  </si>
  <si>
    <t>spotify:artist:1gR0gsQYfi6joyO1dlp76N, spotify:artist:19rgRqYVP3LJf9tGmMWLjP</t>
  </si>
  <si>
    <t>Justice, Simian</t>
  </si>
  <si>
    <t>spotify:album:1M9rUTZKBvDhKIqK9rNxLi</t>
  </si>
  <si>
    <t>spotify:artist:19rgRqYVP3LJf9tGmMWLjP, spotify:artist:1gR0gsQYfi6joyO1dlp76N</t>
  </si>
  <si>
    <t>Simian, Justice</t>
  </si>
  <si>
    <t>https://i.scdn.co/image/ab67616d0000b273da9d336dbc4e0b8adc2b8959</t>
  </si>
  <si>
    <t>https://p.scdn.co/mp3-preview/8ff2e95b89157351ba7de097cb6e3381ad587252?cid=9950ac751e34487dbbe027c4fd7f8e99</t>
  </si>
  <si>
    <t>GBAAA0600209</t>
  </si>
  <si>
    <t>spotify:album:3Nkafp6ZTb1F0bTaAO0ePL</t>
  </si>
  <si>
    <t>https://i.scdn.co/image/ab67616d0000b273d94d9ef197ddb9e06ba1f315</t>
  </si>
  <si>
    <t>https://p.scdn.co/mp3-preview/8a416a0e9549d1d3533d4c9fb389b43189078d5b?cid=9950ac751e34487dbbe027c4fd7f8e99</t>
  </si>
  <si>
    <t>FR9W11607807</t>
  </si>
  <si>
    <t>spotify:album:3PXoBhswLJDaaqTKrT8gy1</t>
  </si>
  <si>
    <t>https://i.scdn.co/image/ab67616d0000b2732f59eee195397eeea46731c2</t>
  </si>
  <si>
    <t>https://p.scdn.co/mp3-preview/f6121967f49eb4cc273e357838c0898eb7963096?cid=9950ac751e34487dbbe027c4fd7f8e99</t>
  </si>
  <si>
    <t>FR0NT1100370</t>
  </si>
  <si>
    <t>spotify:album:0eUlgljnjlQedQGKj5b6kx</t>
  </si>
  <si>
    <t>https://i.scdn.co/image/ab67616d0000b273373f689f56bb0a0fae48d57a</t>
  </si>
  <si>
    <t>https://p.scdn.co/mp3-preview/c5ba4ecb78ad42683d2075b1028ffd6d0e2e4827?cid=9950ac751e34487dbbe027c4fd7f8e99</t>
  </si>
  <si>
    <t>FR0NT1100850</t>
  </si>
  <si>
    <t>https://p.scdn.co/mp3-preview/b55609b89ea9ecbb46dad21a4ee6f074a5e4dd0e?cid=9950ac751e34487dbbe027c4fd7f8e99</t>
  </si>
  <si>
    <t>FR0NT0700320</t>
  </si>
  <si>
    <t>https://p.scdn.co/mp3-preview/f4b349f2266c412ab09bff5e0b0621c2430057f6?cid=9950ac751e34487dbbe027c4fd7f8e99</t>
  </si>
  <si>
    <t>FR0NT1100880</t>
  </si>
  <si>
    <t>spotify:album:23EaoI8dXfDGfxF54sd1DP</t>
  </si>
  <si>
    <t>https://i.scdn.co/image/ab67616d0000b273d4a2f9a24620e329d2db7078</t>
  </si>
  <si>
    <t>https://p.scdn.co/mp3-preview/aa60b447f0cff08eca2360bc2bf602c5a855845e?cid=9950ac751e34487dbbe027c4fd7f8e99</t>
  </si>
  <si>
    <t>FR9W11614932</t>
  </si>
  <si>
    <t>https://p.scdn.co/mp3-preview/1a350b6181e11b26e27bb2cba7ac11645277c025?cid=9950ac751e34487dbbe027c4fd7f8e99</t>
  </si>
  <si>
    <t>FR9W11607811</t>
  </si>
  <si>
    <t>https://p.scdn.co/mp3-preview/a0ec814c65f7cf50944fab1ce3abccc9a772c8d2?cid=9950ac751e34487dbbe027c4fd7f8e99</t>
  </si>
  <si>
    <t>FR0NT0700350</t>
  </si>
  <si>
    <t>https://p.scdn.co/mp3-preview/abe382ed35a6202eed67d7a0484ca81395f9bd80?cid=9950ac751e34487dbbe027c4fd7f8e99</t>
  </si>
  <si>
    <t>FR9W11614931</t>
  </si>
  <si>
    <t>https://p.scdn.co/mp3-preview/86272117780f9c45af3a90ef4de522131375a064?cid=9950ac751e34487dbbe027c4fd7f8e99</t>
  </si>
  <si>
    <t>FR0NT0700360</t>
  </si>
  <si>
    <t>spotify:album:2sPVDSPoePTD46ndj48TS3</t>
  </si>
  <si>
    <t>https://i.scdn.co/image/ab67616d0000b273da779c39883f757acf57f560</t>
  </si>
  <si>
    <t>https://p.scdn.co/mp3-preview/f95443337bc010fe7dcb051d9b166a419ec010ec?cid=9950ac751e34487dbbe027c4fd7f8e99</t>
  </si>
  <si>
    <t>FR0NT0500091</t>
  </si>
  <si>
    <t>https://p.scdn.co/mp3-preview/00d2f9574583a0b5bfb950784db1bfb0d1a7cb8f?cid=9950ac751e34487dbbe027c4fd7f8e99</t>
  </si>
  <si>
    <t>FR0NT0600350</t>
  </si>
  <si>
    <t>https://p.scdn.co/mp3-preview/02adc2ac8b81db07354ad60c42265b29a87c4eb2?cid=9950ac751e34487dbbe027c4fd7f8e99</t>
  </si>
  <si>
    <t>FR0NT0700340</t>
  </si>
  <si>
    <t>https://p.scdn.co/mp3-preview/6c92bc366d3b92b041627f371bf9d07f529cdeda?cid=9950ac751e34487dbbe027c4fd7f8e99</t>
  </si>
  <si>
    <t>FR0NT0500092</t>
  </si>
  <si>
    <t>spotify:album:6NoxMV7uP6UBYVFqlEK42t</t>
  </si>
  <si>
    <t>https://i.scdn.co/image/ab67616d0000b273631508f0704d9a0fe6c804db</t>
  </si>
  <si>
    <t>https://p.scdn.co/mp3-preview/0d0fa6944f35ee0bdb4f65f737ea52f053903901?cid=9950ac751e34487dbbe027c4fd7f8e99</t>
  </si>
  <si>
    <t>FR0NT2200000</t>
  </si>
  <si>
    <t>https://p.scdn.co/mp3-preview/9043c0dbac6b5fe7ca7892297204c5676a92dbbb?cid=9950ac751e34487dbbe027c4fd7f8e99</t>
  </si>
  <si>
    <t>FR9W11614930</t>
  </si>
  <si>
    <t>https://p.scdn.co/mp3-preview/8818ea1b31a5fae67c44ab04544c1b0a55ebcb06?cid=9950ac751e34487dbbe027c4fd7f8e99</t>
  </si>
  <si>
    <t>FR0NT1100900</t>
  </si>
  <si>
    <t>https://p.scdn.co/mp3-preview/8d4bf4f67e1bc5b1d766c9c365a9f53010e5e289?cid=9950ac751e34487dbbe027c4fd7f8e99</t>
  </si>
  <si>
    <t>FR0NT1100890</t>
  </si>
  <si>
    <t>https://p.scdn.co/mp3-preview/40ee4d3a49085bedd5cec1e15a6c54e4a899e0d1?cid=9950ac751e34487dbbe027c4fd7f8e99</t>
  </si>
  <si>
    <t>FR0NT0700310</t>
  </si>
  <si>
    <t>https://p.scdn.co/mp3-preview/5456cc4367798591ffb82e336a82ede762345241?cid=9950ac751e34487dbbe027c4fd7f8e99</t>
  </si>
  <si>
    <t>FR9W11607808</t>
  </si>
  <si>
    <t>https://p.scdn.co/mp3-preview/d892dfbe6163c38860fe1a8bf4accf5234b2fbcb?cid=9950ac751e34487dbbe027c4fd7f8e99</t>
  </si>
  <si>
    <t>FR0NT0700330</t>
  </si>
  <si>
    <t>spotify:album:0dLnnm4PjeyqM4CoHqo6DI</t>
  </si>
  <si>
    <t>https://i.scdn.co/image/ab67616d0000b273f9171c2b7bab0956cdfbd1fa</t>
  </si>
  <si>
    <t>https://p.scdn.co/mp3-preview/84afa43946f409fb5866690022d1af1fdc24ce78?cid=9950ac751e34487dbbe027c4fd7f8e99</t>
  </si>
  <si>
    <t>FR0NT1100810</t>
  </si>
  <si>
    <t>https://p.scdn.co/mp3-preview/65f62d6ed911bba33d5f30cfd99b5e3da940413c?cid=9950ac751e34487dbbe027c4fd7f8e99</t>
  </si>
  <si>
    <t>FR0NT0700370</t>
  </si>
  <si>
    <t>https://p.scdn.co/mp3-preview/4d4b2f6e76438f43e2c8307561ef0d9ab3f1cf43?cid=9950ac751e34487dbbe027c4fd7f8e99</t>
  </si>
  <si>
    <t>FR0NT1100840</t>
  </si>
  <si>
    <t>https://p.scdn.co/mp3-preview/e0be5a302dedd79279db16f7076d4e861dab84fc?cid=9950ac751e34487dbbe027c4fd7f8e99</t>
  </si>
  <si>
    <t>FR9W11614934</t>
  </si>
  <si>
    <t>https://p.scdn.co/mp3-preview/54094d287c6eae5068ff414e6d958d90cd59a79c?cid=9950ac751e34487dbbe027c4fd7f8e99</t>
  </si>
  <si>
    <t>FR0NT1100820</t>
  </si>
  <si>
    <t>https://p.scdn.co/mp3-preview/cf78abb64fe44b98cab1d6f313b17606cf71ebd6?cid=9950ac751e34487dbbe027c4fd7f8e99</t>
  </si>
  <si>
    <t>FR9W11607810</t>
  </si>
  <si>
    <t>spotify:artist:1xiaqHkrYo04iuDw2h7kft, spotify:artist:1gR0gsQYfi6joyO1dlp76N</t>
  </si>
  <si>
    <t>Gaspard AugÃ©, Justice</t>
  </si>
  <si>
    <t>spotify:album:2DlvDiYx2Nd5VQAmNqUDJu</t>
  </si>
  <si>
    <t>https://i.scdn.co/image/ab67616d0000b27331c469bafacbe77490dd6ba9</t>
  </si>
  <si>
    <t>https://p.scdn.co/mp3-preview/4cf41d8255ae5cc1f39a316ed8bbe064420589db?cid=9950ac751e34487dbbe027c4fd7f8e99</t>
  </si>
  <si>
    <t>FR8EU2000140</t>
  </si>
  <si>
    <t>https://p.scdn.co/mp3-preview/d2f62d0afcf1e7395fe6235fe86952318ce413bf?cid=9950ac751e34487dbbe027c4fd7f8e99</t>
  </si>
  <si>
    <t>FR0NT0801100</t>
  </si>
  <si>
    <t>spotify:artist:63MQldklfxkjYDoUE4Tppz</t>
  </si>
  <si>
    <t>spotify:album:6R0ynY7RF20ofs9GJR5TXR</t>
  </si>
  <si>
    <t>https://i.scdn.co/image/ab67616d0000b273fff2cb485c36a6d8f639bdba</t>
  </si>
  <si>
    <t>https://p.scdn.co/mp3-preview/08fbae33a76d2039157f2162354ec108ed04d2dd?cid=9950ac751e34487dbbe027c4fd7f8e99</t>
  </si>
  <si>
    <t>GB55H1100001</t>
  </si>
  <si>
    <t>https://p.scdn.co/mp3-preview/a3bbe39182561b00b4104b859c29361732c0978d?cid=9950ac751e34487dbbe027c4fd7f8e99</t>
  </si>
  <si>
    <t>GB55H1100002</t>
  </si>
  <si>
    <t>https://p.scdn.co/mp3-preview/9ca6a40f871ad8e12abd1c541ba182b1d7c6f3ac?cid=9950ac751e34487dbbe027c4fd7f8e99</t>
  </si>
  <si>
    <t>GB55H1100003</t>
  </si>
  <si>
    <t>https://p.scdn.co/mp3-preview/73721cc5492a2a87240c6f757b3dd927aa0293c7?cid=9950ac751e34487dbbe027c4fd7f8e99</t>
  </si>
  <si>
    <t>GB55H1100004</t>
  </si>
  <si>
    <t>https://p.scdn.co/mp3-preview/6e8a4504d2a4b0cf92fd19f2807e0179c897a17a?cid=9950ac751e34487dbbe027c4fd7f8e99</t>
  </si>
  <si>
    <t>GB55H1100005</t>
  </si>
  <si>
    <t>https://p.scdn.co/mp3-preview/d17c6085d24e8f1017fcc939d7b306ec330d7915?cid=9950ac751e34487dbbe027c4fd7f8e99</t>
  </si>
  <si>
    <t>GB55H1100006</t>
  </si>
  <si>
    <t>https://p.scdn.co/mp3-preview/7ea63e34f59f695bb9320da8caee6182c2fc593b?cid=9950ac751e34487dbbe027c4fd7f8e99</t>
  </si>
  <si>
    <t>GB55H1100007</t>
  </si>
  <si>
    <t>https://p.scdn.co/mp3-preview/f26eace630c2b9835e2eed9e8366aad6f21ee4d6?cid=9950ac751e34487dbbe027c4fd7f8e99</t>
  </si>
  <si>
    <t>GB55H1100008</t>
  </si>
  <si>
    <t>https://p.scdn.co/mp3-preview/cc360afab457004ab271edbbcb600981c95c3c5f?cid=9950ac751e34487dbbe027c4fd7f8e99</t>
  </si>
  <si>
    <t>GB55H1100009</t>
  </si>
  <si>
    <t>https://p.scdn.co/mp3-preview/93e46a9bd80d1130436136b8e9bdec2ece646364?cid=9950ac751e34487dbbe027c4fd7f8e99</t>
  </si>
  <si>
    <t>GB55H1100010</t>
  </si>
  <si>
    <t>https://p.scdn.co/mp3-preview/5c29da51aada0bcdab4be23759eb4e3defd11910?cid=9950ac751e34487dbbe027c4fd7f8e99</t>
  </si>
  <si>
    <t>GB55H1100011</t>
  </si>
  <si>
    <t>https://p.scdn.co/mp3-preview/d1ce7eecb3784fa597b2315b7bdd4175b7510243?cid=9950ac751e34487dbbe027c4fd7f8e99</t>
  </si>
  <si>
    <t>GB55H1100012</t>
  </si>
  <si>
    <t>https://p.scdn.co/mp3-preview/77e46d266d6ef516da7aaf4da05c28136e0797ca?cid=9950ac751e34487dbbe027c4fd7f8e99</t>
  </si>
  <si>
    <t>GB55H1100013</t>
  </si>
  <si>
    <t>https://p.scdn.co/mp3-preview/a3b3c6bbf659f59f092b25420bdc1557e4de5892?cid=9950ac751e34487dbbe027c4fd7f8e99</t>
  </si>
  <si>
    <t>GB55H1100014</t>
  </si>
  <si>
    <t>https://p.scdn.co/mp3-preview/dfd152b07395db31d75b5eac256d33277cc65a32?cid=9950ac751e34487dbbe027c4fd7f8e99</t>
  </si>
  <si>
    <t>GB55H1100015</t>
  </si>
  <si>
    <t>https://p.scdn.co/mp3-preview/272efa0c61657e77ec61401d1e9922e20010ab40?cid=9950ac751e34487dbbe027c4fd7f8e99</t>
  </si>
  <si>
    <t>GB55H1100016</t>
  </si>
  <si>
    <t>https://p.scdn.co/mp3-preview/a052a7606b9ce9a662f232e1876e94b85a7ba41d?cid=9950ac751e34487dbbe027c4fd7f8e99</t>
  </si>
  <si>
    <t>GB55H1100017</t>
  </si>
  <si>
    <t>https://p.scdn.co/mp3-preview/2632bdf2e75a203d508d884ceb8f1c3b3fa213d3?cid=9950ac751e34487dbbe027c4fd7f8e99</t>
  </si>
  <si>
    <t>GB55H1100018</t>
  </si>
  <si>
    <t>https://p.scdn.co/mp3-preview/55f6eda60806c5cac20c88305075c23fc1a82ca3?cid=9950ac751e34487dbbe027c4fd7f8e99</t>
  </si>
  <si>
    <t>GB55H1100019</t>
  </si>
  <si>
    <t>https://p.scdn.co/mp3-preview/2a16319fe80909cfd3e4fa3b4050a351b5af4193?cid=9950ac751e34487dbbe027c4fd7f8e99</t>
  </si>
  <si>
    <t>GB55H1100020</t>
  </si>
  <si>
    <t>https://p.scdn.co/mp3-preview/a75efe546f840f4bd0196c6fa672bd7011661bf8?cid=9950ac751e34487dbbe027c4fd7f8e99</t>
  </si>
  <si>
    <t>GB55H1100021</t>
  </si>
  <si>
    <t>https://p.scdn.co/mp3-preview/7216389187fb435c2f6776e9d7710804a6524687?cid=9950ac751e34487dbbe027c4fd7f8e99</t>
  </si>
  <si>
    <t>GB55H1100022</t>
  </si>
  <si>
    <t>spotify:album:6EB14IXV5oyOiItGBv7mtG</t>
  </si>
  <si>
    <t>https://i.scdn.co/image/ab67616d0000b273b3591763154a27326b3f431a</t>
  </si>
  <si>
    <t>spotify:artist:63MQldklfxkjYDoUE4Tppz, spotify:artist:01OXxPlQj4h9zfK5qjU96P</t>
  </si>
  <si>
    <t>M83, Felsmann + Tiley</t>
  </si>
  <si>
    <t>spotify:album:4p7WLVMsRuU9gU3DWfuNTk</t>
  </si>
  <si>
    <t>https://i.scdn.co/image/ab67616d0000b273fe2c5d2fa20c15dbb06a606b</t>
  </si>
  <si>
    <t>https://p.scdn.co/mp3-preview/3612941b358d94fbcc011708063ceae899348d8e?cid=9950ac751e34487dbbe027c4fd7f8e99</t>
  </si>
  <si>
    <t>GB5SH2000001</t>
  </si>
  <si>
    <t>spotify:artist:23fqKkggKUBHNkbKtXEls4, spotify:artist:63MQldklfxkjYDoUE4Tppz</t>
  </si>
  <si>
    <t>Kygo, M83</t>
  </si>
  <si>
    <t>spotify:album:5BrjR0P59l9SsbODztqs3q</t>
  </si>
  <si>
    <t>spotify:artist:23fqKkggKUBHNkbKtXEls4</t>
  </si>
  <si>
    <t>Kygo</t>
  </si>
  <si>
    <t>https://i.scdn.co/image/ab67616d0000b27343c39d57c55a3580766551c9</t>
  </si>
  <si>
    <t>https://p.scdn.co/mp3-preview/7e1772063e33940bc71dfe86b20214c8e5ebd480?cid=9950ac751e34487dbbe027c4fd7f8e99</t>
  </si>
  <si>
    <t>USRC12401260</t>
  </si>
  <si>
    <t>spotify:artist:63MQldklfxkjYDoUE4Tppz, spotify:artist:54KCNI7URCrG6yjQK3Ukow</t>
  </si>
  <si>
    <t>M83, Susanne SundfÃ¸r</t>
  </si>
  <si>
    <t>spotify:album:5O5pnKHDJrwvL6w9Ne1mka</t>
  </si>
  <si>
    <t>https://i.scdn.co/image/ab67616d0000b273c574dc72611d61885ac9669a</t>
  </si>
  <si>
    <t>https://p.scdn.co/mp3-preview/2c3aa56363bb7a7feceb0fcc0049425a62c38905?cid=9950ac751e34487dbbe027c4fd7f8e99</t>
  </si>
  <si>
    <t>USQ4E1300626</t>
  </si>
  <si>
    <t>spotify:album:1omTP0fZPIvphq3CaVlGHA</t>
  </si>
  <si>
    <t>Les rencontres d'aprÃ¨s minuit / You and the Night (Original Motion Picture Soundtrack)</t>
  </si>
  <si>
    <t>https://i.scdn.co/image/ab67616d0000b273dc2d1dcf42c7f1368b8014ac</t>
  </si>
  <si>
    <t>https://p.scdn.co/mp3-preview/9f59c6bedd4007c9e814366faa80494f9f2bc423?cid=9950ac751e34487dbbe027c4fd7f8e99</t>
  </si>
  <si>
    <t>GB55H1300018</t>
  </si>
  <si>
    <t>spotify:album:3ArLEdO46J7zsEgnlyLmmp</t>
  </si>
  <si>
    <t>https://i.scdn.co/image/ab67616d0000b27313c813c97d3bdf1ecb360853</t>
  </si>
  <si>
    <t>https://p.scdn.co/mp3-preview/93a8b44753647b97432b508ca9353a05610f7ed3?cid=9950ac751e34487dbbe027c4fd7f8e99</t>
  </si>
  <si>
    <t>GB55H1400001</t>
  </si>
  <si>
    <t>spotify:artist:63MQldklfxkjYDoUE4Tppz, spotify:artist:2q10Wskc3lPYmEuV7rzMCv, spotify:artist:566MlWaCa63jvMZV9YMj3V</t>
  </si>
  <si>
    <t>M83, Anthony Gonzalez, Joseph Trapanese</t>
  </si>
  <si>
    <t>https://p.scdn.co/mp3-preview/2dfeff29fdfe619520f096f7e929cdda6b8bbaa2?cid=9950ac751e34487dbbe027c4fd7f8e99</t>
  </si>
  <si>
    <t>USQ4E1300603</t>
  </si>
  <si>
    <t>spotify:artist:63MQldklfxkjYDoUE4Tppz, spotify:artist:4qCKUiCnxl18wGx7Bvk5fD</t>
  </si>
  <si>
    <t>M83, MAI LAN</t>
  </si>
  <si>
    <t>spotify:album:2NDfGFApzXItl4hNOj1M4k</t>
  </si>
  <si>
    <t>https://i.scdn.co/image/ab67616d0000b27395e27fa175bad6817721f1ca</t>
  </si>
  <si>
    <t>https://p.scdn.co/mp3-preview/3f8505b6eec1a55a57713912290d4d9463254eec?cid=9950ac751e34487dbbe027c4fd7f8e99</t>
  </si>
  <si>
    <t>GB55H1600002</t>
  </si>
  <si>
    <t>spotify:artist:63MQldklfxkjYDoUE4Tppz, spotify:artist:5sm0jQ1mq0dusiLtDJ2b4R</t>
  </si>
  <si>
    <t>M83, Eric Prydz</t>
  </si>
  <si>
    <t>spotify:album:7lOidIGDpO6imOl4zDGQ9p</t>
  </si>
  <si>
    <t>https://i.scdn.co/image/ab67616d0000b2732e119106a5e213ea4f34e12d</t>
  </si>
  <si>
    <t>https://p.scdn.co/mp3-preview/fe58b1c5ba690edc848ca7e71b38f90446d6bbee?cid=9950ac751e34487dbbe027c4fd7f8e99</t>
  </si>
  <si>
    <t>GB55H1200001</t>
  </si>
  <si>
    <t>https://p.scdn.co/mp3-preview/f24c34e8545721e7d995493fdceb4af5c0655f3f?cid=9950ac751e34487dbbe027c4fd7f8e99</t>
  </si>
  <si>
    <t>USQ4E1300598</t>
  </si>
  <si>
    <t>https://p.scdn.co/mp3-preview/33086299b6121f1c23f874aa03f48737f4d2c5ec?cid=9950ac751e34487dbbe027c4fd7f8e99</t>
  </si>
  <si>
    <t>GB55H1600001</t>
  </si>
  <si>
    <t>spotify:album:3z77NvneHmnr1A2FPUfpLx</t>
  </si>
  <si>
    <t>https://i.scdn.co/image/ab67616d0000b273fb1ed9d614dc2fa4d5ead013</t>
  </si>
  <si>
    <t>https://p.scdn.co/mp3-preview/de3c204e00014409ab5becd3eae78a3decd61961?cid=9950ac751e34487dbbe027c4fd7f8e99</t>
  </si>
  <si>
    <t>GBSLQ0700007</t>
  </si>
  <si>
    <t>https://p.scdn.co/mp3-preview/60b553662c67c2c01d7fec3918dba0b3bf1b2a3d?cid=9950ac751e34487dbbe027c4fd7f8e99</t>
  </si>
  <si>
    <t>USQ4E1300624</t>
  </si>
  <si>
    <t>https://p.scdn.co/mp3-preview/4f1b0040539293e2df8907f9083da9916df2ea57?cid=9950ac751e34487dbbe027c4fd7f8e99</t>
  </si>
  <si>
    <t>GB55H1300013</t>
  </si>
  <si>
    <t>spotify:album:0rqPrhpgzR8NrwU86RzE0O</t>
  </si>
  <si>
    <t>https://i.scdn.co/image/ab67616d0000b273d2025055762d32e9e8dab468</t>
  </si>
  <si>
    <t>https://p.scdn.co/mp3-preview/b933f89c06c60a064fd53cd52dcd2f427a6f9789?cid=9950ac751e34487dbbe027c4fd7f8e99</t>
  </si>
  <si>
    <t>FR86W0400207</t>
  </si>
  <si>
    <t>https://p.scdn.co/mp3-preview/d5844a5ba12a07f8e9a4bfac803dfecc18c4ef93?cid=9950ac751e34487dbbe027c4fd7f8e99</t>
  </si>
  <si>
    <t>USQ4E1300597</t>
  </si>
  <si>
    <t>Holes In The Sky - From The "Insurgent" Soundtrack</t>
  </si>
  <si>
    <t>spotify:artist:63MQldklfxkjYDoUE4Tppz, spotify:artist:4Ui2kfOqGujY81UcPrb5KE</t>
  </si>
  <si>
    <t>M83, HAIM</t>
  </si>
  <si>
    <t>spotify:album:1uiKBexNK0pTYbsmjGk683</t>
  </si>
  <si>
    <t>https://i.scdn.co/image/ab67616d0000b2735bfc23b4816ff8a36fb8f8a3</t>
  </si>
  <si>
    <t>https://p.scdn.co/mp3-preview/3296c353f1f1be134c49fae46854c0d5d4a60d42?cid=9950ac751e34487dbbe027c4fd7f8e99</t>
  </si>
  <si>
    <t>GB55H1500001</t>
  </si>
  <si>
    <t>https://p.scdn.co/mp3-preview/d45c656d40885f7ae0ee2adce55d6eda6262ec90?cid=9950ac751e34487dbbe027c4fd7f8e99</t>
  </si>
  <si>
    <t>GB55H1300019</t>
  </si>
  <si>
    <t>https://p.scdn.co/mp3-preview/fee2db20cb57a02affcaa34429a99322899c0400?cid=9950ac751e34487dbbe027c4fd7f8e99</t>
  </si>
  <si>
    <t>USQ4E1300621</t>
  </si>
  <si>
    <t>Tu m'as tuÃ©e</t>
  </si>
  <si>
    <t>spotify:album:0pPHcb9k5gLDmgijz2H5cL</t>
  </si>
  <si>
    <t>https://i.scdn.co/image/ab67616d0000b2735dda86afe482e7006ab9a734</t>
  </si>
  <si>
    <t>https://p.scdn.co/mp3-preview/308c8d2bddad7d61e1f81f7101e7db651c2025e4?cid=9950ac751e34487dbbe027c4fd7f8e99</t>
  </si>
  <si>
    <t>GB5SH1900007</t>
  </si>
  <si>
    <t>https://p.scdn.co/mp3-preview/f5637bad557f3040dcf56da30c8cb3731c783504?cid=9950ac751e34487dbbe027c4fd7f8e99</t>
  </si>
  <si>
    <t>GBSLQ0700002</t>
  </si>
  <si>
    <t>https://p.scdn.co/mp3-preview/5f53d638f1f0b879b1695ad87af3df69ea974674?cid=9950ac751e34487dbbe027c4fd7f8e99</t>
  </si>
  <si>
    <t>FR86W0400213</t>
  </si>
  <si>
    <t>spotify:album:3OP8x4M096zMaMx3Rk89fw</t>
  </si>
  <si>
    <t>https://i.scdn.co/image/ab67616d0000b2732112ea8c833adcdb84da3912</t>
  </si>
  <si>
    <t>https://p.scdn.co/mp3-preview/e841e30686798e9165f63bcd53a53fc4402072fe?cid=9950ac751e34487dbbe027c4fd7f8e99</t>
  </si>
  <si>
    <t>GB5SH2200005</t>
  </si>
  <si>
    <t>spotify:album:6Y6afwLvKEImDg0Wl10oY3</t>
  </si>
  <si>
    <t>https://i.scdn.co/image/ab67616d0000b27336dfe773fef33a09f2d91e89</t>
  </si>
  <si>
    <t>https://p.scdn.co/mp3-preview/fd98bfb61e8b26d64967651248ebc1da653ea1fc?cid=9950ac751e34487dbbe027c4fd7f8e99</t>
  </si>
  <si>
    <t>FRZ110701634</t>
  </si>
  <si>
    <t>spotify:artist:63MQldklfxkjYDoUE4Tppz, spotify:artist:5pXb4meO7JRwVua8PO3ZzM</t>
  </si>
  <si>
    <t>M83, J. Laser</t>
  </si>
  <si>
    <t>https://p.scdn.co/mp3-preview/da237e3a4f238e56b655894162a9c97c228e0352?cid=9950ac751e34487dbbe027c4fd7f8e99</t>
  </si>
  <si>
    <t>GB55H1600003</t>
  </si>
  <si>
    <t>https://p.scdn.co/mp3-preview/27e16d92fc5fc5f4c107e082a5887704e5e00a1c?cid=9950ac751e34487dbbe027c4fd7f8e99</t>
  </si>
  <si>
    <t>GB55H1300007</t>
  </si>
  <si>
    <t>https://p.scdn.co/mp3-preview/85a41c70220ddaaf9672c19d002abfb854f809e1?cid=9950ac751e34487dbbe027c4fd7f8e99</t>
  </si>
  <si>
    <t>GB5SH2200004</t>
  </si>
  <si>
    <t>spotify:album:1Pyu7uKUDKNhdsYDL82Wkg</t>
  </si>
  <si>
    <t>https://i.scdn.co/image/ab67616d0000b273d6e19f60738af1f9d4e1d09f</t>
  </si>
  <si>
    <t>https://p.scdn.co/mp3-preview/4d94eea761ee0cf4a7ca915b67572b5453a91737?cid=9950ac751e34487dbbe027c4fd7f8e99</t>
  </si>
  <si>
    <t>GB5SH1800006</t>
  </si>
  <si>
    <t>https://p.scdn.co/mp3-preview/4629fdb4ddca866507c97066b930e6a93fe4f379?cid=9950ac751e34487dbbe027c4fd7f8e99</t>
  </si>
  <si>
    <t>GB55H1600009</t>
  </si>
  <si>
    <t>https://p.scdn.co/mp3-preview/016c8ba8689e4bcddc9449ba479eedf6cac05b48?cid=9950ac751e34487dbbe027c4fd7f8e99</t>
  </si>
  <si>
    <t>GB55H1300017</t>
  </si>
  <si>
    <t>https://p.scdn.co/mp3-preview/7f1df30ee434c4965689c9603bada759e996b2e4?cid=9950ac751e34487dbbe027c4fd7f8e99</t>
  </si>
  <si>
    <t>GB5SH2200003</t>
  </si>
  <si>
    <t>https://p.scdn.co/mp3-preview/5f96df129bee889de70c819a6454d7305046293d?cid=9950ac751e34487dbbe027c4fd7f8e99</t>
  </si>
  <si>
    <t>FR86W0400201</t>
  </si>
  <si>
    <t>https://p.scdn.co/mp3-preview/8f85a9c0455d14c30460f39a51dfcf0972ef14bd?cid=9950ac751e34487dbbe027c4fd7f8e99</t>
  </si>
  <si>
    <t>FRZ110701629</t>
  </si>
  <si>
    <t>spotify:artist:63MQldklfxkjYDoUE4Tppz, spotify:artist:7wXTWO45lqpUejDkike0Gf</t>
  </si>
  <si>
    <t>M83, Sofia Kourtesis</t>
  </si>
  <si>
    <t>spotify:album:7KSknfmHoGrBd4pXYLxziO</t>
  </si>
  <si>
    <t>https://i.scdn.co/image/ab67616d0000b27343df73fd9a7d10cfcf6554ae</t>
  </si>
  <si>
    <t>https://p.scdn.co/mp3-preview/ecb00cb882f953f3c9bb1e300bda78e92d8a510e?cid=9950ac751e34487dbbe027c4fd7f8e99</t>
  </si>
  <si>
    <t>GB5SH2400001</t>
  </si>
  <si>
    <t>https://p.scdn.co/mp3-preview/182a4baefec1ad900b0f3ef7b72c8c02faa9d0cb?cid=9950ac751e34487dbbe027c4fd7f8e99</t>
  </si>
  <si>
    <t>GB5SH2200010</t>
  </si>
  <si>
    <t>https://p.scdn.co/mp3-preview/7e46731c8e8bf704a04096777b4f706870b471eb?cid=9950ac751e34487dbbe027c4fd7f8e99</t>
  </si>
  <si>
    <t>GB55H1600010</t>
  </si>
  <si>
    <t>https://p.scdn.co/mp3-preview/89a4c04a34543ef35b08a1b13c79b44972752a22?cid=9950ac751e34487dbbe027c4fd7f8e99</t>
  </si>
  <si>
    <t>GBSLQ0700003</t>
  </si>
  <si>
    <t>https://p.scdn.co/mp3-preview/271c293e38c6468c1ea4f0a71fbfe858e5d2518c?cid=9950ac751e34487dbbe027c4fd7f8e99</t>
  </si>
  <si>
    <t>GB5SH1800012</t>
  </si>
  <si>
    <t>https://p.scdn.co/mp3-preview/212247e26a100956ebec180b41bddfcbebb6984f?cid=9950ac751e34487dbbe027c4fd7f8e99</t>
  </si>
  <si>
    <t>GB5SH2200006</t>
  </si>
  <si>
    <t>https://p.scdn.co/mp3-preview/35ac976f641effb0be8c405ccd6896ddfe0be40b?cid=9950ac751e34487dbbe027c4fd7f8e99</t>
  </si>
  <si>
    <t>GB55H1600004</t>
  </si>
  <si>
    <t>https://p.scdn.co/mp3-preview/439ab4190260f4b7540ae59135abd6d3b861cbb3?cid=9950ac751e34487dbbe027c4fd7f8e99</t>
  </si>
  <si>
    <t>GBSLQ0700011</t>
  </si>
  <si>
    <t>https://p.scdn.co/mp3-preview/039ac8b1acc3159a00428ddde4ee8fa515658ce4?cid=9950ac751e34487dbbe027c4fd7f8e99</t>
  </si>
  <si>
    <t>FR86W0400215</t>
  </si>
  <si>
    <t>https://p.scdn.co/mp3-preview/1b91c0fc7c5fc5391901819a3adaebceaa32fa19?cid=9950ac751e34487dbbe027c4fd7f8e99</t>
  </si>
  <si>
    <t>GB5SH2200002</t>
  </si>
  <si>
    <t>https://p.scdn.co/mp3-preview/b01262e7cbc41cfd0e6752fab0851dc34c337f4c?cid=9950ac751e34487dbbe027c4fd7f8e99</t>
  </si>
  <si>
    <t>FRZ110701628</t>
  </si>
  <si>
    <t>https://p.scdn.co/mp3-preview/85479bca21fdc11f00396a5f9afc530547d9b2b9?cid=9950ac751e34487dbbe027c4fd7f8e99</t>
  </si>
  <si>
    <t>GBSLQ0700001</t>
  </si>
  <si>
    <t>spotify:artist:1Cs0zKBU1kc0i8ypK3B9ai, spotify:artist:0xliTEbFfy5HQHvsTknTkX, spotify:artist:4npEfmQ6YuiwW1GpUmaq3F</t>
  </si>
  <si>
    <t>David Guetta, Alphaville, Ava Max</t>
  </si>
  <si>
    <t>spotify:album:5a450MS1eKGQQAsqgvsZ6J</t>
  </si>
  <si>
    <t>https://i.scdn.co/image/ab67616d0000b273417f8c5927888d7ee97cb05a</t>
  </si>
  <si>
    <t>https://p.scdn.co/mp3-preview/a47b1ab8552acc16146597026a45aa53806dbd1f?cid=9950ac751e34487dbbe027c4fd7f8e99</t>
  </si>
  <si>
    <t>UKWLG2400102</t>
  </si>
  <si>
    <t>spotify:artist:1Cs0zKBU1kc0i8ypK3B9ai, spotify:artist:5WUlDfRSoLAfcVSX1WnrxN</t>
  </si>
  <si>
    <t>David Guetta, Sia</t>
  </si>
  <si>
    <t>spotify:album:1fAn5gw4Q5HN8Wpx2neYd2</t>
  </si>
  <si>
    <t>spotify:artist:1Cs0zKBU1kc0i8ypK3B9ai</t>
  </si>
  <si>
    <t>https://i.scdn.co/image/ab67616d0000b273bd5ba80ea2ad342e488ba54d</t>
  </si>
  <si>
    <t>https://p.scdn.co/mp3-preview/6c3e9bbcebdbfa7875c6a56c2bb4da2a870c250b?cid=9950ac751e34487dbbe027c4fd7f8e99</t>
  </si>
  <si>
    <t>GB28K1100036</t>
  </si>
  <si>
    <t>spotify:artist:1Cs0zKBU1kc0i8ypK3B9ai, spotify:artist:0fA0VVWsXO9YnASrzqfmYu</t>
  </si>
  <si>
    <t>David Guetta, Kid Cudi</t>
  </si>
  <si>
    <t>spotify:album:5DJc5qCdB5pPrDO97LXjeW</t>
  </si>
  <si>
    <t>https://i.scdn.co/image/ab67616d0000b273f45c50e7cff5f2376c1e36ea</t>
  </si>
  <si>
    <t>https://p.scdn.co/mp3-preview/142a5e572bed7e1e646c835a1ea426997b7f3ff8?cid=9950ac751e34487dbbe027c4fd7f8e99</t>
  </si>
  <si>
    <t>FRZID0900480</t>
  </si>
  <si>
    <t>spotify:artist:1Cs0zKBU1kc0i8ypK3B9ai, spotify:artist:4AVFqumd2ogHFlRbKIjp1t, spotify:artist:3BkE65DVH2NZSDQa6ZszcJ</t>
  </si>
  <si>
    <t>David Guetta, Alesso, Madison Love</t>
  </si>
  <si>
    <t>spotify:album:0tn39dXCidefjSr5PqXbcX</t>
  </si>
  <si>
    <t>https://i.scdn.co/image/ab67616d0000b273a2f04cd16c327c6aa04be8c1</t>
  </si>
  <si>
    <t>https://p.scdn.co/mp3-preview/58a3fdf3441974789f8c53631deb553038b8c848?cid=9950ac751e34487dbbe027c4fd7f8e99</t>
  </si>
  <si>
    <t>UKWLG2400072</t>
  </si>
  <si>
    <t>spotify:artist:1Cs0zKBU1kc0i8ypK3B9ai, spotify:artist:5Pwc4xIPtQLFEnJriah9YJ</t>
  </si>
  <si>
    <t>spotify:album:0wCLHkBRKcndhMQQpeo8Ji</t>
  </si>
  <si>
    <t>https://i.scdn.co/image/ab67616d0000b2732f479a6c1825c1f29e0a3d49</t>
  </si>
  <si>
    <t>https://p.scdn.co/mp3-preview/4cb51b19221d76ecd319faec63c4221c96d7fdd0?cid=9950ac751e34487dbbe027c4fd7f8e99</t>
  </si>
  <si>
    <t>UKWLG2400013</t>
  </si>
  <si>
    <t>spotify:artist:1Cs0zKBU1kc0i8ypK3B9ai, spotify:artist:64M6ah0SkkRsnPGtGiRAbb</t>
  </si>
  <si>
    <t>David Guetta, Bebe Rexha</t>
  </si>
  <si>
    <t>spotify:album:7M842DMhYVALrXsw3ty7B3</t>
  </si>
  <si>
    <t>https://i.scdn.co/image/ab67616d0000b273933c036cd61cd40d3f17a9c4</t>
  </si>
  <si>
    <t>https://p.scdn.co/mp3-preview/c1de960c1a98f7ab652331e5223c50baba75c460?cid=9950ac751e34487dbbe027c4fd7f8e99</t>
  </si>
  <si>
    <t>UKWLG2200055</t>
  </si>
  <si>
    <t>spotify:artist:1Cs0zKBU1kc0i8ypK3B9ai, spotify:artist:0jnsk9HBra6NMjO2oANoPY, spotify:artist:0hCNtLu0JehylgoiP8L4Gh</t>
  </si>
  <si>
    <t>David Guetta, Flo Rida, Nicki Minaj</t>
  </si>
  <si>
    <t>https://p.scdn.co/mp3-preview/66097ef2519b9e7227e7362ccb5b039e50be3eca?cid=9950ac751e34487dbbe027c4fd7f8e99</t>
  </si>
  <si>
    <t>FRZID1100110</t>
  </si>
  <si>
    <t>spotify:artist:1Cs0zKBU1kc0i8ypK3B9ai, spotify:artist:1zNqDE7qDGCsyzJwohVaoX, spotify:artist:6AMd49uBDJfhf30Ak2QR5s</t>
  </si>
  <si>
    <t>David Guetta, Anne-Marie, Coi Leray</t>
  </si>
  <si>
    <t>spotify:album:327tc3Eruk1HP1w62iqROy</t>
  </si>
  <si>
    <t>https://i.scdn.co/image/ab67616d0000b2730b4ef75c3728599aa4104f7a</t>
  </si>
  <si>
    <t>https://p.scdn.co/mp3-preview/a8f2e176e17e0f6298b42ef8e96118318fdd2b89?cid=9950ac751e34487dbbe027c4fd7f8e99</t>
  </si>
  <si>
    <t>UKWLG2300016</t>
  </si>
  <si>
    <t>spotify:artist:1Cs0zKBU1kc0i8ypK3B9ai, spotify:artist:0z4gvV4rjIZ9wHck67ucSV</t>
  </si>
  <si>
    <t>David Guetta, Akon</t>
  </si>
  <si>
    <t>https://p.scdn.co/mp3-preview/f11a157b92dc1379052822e88e75f5f5d5b248a9?cid=9950ac751e34487dbbe027c4fd7f8e99</t>
  </si>
  <si>
    <t>FRZID0900500</t>
  </si>
  <si>
    <t>spotify:album:3B8J3BMp7lMA5YR5bUXHGK</t>
  </si>
  <si>
    <t>https://i.scdn.co/image/ab67616d0000b273d0e5bf44bdbe8a824e921eae</t>
  </si>
  <si>
    <t>https://p.scdn.co/mp3-preview/a7005ae4555ea814237078baeace5b69b89e21b3?cid=9950ac751e34487dbbe027c4fd7f8e99</t>
  </si>
  <si>
    <t>GB28K1800010</t>
  </si>
  <si>
    <t>spotify:artist:1Cs0zKBU1kc0i8ypK3B9ai, spotify:artist:6PXS4YHDkKvl1wkIl4V8DL, spotify:artist:5WUlDfRSoLAfcVSX1WnrxN</t>
  </si>
  <si>
    <t>David Guetta, Fetty Wap, Sia</t>
  </si>
  <si>
    <t>spotify:album:7bpWEp24oHgUs08ImjakfU</t>
  </si>
  <si>
    <t>https://i.scdn.co/image/ab67616d0000b273048f37d7b1bba62b93f1009a</t>
  </si>
  <si>
    <t>https://p.scdn.co/mp3-preview/6487652056a04654cca24100cc34b46413c4dd8d?cid=9950ac751e34487dbbe027c4fd7f8e99</t>
  </si>
  <si>
    <t>GB28K1500110</t>
  </si>
  <si>
    <t>https://p.scdn.co/mp3-preview/492e00e00774ad5e5379040d92eb61e9efd25ada?cid=9950ac751e34487dbbe027c4fd7f8e99</t>
  </si>
  <si>
    <t>GB28K1200043</t>
  </si>
  <si>
    <t>spotify:album:4t9C75dy0UtR4JE7vNYQRr</t>
  </si>
  <si>
    <t>https://i.scdn.co/image/ab67616d0000b2735940eb4559e46f50d00b678a</t>
  </si>
  <si>
    <t>https://p.scdn.co/mp3-preview/063fd302c873b3943f981dacee85a5ef599ae5a6?cid=9950ac751e34487dbbe027c4fd7f8e99</t>
  </si>
  <si>
    <t>UKWLH2000001</t>
  </si>
  <si>
    <t>spotify:artist:5WUlDfRSoLAfcVSX1WnrxN, spotify:artist:1Cs0zKBU1kc0i8ypK3B9ai, spotify:artist:4D75GcNG95ebPtNvoNVXhz</t>
  </si>
  <si>
    <t>Sia, David Guetta, AFROJACK</t>
  </si>
  <si>
    <t>spotify:album:0daLYYl9X1oTURdFNjRf1I</t>
  </si>
  <si>
    <t>https://i.scdn.co/image/ab67616d0000b2734ea06a1c957c5ef3473a16f8</t>
  </si>
  <si>
    <t>https://p.scdn.co/mp3-preview/9720dfc53fe0cd2c664843ea57eb8d4e6a79c0f2?cid=9950ac751e34487dbbe027c4fd7f8e99</t>
  </si>
  <si>
    <t>USAT21800455</t>
  </si>
  <si>
    <t>spotify:artist:5WUlDfRSoLAfcVSX1WnrxN, spotify:artist:1Cs0zKBU1kc0i8ypK3B9ai</t>
  </si>
  <si>
    <t>Sia, David Guetta</t>
  </si>
  <si>
    <t>spotify:album:0BE9HxEf6RRDyni3SSvM6t</t>
  </si>
  <si>
    <t>https://i.scdn.co/image/ab67616d0000b2739ad7b6d6069896719edfbf58</t>
  </si>
  <si>
    <t>https://p.scdn.co/mp3-preview/31957e13c9e7b33cc12b9c30bef0c8e8d5d1e40a?cid=9950ac751e34487dbbe027c4fd7f8e99</t>
  </si>
  <si>
    <t>USAT22007180</t>
  </si>
  <si>
    <t>spotify:album:77UW17CZFyCaRLHdHeofZu</t>
  </si>
  <si>
    <t>https://i.scdn.co/image/ab67616d0000b2733862d62a50dc6b928651bdeb</t>
  </si>
  <si>
    <t>https://p.scdn.co/mp3-preview/02da7ee7ea45ce6a35a6bda467f0768dd8a5eddd?cid=9950ac751e34487dbbe027c4fd7f8e99</t>
  </si>
  <si>
    <t>GB28K1400066</t>
  </si>
  <si>
    <t>spotify:album:5rbJtzuXtpIP0Ykk7ewIit</t>
  </si>
  <si>
    <t>https://i.scdn.co/image/ab67616d0000b27367e400c9be79e6b0b0086880</t>
  </si>
  <si>
    <t>https://p.scdn.co/mp3-preview/eb7241e3ce8f77d7901dbfef6963b74cb87620f6?cid=9950ac751e34487dbbe027c4fd7f8e99</t>
  </si>
  <si>
    <t>GB28K1800093</t>
  </si>
  <si>
    <t>spotify:artist:5GYaRwCWwhU6SIQrQ5G3b7, spotify:artist:1Cs0zKBU1kc0i8ypK3B9ai</t>
  </si>
  <si>
    <t>Hypaton, David Guetta</t>
  </si>
  <si>
    <t>spotify:album:5YnyS9JNsqhkaBPIWOYtXk</t>
  </si>
  <si>
    <t>https://i.scdn.co/image/ab67616d0000b273275749240460bd01922edf1e</t>
  </si>
  <si>
    <t>https://p.scdn.co/mp3-preview/e4ddba6c9bdc066a1158db20ca865c518187d511?cid=9950ac751e34487dbbe027c4fd7f8e99</t>
  </si>
  <si>
    <t>UKWLG2400021</t>
  </si>
  <si>
    <t>spotify:artist:1Cs0zKBU1kc0i8ypK3B9ai, spotify:artist:23zg3TcAtWQy7J6upgbUnj</t>
  </si>
  <si>
    <t>David Guetta, USHER</t>
  </si>
  <si>
    <t>https://p.scdn.co/mp3-preview/dc7d9e45294e4f2ed194693a78e46e9a85fd1210?cid=9950ac751e34487dbbe027c4fd7f8e99</t>
  </si>
  <si>
    <t>GB28K1100030</t>
  </si>
  <si>
    <t>spotify:artist:1Cs0zKBU1kc0i8ypK3B9ai, spotify:artist:3Xt3RrJMFv5SZkCfUE8C1J</t>
  </si>
  <si>
    <t>David Guetta, Kim Petras</t>
  </si>
  <si>
    <t>spotify:album:3vT1YpvKNkGVN3XE1f3kQY</t>
  </si>
  <si>
    <t>https://i.scdn.co/image/ab67616d0000b273c8e153557024fd571a5a83d6</t>
  </si>
  <si>
    <t>https://p.scdn.co/mp3-preview/082f3e35b4ffbf7751deac28c70e27a84cab7ed3?cid=9950ac751e34487dbbe027c4fd7f8e99</t>
  </si>
  <si>
    <t>UKWLG2300117</t>
  </si>
  <si>
    <t>spotify:artist:1Cs0zKBU1kc0i8ypK3B9ai, spotify:artist:21E3waRsmPlU7jZsS13rcj, spotify:artist:0z4gvV4rjIZ9wHck67ucSV</t>
  </si>
  <si>
    <t>David Guetta, Ne-Yo, Akon</t>
  </si>
  <si>
    <t>https://p.scdn.co/mp3-preview/d9b0dacf17654942639b79c5198ba02d63b732e4?cid=9950ac751e34487dbbe027c4fd7f8e99</t>
  </si>
  <si>
    <t>GB28K1200052</t>
  </si>
  <si>
    <t>spotify:artist:1Cs0zKBU1kc0i8ypK3B9ai, spotify:artist:4D75GcNG95ebPtNvoNVXhz, spotify:artist:64M6ah0SkkRsnPGtGiRAbb, spotify:artist:0hCNtLu0JehylgoiP8L4Gh</t>
  </si>
  <si>
    <t>David Guetta, AFROJACK, Bebe Rexha, Nicki Minaj</t>
  </si>
  <si>
    <t>https://p.scdn.co/mp3-preview/bfdf41e3d62f4be205ae8438a6bf6048909dae9a?cid=9950ac751e34487dbbe027c4fd7f8e99</t>
  </si>
  <si>
    <t>GB28K1400058</t>
  </si>
  <si>
    <t>spotify:artist:1Cs0zKBU1kc0i8ypK3B9ai, spotify:artist:4EPJlUEBy49EX1wuFOvtjK, spotify:artist:7nDsS0l5ZAzMedVRKPP8F1</t>
  </si>
  <si>
    <t>David Guetta, Becky Hill, Ella Henderson</t>
  </si>
  <si>
    <t>spotify:album:0GnxssqYa2RU9EdWHhZ707</t>
  </si>
  <si>
    <t>https://i.scdn.co/image/ab67616d0000b273654c0a1cb2c30dd8e11c0186</t>
  </si>
  <si>
    <t>https://p.scdn.co/mp3-preview/fdb85e5b7fa3838d29e9909819ec82ed9da757dd?cid=9950ac751e34487dbbe027c4fd7f8e99</t>
  </si>
  <si>
    <t>UKWLG2200001</t>
  </si>
  <si>
    <t>spotify:artist:1Cs0zKBU1kc0i8ypK3B9ai, spotify:artist:3AuMNF8rQAKOzjYppFNAoB</t>
  </si>
  <si>
    <t>David Guetta, Kelly Rowland</t>
  </si>
  <si>
    <t>https://p.scdn.co/mp3-preview/42e969580838eed22ef2439cd5adbc7f48575b0f?cid=9950ac751e34487dbbe027c4fd7f8e99</t>
  </si>
  <si>
    <t>FRZID0900200</t>
  </si>
  <si>
    <t>spotify:artist:1Cs0zKBU1kc0i8ypK3B9ai, spotify:artist:5pKCCKE2ajJHZ9KAiaK11H</t>
  </si>
  <si>
    <t>David Guetta, Rihanna</t>
  </si>
  <si>
    <t>https://p.scdn.co/mp3-preview/045360abcc0adf334d5d03969ff2bd6f94112d2f?cid=9950ac751e34487dbbe027c4fd7f8e99</t>
  </si>
  <si>
    <t>FRZID1000700</t>
  </si>
  <si>
    <t>spotify:artist:64M6ah0SkkRsnPGtGiRAbb, spotify:artist:1Cs0zKBU1kc0i8ypK3B9ai</t>
  </si>
  <si>
    <t>Bebe Rexha, David Guetta</t>
  </si>
  <si>
    <t>spotify:album:65L5VcKGKe6sOJIPNFc0Q1</t>
  </si>
  <si>
    <t>https://i.scdn.co/image/ab67616d0000b273c0c46d4ff076e349b6b95658</t>
  </si>
  <si>
    <t>https://p.scdn.co/mp3-preview/61a85a26d23e7cde9c7a6b13a494d542068bdc96?cid=9950ac751e34487dbbe027c4fd7f8e99</t>
  </si>
  <si>
    <t>USWB12303800</t>
  </si>
  <si>
    <t>spotify:artist:1Cs0zKBU1kc0i8ypK3B9ai, spotify:artist:3gk0OYeLFWYupGFRHqLSR7, spotify:artist:7HqEmV7FeCi16bQyHMpIrF</t>
  </si>
  <si>
    <t>David Guetta, Showtek, VASSY</t>
  </si>
  <si>
    <t>spotify:album:6CvEd1L1KJZ8g3wIwCZYvF</t>
  </si>
  <si>
    <t>https://i.scdn.co/image/ab67616d0000b273ce9ffe310aa206be81d03bb6</t>
  </si>
  <si>
    <t>https://p.scdn.co/mp3-preview/febdb0afbc31ab7afe87a58c42f4bde6d5f7f044?cid=9950ac751e34487dbbe027c4fd7f8e99</t>
  </si>
  <si>
    <t>GB28K1400007</t>
  </si>
  <si>
    <t>spotify:artist:1Cs0zKBU1kc0i8ypK3B9ai, spotify:artist:4Ws2otunReOa6BbwxxpCt6</t>
  </si>
  <si>
    <t>David Guetta, Benny Benassi</t>
  </si>
  <si>
    <t>spotify:album:70dWN40gJXCrmc7CDMYqtT</t>
  </si>
  <si>
    <t>https://i.scdn.co/image/ab67616d0000b273774f38d20ea492970bbd7ad9</t>
  </si>
  <si>
    <t>https://p.scdn.co/mp3-preview/c9ba41fd56c50e4af303216b3a76bb1372ef1e00?cid=9950ac751e34487dbbe027c4fd7f8e99</t>
  </si>
  <si>
    <t>UKWLG2200052</t>
  </si>
  <si>
    <t>spotify:artist:1Cs0zKBU1kc0i8ypK3B9ai, spotify:artist:64M6ah0SkkRsnPGtGiRAbb, spotify:artist:1vyhD5VmyZ7KMfW5gqLgo5</t>
  </si>
  <si>
    <t>David Guetta, Bebe Rexha, J Balvin</t>
  </si>
  <si>
    <t>https://p.scdn.co/mp3-preview/6bf2708708d429b4a54073d97e494719b1387a9c?cid=9950ac751e34487dbbe027c4fd7f8e99</t>
  </si>
  <si>
    <t>GB28K1800089</t>
  </si>
  <si>
    <t>spotify:artist:1Cs0zKBU1kc0i8ypK3B9ai, spotify:artist:0hCNtLu0JehylgoiP8L4Gh</t>
  </si>
  <si>
    <t>David Guetta, Nicki Minaj</t>
  </si>
  <si>
    <t>https://p.scdn.co/mp3-preview/c21b41d929e41ca4bdb8523103ef9c35494a4533?cid=9950ac751e34487dbbe027c4fd7f8e99</t>
  </si>
  <si>
    <t>GB28K1100029</t>
  </si>
  <si>
    <t>spotify:artist:4sTQVOfp9vEMCemLw50sbu, spotify:artist:1Cs0zKBU1kc0i8ypK3B9ai, spotify:artist:5Rl15oVamLq7FbSb0NNBNy</t>
  </si>
  <si>
    <t>Galantis, David Guetta, 5 Seconds of Summer</t>
  </si>
  <si>
    <t>spotify:album:2cmZbWwfMq8VCGN4gqCZn7</t>
  </si>
  <si>
    <t>https://i.scdn.co/image/ab67616d0000b273c93daad3fd7acf20168abdb9</t>
  </si>
  <si>
    <t>https://p.scdn.co/mp3-preview/142ee2af399b9476724409f80aef03f5c7cdf2c2?cid=9950ac751e34487dbbe027c4fd7f8e99</t>
  </si>
  <si>
    <t>USAT22400413</t>
  </si>
  <si>
    <t>spotify:artist:1Cs0zKBU1kc0i8ypK3B9ai, spotify:artist:66AE89GQTx88zLYhXn1wFK</t>
  </si>
  <si>
    <t>David Guetta, Sam Martin</t>
  </si>
  <si>
    <t>https://p.scdn.co/mp3-preview/4d78613e3219340ce955aeb4182b4b04a823412e?cid=9950ac751e34487dbbe027c4fd7f8e99</t>
  </si>
  <si>
    <t>GB28K1400016</t>
  </si>
  <si>
    <t>spotify:artist:1Cs0zKBU1kc0i8ypK3B9ai, spotify:artist:1Xylc3o4UrD53lo9CvFvVg</t>
  </si>
  <si>
    <t>David Guetta, Zara Larsson</t>
  </si>
  <si>
    <t>spotify:album:7EvlnQaVuUuFLIeSuE6nRq</t>
  </si>
  <si>
    <t>https://i.scdn.co/image/ab67616d0000b273c052c52bc0218b778ca136f5</t>
  </si>
  <si>
    <t>https://p.scdn.co/mp3-preview/921a8000e87b94b6c4a82f957ef862544cc79598?cid=9950ac751e34487dbbe027c4fd7f8e99</t>
  </si>
  <si>
    <t>GB28K1500141</t>
  </si>
  <si>
    <t>spotify:artist:6DgP9otnZw5z6daOntINxp, spotify:artist:5KKpBU5eC2tJDzf0wmlRp2, spotify:artist:1Cs0zKBU1kc0i8ypK3B9ai</t>
  </si>
  <si>
    <t>Joel Corry, RAYE, David Guetta</t>
  </si>
  <si>
    <t>spotify:album:36tML2tWjDrbLW4FgrX17U</t>
  </si>
  <si>
    <t>https://i.scdn.co/image/ab67616d0000b273b06c09b9f72389ee7f1cbd6b</t>
  </si>
  <si>
    <t>https://p.scdn.co/mp3-preview/94fe8be6130e62c1cc2b792605f5a9001c9aa587?cid=9950ac751e34487dbbe027c4fd7f8e99</t>
  </si>
  <si>
    <t>UK4ZF2100069</t>
  </si>
  <si>
    <t>spotify:artist:1Cs0zKBU1kc0i8ypK3B9ai, spotify:artist:1uNFoZAHBGtllmzznpCI3s</t>
  </si>
  <si>
    <t>David Guetta, Justin Bieber</t>
  </si>
  <si>
    <t>spotify:album:1PZviVfBJJxNw5EtAwzdUu</t>
  </si>
  <si>
    <t>https://i.scdn.co/image/ab67616d0000b27345c5570d4a66346d8f683913</t>
  </si>
  <si>
    <t>https://p.scdn.co/mp3-preview/626f8fd3b8fd6119192f7c5871a0b506d8da2ee6?cid=9950ac751e34487dbbe027c4fd7f8e99</t>
  </si>
  <si>
    <t>GB28K1700019</t>
  </si>
  <si>
    <t>spotify:album:51fJbB1qe3EfUvb3fMK2jr</t>
  </si>
  <si>
    <t>https://i.scdn.co/image/ab67616d0000b273f807d069bb722aced899e54f</t>
  </si>
  <si>
    <t>https://p.scdn.co/mp3-preview/60dbdbdeadb32c5e574e938ee825ef975b4fb224?cid=9950ac751e34487dbbe027c4fd7f8e99</t>
  </si>
  <si>
    <t>FRZID0100200</t>
  </si>
  <si>
    <t>spotify:album:4Od76Fafa1rc89D7yLBfVH</t>
  </si>
  <si>
    <t>https://i.scdn.co/image/ab67616d0000b2738596aedf4a6ae5a4520fd9c7</t>
  </si>
  <si>
    <t>https://p.scdn.co/mp3-preview/da1f07c43a9e2274b0d89296904037a2c7b994a2?cid=9950ac751e34487dbbe027c4fd7f8e99</t>
  </si>
  <si>
    <t>UKWLG2200031</t>
  </si>
  <si>
    <t>spotify:artist:1Cs0zKBU1kc0i8ypK3B9ai, spotify:artist:60d24wfXkVzDSfLS6hyCjZ, spotify:artist:4mHAu7NX2UNsnGXjviBD9e</t>
  </si>
  <si>
    <t>David Guetta, Martin Garrix, Brooks</t>
  </si>
  <si>
    <t>spotify:album:5oU1ROIHS6IOWnb87GWhqU</t>
  </si>
  <si>
    <t>https://i.scdn.co/image/ab67616d0000b273734eb0ed1bd80aeed903f30b</t>
  </si>
  <si>
    <t>https://p.scdn.co/mp3-preview/71f6995d0068047b37204c4b345116106dc964dd?cid=9950ac751e34487dbbe027c4fd7f8e99</t>
  </si>
  <si>
    <t>GB28K1820005</t>
  </si>
  <si>
    <t>spotify:artist:1Cs0zKBU1kc0i8ypK3B9ai, spotify:artist:2qSEpijpT3YSXgxcXac1ly</t>
  </si>
  <si>
    <t>David Guetta, Chris Willis</t>
  </si>
  <si>
    <t>https://p.scdn.co/mp3-preview/58999989b9c8ddac2e65e0570f9d756f62575a05?cid=9950ac751e34487dbbe027c4fd7f8e99</t>
  </si>
  <si>
    <t>FRZID0700040</t>
  </si>
  <si>
    <t>spotify:artist:1Cs0zKBU1kc0i8ypK3B9ai, spotify:artist:3qi5fhSI6aUecvRN0XqIJ2, spotify:artist:34v5MVKeQnIo0CWYMbbrPf</t>
  </si>
  <si>
    <t>David Guetta, MistaJam, John Newman</t>
  </si>
  <si>
    <t>spotify:album:70gacpgIA2SlF8EqYpu22B</t>
  </si>
  <si>
    <t>https://i.scdn.co/image/ab67616d0000b273567a28ed92c3021664b51498</t>
  </si>
  <si>
    <t>https://p.scdn.co/mp3-preview/c1e6726d55a63866f78c3a29977441152ad2a907?cid=9950ac751e34487dbbe027c4fd7f8e99</t>
  </si>
  <si>
    <t>UKWLG2100070</t>
  </si>
  <si>
    <t>spotify:artist:1Cs0zKBU1kc0i8ypK3B9ai, spotify:artist:4D75GcNG95ebPtNvoNVXhz</t>
  </si>
  <si>
    <t>David Guetta, AFROJACK</t>
  </si>
  <si>
    <t>spotify:album:7ILVMHef9eJsQi27KM56Hf</t>
  </si>
  <si>
    <t>https://i.scdn.co/image/ab67616d0000b2735acb672850223f28030fdee2</t>
  </si>
  <si>
    <t>https://p.scdn.co/mp3-preview/389305b0fca5e0843ae630257f28e623b1683ac6?cid=9950ac751e34487dbbe027c4fd7f8e99</t>
  </si>
  <si>
    <t>UKWLG2400064</t>
  </si>
  <si>
    <t>spotify:artist:1Cs0zKBU1kc0i8ypK3B9ai, spotify:artist:2qSEpijpT3YSXgxcXac1ly, spotify:artist:3r17AfJCCUqC9Lf0OAc73G</t>
  </si>
  <si>
    <t>David Guetta, Chris Willis, Fergie</t>
  </si>
  <si>
    <t>https://p.scdn.co/mp3-preview/448805859a0d86088919d4e4d752b0f8055bc6b0?cid=9950ac751e34487dbbe027c4fd7f8e99</t>
  </si>
  <si>
    <t>FRZID0900470</t>
  </si>
  <si>
    <t>spotify:artist:1Cs0zKBU1kc0i8ypK3B9ai, spotify:artist:19HFRWmRCl27kTk6LeqAO8, spotify:artist:03O6WINYmDJRCE2EUFaykv</t>
  </si>
  <si>
    <t>David Guetta, MORTEN, Prophecy</t>
  </si>
  <si>
    <t>spotify:album:3RajPAonNivFPajGSnsh42</t>
  </si>
  <si>
    <t>https://i.scdn.co/image/ab67616d0000b273ba501719e79c545683ddf93d</t>
  </si>
  <si>
    <t>https://p.scdn.co/mp3-preview/f325d518f954ed4b89852d05e04d6c98f558f385?cid=9950ac751e34487dbbe027c4fd7f8e99</t>
  </si>
  <si>
    <t>UKWLG2400033</t>
  </si>
  <si>
    <t>spotify:artist:3t5xRXzsuZmMDkQzgOX35S, spotify:artist:1Cs0zKBU1kc0i8ypK3B9ai, spotify:artist:7DMveApC7UnC2NPfPvlHSU</t>
  </si>
  <si>
    <t>Robin Schulz, David Guetta, Cheat Codes</t>
  </si>
  <si>
    <t>spotify:album:6yKhjUoOsHa60DSqpugerw</t>
  </si>
  <si>
    <t>https://i.scdn.co/image/ab67616d0000b2737be189f322bc8155c103d6c9</t>
  </si>
  <si>
    <t>https://p.scdn.co/mp3-preview/f4c870e32367655fc8fcc2f6c428778115935fe1?cid=9950ac751e34487dbbe027c4fd7f8e99</t>
  </si>
  <si>
    <t>DEA621602181</t>
  </si>
  <si>
    <t>spotify:artist:1Cs0zKBU1kc0i8ypK3B9ai, spotify:artist:4utLUGcTvOJFr6aqIJtYWV</t>
  </si>
  <si>
    <t>David Guetta, Skylar Grey</t>
  </si>
  <si>
    <t>spotify:album:4i9yM8JoAgeh6ekZjk08U1</t>
  </si>
  <si>
    <t>https://i.scdn.co/image/ab67616d0000b27380e995cb3e392b143c57983b</t>
  </si>
  <si>
    <t>https://p.scdn.co/mp3-preview/9ad806bd4ca45865d643eaa959c6e2d48c8c1dec?cid=9950ac751e34487dbbe027c4fd7f8e99</t>
  </si>
  <si>
    <t>GB28K1400001</t>
  </si>
  <si>
    <t>spotify:artist:1Cs0zKBU1kc0i8ypK3B9ai, spotify:artist:3ipn9JLAPI5GUEo4y4jcoi, spotify:artist:6MF9fzBmfXghAz953czmBC</t>
  </si>
  <si>
    <t>David Guetta, Ludacris, Taio Cruz</t>
  </si>
  <si>
    <t>https://p.scdn.co/mp3-preview/8e95b6e3d3f0064b0c8a28ed6b4008742df7abd7?cid=9950ac751e34487dbbe027c4fd7f8e99</t>
  </si>
  <si>
    <t>GB28K1100020</t>
  </si>
  <si>
    <t>spotify:artist:1Cs0zKBU1kc0i8ypK3B9ai, spotify:artist:19HFRWmRCl27kTk6LeqAO8, spotify:artist:5lhCycgJCjQIMpWNk4DycY</t>
  </si>
  <si>
    <t>David Guetta, MORTEN, Lanie Gardner</t>
  </si>
  <si>
    <t>spotify:album:4gj29oc0vz1qPuosvrkt8B</t>
  </si>
  <si>
    <t>https://i.scdn.co/image/ab67616d0000b273c38b4a190648985ceaae2f76</t>
  </si>
  <si>
    <t>https://p.scdn.co/mp3-preview/8bf9e4d8d2af88211d82c964e1b9acf6366bbb14?cid=9950ac751e34487dbbe027c4fd7f8e99</t>
  </si>
  <si>
    <t>UKWLG2000022</t>
  </si>
  <si>
    <t>spotify:artist:4sTQVOfp9vEMCemLw50sbu, spotify:artist:1Cs0zKBU1kc0i8ypK3B9ai, spotify:artist:3e7awlrlDSwF3iM0WBjGMp</t>
  </si>
  <si>
    <t>Galantis, David Guetta, Little Mix</t>
  </si>
  <si>
    <t>spotify:album:6kBuGNoOGE7uiPhN82dcJ1</t>
  </si>
  <si>
    <t>https://i.scdn.co/image/ab67616d0000b2731fcd19d56ad06561b76c1665</t>
  </si>
  <si>
    <t>https://p.scdn.co/mp3-preview/fc1aa9aa9e150cae0ad9c545a7f2ea1e3d1fc903?cid=9950ac751e34487dbbe027c4fd7f8e99</t>
  </si>
  <si>
    <t>USAT22102165</t>
  </si>
  <si>
    <t>spotify:artist:1Cs0zKBU1kc0i8ypK3B9ai, spotify:artist:4Wjf8diP59VmPG7fi4y724, spotify:artist:2qSEpijpT3YSXgxcXac1ly</t>
  </si>
  <si>
    <t>David Guetta, Cedric Gervais, Chris Willis</t>
  </si>
  <si>
    <t>spotify:album:1o9FV0S0KY1kqmYsacy4j8</t>
  </si>
  <si>
    <t>https://i.scdn.co/image/ab67616d0000b27300c25b727e26b9f36e01a236</t>
  </si>
  <si>
    <t>https://p.scdn.co/mp3-preview/c28e2e348838342303e132e635b319f3f592d4a2?cid=9950ac751e34487dbbe027c4fd7f8e99</t>
  </si>
  <si>
    <t>GB28K1600079</t>
  </si>
  <si>
    <t>spotify:artist:1Cs0zKBU1kc0i8ypK3B9ai, spotify:artist:2qSEpijpT3YSXgxcXac1ly, spotify:artist:3r17AfJCCUqC9Lf0OAc73G, spotify:artist:3sgFRtyBnxXD5ESfmbK4dl</t>
  </si>
  <si>
    <t>David Guetta, Chris Willis, Fergie, LMFAO</t>
  </si>
  <si>
    <t>spotify:album:6PXqQOVeSTmA90oXv1iw32</t>
  </si>
  <si>
    <t>https://i.scdn.co/image/ab67616d0000b273444d1ba6cd088e28bccee374</t>
  </si>
  <si>
    <t>https://p.scdn.co/mp3-preview/30733f10b0b9a82774df910b5371431fc233c048?cid=9950ac751e34487dbbe027c4fd7f8e99</t>
  </si>
  <si>
    <t>FRZID1000210</t>
  </si>
  <si>
    <t>spotify:album:0xgDVeHz36Kwn628cACcVY</t>
  </si>
  <si>
    <t>https://i.scdn.co/image/ab67616d0000b273eaa1580841f3f03ac4d7206b</t>
  </si>
  <si>
    <t>https://p.scdn.co/mp3-preview/6d38895c07c030d11a683e104e54f179a43ffc1b?cid=9950ac751e34487dbbe027c4fd7f8e99</t>
  </si>
  <si>
    <t>FRZID0900930</t>
  </si>
  <si>
    <t>spotify:artist:0du5cEVh5yTK9QJze8zA0C, spotify:artist:1Cs0zKBU1kc0i8ypK3B9ai</t>
  </si>
  <si>
    <t>Bruno Mars, David Guetta</t>
  </si>
  <si>
    <t>spotify:album:0yDiMZdbFwO5lGB9Dq5wlL</t>
  </si>
  <si>
    <t>https://i.scdn.co/image/ab67616d0000b27362dc1f2be95dc25beea9f857</t>
  </si>
  <si>
    <t>https://p.scdn.co/mp3-preview/e606c64479a9973a8e9d5a5ad1b0a69ad83721d6?cid=9950ac751e34487dbbe027c4fd7f8e99</t>
  </si>
  <si>
    <t>USAT21701884</t>
  </si>
  <si>
    <t>spotify:artist:1Cs0zKBU1kc0i8ypK3B9ai, spotify:artist:19HFRWmRCl27kTk6LeqAO8</t>
  </si>
  <si>
    <t>David Guetta, MORTEN</t>
  </si>
  <si>
    <t>spotify:album:67XD05ZxwlpGcUanJTeFJq</t>
  </si>
  <si>
    <t>https://i.scdn.co/image/ab67616d0000b2739de10f2edf0af11271241885</t>
  </si>
  <si>
    <t>https://p.scdn.co/mp3-preview/e206ec012f626171ea696a600a1db2a7402f5ab7?cid=9950ac751e34487dbbe027c4fd7f8e99</t>
  </si>
  <si>
    <t>UKWLG2300050</t>
  </si>
  <si>
    <t>spotify:artist:1Cs0zKBU1kc0i8ypK3B9ai, spotify:artist:19HFRWmRCl27kTk6LeqAO8, spotify:artist:4DWuml4Jf6K81b5rAPwMb6</t>
  </si>
  <si>
    <t>David Guetta, MORTEN, Clementine Douglas</t>
  </si>
  <si>
    <t>spotify:album:4GwlK3OyqMu3KZ2Yrj6sRI</t>
  </si>
  <si>
    <t>https://i.scdn.co/image/ab67616d0000b273524b6f9b6c3d79d96729eb59</t>
  </si>
  <si>
    <t>https://p.scdn.co/mp3-preview/8b95ddfc0f25f28d53d7a68e1d884edf5654caf1?cid=9950ac751e34487dbbe027c4fd7f8e99</t>
  </si>
  <si>
    <t>UKWLG2300083</t>
  </si>
  <si>
    <t>spotify:artist:3t5xRXzsuZmMDkQzgOX35S, spotify:artist:1Cs0zKBU1kc0i8ypK3B9ai</t>
  </si>
  <si>
    <t>Robin Schulz, David Guetta</t>
  </si>
  <si>
    <t>spotify:album:18DHRG697Xqb5yLR1UQeIw</t>
  </si>
  <si>
    <t>https://i.scdn.co/image/ab67616d0000b2731fba1231f8d1cf0d06d92339</t>
  </si>
  <si>
    <t>https://p.scdn.co/mp3-preview/b0b4762c61a138de8d3debdacb4a174006532d8c?cid=9950ac751e34487dbbe027c4fd7f8e99</t>
  </si>
  <si>
    <t>DEA622200532</t>
  </si>
  <si>
    <t>spotify:artist:1Cs0zKBU1kc0i8ypK3B9ai, spotify:artist:4npEfmQ6YuiwW1GpUmaq3F</t>
  </si>
  <si>
    <t>David Guetta, Ava Max</t>
  </si>
  <si>
    <t>https://p.scdn.co/mp3-preview/26670d22a5926724d591918879ad7a630a81eb70?cid=9950ac751e34487dbbe027c4fd7f8e99</t>
  </si>
  <si>
    <t>GB28K1800102</t>
  </si>
  <si>
    <t>spotify:artist:6DgP9otnZw5z6daOntINxp, spotify:artist:1Cs0zKBU1kc0i8ypK3B9ai, spotify:artist:2EMAnMvWE2eb56ToJVfCWs</t>
  </si>
  <si>
    <t>Joel Corry, David Guetta, Bryson Tiller</t>
  </si>
  <si>
    <t>spotify:album:2MUZjEfjTAJp5zroItascD</t>
  </si>
  <si>
    <t>https://i.scdn.co/image/ab67616d0000b273db791b96e1ef04e80b09657f</t>
  </si>
  <si>
    <t>https://p.scdn.co/mp3-preview/d568ccc909201a12e978c24bce77e24ca51bb258?cid=9950ac751e34487dbbe027c4fd7f8e99</t>
  </si>
  <si>
    <t>GBAHS2200279</t>
  </si>
  <si>
    <t>spotify:artist:1Cs0zKBU1kc0i8ypK3B9ai, spotify:artist:1zNqDE7qDGCsyzJwohVaoX</t>
  </si>
  <si>
    <t>David Guetta, Anne-Marie</t>
  </si>
  <si>
    <t>spotify:album:4sqrDaJcbCIo6aeqO26maj</t>
  </si>
  <si>
    <t>https://i.scdn.co/image/ab67616d0000b27303889a8b80ee94dccdbe34f5</t>
  </si>
  <si>
    <t>https://p.scdn.co/mp3-preview/d45c708e0c7e4bcc746675bb3c8451abc8a62e5f?cid=9950ac751e34487dbbe027c4fd7f8e99</t>
  </si>
  <si>
    <t>GB28K1800087</t>
  </si>
  <si>
    <t>spotify:artist:1Cs0zKBU1kc0i8ypK3B9ai, spotify:artist:4mHAu7NX2UNsnGXjviBD9e, spotify:artist:00TKPo9MxwZ0j4ooveIxWZ</t>
  </si>
  <si>
    <t>David Guetta, Brooks, Loote</t>
  </si>
  <si>
    <t>spotify:album:4ZoXNDicq0MrsGk1pM883o</t>
  </si>
  <si>
    <t>https://i.scdn.co/image/ab67616d0000b2733b9662b667e21cbbaf8565bd</t>
  </si>
  <si>
    <t>https://p.scdn.co/mp3-preview/55ad6f9ed10d50683104c3a3dab09c33220f13d4?cid=9950ac751e34487dbbe027c4fd7f8e99</t>
  </si>
  <si>
    <t>GB28K1900001</t>
  </si>
  <si>
    <t>spotify:artist:4EhiIwwMPecLznwn87sRw2, spotify:artist:4S1P19bTfbDVjEA8Hxs4Cj, spotify:artist:1Cs0zKBU1kc0i8ypK3B9ai</t>
  </si>
  <si>
    <t>Joachim Garraud, JD Davis, David Guetta</t>
  </si>
  <si>
    <t>spotify:album:7dIXQIv9yg2fzJ9MzUOhlX</t>
  </si>
  <si>
    <t>https://i.scdn.co/image/ab67616d0000b273591558125e5710a3b724242a</t>
  </si>
  <si>
    <t>https://p.scdn.co/mp3-preview/4173c7cce7a4ac5a12739b18a5e9f141f644af99?cid=9950ac751e34487dbbe027c4fd7f8e99</t>
  </si>
  <si>
    <t>FRZID0450100</t>
  </si>
  <si>
    <t>spotify:artist:07YZf4WDAMNwqr4jfgOZ8y, spotify:artist:1Cs0zKBU1kc0i8ypK3B9ai, spotify:artist:0hCNtLu0JehylgoiP8L4Gh, spotify:artist:4RSyJzf7ef6Iu2rnLdabNq</t>
  </si>
  <si>
    <t>Jason Derulo, David Guetta, Nicki Minaj, Willy William</t>
  </si>
  <si>
    <t>spotify:album:5dL5RSd455FewNptPgtBTS</t>
  </si>
  <si>
    <t>spotify:artist:07YZf4WDAMNwqr4jfgOZ8y, spotify:artist:1Cs0zKBU1kc0i8ypK3B9ai</t>
  </si>
  <si>
    <t>Jason Derulo, David Guetta</t>
  </si>
  <si>
    <t>https://i.scdn.co/image/ab67616d0000b273af201c81e98ebb30c59b6afb</t>
  </si>
  <si>
    <t>https://p.scdn.co/mp3-preview/6ce66f27e8820bb9f7afcdb1235de3386620b602?cid=9950ac751e34487dbbe027c4fd7f8e99</t>
  </si>
  <si>
    <t>USWB11801760</t>
  </si>
  <si>
    <t>spotify:album:0fKU8zzmBjXNAJp5Uo2dml</t>
  </si>
  <si>
    <t>https://i.scdn.co/image/ab67616d0000b273d036cdc7102e5fd3ac7affe5</t>
  </si>
  <si>
    <t>https://p.scdn.co/mp3-preview/543e341e67e28f619e68a8f532b7d1dfda2f291a?cid=9950ac751e34487dbbe027c4fd7f8e99</t>
  </si>
  <si>
    <t>UKWLG2000011</t>
  </si>
  <si>
    <t>spotify:artist:1Cs0zKBU1kc0i8ypK3B9ai, spotify:artist:4FqPRilb0Ja0TKG3RS3y4s, spotify:artist:2L5xi76mB2qwg00CMkuyEN</t>
  </si>
  <si>
    <t>David Guetta, Steve Angello, Cozi</t>
  </si>
  <si>
    <t>spotify:album:2EfnjBNqcEGu3c1GZBpX2Z</t>
  </si>
  <si>
    <t>https://i.scdn.co/image/ab67616d0000b27370e3e482d0d47df283e792e4</t>
  </si>
  <si>
    <t>https://p.scdn.co/mp3-preview/fa8fac522eee8afcc4ed1129cfad916c47c20748?cid=9950ac751e34487dbbe027c4fd7f8e99</t>
  </si>
  <si>
    <t>FRZID0700400</t>
  </si>
  <si>
    <t>spotify:album:2hnJIZC616Hzbp3d053wPC</t>
  </si>
  <si>
    <t>https://i.scdn.co/image/ab67616d0000b2731ccbc87c4f2bf9fccd12640b</t>
  </si>
  <si>
    <t>https://p.scdn.co/mp3-preview/2da51e0fdac65346a8cb720f987fc6859cbae993?cid=9950ac751e34487dbbe027c4fd7f8e99</t>
  </si>
  <si>
    <t>USAT22400747</t>
  </si>
  <si>
    <t>spotify:artist:1Cs0zKBU1kc0i8ypK3B9ai, spotify:artist:7bXgB6jMjp9ATFy66eO08Z, spotify:artist:55Aa2cqylxrFIXC767Z865</t>
  </si>
  <si>
    <t>David Guetta, Chris Brown, Lil Wayne</t>
  </si>
  <si>
    <t>https://p.scdn.co/mp3-preview/6d812e7da3a98d833460f8a95c56b76d19efb82f?cid=9950ac751e34487dbbe027c4fd7f8e99</t>
  </si>
  <si>
    <t>GB28K1100032</t>
  </si>
  <si>
    <t>spotify:artist:6TLwD7HPWuiOzvXEa3oCNe, spotify:artist:1Cs0zKBU1kc0i8ypK3B9ai</t>
  </si>
  <si>
    <t>Oliver Tree, David Guetta</t>
  </si>
  <si>
    <t>spotify:album:1MIlk0URqciXoiT8xqLzZf</t>
  </si>
  <si>
    <t>https://i.scdn.co/image/ab67616d0000b2732d81b0bc54b1c1efb6f1b492</t>
  </si>
  <si>
    <t>https://p.scdn.co/mp3-preview/c370a9fc4dd445112a3d792fa836804867da59db?cid=9950ac751e34487dbbe027c4fd7f8e99</t>
  </si>
  <si>
    <t>USAT22301742</t>
  </si>
  <si>
    <t>What I Did for Love (feat. Emeli SandÃ©)</t>
  </si>
  <si>
    <t>spotify:artist:1Cs0zKBU1kc0i8ypK3B9ai, spotify:artist:7sfgqEdoeBTjd8lQsPT3Cy</t>
  </si>
  <si>
    <t>David Guetta, Emeli SandÃ©</t>
  </si>
  <si>
    <t>https://p.scdn.co/mp3-preview/3d7cdc44829245cff3cc5b197cbe60d3453a82ca?cid=9950ac751e34487dbbe027c4fd7f8e99</t>
  </si>
  <si>
    <t>GB28K1400044</t>
  </si>
  <si>
    <t>spotify:artist:1Cs0zKBU1kc0i8ypK3B9ai, spotify:artist:3ZpEKRjHaHANcpk10u6Ntq, spotify:artist:3hcs9uc56yIGFCSy9leWe7</t>
  </si>
  <si>
    <t>David Guetta, Ayra Starr, Lil Durk</t>
  </si>
  <si>
    <t>spotify:album:6fmQcEPiGQlBlA8LGClYVU</t>
  </si>
  <si>
    <t>https://i.scdn.co/image/ab67616d0000b273cda26a0b4a1753c1f6e33acf</t>
  </si>
  <si>
    <t>https://p.scdn.co/mp3-preview/bf81f6fc00bd085e6afc327780a1494aa41b9f38?cid=9950ac751e34487dbbe027c4fd7f8e99</t>
  </si>
  <si>
    <t>UKWLG2300108</t>
  </si>
  <si>
    <t>spotify:artist:1Cs0zKBU1kc0i8ypK3B9ai, spotify:artist:64M6ah0SkkRsnPGtGiRAbb, spotify:artist:7c0XG5cIJTrrAgEC3ULPiq, spotify:artist:31W5EY0aAly4Qieq6OFu6I</t>
  </si>
  <si>
    <t>David Guetta, Bebe Rexha, Ty Dolla $ign, A Boogie Wit da Hoodie</t>
  </si>
  <si>
    <t>spotify:album:1O3wGX19uKgXZZuW7uKb9l</t>
  </si>
  <si>
    <t>spotify:artist:1Cs0zKBU1kc0i8ypK3B9ai, spotify:artist:64M6ah0SkkRsnPGtGiRAbb, spotify:artist:7c0XG5cIJTrrAgEC3ULPiq</t>
  </si>
  <si>
    <t>David Guetta, Bebe Rexha, Ty Dolla $ign</t>
  </si>
  <si>
    <t>https://i.scdn.co/image/ab67616d0000b273b82ff18687ec3b164b569877</t>
  </si>
  <si>
    <t>https://p.scdn.co/mp3-preview/f0432d8b6760bb0d57f93d6b028c4fd112cf5324?cid=9950ac751e34487dbbe027c4fd7f8e99</t>
  </si>
  <si>
    <t>USAT22104477</t>
  </si>
  <si>
    <t>spotify:artist:1Cs0zKBU1kc0i8ypK3B9ai, spotify:artist:4D75GcNG95ebPtNvoNVXhz, spotify:artist:25uiPmTg16RbhZWAqwLBy5, spotify:artist:6vXTefBL93Dj5IqAWq6OTv</t>
  </si>
  <si>
    <t>David Guetta, AFROJACK, Charli xcx, French Montana</t>
  </si>
  <si>
    <t>spotify:album:613u1KxcevDq5Kd8j0zD2U</t>
  </si>
  <si>
    <t>spotify:artist:1Cs0zKBU1kc0i8ypK3B9ai, spotify:artist:4D75GcNG95ebPtNvoNVXhz, spotify:artist:25uiPmTg16RbhZWAqwLBy5</t>
  </si>
  <si>
    <t>David Guetta, AFROJACK, Charli xcx</t>
  </si>
  <si>
    <t>https://i.scdn.co/image/ab67616d0000b273657bb3660936e0d47e785dcd</t>
  </si>
  <si>
    <t>https://p.scdn.co/mp3-preview/a44113d82fe60c1c19bd4bb50be20ba948504385?cid=9950ac751e34487dbbe027c4fd7f8e99</t>
  </si>
  <si>
    <t>GB28K1700061</t>
  </si>
  <si>
    <t>spotify:artist:1Cs0zKBU1kc0i8ypK3B9ai, spotify:artist:5KKpBU5eC2tJDzf0wmlRp2</t>
  </si>
  <si>
    <t>David Guetta, RAYE</t>
  </si>
  <si>
    <t>spotify:album:581MrXg5n979mmvZaC6AOE</t>
  </si>
  <si>
    <t>https://i.scdn.co/image/ab67616d0000b2734fe606cc6e4b8cb29d736def</t>
  </si>
  <si>
    <t>https://p.scdn.co/mp3-preview/cdec5b64d940692d5d9cf0389e2520691480174b?cid=9950ac751e34487dbbe027c4fd7f8e99</t>
  </si>
  <si>
    <t>GB28K1900029</t>
  </si>
  <si>
    <t>spotify:artist:1Cs0zKBU1kc0i8ypK3B9ai, spotify:artist:5T0MSzX9RC5NA6gAI6irSn</t>
  </si>
  <si>
    <t>David Guetta, Estelle</t>
  </si>
  <si>
    <t>https://p.scdn.co/mp3-preview/1df2b33efb0a173915b9d4374968a8242515f8b8?cid=9950ac751e34487dbbe027c4fd7f8e99</t>
  </si>
  <si>
    <t>FRZID0900510</t>
  </si>
  <si>
    <t>spotify:artist:1Cs0zKBU1kc0i8ypK3B9ai, spotify:artist:3gk0OYeLFWYupGFRHqLSR7</t>
  </si>
  <si>
    <t>David Guetta, Showtek</t>
  </si>
  <si>
    <t>spotify:album:2dvtRAMQN6ERCoQVrV8xtO</t>
  </si>
  <si>
    <t>https://i.scdn.co/image/ab67616d0000b2737b91491e4093aa2a6459f424</t>
  </si>
  <si>
    <t>https://p.scdn.co/mp3-preview/c8732a88e4772f4ba1aded8e18cf429719c71154?cid=9950ac751e34487dbbe027c4fd7f8e99</t>
  </si>
  <si>
    <t>GB28K1800065</t>
  </si>
  <si>
    <t>spotify:artist:4pb4rqWSoGUgxm63xmJ8xc</t>
  </si>
  <si>
    <t>spotify:album:3uKLwDjku2Us0c81LEmftR</t>
  </si>
  <si>
    <t>https://i.scdn.co/image/ab67616d0000b27392cb28b37837c67dffe602f9</t>
  </si>
  <si>
    <t>https://p.scdn.co/mp3-preview/eaac5e93a62f6de7fe49bf6191a9ba3135795477?cid=9950ac751e34487dbbe027c4fd7f8e99</t>
  </si>
  <si>
    <t>GBARL1401768</t>
  </si>
  <si>
    <t>spotify:artist:4pb4rqWSoGUgxm63xmJ8xc, spotify:artist:1fpemL1wk3ZyXVfpzlVEkL</t>
  </si>
  <si>
    <t>Madeon, Kyan</t>
  </si>
  <si>
    <t>https://p.scdn.co/mp3-preview/535ba6c41993f6235401aa21b3ddab8defd43d7a?cid=9950ac751e34487dbbe027c4fd7f8e99</t>
  </si>
  <si>
    <t>GBARL1401609</t>
  </si>
  <si>
    <t>https://p.scdn.co/mp3-preview/c305ccac3b2cfbed2c114ed90afd6ab1202b85cf?cid=9950ac751e34487dbbe027c4fd7f8e99</t>
  </si>
  <si>
    <t>GBARL1401769</t>
  </si>
  <si>
    <t>spotify:artist:4pb4rqWSoGUgxm63xmJ8xc, spotify:artist:2M2MXUELmMkH9g3bjOMEyx</t>
  </si>
  <si>
    <t>Madeon, Dan Smith</t>
  </si>
  <si>
    <t>https://p.scdn.co/mp3-preview/ab81d43e88785c79dd01779a808e0f95371d0326?cid=9950ac751e34487dbbe027c4fd7f8e99</t>
  </si>
  <si>
    <t>GBARL1401770</t>
  </si>
  <si>
    <t>spotify:artist:4pb4rqWSoGUgxm63xmJ8xc, spotify:artist:7gjAu1qr5C2grXeQFFOGeh</t>
  </si>
  <si>
    <t>Madeon, Passion Pit</t>
  </si>
  <si>
    <t>https://p.scdn.co/mp3-preview/29e4fa3d1476e4ceb8c2797444f9e44eaeb94ae0?cid=9950ac751e34487dbbe027c4fd7f8e99</t>
  </si>
  <si>
    <t>GBARL1401771</t>
  </si>
  <si>
    <t>https://p.scdn.co/mp3-preview/b422aa6abcd73bca458e27accffecdd8c7501095?cid=9950ac751e34487dbbe027c4fd7f8e99</t>
  </si>
  <si>
    <t>GBARL1401772</t>
  </si>
  <si>
    <t>https://p.scdn.co/mp3-preview/e7453ccae7393c531b987c6d696337b5fe198446?cid=9950ac751e34487dbbe027c4fd7f8e99</t>
  </si>
  <si>
    <t>GBARL1401171</t>
  </si>
  <si>
    <t>https://p.scdn.co/mp3-preview/ad7fb165bb50d3458d4866bd39c6056a25214745?cid=9950ac751e34487dbbe027c4fd7f8e99</t>
  </si>
  <si>
    <t>GBARL1401773</t>
  </si>
  <si>
    <t>spotify:artist:4pb4rqWSoGUgxm63xmJ8xc, spotify:artist:01HaDEWYoJwaJcMmZFxb6n</t>
  </si>
  <si>
    <t>Madeon, Mark Foster</t>
  </si>
  <si>
    <t>https://p.scdn.co/mp3-preview/348af5a68205a7effb7bcabe1571c83e045ed557?cid=9950ac751e34487dbbe027c4fd7f8e99</t>
  </si>
  <si>
    <t>GBARL1401774</t>
  </si>
  <si>
    <t>spotify:artist:4pb4rqWSoGUgxm63xmJ8xc, spotify:artist:26GHRG8x1F4AzbCKzUaIbw</t>
  </si>
  <si>
    <t>Madeon, Aquilo</t>
  </si>
  <si>
    <t>https://p.scdn.co/mp3-preview/5751f630910fa88396fc57e2d68206285c212f38?cid=9950ac751e34487dbbe027c4fd7f8e99</t>
  </si>
  <si>
    <t>GBARL1401775</t>
  </si>
  <si>
    <t>https://p.scdn.co/mp3-preview/3bceff0b7a2f7944add823e6c500a9ff8ff6e961?cid=9950ac751e34487dbbe027c4fd7f8e99</t>
  </si>
  <si>
    <t>GBARL1401777</t>
  </si>
  <si>
    <t>https://p.scdn.co/mp3-preview/7ef1372590fd3c060167660082368c1ae5ae5792?cid=9950ac751e34487dbbe027c4fd7f8e99</t>
  </si>
  <si>
    <t>FR9W11114947</t>
  </si>
  <si>
    <t>spotify:artist:4pb4rqWSoGUgxm63xmJ8xc, spotify:artist:7MfqTaqzU4P7AqqnFj3rYk</t>
  </si>
  <si>
    <t>Madeon, Nicholas Petricca</t>
  </si>
  <si>
    <t>https://p.scdn.co/mp3-preview/24de7da77d984f6599483f611e48fc7a761da829?cid=9950ac751e34487dbbe027c4fd7f8e99</t>
  </si>
  <si>
    <t>GBARL1200788</t>
  </si>
  <si>
    <t>https://p.scdn.co/mp3-preview/1776a4ecee2cc7975e2358175f4898450415edc0?cid=9950ac751e34487dbbe027c4fd7f8e99</t>
  </si>
  <si>
    <t>GBARL1201025</t>
  </si>
  <si>
    <t>https://p.scdn.co/mp3-preview/d46a1451a07c4c4ab0aa329c7520c209dd601ffc?cid=9950ac751e34487dbbe027c4fd7f8e99</t>
  </si>
  <si>
    <t>GBARL1401188</t>
  </si>
  <si>
    <t>https://p.scdn.co/mp3-preview/6f8bc6b3866ff671d946864b3fa3e89e9c034df0?cid=9950ac751e34487dbbe027c4fd7f8e99</t>
  </si>
  <si>
    <t>GBARL1300993</t>
  </si>
  <si>
    <t>spotify:artist:4pb4rqWSoGUgxm63xmJ8xc, spotify:artist:77BznF1Dr1k5KyEZ6Nn3jB</t>
  </si>
  <si>
    <t>Madeon, Vancouver Sleep Clinic</t>
  </si>
  <si>
    <t>https://p.scdn.co/mp3-preview/9b76a74a8ef65fc338f9c25ebf2fe91cb0198520?cid=9950ac751e34487dbbe027c4fd7f8e99</t>
  </si>
  <si>
    <t>GBARL1401779</t>
  </si>
  <si>
    <t>spotify:album:6Lq1lrCfkpxKa4jCo5gKWr</t>
  </si>
  <si>
    <t>https://i.scdn.co/image/ab67616d0000b273dc384e6d13983fe1cd415ade</t>
  </si>
  <si>
    <t>https://p.scdn.co/mp3-preview/c81104af8becf54ffd7d26fa3f345d5a44facaa5?cid=9950ac751e34487dbbe027c4fd7f8e99</t>
  </si>
  <si>
    <t>USQX91901212</t>
  </si>
  <si>
    <t>https://p.scdn.co/mp3-preview/624c95af1ebaf3de58e6d8684ee057a995770e7e?cid=9950ac751e34487dbbe027c4fd7f8e99</t>
  </si>
  <si>
    <t>USQX91901207</t>
  </si>
  <si>
    <t>https://p.scdn.co/mp3-preview/1df3067a37349a59bbf8a8e4d4fae4673f6b97c5?cid=9950ac751e34487dbbe027c4fd7f8e99</t>
  </si>
  <si>
    <t>USQX91901214</t>
  </si>
  <si>
    <t>https://p.scdn.co/mp3-preview/29bbe023092f5e4afeba33902baa70b3544c083d?cid=9950ac751e34487dbbe027c4fd7f8e99</t>
  </si>
  <si>
    <t>USQX91901216</t>
  </si>
  <si>
    <t>https://p.scdn.co/mp3-preview/747410c7777ef031a2f1188497589b0b3b8e8241?cid=9950ac751e34487dbbe027c4fd7f8e99</t>
  </si>
  <si>
    <t>USQX91901217</t>
  </si>
  <si>
    <t>https://p.scdn.co/mp3-preview/379d0289197560b07d8eb75e4d2a862644d72867?cid=9950ac751e34487dbbe027c4fd7f8e99</t>
  </si>
  <si>
    <t>USQX91901218</t>
  </si>
  <si>
    <t>https://p.scdn.co/mp3-preview/f9765e8dbea557aee5bfe50b8f045cc785728e51?cid=9950ac751e34487dbbe027c4fd7f8e99</t>
  </si>
  <si>
    <t>USQX91901215</t>
  </si>
  <si>
    <t>https://p.scdn.co/mp3-preview/8145c586b0b6020b26f22829a54abadab5618476?cid=9950ac751e34487dbbe027c4fd7f8e99</t>
  </si>
  <si>
    <t>USQX91901219</t>
  </si>
  <si>
    <t>https://p.scdn.co/mp3-preview/3b4a25fea375686c9409be8fde55da630dd8c909?cid=9950ac751e34487dbbe027c4fd7f8e99</t>
  </si>
  <si>
    <t>USQX91901220</t>
  </si>
  <si>
    <t>https://p.scdn.co/mp3-preview/dfd0a8a47f6e718ab8875fb65a1e469f430362fb?cid=9950ac751e34487dbbe027c4fd7f8e99</t>
  </si>
  <si>
    <t>USQX91901221</t>
  </si>
  <si>
    <t>spotify:artist:1SlTeYo2NYg93bGqlQYkwE, spotify:artist:4pb4rqWSoGUgxm63xmJ8xc, spotify:artist:6O4EGCCb6DoIiR6B1QCQgp</t>
  </si>
  <si>
    <t>Wavedash, Madeon, Toro y Moi</t>
  </si>
  <si>
    <t>spotify:album:1KrS7daFwtHSyT5aPsI0so</t>
  </si>
  <si>
    <t>spotify:artist:1SlTeYo2NYg93bGqlQYkwE, spotify:artist:4pb4rqWSoGUgxm63xmJ8xc</t>
  </si>
  <si>
    <t>Wavedash, Madeon</t>
  </si>
  <si>
    <t>https://i.scdn.co/image/ab67616d0000b273a8591576b255b60d199867bd</t>
  </si>
  <si>
    <t>https://p.scdn.co/mp3-preview/61fe6099727102f9f970fd932897548214eb3cf3?cid=9950ac751e34487dbbe027c4fd7f8e99</t>
  </si>
  <si>
    <t>US4HB2300180</t>
  </si>
  <si>
    <t>spotify:album:4Qfy5djODkD6gDPCRig8eW</t>
  </si>
  <si>
    <t>https://i.scdn.co/image/ab67616d0000b2731d4971b0175a27d5df2c057b</t>
  </si>
  <si>
    <t>https://p.scdn.co/mp3-preview/dfcff73d75fa79575af12be16e5cd8ed7727ecdc?cid=9950ac751e34487dbbe027c4fd7f8e99</t>
  </si>
  <si>
    <t>USQE92300094</t>
  </si>
  <si>
    <t>https://p.scdn.co/mp3-preview/ce7137b81be9a745ea0dd5d8d3d56c4e579bb3aa?cid=9950ac751e34487dbbe027c4fd7f8e99</t>
  </si>
  <si>
    <t>USQE92300043</t>
  </si>
  <si>
    <t>spotify:album:13prcX73M9Gmy7ksaFPl5E</t>
  </si>
  <si>
    <t>https://i.scdn.co/image/ab67616d0000b273f39c8103900f17b31847b648</t>
  </si>
  <si>
    <t>https://p.scdn.co/mp3-preview/fe38dca94e7d87a128bce1abd737289bb4ae3aaa?cid=9950ac751e34487dbbe027c4fd7f8e99</t>
  </si>
  <si>
    <t>spotify:album:3RfQXBQeOMWJPwsy4BO2Na</t>
  </si>
  <si>
    <t>https://i.scdn.co/image/ab67616d0000b27339f82b80fe2720663b045422</t>
  </si>
  <si>
    <t>https://p.scdn.co/mp3-preview/767518b10c386baca507f7629469bb1a1fc704f1?cid=9950ac751e34487dbbe027c4fd7f8e99</t>
  </si>
  <si>
    <t>USQE92200030</t>
  </si>
  <si>
    <t>spotify:album:5h9qrZ5Rt2odTQB6AaPBME</t>
  </si>
  <si>
    <t>https://i.scdn.co/image/ab67616d0000b273dddadc1011a4a1391b855e60</t>
  </si>
  <si>
    <t>https://p.scdn.co/mp3-preview/532f03f4eef7656ed98714b42462462655782b7d?cid=9950ac751e34487dbbe027c4fd7f8e99</t>
  </si>
  <si>
    <t>https://p.scdn.co/mp3-preview/c7aba2e095da7e9b0e44ec40a66d543e3843ced9?cid=9950ac751e34487dbbe027c4fd7f8e99</t>
  </si>
  <si>
    <t>FR9W11114946</t>
  </si>
  <si>
    <t>spotify:album:0HVrSL0ICBN2rnc9NUr6wB</t>
  </si>
  <si>
    <t>https://i.scdn.co/image/ab67616d0000b2738f3ad7298deedea3b125cb47</t>
  </si>
  <si>
    <t>https://p.scdn.co/mp3-preview/fbbb7d87872c299a8471bacca166613c9ecb8138?cid=9950ac751e34487dbbe027c4fd7f8e99</t>
  </si>
  <si>
    <t>https://p.scdn.co/mp3-preview/cebb96b8758b7149efab5a68292e8369a2bcccfb?cid=9950ac751e34487dbbe027c4fd7f8e99</t>
  </si>
  <si>
    <t>GBARL1200795</t>
  </si>
  <si>
    <t>spotify:album:69bH5vlvxBvE162AZjr60r</t>
  </si>
  <si>
    <t>https://i.scdn.co/image/ab67616d0000b2733091e7ea81ae149656b92d6f</t>
  </si>
  <si>
    <t>spotify:album:1kIkYRKKip01FVuJPoMtbR</t>
  </si>
  <si>
    <t>https://i.scdn.co/image/ab67616d0000b27398528dc300fb2066ca913ebd</t>
  </si>
  <si>
    <t>https://p.scdn.co/mp3-preview/24ee1ad03d3c6b75fd52a6a9da450906414a30f4?cid=9950ac751e34487dbbe027c4fd7f8e99</t>
  </si>
  <si>
    <t>https://p.scdn.co/mp3-preview/98362f70528200d3377c0dbe7f6d4ccf502c425a?cid=9950ac751e34487dbbe027c4fd7f8e99</t>
  </si>
  <si>
    <t>GBARL1201624</t>
  </si>
  <si>
    <t>spotify:artist:4pb4rqWSoGUgxm63xmJ8xc, spotify:artist:7MfqTaqzU4P7AqqnFj3rYk, spotify:artist:4Zvz7mkxAtK7CJG0SYq2JV</t>
  </si>
  <si>
    <t>Madeon, Nicholas Petricca, Boris Daenen</t>
  </si>
  <si>
    <t>https://p.scdn.co/mp3-preview/13276d8abd9f56ad2dd291e7498c4b8674040139?cid=9950ac751e34487dbbe027c4fd7f8e99</t>
  </si>
  <si>
    <t>GBARL1201350</t>
  </si>
  <si>
    <t>https://p.scdn.co/mp3-preview/3dee2f5059f7fc693e32f6494c6b40d3ab1d05d7?cid=9950ac751e34487dbbe027c4fd7f8e99</t>
  </si>
  <si>
    <t>GBARL1201734</t>
  </si>
  <si>
    <t>spotify:artist:4pb4rqWSoGUgxm63xmJ8xc, spotify:artist:0k3dnuEr9LghUE4jxS0PT4, spotify:artist:27YdXZOMLqvxI2pB5GyqyY</t>
  </si>
  <si>
    <t>Madeon, Fred V, Grafix</t>
  </si>
  <si>
    <t>https://p.scdn.co/mp3-preview/68f55de7ac455ede447c22f22ef43661a70acf3b?cid=9950ac751e34487dbbe027c4fd7f8e99</t>
  </si>
  <si>
    <t>GBARL1201735</t>
  </si>
  <si>
    <t>spotify:album:6yqEvFGANbFrsT5jD4BmVg</t>
  </si>
  <si>
    <t>https://i.scdn.co/image/ab67616d0000b273072d71551a0758118a348fc6</t>
  </si>
  <si>
    <t>https://p.scdn.co/mp3-preview/a1c454e77f5a1272fb55bd1f3a5e4cfc74908544?cid=9950ac751e34487dbbe027c4fd7f8e99</t>
  </si>
  <si>
    <t>GB-SMU-17-12941</t>
  </si>
  <si>
    <t>spotify:album:0SxMAoBFEzhNZtfYPC7gxi</t>
  </si>
  <si>
    <t>https://i.scdn.co/image/ab67616d0000b27346757ac6e64fce8aeee7d855</t>
  </si>
  <si>
    <t>https://p.scdn.co/mp3-preview/f6a9b25ce20c55f36bb582a950a7ca75c0482c4e?cid=9950ac751e34487dbbe027c4fd7f8e99</t>
  </si>
  <si>
    <t>spotify:album:2lLHODs4KPGdDGl8QoGmgx</t>
  </si>
  <si>
    <t>https://i.scdn.co/image/ab67616d0000b27364c3eaa3250653b478b3cf80</t>
  </si>
  <si>
    <t>https://p.scdn.co/mp3-preview/db7c801e793c782db31389db02912dcfc80cd936?cid=9950ac751e34487dbbe027c4fd7f8e99</t>
  </si>
  <si>
    <t>spotify:artist:4pb4rqWSoGUgxm63xmJ8xc, spotify:artist:1fpemL1wk3ZyXVfpzlVEkL, spotify:artist:6RDNTAgm2s6ae71nXWGnJD</t>
  </si>
  <si>
    <t>Madeon, Kyan, Alex Metric</t>
  </si>
  <si>
    <t>spotify:album:0CdN8Jkyo2KxLvKEBqpKoO</t>
  </si>
  <si>
    <t>https://i.scdn.co/image/ab67616d0000b273f734363c71b93265900fdcc4</t>
  </si>
  <si>
    <t>https://p.scdn.co/mp3-preview/2c842920c720bc15a2c253877fbb538b87aa722f?cid=9950ac751e34487dbbe027c4fd7f8e99</t>
  </si>
  <si>
    <t>GBARL1401610</t>
  </si>
  <si>
    <t>spotify:artist:4pb4rqWSoGUgxm63xmJ8xc, spotify:artist:1fpemL1wk3ZyXVfpzlVEkL, spotify:artist:0QgpS5dbDkXubZFssSLtpy</t>
  </si>
  <si>
    <t>Madeon, Kyan, Oliver</t>
  </si>
  <si>
    <t>https://p.scdn.co/mp3-preview/1eb9a59a74e30fc646405bd83e8c07cfeea5102b?cid=9950ac751e34487dbbe027c4fd7f8e99</t>
  </si>
  <si>
    <t>GBARL1401611</t>
  </si>
  <si>
    <t>spotify:artist:4pb4rqWSoGUgxm63xmJ8xc, spotify:artist:1fpemL1wk3ZyXVfpzlVEkL, spotify:artist:179BpmLkQCRIoU68Co80f5</t>
  </si>
  <si>
    <t>Madeon, Kyan, Gramatik</t>
  </si>
  <si>
    <t>https://p.scdn.co/mp3-preview/73d7acfb89de6801749a7c78f80147a4a60f22ed?cid=9950ac751e34487dbbe027c4fd7f8e99</t>
  </si>
  <si>
    <t>GBARL1500011</t>
  </si>
  <si>
    <t>spotify:album:2NkUuUsTmsrQd1IjkaLByE</t>
  </si>
  <si>
    <t>https://i.scdn.co/image/ab67616d0000b273710fdef11a91900d21653e7c</t>
  </si>
  <si>
    <t>spotify:album:28uf1dxK1Dwl3vMhibmcRu</t>
  </si>
  <si>
    <t>https://i.scdn.co/image/ab67616d0000b27318646ed5414e071ffed27325</t>
  </si>
  <si>
    <t>spotify:album:5mn9ju9YhfbMShPOL7vqPc</t>
  </si>
  <si>
    <t>https://i.scdn.co/image/ab67616d0000b2730c3604300e9f79e46e13fd39</t>
  </si>
  <si>
    <t>spotify:artist:4pb4rqWSoGUgxm63xmJ8xc, spotify:artist:7gjAu1qr5C2grXeQFFOGeh, spotify:artist:6Lb0R07YeWznImNG9fUjUC, spotify:artist:5cpNgAjrFWClOg7j9Oup9K</t>
  </si>
  <si>
    <t>Madeon, Passion Pit, Ulrik Denizou Lund, Kjetil Jansen</t>
  </si>
  <si>
    <t>spotify:album:4s0iuhDrbwdRasbirNHX7F</t>
  </si>
  <si>
    <t>https://i.scdn.co/image/ab67616d0000b273181be4c9ff596666b8266273</t>
  </si>
  <si>
    <t>https://p.scdn.co/mp3-preview/dc9097e567b080c4868f35a2681e2b994e892b9a?cid=9950ac751e34487dbbe027c4fd7f8e99</t>
  </si>
  <si>
    <t>GBARL1500411</t>
  </si>
  <si>
    <t>spotify:artist:4pb4rqWSoGUgxm63xmJ8xc, spotify:artist:7gjAu1qr5C2grXeQFFOGeh, spotify:artist:2qNI3aGlywRzTkRBOy9YzG</t>
  </si>
  <si>
    <t>Madeon, Passion Pit, Yasutaka Nakata</t>
  </si>
  <si>
    <t>https://p.scdn.co/mp3-preview/4d9c3092f55bfad6a03a3ce8fbcc1c1da810d619?cid=9950ac751e34487dbbe027c4fd7f8e99</t>
  </si>
  <si>
    <t>GBARL1500749</t>
  </si>
  <si>
    <t>https://p.scdn.co/mp3-preview/a8034180629c7ac14357c074dfabb5b41b52f99c?cid=9950ac751e34487dbbe027c4fd7f8e99</t>
  </si>
  <si>
    <t>GBARL1501165</t>
  </si>
  <si>
    <t>spotify:artist:4pb4rqWSoGUgxm63xmJ8xc, spotify:artist:5R3Hr2cnCCjt220Jmt2xLf</t>
  </si>
  <si>
    <t>Madeon, Dillon Francis</t>
  </si>
  <si>
    <t>https://p.scdn.co/mp3-preview/223eb2c04c7c298a296538f61e9beb23b9df0605?cid=9950ac751e34487dbbe027c4fd7f8e99</t>
  </si>
  <si>
    <t>GBARL1501166</t>
  </si>
  <si>
    <t>spotify:album:30X5rD2J07BzYmd3CKzZTa</t>
  </si>
  <si>
    <t>https://i.scdn.co/image/ab67616d0000b273a5a0567b3b8532a1e090734d</t>
  </si>
  <si>
    <t>https://p.scdn.co/mp3-preview/d3174ce6ecc8414dee97b42eb1cbe4b4f4dbb1af?cid=9950ac751e34487dbbe027c4fd7f8e99</t>
  </si>
  <si>
    <t>spotify:artist:3dz0NnIZhtKKeXZxLOxCam, spotify:artist:4pb4rqWSoGUgxm63xmJ8xc</t>
  </si>
  <si>
    <t>Porter Robinson, Madeon</t>
  </si>
  <si>
    <t>spotify:album:2vVfxcvBQAGnEKM3zM0zxw</t>
  </si>
  <si>
    <t>https://i.scdn.co/image/ab67616d0000b2731a5eb771120e2ee3f6a44ed7</t>
  </si>
  <si>
    <t>https://p.scdn.co/mp3-preview/50c7dbdb7d3e86153d7cc2b2ba28fad29fa0ce6e?cid=9950ac751e34487dbbe027c4fd7f8e99</t>
  </si>
  <si>
    <t>QMUY41600040</t>
  </si>
  <si>
    <t>spotify:album:5pvCGCeutZQhMsLOiGvZSK</t>
  </si>
  <si>
    <t>https://i.scdn.co/image/ab67616d0000b27348eb0694ad3980c72017f284</t>
  </si>
  <si>
    <t>https://p.scdn.co/mp3-preview/724ac4583e2c0c92645f14a2c43e55050a41d307?cid=9950ac751e34487dbbe027c4fd7f8e99</t>
  </si>
  <si>
    <t>spotify:album:2z1AhLzXyQKi4JIfr8fYqy</t>
  </si>
  <si>
    <t>https://i.scdn.co/image/ab67616d0000b27372df59e31bee253469e888ad</t>
  </si>
  <si>
    <t>https://p.scdn.co/mp3-preview/a1ec61d9a87785139a906a3f841a5afa5c451409?cid=9950ac751e34487dbbe027c4fd7f8e99</t>
  </si>
  <si>
    <t>spotify:artist:4pb4rqWSoGUgxm63xmJ8xc, spotify:artist:5MbNzCW3qokGyoo9giHA3V</t>
  </si>
  <si>
    <t>Madeon, EARTHGANG</t>
  </si>
  <si>
    <t>spotify:album:23NyPBINwg9BI8WgtgEu5t</t>
  </si>
  <si>
    <t>https://i.scdn.co/image/ab67616d0000b273ad8dfaa754c34043b4a2979f</t>
  </si>
  <si>
    <t>https://p.scdn.co/mp3-preview/7af0e55fca9a3a7b949585d437099c6727fd377b?cid=9950ac751e34487dbbe027c4fd7f8e99</t>
  </si>
  <si>
    <t>USANG2073413</t>
  </si>
  <si>
    <t>spotify:album:15WqeQxvjsgr5rF53qgR9p</t>
  </si>
  <si>
    <t>https://i.scdn.co/image/ab67616d0000b27318dfaad83b61579bdf6983d4</t>
  </si>
  <si>
    <t>https://p.scdn.co/mp3-preview/2f6854a9debd9fbe2d36784e813301f522c21412?cid=9950ac751e34487dbbe027c4fd7f8e99</t>
  </si>
  <si>
    <t>US3DF2018540</t>
  </si>
  <si>
    <t>spotify:artist:1P6U1dCeHxPui5pIrGmndZ, spotify:artist:7a1nGgiWVcRP4PV6xkXQ96</t>
  </si>
  <si>
    <t>Air, Beth Hirsch</t>
  </si>
  <si>
    <t>spotify:album:5dmYtZVJ1bG9RyrZBRrkOA</t>
  </si>
  <si>
    <t>spotify:artist:1P6U1dCeHxPui5pIrGmndZ</t>
  </si>
  <si>
    <t>https://i.scdn.co/image/ab67616d0000b2731216e4f7e84af70ef18146ed</t>
  </si>
  <si>
    <t>https://p.scdn.co/mp3-preview/74dc8a1ecd3bb27549b38fcf742df43166dbf2db?cid=9950ac751e34487dbbe027c4fd7f8e99</t>
  </si>
  <si>
    <t>FRS639700570</t>
  </si>
  <si>
    <t>spotify:artist:1P6U1dCeHxPui5pIrGmndZ, spotify:artist:4DWl8U58uYeeTtlvbrLEY6</t>
  </si>
  <si>
    <t>Air, Gordon Tracks</t>
  </si>
  <si>
    <t>spotify:album:2E1q8eohZZ1BUQ7Bq5WUIY</t>
  </si>
  <si>
    <t>https://i.scdn.co/image/ab67616d0000b2735e3c18f342d16b0b4df04df2</t>
  </si>
  <si>
    <t>https://p.scdn.co/mp3-preview/a1c934fbc2e010fa451799df1cf40c057d7640db?cid=9950ac751e34487dbbe027c4fd7f8e99</t>
  </si>
  <si>
    <t>FR71S9900001</t>
  </si>
  <si>
    <t>spotify:album:0hQOqvZv1nQvPiBjzyn363</t>
  </si>
  <si>
    <t>https://i.scdn.co/image/ab67616d0000b2736400fab74f28e90759ac8815</t>
  </si>
  <si>
    <t>https://p.scdn.co/mp3-preview/e0f1a53e3a2bca7b3478985f0efca3b168e90721?cid=9950ac751e34487dbbe027c4fd7f8e99</t>
  </si>
  <si>
    <t>FRS630300090</t>
  </si>
  <si>
    <t>spotify:album:0dvlmNvi7bwLGzO2SG4KAa</t>
  </si>
  <si>
    <t>https://i.scdn.co/image/ab67616d0000b2732ec0dfc75d6e2ea22da95b32</t>
  </si>
  <si>
    <t>https://p.scdn.co/mp3-preview/a210edbc3a52d2f3c11156e47a4432f919d63d7e?cid=9950ac751e34487dbbe027c4fd7f8e99</t>
  </si>
  <si>
    <t>FRU521700001</t>
  </si>
  <si>
    <t>https://p.scdn.co/mp3-preview/037b566893a28d0855e119ae60134ee59d22e0ea?cid=9950ac751e34487dbbe027c4fd7f8e99</t>
  </si>
  <si>
    <t>FRS639700550</t>
  </si>
  <si>
    <t>https://p.scdn.co/mp3-preview/bfc55021bdb31f671436f01398c4f66bb6d4389f?cid=9950ac751e34487dbbe027c4fd7f8e99</t>
  </si>
  <si>
    <t>FR71S9900008</t>
  </si>
  <si>
    <t>https://p.scdn.co/mp3-preview/87b229ab6764dc98c47a54decbf8a05e81ad3b6d?cid=9950ac751e34487dbbe027c4fd7f8e99</t>
  </si>
  <si>
    <t>FRS630300098</t>
  </si>
  <si>
    <t>Le soleil est prÃ¨s de moi</t>
  </si>
  <si>
    <t>spotify:album:3g9O7pvuaaFRvdzsoSJXVc</t>
  </si>
  <si>
    <t>Premiers SymptÃ´mes</t>
  </si>
  <si>
    <t>https://i.scdn.co/image/ab67616d0000b273988970b40aca1d4cfb3edc3d</t>
  </si>
  <si>
    <t>https://p.scdn.co/mp3-preview/e945890c540ad34823f87c2cafb70ea01ab76bb3?cid=9950ac751e34487dbbe027c4fd7f8e99</t>
  </si>
  <si>
    <t>FRS639700410</t>
  </si>
  <si>
    <t>https://p.scdn.co/mp3-preview/740ab67a0459ff4f37e38cdd345511000afdb17d?cid=9950ac751e34487dbbe027c4fd7f8e99</t>
  </si>
  <si>
    <t>FRS639700560</t>
  </si>
  <si>
    <t>spotify:album:7qqvPLqioY3YariklLzPtR</t>
  </si>
  <si>
    <t>https://i.scdn.co/image/ab67616d0000b273b33ffd3900f46e9008344b79</t>
  </si>
  <si>
    <t>https://p.scdn.co/mp3-preview/84f10f5c00004c44f6cd8022eae305e7d2e880e6?cid=9950ac751e34487dbbe027c4fd7f8e99</t>
  </si>
  <si>
    <t>FRU520600008</t>
  </si>
  <si>
    <t>https://p.scdn.co/mp3-preview/4079ffad7d0fcaac5d0150393fdef1c475ec70d4?cid=9950ac751e34487dbbe027c4fd7f8e99</t>
  </si>
  <si>
    <t>FRS630300094</t>
  </si>
  <si>
    <t>spotify:album:7vfCAXD0bK0i2r3LZa8zVg</t>
  </si>
  <si>
    <t>https://i.scdn.co/image/ab67616d0000b2736b0efd35ef810103180cf54c</t>
  </si>
  <si>
    <t>https://p.scdn.co/mp3-preview/fb3c1bce6a238e6ffb9ebea9fd7964bd96098a88?cid=9950ac751e34487dbbe027c4fd7f8e99</t>
  </si>
  <si>
    <t>FRU520900009</t>
  </si>
  <si>
    <t>https://p.scdn.co/mp3-preview/367d9df0209e0d4177c71d59a9287df927a6fd9d?cid=9950ac751e34487dbbe027c4fd7f8e99</t>
  </si>
  <si>
    <t>FRS639700590</t>
  </si>
  <si>
    <t>spotify:album:2WNI378JH55k63eXBHbjbI</t>
  </si>
  <si>
    <t>https://i.scdn.co/image/ab67616d0000b2735c2d2f43471655dbbf3d6284</t>
  </si>
  <si>
    <t>https://p.scdn.co/mp3-preview/8c0e9c1d42e09c8fcb746a40489923f50e428d4a?cid=9950ac751e34487dbbe027c4fd7f8e99</t>
  </si>
  <si>
    <t>FRS630100002</t>
  </si>
  <si>
    <t>https://p.scdn.co/mp3-preview/81bf8a4a869db91e5eaf3d317e4cfb531a11732a?cid=9950ac751e34487dbbe027c4fd7f8e99</t>
  </si>
  <si>
    <t>FRS630300092</t>
  </si>
  <si>
    <t>https://p.scdn.co/mp3-preview/496f3c60e4da400af5dc0160094e6da7de2a1ee6?cid=9950ac751e34487dbbe027c4fd7f8e99</t>
  </si>
  <si>
    <t>FRU520900008</t>
  </si>
  <si>
    <t>https://p.scdn.co/mp3-preview/d8b9ba5c850f15ef6a2ff814e8382835c5d0cdba?cid=9950ac751e34487dbbe027c4fd7f8e99</t>
  </si>
  <si>
    <t>FRS639700580</t>
  </si>
  <si>
    <t>https://p.scdn.co/mp3-preview/8f6379c329ad972af3f58c9706e31e8280315c53?cid=9950ac751e34487dbbe027c4fd7f8e99</t>
  </si>
  <si>
    <t>FRS639500003</t>
  </si>
  <si>
    <t>https://p.scdn.co/mp3-preview/ef8086fa7b233308524025aeb6d6fbbf2b0898a2?cid=9950ac751e34487dbbe027c4fd7f8e99</t>
  </si>
  <si>
    <t>FRS630300089</t>
  </si>
  <si>
    <t>https://p.scdn.co/mp3-preview/837f110fb96383f3a7665bc60436bd01dad6c276?cid=9950ac751e34487dbbe027c4fd7f8e99</t>
  </si>
  <si>
    <t>FRU520600001</t>
  </si>
  <si>
    <t>Ce matin-lÃ </t>
  </si>
  <si>
    <t>https://p.scdn.co/mp3-preview/0f7a69428e7db396ac12e5af91649f44016688fd?cid=9950ac751e34487dbbe027c4fd7f8e99</t>
  </si>
  <si>
    <t>FRS639700620</t>
  </si>
  <si>
    <t>https://p.scdn.co/mp3-preview/f8e9710113d3d37c9785c8ec925be1e4f4cdc2d9?cid=9950ac751e34487dbbe027c4fd7f8e99</t>
  </si>
  <si>
    <t>FRS639600055</t>
  </si>
  <si>
    <t>https://p.scdn.co/mp3-preview/273e5263a74eb3d8302bbef6684c0c02324df4e0?cid=9950ac751e34487dbbe027c4fd7f8e99</t>
  </si>
  <si>
    <t>FRS630100004</t>
  </si>
  <si>
    <t>https://p.scdn.co/mp3-preview/fb1ea05a902a52cb5d474c2af3498a1e651ced8f?cid=9950ac751e34487dbbe027c4fd7f8e99</t>
  </si>
  <si>
    <t>FRS630300096</t>
  </si>
  <si>
    <t>https://p.scdn.co/mp3-preview/01479f05782acdfd938a2a68b24e5d52efc6c795?cid=9950ac751e34487dbbe027c4fd7f8e99</t>
  </si>
  <si>
    <t>FR71S9900002</t>
  </si>
  <si>
    <t>https://p.scdn.co/mp3-preview/4852216c435bafc1e3cb3637f5196f2b37475fd4?cid=9950ac751e34487dbbe027c4fd7f8e99</t>
  </si>
  <si>
    <t>FRU052060006</t>
  </si>
  <si>
    <t>spotify:album:3Dy5c5GMKUEgJJnDu9CPV8</t>
  </si>
  <si>
    <t>https://i.scdn.co/image/ab67616d0000b273c4027cea1ac0a27a6801f3cf</t>
  </si>
  <si>
    <t>https://p.scdn.co/mp3-preview/5cd2d7a9fd3b4fefdfec39c8c89936418a06fb14?cid=9950ac751e34487dbbe027c4fd7f8e99</t>
  </si>
  <si>
    <t>GBCAD2400047</t>
  </si>
  <si>
    <t>https://p.scdn.co/mp3-preview/878aea4b199038c179f431fd4d982e348da2fa1c?cid=9950ac751e34487dbbe027c4fd7f8e99</t>
  </si>
  <si>
    <t>FRU520900003</t>
  </si>
  <si>
    <t>https://p.scdn.co/mp3-preview/09347d4c8a133d6272f999f3fec92fe0687b82be?cid=9950ac751e34487dbbe027c4fd7f8e99</t>
  </si>
  <si>
    <t>FRU521100011</t>
  </si>
  <si>
    <t>https://p.scdn.co/mp3-preview/ab13c85e468221ae57850687e6244d87b2e4eab2?cid=9950ac751e34487dbbe027c4fd7f8e99</t>
  </si>
  <si>
    <t>FR71S9900003</t>
  </si>
  <si>
    <t>spotify:artist:1P6U1dCeHxPui5pIrGmndZ, spotify:artist:7FhJOuJZMv6wYeYq7GXEeO</t>
  </si>
  <si>
    <t>Air, Brendan Lynch</t>
  </si>
  <si>
    <t>spotify:album:0gd1Kz805bE90tArDH3AEM</t>
  </si>
  <si>
    <t>https://i.scdn.co/image/ab67616d0000b273e918893dc520fc2f1d31ea8e</t>
  </si>
  <si>
    <t>https://p.scdn.co/mp3-preview/1dca21732d259f3560b52fa61909b11585faf151?cid=9950ac751e34487dbbe027c4fd7f8e99</t>
  </si>
  <si>
    <t>FRS639600050</t>
  </si>
  <si>
    <t>https://p.scdn.co/mp3-preview/05c89524c59ae5a26f3754adab9adbc7c5f3a603?cid=9950ac751e34487dbbe027c4fd7f8e99</t>
  </si>
  <si>
    <t>FRU520900002</t>
  </si>
  <si>
    <t>DÃ©collage</t>
  </si>
  <si>
    <t>https://p.scdn.co/mp3-preview/dfe41d563958c69bbeeb7d18ac04ed247bee0e7e?cid=9950ac751e34487dbbe027c4fd7f8e99</t>
  </si>
  <si>
    <t>FRU521100014</t>
  </si>
  <si>
    <t>https://p.scdn.co/mp3-preview/a52461d5e60050626daf47079ba8234a4299a9d0?cid=9950ac751e34487dbbe027c4fd7f8e99</t>
  </si>
  <si>
    <t>FR71S9900004</t>
  </si>
  <si>
    <t>https://p.scdn.co/mp3-preview/e8adf6cda529df387f31006e619fc183344d6a89?cid=9950ac751e34487dbbe027c4fd7f8e99</t>
  </si>
  <si>
    <t>FRU520600009</t>
  </si>
  <si>
    <t>https://p.scdn.co/mp3-preview/e9adaa49887a567ddc0c9cfbc80cad16efd29535?cid=9950ac751e34487dbbe027c4fd7f8e99</t>
  </si>
  <si>
    <t>FRS630100005</t>
  </si>
  <si>
    <t>spotify:artist:78YRbJhMi5kXKruiQGCJo7, spotify:artist:1P6U1dCeHxPui5pIrGmndZ</t>
  </si>
  <si>
    <t>Ã‰tienne de CrÃ©cy, Air</t>
  </si>
  <si>
    <t>spotify:album:7EjBZyVsoSJb8em5wevr47</t>
  </si>
  <si>
    <t>spotify:artist:78YRbJhMi5kXKruiQGCJo7</t>
  </si>
  <si>
    <t>Ã‰tienne de CrÃ©cy</t>
  </si>
  <si>
    <t>https://i.scdn.co/image/ab67616d0000b2733320199fa1b3204a1298afe8</t>
  </si>
  <si>
    <t>https://p.scdn.co/mp3-preview/64a7aa1d1f1ce73adecb585d3820ef3601fc5c60?cid=9950ac751e34487dbbe027c4fd7f8e99</t>
  </si>
  <si>
    <t>FRR909600009</t>
  </si>
  <si>
    <t>https://p.scdn.co/mp3-preview/57f724c66719e46908a14f30cb5c1141a295ea4f?cid=9950ac751e34487dbbe027c4fd7f8e99</t>
  </si>
  <si>
    <t>FR71S9900005</t>
  </si>
  <si>
    <t>https://p.scdn.co/mp3-preview/8c3c8b4443b6315d4265ea507985bc2ba4e70eb6?cid=9950ac751e34487dbbe027c4fd7f8e99</t>
  </si>
  <si>
    <t>FRU052060002</t>
  </si>
  <si>
    <t>https://p.scdn.co/mp3-preview/58b71e39ba9ab61c0fb32b6b2d09cabeace40dd7?cid=9950ac751e34487dbbe027c4fd7f8e99</t>
  </si>
  <si>
    <t>FRS630100001</t>
  </si>
  <si>
    <t>spotify:album:2HypdH9T0bK9YEq7ama4Iq</t>
  </si>
  <si>
    <t>https://i.scdn.co/image/ab67616d0000b2737fa5ac4d2de80d5d1a0308bc</t>
  </si>
  <si>
    <t>https://p.scdn.co/mp3-preview/dc4f0fbc2a326dbbefea730eecd0bd4156d5e7db?cid=9950ac751e34487dbbe027c4fd7f8e99</t>
  </si>
  <si>
    <t>FRZ110800291</t>
  </si>
  <si>
    <t>spotify:artist:1P6U1dCeHxPui5pIrGmndZ, spotify:artist:0iui2Be5CP8EWxvHYsVspL</t>
  </si>
  <si>
    <t>Air, Breakbot</t>
  </si>
  <si>
    <t>spotify:album:06eax0PBVVJ8dsqoJAbxzm</t>
  </si>
  <si>
    <t>https://i.scdn.co/image/ab67616d0000b273520389dc07ad2484e4933448</t>
  </si>
  <si>
    <t>https://p.scdn.co/mp3-preview/2bc762160643ee5642f75665c2c2ee5ea1f88e5e?cid=9950ac751e34487dbbe027c4fd7f8e99</t>
  </si>
  <si>
    <t>FRU520900037</t>
  </si>
  <si>
    <t>https://p.scdn.co/mp3-preview/9f708aef96bfc82e5b1557e0f134b263da2c816f?cid=9950ac751e34487dbbe027c4fd7f8e99</t>
  </si>
  <si>
    <t>FRU052060004</t>
  </si>
  <si>
    <t>https://p.scdn.co/mp3-preview/a49f36d4d89b8cfb4df6ff53034b15b3284c0ea6?cid=9950ac751e34487dbbe027c4fd7f8e99</t>
  </si>
  <si>
    <t>FRZ042400051</t>
  </si>
  <si>
    <t>https://p.scdn.co/mp3-preview/bcebced8b5a6600da1d1b934ccc148a256f7d8f5?cid=9950ac751e34487dbbe027c4fd7f8e99</t>
  </si>
  <si>
    <t>FRU520900014</t>
  </si>
  <si>
    <t>https://p.scdn.co/mp3-preview/ada91b5a5dae4a6115c5c79556ae2d4b3e1df5dc?cid=9950ac751e34487dbbe027c4fd7f8e99</t>
  </si>
  <si>
    <t>FRS630100010</t>
  </si>
  <si>
    <t>https://p.scdn.co/mp3-preview/10ce319de5a0ef09a592f53faa0cb431d6b43ac9?cid=9950ac751e34487dbbe027c4fd7f8e99</t>
  </si>
  <si>
    <t>FRZ042400055</t>
  </si>
  <si>
    <t>Au fond du rÃªve dorÃ©</t>
  </si>
  <si>
    <t>https://p.scdn.co/mp3-preview/fa3d0e4ad1b894a40541d07f5b1ef8177aee7a4a?cid=9950ac751e34487dbbe027c4fd7f8e99</t>
  </si>
  <si>
    <t>FRU520900018</t>
  </si>
  <si>
    <t>https://p.scdn.co/mp3-preview/6e4bab9fd10b6961365d0ef4ed0ef0df4cf05319?cid=9950ac751e34487dbbe027c4fd7f8e99</t>
  </si>
  <si>
    <t>FRS630100008</t>
  </si>
  <si>
    <t>https://p.scdn.co/mp3-preview/7d295b8bd41e35b03e7db06bd3830cf25dbf191f?cid=9950ac751e34487dbbe027c4fd7f8e99</t>
  </si>
  <si>
    <t>FRS639700600</t>
  </si>
  <si>
    <t>https://p.scdn.co/mp3-preview/baf4186b041b314392868b65fa9027826a11dce1?cid=9950ac751e34487dbbe027c4fd7f8e99</t>
  </si>
  <si>
    <t>FRS639700610</t>
  </si>
  <si>
    <t>https://p.scdn.co/mp3-preview/525a4ba3eb9a07fe93522920d6be67393f18f52c?cid=9950ac751e34487dbbe027c4fd7f8e99</t>
  </si>
  <si>
    <t>FRS639700630</t>
  </si>
  <si>
    <t>Le voyage de PÃ©nÃ©lope</t>
  </si>
  <si>
    <t>https://p.scdn.co/mp3-preview/e4e49558edc89c9c49a527db6a9ba760cbf9dee5?cid=9950ac751e34487dbbe027c4fd7f8e99</t>
  </si>
  <si>
    <t>FRS639700640</t>
  </si>
  <si>
    <t>spotify:artist:540vIaP2JwjQb9dm3aArA4, spotify:artist:1uNFoZAHBGtllmzznpCI3s</t>
  </si>
  <si>
    <t>DJ Snake, Justin Bieber</t>
  </si>
  <si>
    <t>spotify:album:02sEJTj1sye1JaqxqpcSCp</t>
  </si>
  <si>
    <t>spotify:artist:540vIaP2JwjQb9dm3aArA4</t>
  </si>
  <si>
    <t>https://i.scdn.co/image/ab67616d0000b273212d776c31027c511f0ee3bc</t>
  </si>
  <si>
    <t>https://p.scdn.co/mp3-preview/7864c6e844bdf1438c355017ecab0daceccb82f9?cid=9950ac751e34487dbbe027c4fd7f8e99</t>
  </si>
  <si>
    <t>QMZSY1600015</t>
  </si>
  <si>
    <t>spotify:artist:540vIaP2JwjQb9dm3aArA4, spotify:artist:0CjWKoS55T7DOt0HJuwF1H</t>
  </si>
  <si>
    <t>DJ Snake, Bipolar Sunshine</t>
  </si>
  <si>
    <t>https://p.scdn.co/mp3-preview/31f2092a01cba193ae0441cc85a93990af211cea?cid=9950ac751e34487dbbe027c4fd7f8e99</t>
  </si>
  <si>
    <t>USUM71515784</t>
  </si>
  <si>
    <t>spotify:artist:540vIaP2JwjQb9dm3aArA4, spotify:artist:7sfl4Xt5KmfyDs2T3SVSMK</t>
  </si>
  <si>
    <t>DJ Snake, Lil Jon</t>
  </si>
  <si>
    <t>spotify:album:3zo0Hxh9rjJsdw2JAKReE3</t>
  </si>
  <si>
    <t>https://i.scdn.co/image/ab67616d0000b273d905e78cad304de028db39b7</t>
  </si>
  <si>
    <t>https://p.scdn.co/mp3-preview/08cd21e303a7c9b0dc2d1beb2edb803882578980?cid=9950ac751e34487dbbe027c4fd7f8e99</t>
  </si>
  <si>
    <t>USSM11308174</t>
  </si>
  <si>
    <t>spotify:artist:540vIaP2JwjQb9dm3aArA4, spotify:artist:2VAnyOxzJuSAj7XIuEOT38</t>
  </si>
  <si>
    <t>DJ Snake, AlunaGeorge</t>
  </si>
  <si>
    <t>spotify:album:6mQGo1a9mXHNUSJYwXi9Wd</t>
  </si>
  <si>
    <t>https://i.scdn.co/image/ab67616d0000b273567a71695181017949f14f99</t>
  </si>
  <si>
    <t>https://p.scdn.co/mp3-preview/2bb86fdf96a345fd24d4f88726bb05af534ea611?cid=9950ac751e34487dbbe027c4fd7f8e99</t>
  </si>
  <si>
    <t>USUM71414293</t>
  </si>
  <si>
    <t>spotify:artist:540vIaP2JwjQb9dm3aArA4, spotify:artist:1i8SpTcr7yvPOmcqrbnVXY, spotify:artist:181bsRPaVXVlUKXrxwZfHK, spotify:artist:5L1lO4eRHmJ7a0Q6csE5cT</t>
  </si>
  <si>
    <t>DJ Snake, Ozuna, Megan Thee Stallion, LISA</t>
  </si>
  <si>
    <t>spotify:album:2TGtXG18s21Q1jnY2TC39M</t>
  </si>
  <si>
    <t>spotify:artist:540vIaP2JwjQb9dm3aArA4, spotify:artist:1i8SpTcr7yvPOmcqrbnVXY, spotify:artist:5L1lO4eRHmJ7a0Q6csE5cT</t>
  </si>
  <si>
    <t>DJ Snake, Ozuna, LISA</t>
  </si>
  <si>
    <t>https://i.scdn.co/image/ab67616d0000b27354d075797911e02360beb3e7</t>
  </si>
  <si>
    <t>https://p.scdn.co/mp3-preview/18b9293818ac4eb1b2777c5a11b946c3652cf2e7?cid=9950ac751e34487dbbe027c4fd7f8e99</t>
  </si>
  <si>
    <t>USUG12103119</t>
  </si>
  <si>
    <t>spotify:artist:540vIaP2JwjQb9dm3aArA4, spotify:artist:1vyhD5VmyZ7KMfW5gqLgo5, spotify:artist:5LHRHt1k9lMyONurDHEdrp</t>
  </si>
  <si>
    <t>DJ Snake, J Balvin, Tyga</t>
  </si>
  <si>
    <t>spotify:album:2MFS6WG6jnPAgvJpV3PehR</t>
  </si>
  <si>
    <t>https://i.scdn.co/image/ab67616d0000b273caf82abb2338880577e472be</t>
  </si>
  <si>
    <t>https://p.scdn.co/mp3-preview/6a03818002be4bc969e04866f225d752b8b8425d?cid=9950ac751e34487dbbe027c4fd7f8e99</t>
  </si>
  <si>
    <t>USUG11901580</t>
  </si>
  <si>
    <t>spotify:artist:540vIaP2JwjQb9dm3aArA4, spotify:artist:0C8ZW7ezQVs4URX5aX7Kqx, spotify:artist:1i8SpTcr7yvPOmcqrbnVXY, spotify:artist:4kYSro6naA4h99UJvo89HB</t>
  </si>
  <si>
    <t>DJ Snake, Selena Gomez, Ozuna, Cardi B</t>
  </si>
  <si>
    <t>spotify:album:0ZHyvPke0EcVt6rYA8Ins3</t>
  </si>
  <si>
    <t>spotify:artist:540vIaP2JwjQb9dm3aArA4, spotify:artist:0C8ZW7ezQVs4URX5aX7Kqx, spotify:artist:1i8SpTcr7yvPOmcqrbnVXY</t>
  </si>
  <si>
    <t>DJ Snake, Selena Gomez, Ozuna</t>
  </si>
  <si>
    <t>https://i.scdn.co/image/ab67616d0000b273e105c410a7b390c61a58cbf8</t>
  </si>
  <si>
    <t>https://p.scdn.co/mp3-preview/6190a87093c20c31166db12ac04476b471f18fe4?cid=9950ac751e34487dbbe027c4fd7f8e99</t>
  </si>
  <si>
    <t>USUG11801723</t>
  </si>
  <si>
    <t>https://p.scdn.co/mp3-preview/13a14c588e6d633e59a2980c85864040f7caaa57?cid=9950ac751e34487dbbe027c4fd7f8e99</t>
  </si>
  <si>
    <t>USUG11800073</t>
  </si>
  <si>
    <t>spotify:artist:540vIaP2JwjQb9dm3aArA4, spotify:artist:5JZ7CnR6gTvEMKX4g70Amv</t>
  </si>
  <si>
    <t>DJ Snake, Lauv</t>
  </si>
  <si>
    <t>spotify:album:4PSoaA9rxBDYfrROdI17b9</t>
  </si>
  <si>
    <t>https://i.scdn.co/image/ab67616d0000b273e20f77b7164a7f7ae5e0f8fb</t>
  </si>
  <si>
    <t>https://p.scdn.co/mp3-preview/b892bbcc72180ecf923e2967e646596d7673ff73?cid=9950ac751e34487dbbe027c4fd7f8e99</t>
  </si>
  <si>
    <t>USUG11701418</t>
  </si>
  <si>
    <t>spotify:album:6cP9GcUgYRa6C1immLRpm8</t>
  </si>
  <si>
    <t>https://i.scdn.co/image/ab67616d0000b27315bd045bc6f9d2884d20a46d</t>
  </si>
  <si>
    <t>https://p.scdn.co/mp3-preview/62cea657b1834b763e3718a3ba9046fcbd831c63?cid=9950ac751e34487dbbe027c4fd7f8e99</t>
  </si>
  <si>
    <t>USUG12201231</t>
  </si>
  <si>
    <t>Lean On (feat. MÃ˜ &amp; DJ Snake)</t>
  </si>
  <si>
    <t>spotify:artist:738wLrAtLtCtFOLvQBXOXp, spotify:artist:0bdfiayQAKewqEvaU6rXCv, spotify:artist:540vIaP2JwjQb9dm3aArA4</t>
  </si>
  <si>
    <t>Major Lazer, MÃ˜, DJ Snake</t>
  </si>
  <si>
    <t>spotify:album:2U0b5MfkMUgzdvRUI69mya</t>
  </si>
  <si>
    <t>spotify:artist:738wLrAtLtCtFOLvQBXOXp</t>
  </si>
  <si>
    <t>Major Lazer</t>
  </si>
  <si>
    <t>https://i.scdn.co/image/ab67616d0000b273ed17a14e09145f2986a42726</t>
  </si>
  <si>
    <t>https://p.scdn.co/mp3-preview/a75157c4074ceab19a6b724128fd436cf701b03b?cid=9950ac751e34487dbbe027c4fd7f8e99</t>
  </si>
  <si>
    <t>QMUY41500008</t>
  </si>
  <si>
    <t>spotify:artist:540vIaP2JwjQb9dm3aArA4, spotify:artist:1zV9UjTUevjp5VUddqIUUn</t>
  </si>
  <si>
    <t>DJ Snake, Mr Hudson</t>
  </si>
  <si>
    <t>https://p.scdn.co/mp3-preview/d73d32aecc09538dfbd1400cb7a1f6650f5c7963?cid=9950ac751e34487dbbe027c4fd7f8e99</t>
  </si>
  <si>
    <t>QMZSY1600025</t>
  </si>
  <si>
    <t>https://p.scdn.co/mp3-preview/16d4bd62e098c728c9a78d56f133cd801cd37441?cid=9950ac751e34487dbbe027c4fd7f8e99</t>
  </si>
  <si>
    <t>QMZSY1500001</t>
  </si>
  <si>
    <t>https://p.scdn.co/mp3-preview/0de874f11423dd9c6f0cfd19bf7aa3a20809d831?cid=9950ac751e34487dbbe027c4fd7f8e99</t>
  </si>
  <si>
    <t>USUG11802029</t>
  </si>
  <si>
    <t>spotify:album:0LMzMzG385642dtYwsVLkq</t>
  </si>
  <si>
    <t>https://i.scdn.co/image/ab67616d0000b273facc0e1669e12f4189589498</t>
  </si>
  <si>
    <t>https://p.scdn.co/mp3-preview/c1e93a015fc1aa92bb12998338b9a48f61de4009?cid=9950ac751e34487dbbe027c4fd7f8e99</t>
  </si>
  <si>
    <t>USUG12103122</t>
  </si>
  <si>
    <t>spotify:album:3wRs5NGdWArDIHoUw9UNMJ</t>
  </si>
  <si>
    <t>https://i.scdn.co/image/ab67616d0000b273df50767381e36b3c173b0375</t>
  </si>
  <si>
    <t>https://p.scdn.co/mp3-preview/c00f6fd2313604d60eaa9b5af414067c9d02b9c1?cid=9950ac751e34487dbbe027c4fd7f8e99</t>
  </si>
  <si>
    <t>USUG12002197</t>
  </si>
  <si>
    <t>spotify:artist:5R3Hr2cnCCjt220Jmt2xLf, spotify:artist:540vIaP2JwjQb9dm3aArA4</t>
  </si>
  <si>
    <t>Dillon Francis, DJ Snake</t>
  </si>
  <si>
    <t>spotify:album:0GJ7jQJRIQNDjz54cPo2XI</t>
  </si>
  <si>
    <t>spotify:artist:5R3Hr2cnCCjt220Jmt2xLf</t>
  </si>
  <si>
    <t>Dillon Francis</t>
  </si>
  <si>
    <t>https://i.scdn.co/image/ab67616d0000b273483536d7340f3b68c19b637c</t>
  </si>
  <si>
    <t>https://p.scdn.co/mp3-preview/4c7c73f8f4a2d8b50f42503562609bba7158b552?cid=9950ac751e34487dbbe027c4fd7f8e99</t>
  </si>
  <si>
    <t>USSM11403232</t>
  </si>
  <si>
    <t>spotify:artist:540vIaP2JwjQb9dm3aArA4, spotify:artist:0C8ZW7ezQVs4URX5aX7Kqx</t>
  </si>
  <si>
    <t>DJ Snake, Selena Gomez</t>
  </si>
  <si>
    <t>spotify:album:0WvtxtkwXaFDLrmOl9mXDQ</t>
  </si>
  <si>
    <t>https://i.scdn.co/image/ab67616d0000b2730a4a6bb7959ab3a38ff60324</t>
  </si>
  <si>
    <t>https://p.scdn.co/mp3-preview/fc6a7e162b4b86e0416d1d0e5071802f54ed777c?cid=9950ac751e34487dbbe027c4fd7f8e99</t>
  </si>
  <si>
    <t>USUG12100197</t>
  </si>
  <si>
    <t>spotify:artist:540vIaP2JwjQb9dm3aArA4, spotify:artist:5he5w2lnU9x7JFhnwcekXX</t>
  </si>
  <si>
    <t>DJ Snake, Skrillex</t>
  </si>
  <si>
    <t>https://p.scdn.co/mp3-preview/1dc58fc394a30bbe4227779047ef3927306a173d?cid=9950ac751e34487dbbe027c4fd7f8e99</t>
  </si>
  <si>
    <t>QMZSY1600018</t>
  </si>
  <si>
    <t>spotify:artist:540vIaP2JwjQb9dm3aArA4, spotify:artist:3wcj11K77LjEY1PkEazffa</t>
  </si>
  <si>
    <t>DJ Snake, Burna Boy</t>
  </si>
  <si>
    <t>https://p.scdn.co/mp3-preview/4ce65d46ffc13b902b01f43880ba8193e689f597?cid=9950ac751e34487dbbe027c4fd7f8e99</t>
  </si>
  <si>
    <t>USUG11902394</t>
  </si>
  <si>
    <t>https://p.scdn.co/mp3-preview/934835f81bd23323e9df0157a69848aa33e96e88?cid=9950ac751e34487dbbe027c4fd7f8e99</t>
  </si>
  <si>
    <t>USUG11900526</t>
  </si>
  <si>
    <t>https://p.scdn.co/mp3-preview/71997a15034302d9e3afdb630f19c7acaba3ac9f?cid=9950ac751e34487dbbe027c4fd7f8e99</t>
  </si>
  <si>
    <t>USUG11902389</t>
  </si>
  <si>
    <t>spotify:artist:540vIaP2JwjQb9dm3aArA4, spotify:artist:47z7ZrgFoBvVpCnElCE3Zh</t>
  </si>
  <si>
    <t>DJ Snake, Yellow Claw</t>
  </si>
  <si>
    <t>https://p.scdn.co/mp3-preview/f55924888fec7a96d526ac7d184264e0c3a6e85b?cid=9950ac751e34487dbbe027c4fd7f8e99</t>
  </si>
  <si>
    <t>QMZSY1600026</t>
  </si>
  <si>
    <t>spotify:artist:540vIaP2JwjQb9dm3aArA4, spotify:artist:0ycHhPwPvoaO4VGzmMnXGq</t>
  </si>
  <si>
    <t>DJ Snake, Zomboy</t>
  </si>
  <si>
    <t>https://p.scdn.co/mp3-preview/ef7c86379978b525d83c938d6740bb05ca21a9ac?cid=9950ac751e34487dbbe027c4fd7f8e99</t>
  </si>
  <si>
    <t>USUG11902396</t>
  </si>
  <si>
    <t>spotify:artist:540vIaP2JwjQb9dm3aArA4, spotify:artist:1KpCi9BOfviCVhmpI4G2sY, spotify:artist:7w1eTNePApzDk8XtgykCPS, spotify:artist:7aSsnDTH11xS2yIn6cNtsF</t>
  </si>
  <si>
    <t>DJ Snake, Tchami, Malaa, Mercer</t>
  </si>
  <si>
    <t>https://p.scdn.co/mp3-preview/a1dd3685de66c70139ef0fcde76865752315b350?cid=9950ac751e34487dbbe027c4fd7f8e99</t>
  </si>
  <si>
    <t>USUG11902392</t>
  </si>
  <si>
    <t>spotify:artist:540vIaP2JwjQb9dm3aArA4, spotify:artist:0JOxt5QOwq0czoJxvSc5hS</t>
  </si>
  <si>
    <t>DJ Snake, GASHI</t>
  </si>
  <si>
    <t>https://p.scdn.co/mp3-preview/1843d44fac498ea909fe560ba4864e80e9a5a7c6?cid=9950ac751e34487dbbe027c4fd7f8e99</t>
  </si>
  <si>
    <t>USUG11902395</t>
  </si>
  <si>
    <t>spotify:artist:540vIaP2JwjQb9dm3aArA4, spotify:artist:5jm3x1qIibWdKSEMw2G011</t>
  </si>
  <si>
    <t>DJ Snake, Moksi</t>
  </si>
  <si>
    <t>https://p.scdn.co/mp3-preview/546b282d816f24fabd5870c1ca031816ab9070a8?cid=9950ac751e34487dbbe027c4fd7f8e99</t>
  </si>
  <si>
    <t>QMZSY1600014</t>
  </si>
  <si>
    <t>spotify:artist:540vIaP2JwjQb9dm3aArA4, spotify:artist:3Isy6kedDrgPYoTS1dazA9, spotify:artist:7FNnA9vBm6EKceENgCGRMb, spotify:artist:0GM7qgcRCORpGnfcN2tCiB</t>
  </si>
  <si>
    <t>DJ Snake, Sean Paul, Anitta, Tainy</t>
  </si>
  <si>
    <t>https://p.scdn.co/mp3-preview/8ece31464bea3254a4ffd6ec0588130d59a3aaaa?cid=9950ac751e34487dbbe027c4fd7f8e99</t>
  </si>
  <si>
    <t>USUG11902391</t>
  </si>
  <si>
    <t>spotify:artist:540vIaP2JwjQb9dm3aArA4, spotify:artist:19m3oZKjGSLzVW0OGIAcNg</t>
  </si>
  <si>
    <t>DJ Snake, George Maple</t>
  </si>
  <si>
    <t>https://p.scdn.co/mp3-preview/e1a30d3471b83313625246fc54e4d7ea8901d767?cid=9950ac751e34487dbbe027c4fd7f8e99</t>
  </si>
  <si>
    <t>QMZSY1600003</t>
  </si>
  <si>
    <t>spotify:artist:540vIaP2JwjQb9dm3aArA4, spotify:artist:3KV3p5EY4AvKxOlhGHORLg, spotify:artist:50co4Is1HCEo8bhOyUWKpn, spotify:artist:2cADQgiLMjNhbsfeN52Bf3</t>
  </si>
  <si>
    <t>DJ Snake, Jeremih, Young Thug, Swizz Beatz</t>
  </si>
  <si>
    <t>https://p.scdn.co/mp3-preview/3e06c15b3579e89425356bc826a3b886825a54fb?cid=9950ac751e34487dbbe027c4fd7f8e99</t>
  </si>
  <si>
    <t>QMZSY1600021</t>
  </si>
  <si>
    <t>spotify:album:2MJamyp1d9MRa3xbtaxAGd</t>
  </si>
  <si>
    <t>https://i.scdn.co/image/ab67616d0000b27352bcdd2a2c9bfa7970e8cb60</t>
  </si>
  <si>
    <t>https://p.scdn.co/mp3-preview/f82bafdea0163853ff93e8c526697ca93b41c894?cid=9950ac751e34487dbbe027c4fd7f8e99</t>
  </si>
  <si>
    <t>USUG11902390</t>
  </si>
  <si>
    <t>spotify:artist:540vIaP2JwjQb9dm3aArA4, spotify:artist:5V9hwHev8mPXMe66QmyKJp</t>
  </si>
  <si>
    <t>DJ Snake, Plastic Toy</t>
  </si>
  <si>
    <t>https://p.scdn.co/mp3-preview/212e42b5ed5cb8d921123fbe01a27b18739b95e9?cid=9950ac751e34487dbbe027c4fd7f8e99</t>
  </si>
  <si>
    <t>NLRD51859911</t>
  </si>
  <si>
    <t>spotify:artist:5ttgIeUVka6FLyi00Uu5h8, spotify:artist:540vIaP2JwjQb9dm3aArA4</t>
  </si>
  <si>
    <t>Jauz, DJ Snake</t>
  </si>
  <si>
    <t>spotify:album:7clgmM9ZocowFZof63wWP0</t>
  </si>
  <si>
    <t>https://i.scdn.co/image/ab67616d0000b27384af9f0b22f63203ba935645</t>
  </si>
  <si>
    <t>https://p.scdn.co/mp3-preview/87422749f7aca19e295d770ae992d3a516d626e2?cid=9950ac751e34487dbbe027c4fd7f8e99</t>
  </si>
  <si>
    <t>QM24S1806883</t>
  </si>
  <si>
    <t>spotify:artist:540vIaP2JwjQb9dm3aArA4, spotify:artist:28j8lBWDdDSHSSt5oPlsX2</t>
  </si>
  <si>
    <t>DJ Snake, ZHU</t>
  </si>
  <si>
    <t>https://p.scdn.co/mp3-preview/dda5243a958f8849bb36e58d01f95afc28fc176d?cid=9950ac751e34487dbbe027c4fd7f8e99</t>
  </si>
  <si>
    <t>USUG11902393</t>
  </si>
  <si>
    <t>spotify:artist:540vIaP2JwjQb9dm3aArA4, spotify:artist:7aSsnDTH11xS2yIn6cNtsF</t>
  </si>
  <si>
    <t>DJ Snake, Mercer</t>
  </si>
  <si>
    <t>spotify:album:2jSTVpJhMgcgMAIydKSQBG</t>
  </si>
  <si>
    <t>https://i.scdn.co/image/ab67616d0000b273b0beabe2251b03892cafe930</t>
  </si>
  <si>
    <t>https://p.scdn.co/mp3-preview/685e4fbb568e8c1059124a78d41aa8924aa385c4?cid=9950ac751e34487dbbe027c4fd7f8e99</t>
  </si>
  <si>
    <t>USUG11801102</t>
  </si>
  <si>
    <t>spotify:artist:540vIaP2JwjQb9dm3aArA4, spotify:artist:7w1eTNePApzDk8XtgykCPS</t>
  </si>
  <si>
    <t>DJ Snake, Malaa</t>
  </si>
  <si>
    <t>spotify:album:0hEbycKgvdwFSUZFWocFcm</t>
  </si>
  <si>
    <t>https://i.scdn.co/image/ab67616d0000b273939f04e7e85bd746aabc2542</t>
  </si>
  <si>
    <t>https://p.scdn.co/mp3-preview/37fcbeaaeba298e66d72e9b50e37d51b21f1690a?cid=9950ac751e34487dbbe027c4fd7f8e99</t>
  </si>
  <si>
    <t>USUG12103123</t>
  </si>
  <si>
    <t>spotify:artist:540vIaP2JwjQb9dm3aArA4, spotify:artist:4dvZ0abeUaiHm7Fu9Gj0PQ</t>
  </si>
  <si>
    <t>DJ Snake, Eptic</t>
  </si>
  <si>
    <t>https://p.scdn.co/mp3-preview/3a4142ab13012728b0f30a70c4290530785913ef?cid=9950ac751e34487dbbe027c4fd7f8e99</t>
  </si>
  <si>
    <t>USUG11900778</t>
  </si>
  <si>
    <t>https://p.scdn.co/mp3-preview/2915a803df3e53a3142d95f355ce73603fffb5b8?cid=9950ac751e34487dbbe027c4fd7f8e99</t>
  </si>
  <si>
    <t>QMZSY1600019</t>
  </si>
  <si>
    <t>spotify:artist:540vIaP2JwjQb9dm3aArA4, spotify:artist:6r514fXAl2fe5cHF6HKOHW</t>
  </si>
  <si>
    <t>DJ Snake, JRY</t>
  </si>
  <si>
    <t>https://p.scdn.co/mp3-preview/7d3139999898bab656306cf273567e0dbb69bef8?cid=9950ac751e34487dbbe027c4fd7f8e99</t>
  </si>
  <si>
    <t>QMZSY1600002</t>
  </si>
  <si>
    <t>spotify:artist:07ZhipyrvoyNoJejeyM0PQ, spotify:artist:540vIaP2JwjQb9dm3aArA4</t>
  </si>
  <si>
    <t>Higher Brothers, DJ Snake</t>
  </si>
  <si>
    <t>spotify:album:7i4rI30ADUcyKCEYTnCZYO</t>
  </si>
  <si>
    <t>https://i.scdn.co/image/ab67616d0000b273ff9473857030e801a4f49f4b</t>
  </si>
  <si>
    <t>https://p.scdn.co/mp3-preview/be2a1d304df6da0d0e7d13e6bc427aa742ee8485?cid=9950ac751e34487dbbe027c4fd7f8e99</t>
  </si>
  <si>
    <t>USUG11800647</t>
  </si>
  <si>
    <t>https://p.scdn.co/mp3-preview/bc58bffd471df9e0dcd9a9bb484f10a342da6906?cid=9950ac751e34487dbbe027c4fd7f8e99</t>
  </si>
  <si>
    <t>QMZSY1600013</t>
  </si>
  <si>
    <t>spotify:artist:0JOxt5QOwq0czoJxvSc5hS, spotify:artist:6vXTefBL93Dj5IqAWq6OTv, spotify:artist:540vIaP2JwjQb9dm3aArA4</t>
  </si>
  <si>
    <t>GASHI, French Montana, DJ Snake</t>
  </si>
  <si>
    <t>spotify:album:2NK3KTJzSc3zW8DUwcW9Uq</t>
  </si>
  <si>
    <t>https://i.scdn.co/image/ab67616d0000b2736efc266bad5eb6bbc0358189</t>
  </si>
  <si>
    <t>https://p.scdn.co/mp3-preview/c56be03bc634d7527ca088da365b897e222c256c?cid=9950ac751e34487dbbe027c4fd7f8e99</t>
  </si>
  <si>
    <t>USRC11803059</t>
  </si>
  <si>
    <t>spotify:artist:540vIaP2JwjQb9dm3aArA4, spotify:artist:0Y5tJX1MQlPlqiwlOH1tJY, spotify:artist:6oMuImdp5ZcFhWP0ESe6mG, spotify:artist:0JOxt5QOwq0czoJxvSc5hS</t>
  </si>
  <si>
    <t>DJ Snake, Travis Scott, Migos, GASHI</t>
  </si>
  <si>
    <t>https://p.scdn.co/mp3-preview/fa128e5c680176a3774921fc62883ae802007162?cid=9950ac751e34487dbbe027c4fd7f8e99</t>
  </si>
  <si>
    <t>QMZSY1600023</t>
  </si>
  <si>
    <t>spotify:album:4mK8tKlBVJWq7ihVmhm1h5</t>
  </si>
  <si>
    <t>https://i.scdn.co/image/ab67616d0000b2739bb677bf08da7735b60a0bd6</t>
  </si>
  <si>
    <t>https://p.scdn.co/mp3-preview/ca0f06a76fd70ef902da11eabdb4b2d159e3f188?cid=9950ac751e34487dbbe027c4fd7f8e99</t>
  </si>
  <si>
    <t>USUG12002202</t>
  </si>
  <si>
    <t>spotify:artist:540vIaP2JwjQb9dm3aArA4, spotify:artist:4HzKw8XcD0piJmDrrPRCYk</t>
  </si>
  <si>
    <t>DJ Snake, Majid Jordan</t>
  </si>
  <si>
    <t>https://p.scdn.co/mp3-preview/1f40e6310eef8aeb30c987e1ee9fb1838d79e927?cid=9950ac751e34487dbbe027c4fd7f8e99</t>
  </si>
  <si>
    <t>USUG11902397</t>
  </si>
  <si>
    <t>spotify:artist:540vIaP2JwjQb9dm3aArA4, spotify:artist:1sBkRIssrMs1AbVkOJbc7a, spotify:artist:2IDLDx25HU1nQMKde4n61a</t>
  </si>
  <si>
    <t>DJ Snake, Rick Ross, Rich Brian</t>
  </si>
  <si>
    <t>spotify:album:1FV8d1q44uSeqkGK7fNh3D</t>
  </si>
  <si>
    <t>https://i.scdn.co/image/ab67616d0000b273077d7f12206ef646ad10ceac</t>
  </si>
  <si>
    <t>https://p.scdn.co/mp3-preview/4d2f75377afb40632007e3872ae1cf9e26b45863?cid=9950ac751e34487dbbe027c4fd7f8e99</t>
  </si>
  <si>
    <t>USUM72113051</t>
  </si>
  <si>
    <t>spotify:artist:540vIaP2JwjQb9dm3aArA4, spotify:artist:77YvCBWe0tTLygpgSJsdOH, spotify:artist:7rVV9d6vc4FLT752uRuk71, spotify:artist:5FVBduYaeVBb6JIghza7v6</t>
  </si>
  <si>
    <t>DJ Snake, Dhee, Arivu, Santhosh Narayanan</t>
  </si>
  <si>
    <t>spotify:album:340wvzkkhWbH7wllc3UDLM</t>
  </si>
  <si>
    <t>spotify:artist:540vIaP2JwjQb9dm3aArA4, spotify:artist:77YvCBWe0tTLygpgSJsdOH</t>
  </si>
  <si>
    <t>DJ Snake, Dhee</t>
  </si>
  <si>
    <t>https://i.scdn.co/image/ab67616d0000b273bc404153ef5f169a39b1deaf</t>
  </si>
  <si>
    <t>https://p.scdn.co/mp3-preview/d71093a6983970d3d6cbb21cd1f57fe2622b5425?cid=9950ac751e34487dbbe027c4fd7f8e99</t>
  </si>
  <si>
    <t>USUG12102738</t>
  </si>
  <si>
    <t>spotify:artist:540vIaP2JwjQb9dm3aArA4, spotify:artist:2RDOrhPqAM4jzTRCEb19qX, spotify:artist:4DdkRBBYG6Yk9Ka8tdJ9BW, spotify:artist:1URnnhqYAYcrqrcwql10ft, spotify:artist:13y7CgLHjMVRMDqxdx0Xdo</t>
  </si>
  <si>
    <t>DJ Snake, Sheck Wes, Offset, 21 Savage, Gucci Mane</t>
  </si>
  <si>
    <t>https://p.scdn.co/mp3-preview/464e9ab876be8f7177c77dfadc11d46e12d41197?cid=9950ac751e34487dbbe027c4fd7f8e99</t>
  </si>
  <si>
    <t>USUG11900835</t>
  </si>
  <si>
    <t>https://p.scdn.co/mp3-preview/5b60008beea0030579578da411261d28e0017fb7?cid=9950ac751e34487dbbe027c4fd7f8e99</t>
  </si>
  <si>
    <t>QMZSY1600017</t>
  </si>
  <si>
    <t>spotify:artist:540vIaP2JwjQb9dm3aArA4, spotify:artist:1RyvyyTE3xzB2ZywiAwp0i</t>
  </si>
  <si>
    <t>DJ Snake, Future</t>
  </si>
  <si>
    <t>spotify:album:3fG4IID2LEPJ7iBSsnVvuG</t>
  </si>
  <si>
    <t>https://i.scdn.co/image/ab67616d0000b2730e35fb1dd1d8c8bf82086e0e</t>
  </si>
  <si>
    <t>https://p.scdn.co/mp3-preview/0e8c8b97276f7f97e6e00e54c0b55db4169e5b45?cid=9950ac751e34487dbbe027c4fd7f8e99</t>
  </si>
  <si>
    <t>USUG12103124</t>
  </si>
  <si>
    <t>spotify:artist:0Wwji82sLA0Hcvtuak3omb, spotify:artist:540vIaP2JwjQb9dm3aArA4</t>
  </si>
  <si>
    <t>AUDREY NUNA, DJ Snake</t>
  </si>
  <si>
    <t>spotify:album:18H6Ws2enejwSpuhX3S6K4</t>
  </si>
  <si>
    <t>https://i.scdn.co/image/ab67616d0000b27301de510189afa644772000d0</t>
  </si>
  <si>
    <t>https://p.scdn.co/mp3-preview/9f4f85b4c98cffdfb4b0032cb9b7ceb6e91a9802?cid=9950ac751e34487dbbe027c4fd7f8e99</t>
  </si>
  <si>
    <t>USQX92004418</t>
  </si>
  <si>
    <t>spotify:artist:6wMnkPepu5AcV3w9rtIw09, spotify:artist:540vIaP2JwjQb9dm3aArA4, spotify:artist:47z7ZrgFoBvVpCnElCE3Zh</t>
  </si>
  <si>
    <t>Spanker, DJ Snake, Yellow Claw</t>
  </si>
  <si>
    <t>spotify:album:414ovELKpZtIZMlZTp39ce</t>
  </si>
  <si>
    <t>spotify:artist:47z7ZrgFoBvVpCnElCE3Zh</t>
  </si>
  <si>
    <t>Yellow Claw</t>
  </si>
  <si>
    <t>https://i.scdn.co/image/ab67616d0000b273e61ee9e9088e6a236fe0c7fb</t>
  </si>
  <si>
    <t>https://p.scdn.co/mp3-preview/37d6ac5a8e7f54ad8ee9fafab88c29426f6db5bb?cid=9950ac751e34487dbbe027c4fd7f8e99</t>
  </si>
  <si>
    <t>USZ4V1300274</t>
  </si>
  <si>
    <t>spotify:artist:540vIaP2JwjQb9dm3aArA4, spotify:artist:2EMAnMvWE2eb56ToJVfCWs</t>
  </si>
  <si>
    <t>DJ Snake, Bryson Tiller</t>
  </si>
  <si>
    <t>https://p.scdn.co/mp3-preview/e292e4dd0bb5baad8439be9a6a84a58403f8eb35?cid=9950ac751e34487dbbe027c4fd7f8e99</t>
  </si>
  <si>
    <t>USUG11902398</t>
  </si>
  <si>
    <t>spotify:artist:540vIaP2JwjQb9dm3aArA4, spotify:artist:5MEHQvTW53C0ccsuxdZobQ</t>
  </si>
  <si>
    <t>DJ Snake, Niniola</t>
  </si>
  <si>
    <t>spotify:album:2tWgNOU6kAGkJMh1eSR18D</t>
  </si>
  <si>
    <t>https://i.scdn.co/image/ab67616d0000b273d14cb851fc757db0f6d7132d</t>
  </si>
  <si>
    <t>https://p.scdn.co/mp3-preview/3badeb5593ea9336cd66586fe6e1feaf201e00da?cid=9950ac751e34487dbbe027c4fd7f8e99</t>
  </si>
  <si>
    <t>USUG11801254</t>
  </si>
  <si>
    <t>spotify:artist:7CajNmpbOovFoOoasH2HaY, spotify:artist:5EehXjjMktLuJmbRsM7YfB, spotify:artist:540vIaP2JwjQb9dm3aArA4</t>
  </si>
  <si>
    <t>Calvin Harris, Disciples, DJ Snake</t>
  </si>
  <si>
    <t>spotify:album:1cw6QYNgIoZ4vEPD2lqVYk</t>
  </si>
  <si>
    <t>spotify:artist:7CajNmpbOovFoOoasH2HaY, spotify:artist:5EehXjjMktLuJmbRsM7YfB</t>
  </si>
  <si>
    <t>Calvin Harris, Disciples</t>
  </si>
  <si>
    <t>https://i.scdn.co/image/ab67616d0000b27311d58294e8d2f26343e9bfa6</t>
  </si>
  <si>
    <t>https://p.scdn.co/mp3-preview/c81e5c336ac5b7846f759843f0652aae51b70344?cid=9950ac751e34487dbbe027c4fd7f8e99</t>
  </si>
  <si>
    <t>GBARL1501287</t>
  </si>
  <si>
    <t>spotify:artist:3kvnhwUU4VSXQqr2r9j6OO, spotify:artist:24zj84GShUIcBQYq6VpOYW, spotify:artist:540vIaP2JwjQb9dm3aArA4</t>
  </si>
  <si>
    <t>YehMe2, Duke Deuce, DJ Snake</t>
  </si>
  <si>
    <t>spotify:album:2bw7vBbFofWHpK4nhGbTqu</t>
  </si>
  <si>
    <t>https://i.scdn.co/image/ab67616d0000b2737358052d5f99d43a5f59e317</t>
  </si>
  <si>
    <t>https://p.scdn.co/mp3-preview/8b91a76d61894d7d9766b32425807fbf2d171c15?cid=9950ac751e34487dbbe027c4fd7f8e99</t>
  </si>
  <si>
    <t>USUS12100509</t>
  </si>
  <si>
    <t>spotify:album:2UC5oSrZ3ASHfCBUAmp6jy</t>
  </si>
  <si>
    <t>https://i.scdn.co/image/ab67616d0000b2735ae02cbd541d87ddb656ddf6</t>
  </si>
  <si>
    <t>spotify:album:3HXHo0qkSUO4M9p6PEnA01</t>
  </si>
  <si>
    <t>https://i.scdn.co/image/ab67616d0000b273e664d3020cc29bfa931ba42b</t>
  </si>
  <si>
    <t>spotify:artist:3aKPf4WEFF55z0arm3D3Xl</t>
  </si>
  <si>
    <t>spotify:album:2RzRdFBoHnDEBaVFDNqnDP</t>
  </si>
  <si>
    <t>https://i.scdn.co/image/ab67616d0000b273c75e08b09b59ab4e524ba1f0</t>
  </si>
  <si>
    <t>https://p.scdn.co/mp3-preview/4b3545cf07a6a19d8b6e385f8378199eb0af4a2a?cid=9950ac751e34487dbbe027c4fd7f8e99</t>
  </si>
  <si>
    <t>QZWFP2488552</t>
  </si>
  <si>
    <t>spotify:album:4cTuVCIMuFx9S57noY3L6J</t>
  </si>
  <si>
    <t>https://i.scdn.co/image/ab67616d0000b273755cf285aead19a0116f50f4</t>
  </si>
  <si>
    <t>https://p.scdn.co/mp3-preview/09a987e5230ae91651be3d867559f5b7cb2849c7?cid=9950ac751e34487dbbe027c4fd7f8e99</t>
  </si>
  <si>
    <t>QZNWT2479889</t>
  </si>
  <si>
    <t>spotify:artist:3aKPf4WEFF55z0arm3D3Xl, spotify:artist:56sWQtIu10oynRysFOQXKf</t>
  </si>
  <si>
    <t>Shara Rose, Roy-Al</t>
  </si>
  <si>
    <t>spotify:album:0EyEhywX9T3pVd9Mf9zun1</t>
  </si>
  <si>
    <t>https://i.scdn.co/image/ab67616d0000b2731e33c70a1ced2cb89075fd75</t>
  </si>
  <si>
    <t>https://p.scdn.co/mp3-preview/c9eca01fcbda1957be181f6ca8951520f161062c?cid=9950ac751e34487dbbe027c4fd7f8e99</t>
  </si>
  <si>
    <t>QZNWU2478210</t>
  </si>
  <si>
    <t>spotify:album:1iOI222ZokFpzseH2jB2Z6</t>
  </si>
  <si>
    <t>https://i.scdn.co/image/ab67616d0000b2739ccf9025a690e360d480821a</t>
  </si>
  <si>
    <t>https://p.scdn.co/mp3-preview/96e810bbc2f80a17cf7255e89bb787a898b56098?cid=9950ac751e34487dbbe027c4fd7f8e99</t>
  </si>
  <si>
    <t>QZHN62417308</t>
  </si>
  <si>
    <t>spotify:album:3hOukEC3D6Zjp1LxaSUKYD</t>
  </si>
  <si>
    <t>https://i.scdn.co/image/ab67616d0000b273770e798c89bff927f16c8276</t>
  </si>
  <si>
    <t>https://p.scdn.co/mp3-preview/0c9c3f776bb33b9841165f127e7433ddeb04436f?cid=9950ac751e34487dbbe027c4fd7f8e99</t>
  </si>
  <si>
    <t>QZTAZ2398389</t>
  </si>
  <si>
    <t>spotify:album:4n8sVOiLuhq0brCLp6Z5ni</t>
  </si>
  <si>
    <t>https://i.scdn.co/image/ab67616d0000b273f24b9d302568b12efd0e82c5</t>
  </si>
  <si>
    <t>https://p.scdn.co/mp3-preview/85618f7eeea7f711fe33776ce99a65c71fdbf194?cid=9950ac751e34487dbbe027c4fd7f8e99</t>
  </si>
  <si>
    <t>QZK6P2338088</t>
  </si>
  <si>
    <t>spotify:album:0VdAYDXjviwvypkYZi4Lzy</t>
  </si>
  <si>
    <t>https://i.scdn.co/image/ab67616d0000b273af6a6d2e0e8687114461a683</t>
  </si>
  <si>
    <t>https://p.scdn.co/mp3-preview/04573b138fc728bf946a64821be2d2901dc49ea3?cid=9950ac751e34487dbbe027c4fd7f8e99</t>
  </si>
  <si>
    <t>TCAGG2258449</t>
  </si>
  <si>
    <t>spotify:artist:0UF7XLthtbSF2Eur7559oV</t>
  </si>
  <si>
    <t>spotify:album:55U1DpuCIiwOJHwYLU1Qe4</t>
  </si>
  <si>
    <t>https://i.scdn.co/image/ab67616d0000b27370ef0121b4602f45879dcc89</t>
  </si>
  <si>
    <t>https://p.scdn.co/mp3-preview/9c5fe8ebc12d8399a87c982efa6867157d69366a?cid=9950ac751e34487dbbe027c4fd7f8e99</t>
  </si>
  <si>
    <t>FRS710900410</t>
  </si>
  <si>
    <t>spotify:album:3bRM4GQgoFjBRRzhp87Ugb</t>
  </si>
  <si>
    <t>https://i.scdn.co/image/ab67616d0000b2731c08bca073e89ae32c68ffaa</t>
  </si>
  <si>
    <t>https://p.scdn.co/mp3-preview/3fcef479d811e5d1614c9b8aa60778806462743a?cid=9950ac751e34487dbbe027c4fd7f8e99</t>
  </si>
  <si>
    <t>FRS711100690</t>
  </si>
  <si>
    <t>https://p.scdn.co/mp3-preview/c141c1c7d186ac6ad796487bcf0afb372285a1de?cid=9950ac751e34487dbbe027c4fd7f8e99</t>
  </si>
  <si>
    <t>FRS711200260</t>
  </si>
  <si>
    <t>https://p.scdn.co/mp3-preview/3eba06467e60df89a991612f996d3e86a37a45bb?cid=9950ac751e34487dbbe027c4fd7f8e99</t>
  </si>
  <si>
    <t>FRS711200300</t>
  </si>
  <si>
    <t>https://p.scdn.co/mp3-preview/248b6db4b5c21d1f4f812a110e883ed087a0231e?cid=9950ac751e34487dbbe027c4fd7f8e99</t>
  </si>
  <si>
    <t>FRS710500014</t>
  </si>
  <si>
    <t>https://p.scdn.co/mp3-preview/28c5fa1f3a9ecadbe4a7de563a69121f837e5308?cid=9950ac751e34487dbbe027c4fd7f8e99</t>
  </si>
  <si>
    <t>FRS711200250</t>
  </si>
  <si>
    <t>https://p.scdn.co/mp3-preview/da4a940860e785d02c2b5ecc183137e0c0b57246?cid=9950ac751e34487dbbe027c4fd7f8e99</t>
  </si>
  <si>
    <t>FRS711200270</t>
  </si>
  <si>
    <t>https://p.scdn.co/mp3-preview/7bce77a669df8970a0b281ffeeb271890e2d7c1b?cid=9950ac751e34487dbbe027c4fd7f8e99</t>
  </si>
  <si>
    <t>FRS711200320</t>
  </si>
  <si>
    <t>https://p.scdn.co/mp3-preview/2519896d02ee4d1dd1cbcf095fe5477c4dc5dc7e?cid=9950ac751e34487dbbe027c4fd7f8e99</t>
  </si>
  <si>
    <t>FRS710900420</t>
  </si>
  <si>
    <t>spotify:artist:4sf3QZW8a3xZ14IGsOAzoy</t>
  </si>
  <si>
    <t>spotify:album:73puEbxrgGI8vbRtA6E6pZ</t>
  </si>
  <si>
    <t>https://i.scdn.co/image/ab67616d0000b2734f3d682578d8bd0fc547bec5</t>
  </si>
  <si>
    <t>https://p.scdn.co/mp3-preview/8e3f64965dc832c8869eece6aaa07d3f7c081314?cid=9950ac751e34487dbbe027c4fd7f8e99</t>
  </si>
  <si>
    <t>FR5Y71000008</t>
  </si>
  <si>
    <t>spotify:album:3XG5dH7LcDZlkOWmtvLzXB</t>
  </si>
  <si>
    <t>https://i.scdn.co/image/ab67616d0000b27324ee286d8ebcaf83d4b899ab</t>
  </si>
  <si>
    <t>https://p.scdn.co/mp3-preview/89a844b37168599b81c337ecb00024c83bdfbe82?cid=9950ac751e34487dbbe027c4fd7f8e99</t>
  </si>
  <si>
    <t>FR01Q0600001</t>
  </si>
  <si>
    <t>spotify:album:2HKgnzlGIJddpRwDlxit43</t>
  </si>
  <si>
    <t>https://i.scdn.co/image/ab67616d0000b2731d86f0dd2c46c5d75cf07bdd</t>
  </si>
  <si>
    <t>https://p.scdn.co/mp3-preview/e022969358ebc97f87f3b61319316271d1ba333c?cid=9950ac751e34487dbbe027c4fd7f8e99</t>
  </si>
  <si>
    <t>FR01Q9800031</t>
  </si>
  <si>
    <t>spotify:artist:4sf3QZW8a3xZ14IGsOAzoy, spotify:artist:0mFsbKrHaJDM5DgL8g3Ke3</t>
  </si>
  <si>
    <t>Cassius, Cosmo Vitelli</t>
  </si>
  <si>
    <t>spotify:album:5At8zb3djitRXkrKQ8Wo97</t>
  </si>
  <si>
    <t>Au RÃªve (Deluxe Edition)</t>
  </si>
  <si>
    <t>https://i.scdn.co/image/ab67616d0000b273b60e218ff8bb7122b2873eae</t>
  </si>
  <si>
    <t>https://p.scdn.co/mp3-preview/bc6d161ae359944359081e8a4949489d7360f734?cid=9950ac751e34487dbbe027c4fd7f8e99</t>
  </si>
  <si>
    <t>FR01Q0200073</t>
  </si>
  <si>
    <t>spotify:artist:4sf3QZW8a3xZ14IGsOAzoy, spotify:artist:05jcn5u3ZDqfA1QfdKx2Y8</t>
  </si>
  <si>
    <t>Cassius, Owlle</t>
  </si>
  <si>
    <t>spotify:album:0k0sWVuUrp5YGC1RDUeJzm</t>
  </si>
  <si>
    <t>https://i.scdn.co/image/ab67616d0000b2730bb9eff4be678363242f0b6e</t>
  </si>
  <si>
    <t>https://p.scdn.co/mp3-preview/21008b8786a499c1c16aeabca2cb3e9e3aad5053?cid=9950ac751e34487dbbe027c4fd7f8e99</t>
  </si>
  <si>
    <t>FR5Y71900005</t>
  </si>
  <si>
    <t>spotify:artist:4sf3QZW8a3xZ14IGsOAzoy, spotify:artist:6G7OerKc3eBO9sVkRNopFC, spotify:artist:2RdwBSPQiwcmiDo9kixcl8, spotify:artist:5kLzaeSHrmS7okc5XNE6lv</t>
  </si>
  <si>
    <t>Cassius, Cat Power, Pharrell Williams, Butch</t>
  </si>
  <si>
    <t>spotify:album:5jzl69ER7BIDr8JopNs7Z2</t>
  </si>
  <si>
    <t>https://i.scdn.co/image/ab67616d0000b27355c0e3688c2a8ee3db091963</t>
  </si>
  <si>
    <t>https://p.scdn.co/mp3-preview/1ddad437c8f08829cf40dd472151d986ecb07900?cid=9950ac751e34487dbbe027c4fd7f8e99</t>
  </si>
  <si>
    <t>FR5Y71600052</t>
  </si>
  <si>
    <t>https://p.scdn.co/mp3-preview/e9bab1fa18bd92e3fcced747b29f90218d9feb4b?cid=9950ac751e34487dbbe027c4fd7f8e99</t>
  </si>
  <si>
    <t>FR01Q9800002</t>
  </si>
  <si>
    <t>spotify:artist:5Pwc4xIPtQLFEnJriah9YJ, spotify:artist:4sf3QZW8a3xZ14IGsOAzoy</t>
  </si>
  <si>
    <t>OneRepublic, Cassius</t>
  </si>
  <si>
    <t>spotify:album:30Ni9qg2MBeeZXybsMOQ7m</t>
  </si>
  <si>
    <t>spotify:artist:5Pwc4xIPtQLFEnJriah9YJ</t>
  </si>
  <si>
    <t>OneRepublic</t>
  </si>
  <si>
    <t>https://i.scdn.co/image/ab67616d0000b273eedabed826eeb6506a4c700d</t>
  </si>
  <si>
    <t>https://p.scdn.co/mp3-preview/079bb47f06ecc2a09067d075fe94bdba0fb247f8?cid=9950ac751e34487dbbe027c4fd7f8e99</t>
  </si>
  <si>
    <t>USUM71608761</t>
  </si>
  <si>
    <t>spotify:artist:4mncDFjVLUa3s025Tct3Ry, spotify:artist:4q8SjmBr5X7DUmVvrnNrsd, spotify:artist:4sf3QZW8a3xZ14IGsOAzoy</t>
  </si>
  <si>
    <t>Claptone, Nathan Nicholson, Cassius</t>
  </si>
  <si>
    <t>spotify:album:748zpyZtFPYWkoech8kPzn</t>
  </si>
  <si>
    <t>spotify:artist:4mncDFjVLUa3s025Tct3Ry</t>
  </si>
  <si>
    <t>Claptone</t>
  </si>
  <si>
    <t>https://i.scdn.co/image/ab67616d0000b27399a3b68e6d950d21ec0edc25</t>
  </si>
  <si>
    <t>https://p.scdn.co/mp3-preview/6c8a5712ac5e43e4de48f56b5f887c11fdec9ef9?cid=9950ac751e34487dbbe027c4fd7f8e99</t>
  </si>
  <si>
    <t>GBENL1802171</t>
  </si>
  <si>
    <t>spotify:artist:4sf3QZW8a3xZ14IGsOAzoy, spotify:artist:6G7OerKc3eBO9sVkRNopFC</t>
  </si>
  <si>
    <t>Cassius, Cat Power</t>
  </si>
  <si>
    <t>spotify:album:3pz8g0tnXoFdFldlItvxxD</t>
  </si>
  <si>
    <t>https://i.scdn.co/image/ab67616d0000b273580ffe579b32f1e6a93ac225</t>
  </si>
  <si>
    <t>https://p.scdn.co/mp3-preview/1e9b70b7eb71b6a77b902e17eeb034e51ecca81c?cid=9950ac751e34487dbbe027c4fd7f8e99</t>
  </si>
  <si>
    <t>FR5Y71500016</t>
  </si>
  <si>
    <t>https://p.scdn.co/mp3-preview/1e061953d8d9ee76ee59114ba3910e65ab169b9e?cid=9950ac751e34487dbbe027c4fd7f8e99</t>
  </si>
  <si>
    <t>FR5Y71900004</t>
  </si>
  <si>
    <t>https://p.scdn.co/mp3-preview/3f24a585e25add321ef68c116da94ca3b3f8451d?cid=9950ac751e34487dbbe027c4fd7f8e99</t>
  </si>
  <si>
    <t>FR5Y71000004</t>
  </si>
  <si>
    <t>spotify:artist:4sf3QZW8a3xZ14IGsOAzoy, spotify:artist:4jYpX9diAOBUU0iictJYiF</t>
  </si>
  <si>
    <t>Cassius, DJ Falcon</t>
  </si>
  <si>
    <t>https://p.scdn.co/mp3-preview/a5ad8ee0752c692220041801ea43ffdab4614225?cid=9950ac751e34487dbbe027c4fd7f8e99</t>
  </si>
  <si>
    <t>FR01Q9900043</t>
  </si>
  <si>
    <t>spotify:artist:0Kt5snrp3j13r4wV8lorZ3, spotify:artist:4sf3QZW8a3xZ14IGsOAzoy, spotify:artist:6DvfCp1uaEFdsi11vbyxcS</t>
  </si>
  <si>
    <t>Orchestre Lamoureux, Cassius, Thomas Roussel</t>
  </si>
  <si>
    <t>spotify:album:4k3s0Gk8WdGCCMkNVnZgkE</t>
  </si>
  <si>
    <t>spotify:artist:0Kt5snrp3j13r4wV8lorZ3, spotify:artist:6DvfCp1uaEFdsi11vbyxcS</t>
  </si>
  <si>
    <t>Orchestre Lamoureux, Thomas Roussel</t>
  </si>
  <si>
    <t>https://i.scdn.co/image/ab67616d0000b273eddba7a2df09b8efd03756da</t>
  </si>
  <si>
    <t>https://p.scdn.co/mp3-preview/5340f436e81c319dc1f6a625c20e2cea188d0fd1?cid=9950ac751e34487dbbe027c4fd7f8e99</t>
  </si>
  <si>
    <t>FR0NT1801206</t>
  </si>
  <si>
    <t>https://p.scdn.co/mp3-preview/7dc62043b5258c9573fc0a940f4e00061a3f1fdf?cid=9950ac751e34487dbbe027c4fd7f8e99</t>
  </si>
  <si>
    <t>FR01Q0600007</t>
  </si>
  <si>
    <t>https://p.scdn.co/mp3-preview/6d3c5861ae7982415ca70c4408a83b8b00f0c81e?cid=9950ac751e34487dbbe027c4fd7f8e99</t>
  </si>
  <si>
    <t>FR5Y71900006</t>
  </si>
  <si>
    <t>spotify:album:5Jvh0RSozQrJGcM9o53S4N</t>
  </si>
  <si>
    <t>https://i.scdn.co/image/ab67616d0000b2737f508ea97d075c0ae03a68f9</t>
  </si>
  <si>
    <t>https://p.scdn.co/mp3-preview/0084f350158e5ebef8651ef9468586decb887bbb?cid=9950ac751e34487dbbe027c4fd7f8e99</t>
  </si>
  <si>
    <t>FR5Y71800001</t>
  </si>
  <si>
    <t>https://p.scdn.co/mp3-preview/51bdfdb56323f57e644d72995e936efdfd4ec592?cid=9950ac751e34487dbbe027c4fd7f8e99</t>
  </si>
  <si>
    <t>FR01Q9800007</t>
  </si>
  <si>
    <t>spotify:artist:4sf3QZW8a3xZ14IGsOAzoy, spotify:artist:6G7OerKc3eBO9sVkRNopFC, spotify:artist:7ym7cDCdavUZqNufxIfHwY</t>
  </si>
  <si>
    <t>Cassius, Cat Power, Mike D</t>
  </si>
  <si>
    <t>https://p.scdn.co/mp3-preview/c4343a3caf233d86312fd312ee24981f89310dad?cid=9950ac751e34487dbbe027c4fd7f8e99</t>
  </si>
  <si>
    <t>FR5Y71500012</t>
  </si>
  <si>
    <t>https://p.scdn.co/mp3-preview/3866a64df0bbf7d599a80aed15af43eb2c87c73e?cid=9950ac751e34487dbbe027c4fd7f8e99</t>
  </si>
  <si>
    <t>FR5Y71900001</t>
  </si>
  <si>
    <t>https://p.scdn.co/mp3-preview/e50b2610c0389b688cba08beeb146e4aa0e0c573?cid=9950ac751e34487dbbe027c4fd7f8e99</t>
  </si>
  <si>
    <t>FR01Q0600002</t>
  </si>
  <si>
    <t>https://p.scdn.co/mp3-preview/c722a20a73f6381c10dec9e6602d980b20021137?cid=9950ac751e34487dbbe027c4fd7f8e99</t>
  </si>
  <si>
    <t>FR01Q9800008</t>
  </si>
  <si>
    <t>https://p.scdn.co/mp3-preview/c82adc780f221f5496cf2713ba6a28bdc8262477?cid=9950ac751e34487dbbe027c4fd7f8e99</t>
  </si>
  <si>
    <t>FR01Q0200057</t>
  </si>
  <si>
    <t>https://p.scdn.co/mp3-preview/688cc967abc40b77d8cca10e845cf78f8e97ba00?cid=9950ac751e34487dbbe027c4fd7f8e99</t>
  </si>
  <si>
    <t>FR5Y71900003</t>
  </si>
  <si>
    <t>spotify:artist:4sf3QZW8a3xZ14IGsOAzoy, spotify:artist:4we5S2VLjgY9KzIzApL1KI, spotify:artist:05BpORreAobgNUA5feAsui</t>
  </si>
  <si>
    <t>Cassius, Ryan Tedder, JAW</t>
  </si>
  <si>
    <t>https://p.scdn.co/mp3-preview/b6abb2057a51aa399120393571c25fd13a9ecf73?cid=9950ac751e34487dbbe027c4fd7f8e99</t>
  </si>
  <si>
    <t>FR5Y71500010</t>
  </si>
  <si>
    <t>https://p.scdn.co/mp3-preview/db03bc74359cee19cd4c75284a1007cbc00aa06d?cid=9950ac751e34487dbbe027c4fd7f8e99</t>
  </si>
  <si>
    <t>FR01Q9800006</t>
  </si>
  <si>
    <t>https://p.scdn.co/mp3-preview/5999613bb9f8364095067f500b3b210ee4be173c?cid=9950ac751e34487dbbe027c4fd7f8e99</t>
  </si>
  <si>
    <t>FR01Q0200055</t>
  </si>
  <si>
    <t>spotify:artist:4sf3QZW8a3xZ14IGsOAzoy, spotify:artist:4WGyuxZ2s48Pf86ZOTdggG</t>
  </si>
  <si>
    <t>Cassius, John Gourley</t>
  </si>
  <si>
    <t>https://p.scdn.co/mp3-preview/ec30cb50f799bd661bb89269b9958a595d985357?cid=9950ac751e34487dbbe027c4fd7f8e99</t>
  </si>
  <si>
    <t>FR5Y71900002</t>
  </si>
  <si>
    <t>spotify:artist:533HtQP5btWIZcKlHJtEWK, spotify:artist:7zfY1mHgKeN1pbwbBsj77t, spotify:artist:6UfoTQXaV3DuqtDVjZIxwZ, spotify:artist:4sf3QZW8a3xZ14IGsOAzoy</t>
  </si>
  <si>
    <t>Christopher Wilde, Maxx, Cheryl Lynn, Cassius</t>
  </si>
  <si>
    <t>spotify:album:4c2GmWEJGwNtohSZajtYH5</t>
  </si>
  <si>
    <t>spotify:artist:533HtQP5btWIZcKlHJtEWK</t>
  </si>
  <si>
    <t>Christopher Wilde</t>
  </si>
  <si>
    <t>https://i.scdn.co/image/ab67616d0000b273fddd409c9a11ed39007fa0e4</t>
  </si>
  <si>
    <t>https://p.scdn.co/mp3-preview/b9055d284e5a6227fa0580daf799acd1f8f0de0e?cid=9950ac751e34487dbbe027c4fd7f8e99</t>
  </si>
  <si>
    <t>IEWGI2502420</t>
  </si>
  <si>
    <t>spotify:artist:4sf3QZW8a3xZ14IGsOAzoy, spotify:artist:3hteYQFiMFbJY7wS0xDymP</t>
  </si>
  <si>
    <t>Cassius, Gesaffelstein</t>
  </si>
  <si>
    <t>https://p.scdn.co/mp3-preview/f01917cd56cc0c2975cf323d98afb3fc13ade210?cid=9950ac751e34487dbbe027c4fd7f8e99</t>
  </si>
  <si>
    <t>FR5Y71000105</t>
  </si>
  <si>
    <t>Au RÃªve</t>
  </si>
  <si>
    <t>https://p.scdn.co/mp3-preview/1d0e1750635b979d48f26aa62f463fec281f22d4?cid=9950ac751e34487dbbe027c4fd7f8e99</t>
  </si>
  <si>
    <t>FR01Q0200062</t>
  </si>
  <si>
    <t>https://p.scdn.co/mp3-preview/413be4b5a5b8651344f49cdb4f217baaf64f8346?cid=9950ac751e34487dbbe027c4fd7f8e99</t>
  </si>
  <si>
    <t>FR01Q0600011</t>
  </si>
  <si>
    <t>spotify:artist:4sf3QZW8a3xZ14IGsOAzoy, spotify:artist:3QFiymmbJlVBPpnrOatEAk</t>
  </si>
  <si>
    <t>Cassius, Myd</t>
  </si>
  <si>
    <t>spotify:album:6ELvCd3trL2lATwhaWioOm</t>
  </si>
  <si>
    <t>https://i.scdn.co/image/ab67616d0000b273bf36bc9714a6cb806bb09767</t>
  </si>
  <si>
    <t>https://p.scdn.co/mp3-preview/7d6236804d088fd425cbd8925afc1a37cc2a7a20?cid=9950ac751e34487dbbe027c4fd7f8e99</t>
  </si>
  <si>
    <t>FR5Y71700002</t>
  </si>
  <si>
    <t>https://p.scdn.co/mp3-preview/63e67a64b3034b091bf877569de29271cd02a5aa?cid=9950ac751e34487dbbe027c4fd7f8e99</t>
  </si>
  <si>
    <t>FR5Y71000006</t>
  </si>
  <si>
    <t>https://p.scdn.co/mp3-preview/1ff7d83bb90ec3454218007152832de4790199a7?cid=9950ac751e34487dbbe027c4fd7f8e99</t>
  </si>
  <si>
    <t>FR5Y71500021</t>
  </si>
  <si>
    <t>https://p.scdn.co/mp3-preview/be32f55c46d970dc86c166152a0d7eb7a8e60b89?cid=9950ac751e34487dbbe027c4fd7f8e99</t>
  </si>
  <si>
    <t>FR01Q0600009</t>
  </si>
  <si>
    <t>https://p.scdn.co/mp3-preview/e6db30f8eb1a5ad2e2ea962a7f77975221416659?cid=9950ac751e34487dbbe027c4fd7f8e99</t>
  </si>
  <si>
    <t>FR5Y70900001</t>
  </si>
  <si>
    <t>https://p.scdn.co/mp3-preview/34db8328f4c32069d5a49099982fe8c47f068223?cid=9950ac751e34487dbbe027c4fd7f8e99</t>
  </si>
  <si>
    <t>FR01Q0200061</t>
  </si>
  <si>
    <t>spotify:artist:4lu50np3LdTkRL09T7x8UP, spotify:artist:7gmBCPfdEiZGywHfJJYYQX, spotify:artist:4sf3QZW8a3xZ14IGsOAzoy</t>
  </si>
  <si>
    <t>Agoria, NOEMIE, Cassius</t>
  </si>
  <si>
    <t>spotify:album:5gQv1M4Pt9Ds51DME9gaxD</t>
  </si>
  <si>
    <t>spotify:artist:4lu50np3LdTkRL09T7x8UP, spotify:artist:7gmBCPfdEiZGywHfJJYYQX</t>
  </si>
  <si>
    <t>Agoria, NOEMIE</t>
  </si>
  <si>
    <t>https://i.scdn.co/image/ab67616d0000b2731aba28ce66ef9c798c51c916</t>
  </si>
  <si>
    <t>https://p.scdn.co/mp3-preview/9e889b8144ca325c5f9a4667390d9bfbc4ca54f8?cid=9950ac751e34487dbbe027c4fd7f8e99</t>
  </si>
  <si>
    <t>FR00Y1900014</t>
  </si>
  <si>
    <t>https://p.scdn.co/mp3-preview/7f17c854d348aa0cb49001f032a365f86030e1c0?cid=9950ac751e34487dbbe027c4fd7f8e99</t>
  </si>
  <si>
    <t>FR01Q0600005</t>
  </si>
  <si>
    <t>https://p.scdn.co/mp3-preview/ef070e6fd7174b4706f1e36ae18c410df9948434?cid=9950ac751e34487dbbe027c4fd7f8e99</t>
  </si>
  <si>
    <t>FR5Y71500017</t>
  </si>
  <si>
    <t>https://p.scdn.co/mp3-preview/1591a67cd386683824fc03a092675c476e76b405?cid=9950ac751e34487dbbe027c4fd7f8e99</t>
  </si>
  <si>
    <t>FR01Q0200052</t>
  </si>
  <si>
    <t>https://p.scdn.co/mp3-preview/5b04b20e156849f6ee20d1c70d8cb577092d1c17?cid=9950ac751e34487dbbe027c4fd7f8e99</t>
  </si>
  <si>
    <t>FR5Y71000009</t>
  </si>
  <si>
    <t>https://p.scdn.co/mp3-preview/c636efbc3aa9e4d1ad9bc807b555fcd179f1f497?cid=9950ac751e34487dbbe027c4fd7f8e99</t>
  </si>
  <si>
    <t>FR9W12434235</t>
  </si>
  <si>
    <t>spotify:artist:4sf3QZW8a3xZ14IGsOAzoy, spotify:artist:4we5S2VLjgY9KzIzApL1KI</t>
  </si>
  <si>
    <t>Cassius, Ryan Tedder</t>
  </si>
  <si>
    <t>https://p.scdn.co/mp3-preview/2f2cb1cabb3bd17d13bb5a8992addcdae365457e?cid=9950ac751e34487dbbe027c4fd7f8e99</t>
  </si>
  <si>
    <t>FR5Y71500015</t>
  </si>
  <si>
    <t>spotify:artist:0ukShu9iXAmddfDxCVe1Hw, spotify:artist:4sf3QZW8a3xZ14IGsOAzoy</t>
  </si>
  <si>
    <t>Mad Mathilde, Cassius</t>
  </si>
  <si>
    <t>spotify:album:4T9np8T1r9SAKFDmxuDRzj</t>
  </si>
  <si>
    <t>https://i.scdn.co/image/ab67616d0000b273ec19eaffb5ffd94f91f9161f</t>
  </si>
  <si>
    <t>https://p.scdn.co/mp3-preview/cd57a1840e9dfc569be1986675b5e697e57b4a1f?cid=9950ac751e34487dbbe027c4fd7f8e99</t>
  </si>
  <si>
    <t>USCGH1738779</t>
  </si>
  <si>
    <t>https://p.scdn.co/mp3-preview/0ad80933fb7d476309e4fe6981adabae15270286?cid=9950ac751e34487dbbe027c4fd7f8e99</t>
  </si>
  <si>
    <t>FR5Y71000007</t>
  </si>
  <si>
    <t>spotify:artist:0i3IR3jNo3ikiE35NgWkv4, spotify:artist:2WvLeseDGPX1slhmxI59G3, spotify:artist:4sf3QZW8a3xZ14IGsOAzoy</t>
  </si>
  <si>
    <t>Moveek, Robin S, Cassius</t>
  </si>
  <si>
    <t>spotify:album:0hc0bIc6LAZSj6iqggZoNO</t>
  </si>
  <si>
    <t>spotify:artist:0i3IR3jNo3ikiE35NgWkv4</t>
  </si>
  <si>
    <t>Moveek</t>
  </si>
  <si>
    <t>https://i.scdn.co/image/ab67616d0000b273672904d52dbf793c64fef7ff</t>
  </si>
  <si>
    <t>https://p.scdn.co/mp3-preview/bea5e6967fc2da9073fbd1f36a6fdb105f0e148a?cid=9950ac751e34487dbbe027c4fd7f8e99</t>
  </si>
  <si>
    <t>IEWNY2482999</t>
  </si>
  <si>
    <t>spotify:album:2aLs1OEJrpoDxERMZw55vh</t>
  </si>
  <si>
    <t>https://i.scdn.co/image/ab67616d0000b27337fdb10cc58f338a71d1457b</t>
  </si>
  <si>
    <t>AUNV00902542</t>
  </si>
  <si>
    <t>spotify:artist:4sf3QZW8a3xZ14IGsOAzoy, spotify:artist:6G7OerKc3eBO9sVkRNopFC, spotify:artist:2RdwBSPQiwcmiDo9kixcl8</t>
  </si>
  <si>
    <t>Cassius, Cat Power, Pharrell Williams</t>
  </si>
  <si>
    <t>https://p.scdn.co/mp3-preview/358b940bb4a597b8d44f6f616a6af31d16098926?cid=9950ac751e34487dbbe027c4fd7f8e99</t>
  </si>
  <si>
    <t>FR5Y71500013</t>
  </si>
  <si>
    <t>spotify:artist:4tZwfgrHOc3mvqYlEYSvVi</t>
  </si>
  <si>
    <t>spotify:album:5uRdvUR7xCnHmUW8n64n9y</t>
  </si>
  <si>
    <t>https://i.scdn.co/image/ab67616d0000b2738ac778cc7d88779f74d33311</t>
  </si>
  <si>
    <t>https://p.scdn.co/mp3-preview/c82715db00246fb94fedb163bb1ca410f5c7bff9?cid=9950ac751e34487dbbe027c4fd7f8e99</t>
  </si>
  <si>
    <t>GBDUW0600003</t>
  </si>
  <si>
    <t>https://p.scdn.co/mp3-preview/42a9e6a2d9885f1c7754817ef0fda0094e9a193d?cid=9950ac751e34487dbbe027c4fd7f8e99</t>
  </si>
  <si>
    <t>GBDUW0600004</t>
  </si>
  <si>
    <t>https://p.scdn.co/mp3-preview/17f0284b47419d6949d6aea9b2b1cc0dbfbafd1b?cid=9950ac751e34487dbbe027c4fd7f8e99</t>
  </si>
  <si>
    <t>GBDUW0600005</t>
  </si>
  <si>
    <t>https://p.scdn.co/mp3-preview/efebf4ba1837d04a588c7636490e72d6e46d1c27?cid=9950ac751e34487dbbe027c4fd7f8e99</t>
  </si>
  <si>
    <t>GBDUW0600006</t>
  </si>
  <si>
    <t>https://p.scdn.co/mp3-preview/ab5a6c7b6d2594ed5784a9a384030141308cd5be?cid=9950ac751e34487dbbe027c4fd7f8e99</t>
  </si>
  <si>
    <t>GBDUW0600007</t>
  </si>
  <si>
    <t>https://p.scdn.co/mp3-preview/f1baba65ade7d9a3e19adfa1cb1df1d17e51903a?cid=9950ac751e34487dbbe027c4fd7f8e99</t>
  </si>
  <si>
    <t>GBDUW0600008</t>
  </si>
  <si>
    <t>https://p.scdn.co/mp3-preview/069ca7413057323193028d0992abac9980c7f3c5?cid=9950ac751e34487dbbe027c4fd7f8e99</t>
  </si>
  <si>
    <t>GBDUW0600009</t>
  </si>
  <si>
    <t>https://p.scdn.co/mp3-preview/bb165c4d5cb7b89a7dec1dccc2d38571a528c9db?cid=9950ac751e34487dbbe027c4fd7f8e99</t>
  </si>
  <si>
    <t>GBDUW0600010</t>
  </si>
  <si>
    <t>https://p.scdn.co/mp3-preview/ba7a62d108048416a04f6b6394d34628c9c30c4f?cid=9950ac751e34487dbbe027c4fd7f8e99</t>
  </si>
  <si>
    <t>GBDUW0600037</t>
  </si>
  <si>
    <t>https://p.scdn.co/mp3-preview/591d165085680768887147ad6bff9832035be3eb?cid=9950ac751e34487dbbe027c4fd7f8e99</t>
  </si>
  <si>
    <t>GBDUW0600012</t>
  </si>
  <si>
    <t>https://p.scdn.co/mp3-preview/dff165ad5e72becc4ba8bfe149f5218a0d384077?cid=9950ac751e34487dbbe027c4fd7f8e99</t>
  </si>
  <si>
    <t>GBDUW0600013</t>
  </si>
  <si>
    <t>https://p.scdn.co/mp3-preview/1f18f4570f8e41e0ee608812a594acea81daa665?cid=9950ac751e34487dbbe027c4fd7f8e99</t>
  </si>
  <si>
    <t>GBDUW0600014</t>
  </si>
  <si>
    <t>https://p.scdn.co/mp3-preview/d4853f938b6c84cd09c108cb878f94460f0976d4?cid=9950ac751e34487dbbe027c4fd7f8e99</t>
  </si>
  <si>
    <t>GBDUW0600015</t>
  </si>
  <si>
    <t>https://p.scdn.co/mp3-preview/00c480c7aee251095d1cae2a09e168f2632dfffd?cid=9950ac751e34487dbbe027c4fd7f8e99</t>
  </si>
  <si>
    <t>GBDUW0600016</t>
  </si>
  <si>
    <t>https://p.scdn.co/mp3-preview/218230b7bd3d04282ef00633531b77328db71f02?cid=9950ac751e34487dbbe027c4fd7f8e99</t>
  </si>
  <si>
    <t>GBDUW0600017</t>
  </si>
  <si>
    <t>https://p.scdn.co/mp3-preview/afc1193e10483be31663ab1c1192444556fda8e7?cid=9950ac751e34487dbbe027c4fd7f8e99</t>
  </si>
  <si>
    <t>GBDUW0600018</t>
  </si>
  <si>
    <t>spotify:album:2noRn2Aes5aoNVsU6iWThc</t>
  </si>
  <si>
    <t>https://i.scdn.co/image/ab67616d0000b2732c25dad9f8fd54652f7ba5df</t>
  </si>
  <si>
    <t>https://p.scdn.co/mp3-preview/06e44e119531d1117c007e2e1cb0c268f613f8b4?cid=9950ac751e34487dbbe027c4fd7f8e99</t>
  </si>
  <si>
    <t>GBDUW0000053</t>
  </si>
  <si>
    <t>https://p.scdn.co/mp3-preview/e81d7343a4753c7dd8d4e48dde79bbf049c926ce?cid=9950ac751e34487dbbe027c4fd7f8e99</t>
  </si>
  <si>
    <t>GBDUW0000057</t>
  </si>
  <si>
    <t>https://p.scdn.co/mp3-preview/c3a47662c661359ed02a48facbccd444012bce98?cid=9950ac751e34487dbbe027c4fd7f8e99</t>
  </si>
  <si>
    <t>GBDUW0000058</t>
  </si>
  <si>
    <t>https://p.scdn.co/mp3-preview/b1f325834d383b7b33c6f7befcb84fe1f5d54b8b?cid=9950ac751e34487dbbe027c4fd7f8e99</t>
  </si>
  <si>
    <t>GBDUW0000059</t>
  </si>
  <si>
    <t>https://p.scdn.co/mp3-preview/30d933f87ab98dc44a4f45dd5927554503fbbf97?cid=9950ac751e34487dbbe027c4fd7f8e99</t>
  </si>
  <si>
    <t>GBDUW0000060</t>
  </si>
  <si>
    <t>https://p.scdn.co/mp3-preview/3e94e89168381ee06aff20904dd8e26e3073b5c3?cid=9950ac751e34487dbbe027c4fd7f8e99</t>
  </si>
  <si>
    <t>GBDUW0000061</t>
  </si>
  <si>
    <t>https://p.scdn.co/mp3-preview/5e8eb0b5bc8733ac58bafd4c2ededad397bf6d53?cid=9950ac751e34487dbbe027c4fd7f8e99</t>
  </si>
  <si>
    <t>GBDUW0000062</t>
  </si>
  <si>
    <t>https://p.scdn.co/mp3-preview/9233064a13a6f9e31f6677b5fdbd83a8af04c7ed?cid=9950ac751e34487dbbe027c4fd7f8e99</t>
  </si>
  <si>
    <t>GBDUW0000063</t>
  </si>
  <si>
    <t>https://p.scdn.co/mp3-preview/ce33d6f85fd218573b2f69ced27434327d483dde?cid=9950ac751e34487dbbe027c4fd7f8e99</t>
  </si>
  <si>
    <t>GBDUW0000064</t>
  </si>
  <si>
    <t>https://p.scdn.co/mp3-preview/b988fbe077f2509636e39fce797b4723f71a3498?cid=9950ac751e34487dbbe027c4fd7f8e99</t>
  </si>
  <si>
    <t>GBDUW0000065</t>
  </si>
  <si>
    <t>https://p.scdn.co/mp3-preview/e6b85d16c44caf1e6363f2d8a83baf61bcf594e3?cid=9950ac751e34487dbbe027c4fd7f8e99</t>
  </si>
  <si>
    <t>GBDUW0000066</t>
  </si>
  <si>
    <t>https://p.scdn.co/mp3-preview/29ce85009e3006df996e2a1a4c0d26abc26dd4fd?cid=9950ac751e34487dbbe027c4fd7f8e99</t>
  </si>
  <si>
    <t>GBDUW0000067</t>
  </si>
  <si>
    <t>https://p.scdn.co/mp3-preview/198e820c3fb4ce21d9d181d2edda4de2a58da997?cid=9950ac751e34487dbbe027c4fd7f8e99</t>
  </si>
  <si>
    <t>GBDUW0000068</t>
  </si>
  <si>
    <t>https://p.scdn.co/mp3-preview/750b77569d82810638937162a2ec79e160eb2b63?cid=9950ac751e34487dbbe027c4fd7f8e99</t>
  </si>
  <si>
    <t>GBDUW0000069</t>
  </si>
  <si>
    <t>spotify:album:1O5WUh9KsgHT2QaUCJeVPG</t>
  </si>
  <si>
    <t>https://i.scdn.co/image/ab67616d0000b273662ca2ebec199607ebf37ce0</t>
  </si>
  <si>
    <t>https://p.scdn.co/mp3-preview/2fb5f0b8994991e4772bee177042f3f63c968191?cid=9950ac751e34487dbbe027c4fd7f8e99</t>
  </si>
  <si>
    <t>GBDUW0300005</t>
  </si>
  <si>
    <t>https://p.scdn.co/mp3-preview/40714404266e7c69663f7aa9b0bc5c430b251ab4?cid=9950ac751e34487dbbe027c4fd7f8e99</t>
  </si>
  <si>
    <t>GBDUW0100002</t>
  </si>
  <si>
    <t>spotify:album:1A2GTWGtFfWp7KSQTwWOyo</t>
  </si>
  <si>
    <t>https://i.scdn.co/image/ab67616d0000b273d8601e15fa1b4351fe1fc6ae</t>
  </si>
  <si>
    <t>https://p.scdn.co/mp3-preview/c4640d45ffd9f45875df3ddfc360f5d6cfc33430?cid=9950ac751e34487dbbe027c4fd7f8e99</t>
  </si>
  <si>
    <t>GBDUW0400101</t>
  </si>
  <si>
    <t>https://p.scdn.co/mp3-preview/c7cf4974addc9d3300034b7ead88eb24086ff538?cid=9950ac751e34487dbbe027c4fd7f8e99</t>
  </si>
  <si>
    <t>GBDUW0400102</t>
  </si>
  <si>
    <t>https://p.scdn.co/mp3-preview/b2c4b594e86720ca71c59d6f2681a43c38b3fd06?cid=9950ac751e34487dbbe027c4fd7f8e99</t>
  </si>
  <si>
    <t>GBDUW0400103</t>
  </si>
  <si>
    <t>https://p.scdn.co/mp3-preview/c34498d7e21992f7da5aefb0c5d32776ccbcefea?cid=9950ac751e34487dbbe027c4fd7f8e99</t>
  </si>
  <si>
    <t>GBDUW0400104</t>
  </si>
  <si>
    <t>https://p.scdn.co/mp3-preview/c23e57fe786c75e53f76f3e62855cbabe7879594?cid=9950ac751e34487dbbe027c4fd7f8e99</t>
  </si>
  <si>
    <t>GBDUW0400105</t>
  </si>
  <si>
    <t>https://p.scdn.co/mp3-preview/a419922329501fa9ec75475d179d8886288bd9a2?cid=9950ac751e34487dbbe027c4fd7f8e99</t>
  </si>
  <si>
    <t>GBDUW0400106</t>
  </si>
  <si>
    <t>https://p.scdn.co/mp3-preview/0d0c02b96d20b5a297007d4afa156213a7bb546c?cid=9950ac751e34487dbbe027c4fd7f8e99</t>
  </si>
  <si>
    <t>GBDUW0400107</t>
  </si>
  <si>
    <t>https://p.scdn.co/mp3-preview/14656ff6f43fe87d31a293024f1bb25922e67596?cid=9950ac751e34487dbbe027c4fd7f8e99</t>
  </si>
  <si>
    <t>GBDUW0400108</t>
  </si>
  <si>
    <t>https://p.scdn.co/mp3-preview/4e68f73933a203aec3e11fb5df3898d70f98d68a?cid=9950ac751e34487dbbe027c4fd7f8e99</t>
  </si>
  <si>
    <t>GBDUW0400109</t>
  </si>
  <si>
    <t>https://p.scdn.co/mp3-preview/ac672d14bde8e6d159a66d1ff2b7b05936b46dd4?cid=9950ac751e34487dbbe027c4fd7f8e99</t>
  </si>
  <si>
    <t>GBDUW0400110</t>
  </si>
  <si>
    <t>spotify:album:4a0p1M12f7VaZWdoNSdEK4</t>
  </si>
  <si>
    <t>https://i.scdn.co/image/ab67616d0000b27354a277d652eba4cd35a2e78a</t>
  </si>
  <si>
    <t>https://p.scdn.co/mp3-preview/a63ef2928b1006753e94aa5e44ed74d23cd1d53c?cid=9950ac751e34487dbbe027c4fd7f8e99</t>
  </si>
  <si>
    <t>GBDUW0600056</t>
  </si>
  <si>
    <t>Overture - From "TRON: Legacy"/Score</t>
  </si>
  <si>
    <t>spotify:album:4US3nmuLIKELhVZdBPiKxx</t>
  </si>
  <si>
    <t>https://i.scdn.co/image/ab67616d0000b27366919acb93950333962467f8</t>
  </si>
  <si>
    <t>https://p.scdn.co/mp3-preview/bbbabc394cd2c0dc0adee5698f98440bf81cb00b?cid=9950ac751e34487dbbe027c4fd7f8e99</t>
  </si>
  <si>
    <t>USWD11054876</t>
  </si>
  <si>
    <t>The Grid - From "TRON: Legacy"/Score</t>
  </si>
  <si>
    <t>https://p.scdn.co/mp3-preview/8675ee50cc48b5f196fe138c8ff48b5926659183?cid=9950ac751e34487dbbe027c4fd7f8e99</t>
  </si>
  <si>
    <t>USWD11054877</t>
  </si>
  <si>
    <t>The Son of Flynn - From "TRON: Legacy"/Score</t>
  </si>
  <si>
    <t>https://p.scdn.co/mp3-preview/2ae84338970b76e81a451f2db94a97c12f4c3314?cid=9950ac751e34487dbbe027c4fd7f8e99</t>
  </si>
  <si>
    <t>USWD11054878</t>
  </si>
  <si>
    <t>Recognizer - From "TRON: Legacy"/Score</t>
  </si>
  <si>
    <t>https://p.scdn.co/mp3-preview/dc398f75bf4bf4d2addb7eb630dfd08b29066d97?cid=9950ac751e34487dbbe027c4fd7f8e99</t>
  </si>
  <si>
    <t>USWD11054879</t>
  </si>
  <si>
    <t>Armory - From "TRON: Legacy"/Score</t>
  </si>
  <si>
    <t>https://p.scdn.co/mp3-preview/fc3eca06378aa1c71a4bacde2e3e94f6e3b26fb8?cid=9950ac751e34487dbbe027c4fd7f8e99</t>
  </si>
  <si>
    <t>USWD11054880</t>
  </si>
  <si>
    <t>Arena - From "TRON: Legacy"/Score</t>
  </si>
  <si>
    <t>https://p.scdn.co/mp3-preview/f896662442a5db747c29a75b2bf662915ed7531e?cid=9950ac751e34487dbbe027c4fd7f8e99</t>
  </si>
  <si>
    <t>USWD11054881</t>
  </si>
  <si>
    <t>Rinzler - From "TRON: Legacy"/Score</t>
  </si>
  <si>
    <t>https://p.scdn.co/mp3-preview/4bdf112468fb3c9a2f2b85e5d16b122cd0b89acd?cid=9950ac751e34487dbbe027c4fd7f8e99</t>
  </si>
  <si>
    <t>USWD11054882</t>
  </si>
  <si>
    <t>The Game Has Changed - From "TRON: Legacy"/Score</t>
  </si>
  <si>
    <t>https://p.scdn.co/mp3-preview/0f51edd83bb7ad949a3820476fe3cf42aaaccd3e?cid=9950ac751e34487dbbe027c4fd7f8e99</t>
  </si>
  <si>
    <t>USWD11054883</t>
  </si>
  <si>
    <t>Outlands - From "TRON: Legacy"/Score</t>
  </si>
  <si>
    <t>https://p.scdn.co/mp3-preview/698bf19e2715aab0db398a2277b02f952eb4c830?cid=9950ac751e34487dbbe027c4fd7f8e99</t>
  </si>
  <si>
    <t>USWD11054884</t>
  </si>
  <si>
    <t>Adagio For TRON - From "TRON: Legacy"/Score</t>
  </si>
  <si>
    <t>https://p.scdn.co/mp3-preview/e766c7b2222129a3d02494d2d69bd8aa2331fdab?cid=9950ac751e34487dbbe027c4fd7f8e99</t>
  </si>
  <si>
    <t>USWD11054885</t>
  </si>
  <si>
    <t>Nocturne - From "TRON: Legacy"/Score</t>
  </si>
  <si>
    <t>https://p.scdn.co/mp3-preview/f891d4d041904b7e271cb4001142a6c09824bc7f?cid=9950ac751e34487dbbe027c4fd7f8e99</t>
  </si>
  <si>
    <t>USWD11054886</t>
  </si>
  <si>
    <t>End of Line - From "TRON: Legacy"/Score</t>
  </si>
  <si>
    <t>https://p.scdn.co/mp3-preview/53463f962ff49f1cdd147d339acf4f8e35489ba9?cid=9950ac751e34487dbbe027c4fd7f8e99</t>
  </si>
  <si>
    <t>USWD11054887</t>
  </si>
  <si>
    <t>Derezzed - From "TRON: Legacy"/Score</t>
  </si>
  <si>
    <t>https://p.scdn.co/mp3-preview/27ec5db0408dd85175c8638dbb8974b05d59372e?cid=9950ac751e34487dbbe027c4fd7f8e99</t>
  </si>
  <si>
    <t>USWD11054888</t>
  </si>
  <si>
    <t>Fall - From "TRON: Legacy"/Score</t>
  </si>
  <si>
    <t>https://p.scdn.co/mp3-preview/bae6211ed5c18ba3916c95b80827f80447e04872?cid=9950ac751e34487dbbe027c4fd7f8e99</t>
  </si>
  <si>
    <t>USWD11054889</t>
  </si>
  <si>
    <t>Solar Sailer - From "TRON: Legacy"/Score</t>
  </si>
  <si>
    <t>https://p.scdn.co/mp3-preview/c3f7b36a35f9589e49c0f1dad31d67ce6eb65bca?cid=9950ac751e34487dbbe027c4fd7f8e99</t>
  </si>
  <si>
    <t>USWD11054890</t>
  </si>
  <si>
    <t>Rectifier - From "TRON: Legacy"/Score</t>
  </si>
  <si>
    <t>https://p.scdn.co/mp3-preview/9472e45ee056347b765c9647fa930e0fb8e9a44e?cid=9950ac751e34487dbbe027c4fd7f8e99</t>
  </si>
  <si>
    <t>USWD11054891</t>
  </si>
  <si>
    <t>Disc Wars - From "TRON: Legacy"/Score</t>
  </si>
  <si>
    <t>https://p.scdn.co/mp3-preview/39cef65cf363c51462d9e8e9200671e5539e1f92?cid=9950ac751e34487dbbe027c4fd7f8e99</t>
  </si>
  <si>
    <t>USWD11054892</t>
  </si>
  <si>
    <t>C.L.U. - From "TRON: Legacy"/Score</t>
  </si>
  <si>
    <t>https://p.scdn.co/mp3-preview/641989b4d7156d423ddda4be9ccf416aa22786b2?cid=9950ac751e34487dbbe027c4fd7f8e99</t>
  </si>
  <si>
    <t>USWD11054893</t>
  </si>
  <si>
    <t>Arrival - From "TRON: Legacy"/Score</t>
  </si>
  <si>
    <t>https://p.scdn.co/mp3-preview/6da5615851fb3d564e81daf933158435379f8277?cid=9950ac751e34487dbbe027c4fd7f8e99</t>
  </si>
  <si>
    <t>USWD11054894</t>
  </si>
  <si>
    <t>Flynn Lives - From "TRON: Legacy"/Score</t>
  </si>
  <si>
    <t>https://p.scdn.co/mp3-preview/ef7263e98673a7b5de127fa8c45cafe3ac2f7486?cid=9950ac751e34487dbbe027c4fd7f8e99</t>
  </si>
  <si>
    <t>USWD11054895</t>
  </si>
  <si>
    <t>TRON Legacy (End Titles) - From "TRON: Legacy"/Score</t>
  </si>
  <si>
    <t>https://p.scdn.co/mp3-preview/771b7aa871d62db51cab92db6ac16637e622b6b4?cid=9950ac751e34487dbbe027c4fd7f8e99</t>
  </si>
  <si>
    <t>USWD11054896</t>
  </si>
  <si>
    <t>Finale - From "TRON: Legacy"/Score</t>
  </si>
  <si>
    <t>https://p.scdn.co/mp3-preview/ca39e275b7f5a082055aade32090fb65f535dd12?cid=9950ac751e34487dbbe027c4fd7f8e99</t>
  </si>
  <si>
    <t>USWD11054897</t>
  </si>
  <si>
    <t>spotify:album:4m2880jivSbbyEGAKfITCa</t>
  </si>
  <si>
    <t>https://i.scdn.co/image/ab67616d0000b2739b9b36b0e22870b9f542d937</t>
  </si>
  <si>
    <t>https://p.scdn.co/mp3-preview/7974b74d938ac047700dd7a2a0766d1ede1ec023?cid=9950ac751e34487dbbe027c4fd7f8e99</t>
  </si>
  <si>
    <t>USQX91300101</t>
  </si>
  <si>
    <t>https://p.scdn.co/mp3-preview/e2ea1c9b947956e26a3ca47c199b469dfdbaf814?cid=9950ac751e34487dbbe027c4fd7f8e99</t>
  </si>
  <si>
    <t>USQX91300102</t>
  </si>
  <si>
    <t>https://p.scdn.co/mp3-preview/ffbe7c12252438f212fd67000bcbd8cdc5ba4525?cid=9950ac751e34487dbbe027c4fd7f8e99</t>
  </si>
  <si>
    <t>USQX91300103</t>
  </si>
  <si>
    <t>https://p.scdn.co/mp3-preview/3d71ce9dcd49cea042249af69d042aeff2a785c7?cid=9950ac751e34487dbbe027c4fd7f8e99</t>
  </si>
  <si>
    <t>USQX91300104</t>
  </si>
  <si>
    <t>spotify:artist:4tZwfgrHOc3mvqYlEYSvVi, spotify:artist:1rAv1GhTQ2rmG94p9lU3rB</t>
  </si>
  <si>
    <t>Daft Punk, Julian Casablancas</t>
  </si>
  <si>
    <t>https://p.scdn.co/mp3-preview/a52d000457fc91fdb18bfaa1f690c82bf7b1a036?cid=9950ac751e34487dbbe027c4fd7f8e99</t>
  </si>
  <si>
    <t>USQX91300105</t>
  </si>
  <si>
    <t>spotify:artist:4tZwfgrHOc3mvqYlEYSvVi, spotify:artist:2RdwBSPQiwcmiDo9kixcl8</t>
  </si>
  <si>
    <t>Daft Punk, Pharrell Williams</t>
  </si>
  <si>
    <t>https://p.scdn.co/mp3-preview/bf4be082dc59b009fb495dc6631cf188a3a07af9?cid=9950ac751e34487dbbe027c4fd7f8e99</t>
  </si>
  <si>
    <t>USQX91300106</t>
  </si>
  <si>
    <t>spotify:artist:4tZwfgrHOc3mvqYlEYSvVi, spotify:artist:3f626JSVauIhTQgatsFcs4</t>
  </si>
  <si>
    <t>Daft Punk, Paul Williams</t>
  </si>
  <si>
    <t>https://p.scdn.co/mp3-preview/0763b5cdbf01b2efd1384e255482aff8ba8e8f56?cid=9950ac751e34487dbbe027c4fd7f8e99</t>
  </si>
  <si>
    <t>USQX91300107</t>
  </si>
  <si>
    <t>spotify:artist:4tZwfgrHOc3mvqYlEYSvVi, spotify:artist:2RdwBSPQiwcmiDo9kixcl8, spotify:artist:3yDIp0kaq9EFKe07X1X2rz</t>
  </si>
  <si>
    <t>Daft Punk, Pharrell Williams, Nile Rodgers</t>
  </si>
  <si>
    <t>https://p.scdn.co/mp3-preview/6de52dda0d37a0646987856c3b9f7da075d965b4?cid=9950ac751e34487dbbe027c4fd7f8e99</t>
  </si>
  <si>
    <t>USQX91300108</t>
  </si>
  <si>
    <t>https://p.scdn.co/mp3-preview/56318ec2dc40f02eba17afbe064431f74bfb8cff?cid=9950ac751e34487dbbe027c4fd7f8e99</t>
  </si>
  <si>
    <t>USQX91300109</t>
  </si>
  <si>
    <t>https://p.scdn.co/mp3-preview/1d1abc1f905c26a1da98b345d576af8c5894efc8?cid=9950ac751e34487dbbe027c4fd7f8e99</t>
  </si>
  <si>
    <t>USQX91300110</t>
  </si>
  <si>
    <t>spotify:artist:4tZwfgrHOc3mvqYlEYSvVi, spotify:artist:6MFopqejpmTUUZlcRmGzgg</t>
  </si>
  <si>
    <t>Daft Punk, Todd Edwards</t>
  </si>
  <si>
    <t>https://p.scdn.co/mp3-preview/f9df34ef6aed7b14d7c534a5a73f524a0cf15dc1?cid=9950ac751e34487dbbe027c4fd7f8e99</t>
  </si>
  <si>
    <t>USQX91300111</t>
  </si>
  <si>
    <t>spotify:artist:4tZwfgrHOc3mvqYlEYSvVi, spotify:artist:1R84VlXnFFULOsWWV8IrCQ</t>
  </si>
  <si>
    <t>Daft Punk, Panda Bear</t>
  </si>
  <si>
    <t>https://p.scdn.co/mp3-preview/4e817f1f2c76c12939f5890e21b39390e33c81b2?cid=9950ac751e34487dbbe027c4fd7f8e99</t>
  </si>
  <si>
    <t>USQX91300112</t>
  </si>
  <si>
    <t>https://p.scdn.co/mp3-preview/623b53b537f0e52123bdd735cb3434064cbf02cc?cid=9950ac751e34487dbbe027c4fd7f8e99</t>
  </si>
  <si>
    <t>USQX91300113</t>
  </si>
  <si>
    <t>spotify:album:7u6zL7kqpgLPISZYXNTgYk</t>
  </si>
  <si>
    <t>https://i.scdn.co/image/ab67616d0000b273673288fb985e5c194536ae27</t>
  </si>
  <si>
    <t>https://p.scdn.co/mp3-preview/cd3d295679bd5d7849ca4daefd47a46996e5b38d?cid=9950ac751e34487dbbe027c4fd7f8e99</t>
  </si>
  <si>
    <t>GBDUW0700001</t>
  </si>
  <si>
    <t>https://p.scdn.co/mp3-preview/51a679acd23198fdd384673a0a4ecb3fb2f91b72?cid=9950ac751e34487dbbe027c4fd7f8e99</t>
  </si>
  <si>
    <t>GBDUW0700002</t>
  </si>
  <si>
    <t>https://p.scdn.co/mp3-preview/e47dee8b61abf31d2684394e40822b5f1e03f720?cid=9950ac751e34487dbbe027c4fd7f8e99</t>
  </si>
  <si>
    <t>GBDUW0700003</t>
  </si>
  <si>
    <t>https://p.scdn.co/mp3-preview/f70793668abed398b2b8e32f42fdff285b4208c4?cid=9950ac751e34487dbbe027c4fd7f8e99</t>
  </si>
  <si>
    <t>GBDUW0700004</t>
  </si>
  <si>
    <t>https://p.scdn.co/mp3-preview/90dfa23c87d23522605d1b7f5fb5b1959a7cfeba?cid=9950ac751e34487dbbe027c4fd7f8e99</t>
  </si>
  <si>
    <t>GBDUW0700005</t>
  </si>
  <si>
    <t>https://p.scdn.co/mp3-preview/4ee34dd61ed0378cd7a653a31cd89d35aea42f84?cid=9950ac751e34487dbbe027c4fd7f8e99</t>
  </si>
  <si>
    <t>GBDUW0700006</t>
  </si>
  <si>
    <t>https://p.scdn.co/mp3-preview/2ce8cbc6cc1404dac994f2157f5f4683729798c2?cid=9950ac751e34487dbbe027c4fd7f8e99</t>
  </si>
  <si>
    <t>GBDUW0700007</t>
  </si>
  <si>
    <t>https://p.scdn.co/mp3-preview/e71d0fb524c3a7bd63031c94f3ed5c78dc5c7c24?cid=9950ac751e34487dbbe027c4fd7f8e99</t>
  </si>
  <si>
    <t>GBDUW0700008</t>
  </si>
  <si>
    <t>https://p.scdn.co/mp3-preview/5ac1b8f7cd554e909810bf7fb7801a67c844a67f?cid=9950ac751e34487dbbe027c4fd7f8e99</t>
  </si>
  <si>
    <t>GBDUW0700009</t>
  </si>
  <si>
    <t>https://p.scdn.co/mp3-preview/e35f095f90c51c65560825a48c7bc38512c79446?cid=9950ac751e34487dbbe027c4fd7f8e99</t>
  </si>
  <si>
    <t>GBDUW0700010</t>
  </si>
  <si>
    <t>https://p.scdn.co/mp3-preview/6cd290fc03be514e34b0f03220e8c20cd6f33023?cid=9950ac751e34487dbbe027c4fd7f8e99</t>
  </si>
  <si>
    <t>GBDUW0700011</t>
  </si>
  <si>
    <t>https://p.scdn.co/mp3-preview/c33dff284786e1ddf33beb9fe5c10f9947348ffd?cid=9950ac751e34487dbbe027c4fd7f8e99</t>
  </si>
  <si>
    <t>GBDUW0700012</t>
  </si>
  <si>
    <t>https://p.scdn.co/mp3-preview/55db073e3f67ed40e9c54a6468bc13b28a7998cc?cid=9950ac751e34487dbbe027c4fd7f8e99</t>
  </si>
  <si>
    <t>GBDUW0700013</t>
  </si>
  <si>
    <t>spotify:artist:4tZwfgrHOc3mvqYlEYSvVi, spotify:artist:1rAv1GhTQ2rmG94p9lU3rB, spotify:artist:4nUBBtLtzqZGpdiynTJbYJ</t>
  </si>
  <si>
    <t>Daft Punk, Julian Casablancas, The Voidz</t>
  </si>
  <si>
    <t>spotify:album:4mAhdh996uW5SnnFKXUmC0</t>
  </si>
  <si>
    <t>https://i.scdn.co/image/ab67616d0000b2733c196ec7c5344d654ff552e9</t>
  </si>
  <si>
    <t>https://p.scdn.co/mp3-preview/2eb5ed45af312e78dcedf992655190bae7812dab?cid=9950ac751e34487dbbe027c4fd7f8e99</t>
  </si>
  <si>
    <t>GBDUW2300030</t>
  </si>
  <si>
    <t>spotify:artist:0NDElNqwGRCmsYIQFapp6K, spotify:artist:0WbqAlM1WvfUD6dF7omThd</t>
  </si>
  <si>
    <t>Oliver, Yelle</t>
  </si>
  <si>
    <t>spotify:album:68Napy7W8wRervbgGRkKP7</t>
  </si>
  <si>
    <t>spotify:artist:0NDElNqwGRCmsYIQFapp6K</t>
  </si>
  <si>
    <t>https://i.scdn.co/image/ab67616d0000b2730ea03528dd9f897237cf6e05</t>
  </si>
  <si>
    <t>https://p.scdn.co/mp3-preview/0ed8676420925a854e1bd6553e9edcd591935387?cid=9950ac751e34487dbbe027c4fd7f8e99</t>
  </si>
  <si>
    <t>USUM71708650</t>
  </si>
  <si>
    <t>spotify:artist:2x7EATekOPhFGRx3syMGEC, spotify:artist:0WbqAlM1WvfUD6dF7omThd</t>
  </si>
  <si>
    <t>The Knocks, Yelle</t>
  </si>
  <si>
    <t>spotify:album:5OyffpzmB41jUJaEUtvDMy</t>
  </si>
  <si>
    <t>https://i.scdn.co/image/ab67616d0000b273dc23f168c207cfe1c83f6e62</t>
  </si>
  <si>
    <t>https://p.scdn.co/mp3-preview/df7fae5b9d96f2172266e190283fd8fda083f60b?cid=9950ac751e34487dbbe027c4fd7f8e99</t>
  </si>
  <si>
    <t>USA2P2441789</t>
  </si>
  <si>
    <t>spotify:artist:0WbqAlM1WvfUD6dF7omThd</t>
  </si>
  <si>
    <t>spotify:album:2UiP7sGjSxl52QtlWAXYVy</t>
  </si>
  <si>
    <t>https://i.scdn.co/image/ab67616d0000b2735da1104c8104431eb16f831c</t>
  </si>
  <si>
    <t>https://p.scdn.co/mp3-preview/4ad638b54d069cc333ad16d087043a9892577a42?cid=9950ac751e34487dbbe027c4fd7f8e99</t>
  </si>
  <si>
    <t>FRZ110701305</t>
  </si>
  <si>
    <t>spotify:artist:0QWrMNukfcVOmgEU0FEDyD, spotify:artist:23rK0hajv5ix2yPM4IIgOo, spotify:artist:08V2vgJBY6VLoUPWlznRKo, spotify:artist:0WbqAlM1WvfUD6dF7omThd, spotify:artist:71lZJZW9HMo98xlTKfcS25, spotify:artist:4akybxRTGHJZ1DXjLhJ1qu, spotify:artist:6UtYvUtXnmg5EtllDFlWp8</t>
  </si>
  <si>
    <t>Jacob Collier, D Smoke, Sho Madjozi, Yelle, Kanyi Mavi, Kirk Franklin, CHIKA</t>
  </si>
  <si>
    <t>spotify:album:13r6eqjYlKELFQlNvVCBz1</t>
  </si>
  <si>
    <t>spotify:artist:0QWrMNukfcVOmgEU0FEDyD</t>
  </si>
  <si>
    <t>Jacob Collier</t>
  </si>
  <si>
    <t>https://i.scdn.co/image/ab67616d0000b273b1b5640ec6436246b57a32f1</t>
  </si>
  <si>
    <t>https://p.scdn.co/mp3-preview/7accbde2df5c9473bf39349acc6d6e30614b2f56?cid=9950ac751e34487dbbe027c4fd7f8e99</t>
  </si>
  <si>
    <t>GBUM72310488</t>
  </si>
  <si>
    <t>spotify:album:5iCfp2KefljOSPdRqpAvyW</t>
  </si>
  <si>
    <t>L'Ãˆre du Verseau</t>
  </si>
  <si>
    <t>https://i.scdn.co/image/ab67616d0000b273f44093d8178aec0848ab6e5a</t>
  </si>
  <si>
    <t>https://p.scdn.co/mp3-preview/22456e26d847c02e980fc7a519b933d75c364f01?cid=9950ac751e34487dbbe027c4fd7f8e99</t>
  </si>
  <si>
    <t>FRIDO2010743</t>
  </si>
  <si>
    <t>spotify:album:2XolNg2hRMOlDMUD8vuqzJ</t>
  </si>
  <si>
    <t>https://i.scdn.co/image/ab67616d0000b2732a3613ff2c4649ec2a27b0ce</t>
  </si>
  <si>
    <t>https://p.scdn.co/mp3-preview/433464b6afd7f51d51aeb18e1ddc81818732ef86?cid=9950ac751e34487dbbe027c4fd7f8e99</t>
  </si>
  <si>
    <t>FR9W11100034</t>
  </si>
  <si>
    <t>https://p.scdn.co/mp3-preview/869a8074245fc420c137d84793e65e5b22142568?cid=9950ac751e34487dbbe027c4fd7f8e99</t>
  </si>
  <si>
    <t>FRZ110701298</t>
  </si>
  <si>
    <t>spotify:artist:4y3UEf0tig9R7MkvaOy6s1, spotify:artist:0WbqAlM1WvfUD6dF7omThd</t>
  </si>
  <si>
    <t>Ambriel, Yelle</t>
  </si>
  <si>
    <t>spotify:album:60oyWlqVN8btQBd8eUhczO</t>
  </si>
  <si>
    <t>spotify:artist:5r03uR4TW9ysBSMmWc51T7</t>
  </si>
  <si>
    <t>Pierre Desprats</t>
  </si>
  <si>
    <t>https://i.scdn.co/image/ab67616d0000b2732752c4b1b5775dcdd81f47df</t>
  </si>
  <si>
    <t>https://p.scdn.co/mp3-preview/c6304371eb285ae61d4bc129970809ff38120ce7?cid=9950ac751e34487dbbe027c4fd7f8e99</t>
  </si>
  <si>
    <t>FR8E72400640</t>
  </si>
  <si>
    <t>spotify:artist:5udXThiZTVoHa4g0GDjgxA, spotify:artist:0WbqAlM1WvfUD6dF7omThd, spotify:artist:0PyyoamnJX4tdrSf8r6dij</t>
  </si>
  <si>
    <t>Scratch Massive, Yelle, Maud Geffray</t>
  </si>
  <si>
    <t>spotify:album:6HSL1XRfNmkBkPWJ4Ix5YH</t>
  </si>
  <si>
    <t>https://i.scdn.co/image/ab67616d0000b2732be688badfe4345d22cc9e14</t>
  </si>
  <si>
    <t>https://p.scdn.co/mp3-preview/6cf8a66cbd1fd609f2eab3679d146dd1def8fe06?cid=9950ac751e34487dbbe027c4fd7f8e99</t>
  </si>
  <si>
    <t>QZ4K31600361</t>
  </si>
  <si>
    <t>spotify:artist:0WbqAlM1WvfUD6dF7omThd, spotify:artist:4pb4rqWSoGUgxm63xmJ8xc</t>
  </si>
  <si>
    <t>Yelle, Madeon</t>
  </si>
  <si>
    <t>https://p.scdn.co/mp3-preview/f9c2d3887ecbab75f930ed920a34f26b56677548?cid=9950ac751e34487dbbe027c4fd7f8e99</t>
  </si>
  <si>
    <t>FR9W11100504</t>
  </si>
  <si>
    <t>Ã€ cause des garÃ§ons</t>
  </si>
  <si>
    <t>https://p.scdn.co/mp3-preview/4512f20aed99d8fef148ee777a386f8d43b59159?cid=9950ac751e34487dbbe027c4fd7f8e99</t>
  </si>
  <si>
    <t>FRZ110701248</t>
  </si>
  <si>
    <t>Ã€ cause des garÃ§ons - Tepr Remix</t>
  </si>
  <si>
    <t>spotify:artist:0WbqAlM1WvfUD6dF7omThd, spotify:artist:6gvLnqSteeVfB6WnmVJV1j</t>
  </si>
  <si>
    <t>Yelle, Tepr</t>
  </si>
  <si>
    <t>spotify:album:01iSGkhk55RkpKPybjdaDd</t>
  </si>
  <si>
    <t>KitsunÃ© Maison Compilation 5</t>
  </si>
  <si>
    <t>https://i.scdn.co/image/ab67616d0000b2732412d822fa03b269889e27de</t>
  </si>
  <si>
    <t>https://p.scdn.co/mp3-preview/79d5fbfbc051c7e4bc5382f3d43ea4940c911fb2?cid=9950ac751e34487dbbe027c4fd7f8e99</t>
  </si>
  <si>
    <t>FRU700700129</t>
  </si>
  <si>
    <t>spotify:artist:0EJdA6JT738oZGopzk8Usg, spotify:artist:0WbqAlM1WvfUD6dF7omThd</t>
  </si>
  <si>
    <t>Voyou, Yelle</t>
  </si>
  <si>
    <t>spotify:album:5ycDoKjwKilmVDuCb3ezEI</t>
  </si>
  <si>
    <t>spotify:artist:0EJdA6JT738oZGopzk8Usg</t>
  </si>
  <si>
    <t>Voyou</t>
  </si>
  <si>
    <t>https://i.scdn.co/image/ab67616d0000b2736ae3fff7acd73d8a10b294e6</t>
  </si>
  <si>
    <t>https://p.scdn.co/mp3-preview/09e2c9abaa31c4eee6a1596de4aa38045329b718?cid=9950ac751e34487dbbe027c4fd7f8e99</t>
  </si>
  <si>
    <t>FRPI61800470</t>
  </si>
  <si>
    <t>KaratÃ©</t>
  </si>
  <si>
    <t>https://p.scdn.co/mp3-preview/5c40b887cebdfce30f61ea7b7ef72c2413040cc3?cid=9950ac751e34487dbbe027c4fd7f8e99</t>
  </si>
  <si>
    <t>FR9W12015278</t>
  </si>
  <si>
    <t>https://p.scdn.co/mp3-preview/d8e9da5b7eef8333f54277d5b69de2faed74b064?cid=9950ac751e34487dbbe027c4fd7f8e99</t>
  </si>
  <si>
    <t>FR8E72400655</t>
  </si>
  <si>
    <t>Les glaÃ§ons</t>
  </si>
  <si>
    <t>spotify:artist:0UgxFqJmwkpojz4mHBsRpD, spotify:artist:0WbqAlM1WvfUD6dF7omThd</t>
  </si>
  <si>
    <t>KALIKA, Yelle</t>
  </si>
  <si>
    <t>spotify:album:0UrbIea2sXlvZfMhD9PkFA</t>
  </si>
  <si>
    <t>spotify:artist:0UgxFqJmwkpojz4mHBsRpD</t>
  </si>
  <si>
    <t>KALIKA</t>
  </si>
  <si>
    <t>https://i.scdn.co/image/ab67616d0000b2738c7cdda9819e539679ee40bf</t>
  </si>
  <si>
    <t>https://p.scdn.co/mp3-preview/98755f1c71f1b50ba2eec76b0a07d9212f44b052?cid=9950ac751e34487dbbe027c4fd7f8e99</t>
  </si>
  <si>
    <t>FR6F32203380</t>
  </si>
  <si>
    <t>ComplÃ¨tement fou</t>
  </si>
  <si>
    <t>spotify:album:2jgb0dt6ix8RRvJWmDRb5Z</t>
  </si>
  <si>
    <t>https://i.scdn.co/image/ab67616d0000b273a84efe4704b8869e487cebff</t>
  </si>
  <si>
    <t>https://p.scdn.co/mp3-preview/f8455e3b1e6691d0687347007897873563688415?cid=9950ac751e34487dbbe027c4fd7f8e99</t>
  </si>
  <si>
    <t>USQX91401473</t>
  </si>
  <si>
    <t>https://p.scdn.co/mp3-preview/2901da33b1325261b93a8c9acd39846e70081bf9?cid=9950ac751e34487dbbe027c4fd7f8e99</t>
  </si>
  <si>
    <t>FR9W12015277</t>
  </si>
  <si>
    <t>Parle Ã  ma main (feat. Yelle et Christelle)</t>
  </si>
  <si>
    <t>spotify:artist:5oDxGfxYaJkfp6xZlXQnr8, spotify:artist:11QAqFo2Y52lwpV24mjoAB, spotify:artist:0WbqAlM1WvfUD6dF7omThd</t>
  </si>
  <si>
    <t>Fatal Bazooka, Christelle, Yelle</t>
  </si>
  <si>
    <t>spotify:album:2eNobAGC5Cc92aL5lXlmwf</t>
  </si>
  <si>
    <t>spotify:artist:5oDxGfxYaJkfp6xZlXQnr8</t>
  </si>
  <si>
    <t>Fatal Bazooka</t>
  </si>
  <si>
    <t>https://i.scdn.co/image/ab67616d0000b273f607fd527d2dee688c2eb344</t>
  </si>
  <si>
    <t>https://p.scdn.co/mp3-preview/0a9216406398f279872fa8116b76abb2ac00149c?cid=9950ac751e34487dbbe027c4fd7f8e99</t>
  </si>
  <si>
    <t>FR9P40700015</t>
  </si>
  <si>
    <t>spotify:artist:1Xk0nDHC6tiYtyMdGPjL0Q, spotify:artist:0WbqAlM1WvfUD6dF7omThd</t>
  </si>
  <si>
    <t>Dad Feels, Yelle</t>
  </si>
  <si>
    <t>spotify:album:0eICxoM7bZLxznByNrnlP2</t>
  </si>
  <si>
    <t>spotify:artist:1Xk0nDHC6tiYtyMdGPjL0Q</t>
  </si>
  <si>
    <t>https://i.scdn.co/image/ab67616d0000b27372545fcac46d50c9a94ae686</t>
  </si>
  <si>
    <t>https://p.scdn.co/mp3-preview/6b5780460bd054cce4a122fd6e438b0918b08b11?cid=9950ac751e34487dbbe027c4fd7f8e99</t>
  </si>
  <si>
    <t>USHM21994464</t>
  </si>
  <si>
    <t>https://p.scdn.co/mp3-preview/563f80783dc6d0cb4b67460bd5c257f7b48d8f41?cid=9950ac751e34487dbbe027c4fd7f8e99</t>
  </si>
  <si>
    <t>USQX91401476</t>
  </si>
  <si>
    <t>https://p.scdn.co/mp3-preview/008b9a4cad1427cd4b40f8b5c5155cbf7c85554e?cid=9950ac751e34487dbbe027c4fd7f8e99</t>
  </si>
  <si>
    <t>FR9W12015282</t>
  </si>
  <si>
    <t>spotify:album:2eSC213hrzRKuDU60H8Kho</t>
  </si>
  <si>
    <t>https://i.scdn.co/image/ab67616d0000b27365cec576cc177885fc4ed8b9</t>
  </si>
  <si>
    <t>https://p.scdn.co/mp3-preview/37844647e00aca7938a1203c18feba42cf62c9d1?cid=9950ac751e34487dbbe027c4fd7f8e99</t>
  </si>
  <si>
    <t>FR9W11718100</t>
  </si>
  <si>
    <t>spotify:artist:3o1cwVQfiDWafhYA02k13C, spotify:artist:0WbqAlM1WvfUD6dF7omThd</t>
  </si>
  <si>
    <t>Crookers, Yelle</t>
  </si>
  <si>
    <t>spotify:album:0Scy0tCXeZWu0NAXQXRhpo</t>
  </si>
  <si>
    <t>KitsunÃ© Maison Compilation 9: Petit Bateau Edition</t>
  </si>
  <si>
    <t>https://i.scdn.co/image/ab67616d0000b2737a80e6e57a2e11a782ce2009</t>
  </si>
  <si>
    <t>https://p.scdn.co/mp3-preview/7704ba8ff2b92449c4623e0fef058fe844d2df46?cid=9950ac751e34487dbbe027c4fd7f8e99</t>
  </si>
  <si>
    <t>GBEFR0901873</t>
  </si>
  <si>
    <t>https://p.scdn.co/mp3-preview/62e4c5c89df592a3ba22c6e90184ad7b1a21ee8f?cid=9950ac751e34487dbbe027c4fd7f8e99</t>
  </si>
  <si>
    <t>FR9W11100037</t>
  </si>
  <si>
    <t>https://p.scdn.co/mp3-preview/09649083eee5be244608d67480bd883cce5e2a7d?cid=9950ac751e34487dbbe027c4fd7f8e99</t>
  </si>
  <si>
    <t>FR9W12015281</t>
  </si>
  <si>
    <t>OphÃ©lie</t>
  </si>
  <si>
    <t>spotify:artist:4h7NLIlg1oYdEtfQJfyto0, spotify:artist:0WbqAlM1WvfUD6dF7omThd</t>
  </si>
  <si>
    <t>Nouvelle Vague, Yelle</t>
  </si>
  <si>
    <t>spotify:album:4O5Sc2AKeID5h5KPHjQ4bl</t>
  </si>
  <si>
    <t>Version FranÃ§aise</t>
  </si>
  <si>
    <t>spotify:artist:4h7NLIlg1oYdEtfQJfyto0</t>
  </si>
  <si>
    <t>Nouvelle Vague</t>
  </si>
  <si>
    <t>https://i.scdn.co/image/ab67616d0000b273b58f3486d4cc65315e8f8e4d</t>
  </si>
  <si>
    <t>https://p.scdn.co/mp3-preview/398f11786700d6e36a54f4e82135a2eb87b0f873?cid=9950ac751e34487dbbe027c4fd7f8e99</t>
  </si>
  <si>
    <t>FR13Z1000050</t>
  </si>
  <si>
    <t>https://p.scdn.co/mp3-preview/af6207713426e8710d15168470edea320541646f?cid=9950ac751e34487dbbe027c4fd7f8e99</t>
  </si>
  <si>
    <t>FRZ110701301</t>
  </si>
  <si>
    <t>spotify:album:1AXHNAveO2Ffiy73XnvtII</t>
  </si>
  <si>
    <t>ComplÃ¨tement Fou (Remix) [EP]</t>
  </si>
  <si>
    <t>https://i.scdn.co/image/ab67616d0000b27355148cc3b07998f2c1b42616</t>
  </si>
  <si>
    <t>https://p.scdn.co/mp3-preview/ca2d88a7411bde0c5887c6f1faf628229cd68ea1?cid=9950ac751e34487dbbe027c4fd7f8e99</t>
  </si>
  <si>
    <t>USQX91500388</t>
  </si>
  <si>
    <t>https://p.scdn.co/mp3-preview/d54fb3b132ae604e9219644646a073e2dd07e03e?cid=9950ac751e34487dbbe027c4fd7f8e99</t>
  </si>
  <si>
    <t>FR9W12015276</t>
  </si>
  <si>
    <t>spotify:album:54SCpxOV9jimjafayIuEEs</t>
  </si>
  <si>
    <t>https://i.scdn.co/image/ab67616d0000b273e291fdb28f965c16277bb7cb</t>
  </si>
  <si>
    <t>https://p.scdn.co/mp3-preview/852a9048c5b590ed364b43a8c0d10dc1b9d71cd8?cid=9950ac751e34487dbbe027c4fd7f8e99</t>
  </si>
  <si>
    <t>FR9W11623198</t>
  </si>
  <si>
    <t>https://p.scdn.co/mp3-preview/1f7ac1ed5fe04a59a53bf549b44d6276d8545529?cid=9950ac751e34487dbbe027c4fd7f8e99</t>
  </si>
  <si>
    <t>FRZ110701304</t>
  </si>
  <si>
    <t>https://p.scdn.co/mp3-preview/57ada20dbebfcaa0ebc1d26bea2ed9c7270313dd?cid=9950ac751e34487dbbe027c4fd7f8e99</t>
  </si>
  <si>
    <t>USQX91401477</t>
  </si>
  <si>
    <t>spotify:album:0mbMLXHFzPZsIMJNpChwtX</t>
  </si>
  <si>
    <t>https://i.scdn.co/image/ab67616d0000b2732cbcd5d4f4b8afd35e992a1f</t>
  </si>
  <si>
    <t>https://p.scdn.co/mp3-preview/3ef2713542986d423b3cfa1466e0eeeb43952bce?cid=9950ac751e34487dbbe027c4fd7f8e99</t>
  </si>
  <si>
    <t>FR9W12250205</t>
  </si>
  <si>
    <t>https://p.scdn.co/mp3-preview/55c5786944e45abe81396b857fa6a1e35900dffa?cid=9950ac751e34487dbbe027c4fd7f8e99</t>
  </si>
  <si>
    <t>FR9W11004244</t>
  </si>
  <si>
    <t>https://p.scdn.co/mp3-preview/e6b0d90a5aa47d279fbab67d164b8d2967e9407d?cid=9950ac751e34487dbbe027c4fd7f8e99</t>
  </si>
  <si>
    <t>FRZ110701303</t>
  </si>
  <si>
    <t>https://p.scdn.co/mp3-preview/a642d9bb5d6822535f487c939561b89b53762900?cid=9950ac751e34487dbbe027c4fd7f8e99</t>
  </si>
  <si>
    <t>USQX91401434</t>
  </si>
  <si>
    <t>spotify:album:0D63O7hMipOqBr0idRFJ5f</t>
  </si>
  <si>
    <t>https://i.scdn.co/image/ab67616d0000b27301edf78d3ba0076445ea64a3</t>
  </si>
  <si>
    <t>https://p.scdn.co/mp3-preview/ffc10a73445f14b7334152196ea3de717ee779ec?cid=9950ac751e34487dbbe027c4fd7f8e99</t>
  </si>
  <si>
    <t>FR9W10903715</t>
  </si>
  <si>
    <t>https://p.scdn.co/mp3-preview/58364a241877c1dd617788a0566f975abdbb8087?cid=9950ac751e34487dbbe027c4fd7f8e99</t>
  </si>
  <si>
    <t>FR9W11100038</t>
  </si>
  <si>
    <t>spotify:album:680I0XBL6OmEs0CRiUBozP</t>
  </si>
  <si>
    <t>https://i.scdn.co/image/ab67616d0000b273e91098ab8b09096b72aa0cf2</t>
  </si>
  <si>
    <t>https://p.scdn.co/mp3-preview/1bfb53db030225ba4e430a9d0cf9a63741a7cccf?cid=9950ac751e34487dbbe027c4fd7f8e99</t>
  </si>
  <si>
    <t>FR9W11705572</t>
  </si>
  <si>
    <t>https://p.scdn.co/mp3-preview/839272c55eb61af48c271b84d9d77e175b9b86b4?cid=9950ac751e34487dbbe027c4fd7f8e99</t>
  </si>
  <si>
    <t>USQX91401474</t>
  </si>
  <si>
    <t>spotify:album:3eGj7WeimEGsoJtcTV8WOP</t>
  </si>
  <si>
    <t>https://i.scdn.co/image/ab67616d0000b2734a4376e56045ca8c1c9978d6</t>
  </si>
  <si>
    <t>https://p.scdn.co/mp3-preview/f932856fa7fdb6a648622f07d230b3971d7dbd5c?cid=9950ac751e34487dbbe027c4fd7f8e99</t>
  </si>
  <si>
    <t>FR9W11214782</t>
  </si>
  <si>
    <t>https://p.scdn.co/mp3-preview/ec886b3e9050679de1cae745d60414324541e217?cid=9950ac751e34487dbbe027c4fd7f8e99</t>
  </si>
  <si>
    <t>FR9W11100036</t>
  </si>
  <si>
    <t>spotify:album:1jkIwKTAJlU5biyOjVC73Y</t>
  </si>
  <si>
    <t>https://i.scdn.co/image/ab67616d0000b273acd5d51a081e80f305c303bb</t>
  </si>
  <si>
    <t>https://p.scdn.co/mp3-preview/faa6c878cc9ca7b1493dfb4b66ae0e68a9f65067?cid=9950ac751e34487dbbe027c4fd7f8e99</t>
  </si>
  <si>
    <t>FR9W11813237</t>
  </si>
  <si>
    <t>https://p.scdn.co/mp3-preview/0ccf3552ba11de09401cf0ebe5e6dd48ce0eacc1?cid=9950ac751e34487dbbe027c4fd7f8e99</t>
  </si>
  <si>
    <t>USQX91401481</t>
  </si>
  <si>
    <t>22/05/1981</t>
  </si>
  <si>
    <t>28/08/2015</t>
  </si>
  <si>
    <t>18/04/2014</t>
  </si>
  <si>
    <t>21/10/2022</t>
  </si>
  <si>
    <t>31/01/2025</t>
  </si>
  <si>
    <t>20/12/2024</t>
  </si>
  <si>
    <t>27/09/2024</t>
  </si>
  <si>
    <t>16/08/2024</t>
  </si>
  <si>
    <t>26/07/2024</t>
  </si>
  <si>
    <t>19/07/2024</t>
  </si>
  <si>
    <t>31/05/2024</t>
  </si>
  <si>
    <t>22/08/2006</t>
  </si>
  <si>
    <t>21/06/2024</t>
  </si>
  <si>
    <t>27/01/2023</t>
  </si>
  <si>
    <t>29/10/2021</t>
  </si>
  <si>
    <t>25/06/1905</t>
  </si>
  <si>
    <t>22/09/2014</t>
  </si>
  <si>
    <t>30/09/2016</t>
  </si>
  <si>
    <t>14/05/2007</t>
  </si>
  <si>
    <t>28/05/2021</t>
  </si>
  <si>
    <t>30/09/2013</t>
  </si>
  <si>
    <t>27/10/2023</t>
  </si>
  <si>
    <t>13/05/2022</t>
  </si>
  <si>
    <t>24/03/2023</t>
  </si>
  <si>
    <t>21/07/2023</t>
  </si>
  <si>
    <t>26/05/2023</t>
  </si>
  <si>
    <t>28/02/2020</t>
  </si>
  <si>
    <t>26/01/2024</t>
  </si>
  <si>
    <t>25/11/2016</t>
  </si>
  <si>
    <t>31/05/2013</t>
  </si>
  <si>
    <t>16/06/2017</t>
  </si>
  <si>
    <t>29/06/2018</t>
  </si>
  <si>
    <t>20/05/2016</t>
  </si>
  <si>
    <t>20/03/2015</t>
  </si>
  <si>
    <t>17/04/2020</t>
  </si>
  <si>
    <t>Error 2029</t>
  </si>
  <si>
    <t>29/10/2010</t>
  </si>
  <si>
    <t>28/03/2019</t>
  </si>
  <si>
    <t>18/01/2008</t>
  </si>
  <si>
    <t>20/02/2003</t>
  </si>
  <si>
    <t>30/08/2019</t>
  </si>
  <si>
    <t>26/04/2024</t>
  </si>
  <si>
    <t>18/06/2007</t>
  </si>
  <si>
    <t>24/10/2011</t>
  </si>
  <si>
    <t>17/10/2011</t>
  </si>
  <si>
    <t>14/05/2020</t>
  </si>
  <si>
    <t>18/11/2013</t>
  </si>
  <si>
    <t>24/02/2012</t>
  </si>
  <si>
    <t>17/03/2015</t>
  </si>
  <si>
    <t>17/03/2023</t>
  </si>
  <si>
    <t>20/09/2019</t>
  </si>
  <si>
    <t>22/03/2024</t>
  </si>
  <si>
    <t>18/10/2024</t>
  </si>
  <si>
    <t>24/08/2011</t>
  </si>
  <si>
    <t>22/11/2010</t>
  </si>
  <si>
    <t>26/08/2022</t>
  </si>
  <si>
    <t>22/03/2018</t>
  </si>
  <si>
    <t>27/11/2015</t>
  </si>
  <si>
    <t>25/01/2018</t>
  </si>
  <si>
    <t>14/09/2018</t>
  </si>
  <si>
    <t>26/02/2021</t>
  </si>
  <si>
    <t>20/05/2002</t>
  </si>
  <si>
    <t>15/07/2022</t>
  </si>
  <si>
    <t>22/02/2018</t>
  </si>
  <si>
    <t>13/07/1905</t>
  </si>
  <si>
    <t>27/01/2014</t>
  </si>
  <si>
    <t>20/05/2021</t>
  </si>
  <si>
    <t>13/08/2009</t>
  </si>
  <si>
    <t>27/06/2017</t>
  </si>
  <si>
    <t>28/07/2023</t>
  </si>
  <si>
    <t>26/07/2018</t>
  </si>
  <si>
    <t>19/11/2004</t>
  </si>
  <si>
    <t>24/08/2018</t>
  </si>
  <si>
    <t>17/07/2020</t>
  </si>
  <si>
    <t>15/02/2024</t>
  </si>
  <si>
    <t>14/06/2018</t>
  </si>
  <si>
    <t>30/03/2015</t>
  </si>
  <si>
    <t>15/11/2019</t>
  </si>
  <si>
    <t>26/07/2023</t>
  </si>
  <si>
    <t>21/06/2023</t>
  </si>
  <si>
    <t>27/04/2022</t>
  </si>
  <si>
    <t>22/07/2012</t>
  </si>
  <si>
    <t>27/08/2012</t>
  </si>
  <si>
    <t>26/01/2015</t>
  </si>
  <si>
    <t>24/03/2015</t>
  </si>
  <si>
    <t>31/05/2019</t>
  </si>
  <si>
    <t>16/10/2019</t>
  </si>
  <si>
    <t>14/08/2020</t>
  </si>
  <si>
    <t>16/01/1998</t>
  </si>
  <si>
    <t>25/02/2000</t>
  </si>
  <si>
    <t>26/01/2004</t>
  </si>
  <si>
    <t>24/08/1999</t>
  </si>
  <si>
    <t>28/02/2007</t>
  </si>
  <si>
    <t>28/05/2001</t>
  </si>
  <si>
    <t>15/03/2024</t>
  </si>
  <si>
    <t>15/06/2015</t>
  </si>
  <si>
    <t>23/05/2008</t>
  </si>
  <si>
    <t>26/02/2010</t>
  </si>
  <si>
    <t>18/12/2013</t>
  </si>
  <si>
    <t>14/10/2014</t>
  </si>
  <si>
    <t>25/07/2019</t>
  </si>
  <si>
    <t>21/09/2017</t>
  </si>
  <si>
    <t>31/05/2022</t>
  </si>
  <si>
    <t>28/07/2021</t>
  </si>
  <si>
    <t>24/06/2020</t>
  </si>
  <si>
    <t>22/10/2014</t>
  </si>
  <si>
    <t>23/07/2021</t>
  </si>
  <si>
    <t>13/04/2018</t>
  </si>
  <si>
    <t>22/08/2018</t>
  </si>
  <si>
    <t>13/08/2021</t>
  </si>
  <si>
    <t>21/06/2021</t>
  </si>
  <si>
    <t>15/10/2013</t>
  </si>
  <si>
    <t>22/03/2019</t>
  </si>
  <si>
    <t>13/06/2019</t>
  </si>
  <si>
    <t>30/08/2024</t>
  </si>
  <si>
    <t>28/06/2024</t>
  </si>
  <si>
    <t>13/06/2011</t>
  </si>
  <si>
    <t>21/06/2019</t>
  </si>
  <si>
    <t>26/08/2016</t>
  </si>
  <si>
    <t>23/11/2018</t>
  </si>
  <si>
    <t>18/06/2018</t>
  </si>
  <si>
    <t>24/01/2025</t>
  </si>
  <si>
    <t>26/01/2017</t>
  </si>
  <si>
    <t>17/01/1997</t>
  </si>
  <si>
    <t>14/03/2005</t>
  </si>
  <si>
    <t>29/03/2006</t>
  </si>
  <si>
    <t>20/05/2013</t>
  </si>
  <si>
    <t>19/11/2007</t>
  </si>
  <si>
    <t>25/08/2017</t>
  </si>
  <si>
    <t>24/07/2024</t>
  </si>
  <si>
    <t>31/08/2007</t>
  </si>
  <si>
    <t>17/01/2011</t>
  </si>
  <si>
    <t>29/11/2024</t>
  </si>
  <si>
    <t>14/11/2024</t>
  </si>
  <si>
    <t>15/02/2019</t>
  </si>
  <si>
    <t>26/09/2014</t>
  </si>
  <si>
    <t>28/05/2007</t>
  </si>
  <si>
    <t>22/09/2017</t>
  </si>
  <si>
    <t>26/04/2010</t>
  </si>
  <si>
    <t>24/01/2023</t>
  </si>
  <si>
    <t>29/05/2009</t>
  </si>
  <si>
    <t>21/08/2018</t>
  </si>
  <si>
    <t>On / Off-Daft Punk</t>
  </si>
  <si>
    <t>Pacific Coast Highway-Kavinsky</t>
  </si>
  <si>
    <t>Nightcall-Kavinsky</t>
  </si>
  <si>
    <t>SouthSide-DJ Snake,Eptic</t>
  </si>
  <si>
    <t>Gassed Up-Jauz,DJ Snake</t>
  </si>
  <si>
    <t>Love S.O.S-Justice</t>
  </si>
  <si>
    <t>Helix-Justice</t>
  </si>
  <si>
    <t>Audio, Video, Disco.-Justice</t>
  </si>
  <si>
    <t>Alakazam !-Justice</t>
  </si>
  <si>
    <t>Waters Of Nazareth-Justice</t>
  </si>
  <si>
    <t>Stress-Justice</t>
  </si>
  <si>
    <t>Fire-Justice</t>
  </si>
  <si>
    <t>DVNO-Justice</t>
  </si>
  <si>
    <t>New Lands-Justice</t>
  </si>
  <si>
    <t>Phantom Pt. II-Justice</t>
  </si>
  <si>
    <t>On'n'On-Justice</t>
  </si>
  <si>
    <t>Civilization-Justice</t>
  </si>
  <si>
    <t>Safe and Sound-Justice</t>
  </si>
  <si>
    <t>Genesis-Justice</t>
  </si>
  <si>
    <t>Linda-Martin Solveig</t>
  </si>
  <si>
    <t>Edony</t>
  </si>
  <si>
    <t>Edony-Martin Solveig,Hossam Ramzy</t>
  </si>
  <si>
    <t>Jealousy-Martin Solveig</t>
  </si>
  <si>
    <t>Rocking Music-Martin Solveig</t>
  </si>
  <si>
    <t>Big In Japan-Martin Solveig,Dragonette,Idoling!!!</t>
  </si>
  <si>
    <t>1234-Laidback Luke,Chuckie,Martin Solveig</t>
  </si>
  <si>
    <t>Ready 2 Go-Martin Solveig,Kele</t>
  </si>
  <si>
    <t>Let's not play Games-Martin Solveig,Sundaygirl</t>
  </si>
  <si>
    <t>Never Be Like You</t>
  </si>
  <si>
    <t>Never Be Like You-Flume,kai,Martin Solveig</t>
  </si>
  <si>
    <t>Hello-Martin Solveig,Dragonette</t>
  </si>
  <si>
    <t>Error 2029-Martin Solveig,SAM WHITE</t>
  </si>
  <si>
    <t>Intoxicated</t>
  </si>
  <si>
    <t>Intoxicated-Martin Solveig,Good Times Ahead</t>
  </si>
  <si>
    <t>Do It Right-Martin Solveig,Tkay Maidza</t>
  </si>
  <si>
    <t>All Stars-Martin Solveig,ALMA</t>
  </si>
  <si>
    <t>Places-Martin Solveig,Ina Wroldsen</t>
  </si>
  <si>
    <t>I Feel for You</t>
  </si>
  <si>
    <t>I Feel for You-Bob Sinclar,Mercer</t>
  </si>
  <si>
    <t>Lala Song-Bob Sinclar,Hendogg,Wonder Mike,Master Gee</t>
  </si>
  <si>
    <t>Save our soul</t>
  </si>
  <si>
    <t>Save our soul-Bob Sinclar</t>
  </si>
  <si>
    <t>Rainbow of Love-Bob Sinclar,Ben Onono</t>
  </si>
  <si>
    <t>Never Knew Love Like This Before-QUINZE,Bob Sinclar</t>
  </si>
  <si>
    <t>Borderline-Bob Sinclar,Nyv</t>
  </si>
  <si>
    <t>Tik Tok-Bob Sinclar,Sean Paul</t>
  </si>
  <si>
    <t>New New New-Bob Sinclar,Vybrate,Queen Ifrica,Makedah</t>
  </si>
  <si>
    <t>Rock the Boat-Bob Sinclar,Pitbull,Dragonfly,Fatman Scoop</t>
  </si>
  <si>
    <t>What I Want-Bob Sinclar,Fireball</t>
  </si>
  <si>
    <t>Get into the music</t>
  </si>
  <si>
    <t>Get into the music-Bob Sinclar</t>
  </si>
  <si>
    <t>Darlin'</t>
  </si>
  <si>
    <t>Darlin'-Bob Sinclar</t>
  </si>
  <si>
    <t>Ultimate funk</t>
  </si>
  <si>
    <t>Ultimate funk-Bob Sinclar</t>
  </si>
  <si>
    <t>Kiss my eyes</t>
  </si>
  <si>
    <t>Kiss my eyes-Bob Sinclar</t>
  </si>
  <si>
    <t>Save Our Soul</t>
  </si>
  <si>
    <t>Save Our Soul-Bob Sinclar</t>
  </si>
  <si>
    <t>My only love</t>
  </si>
  <si>
    <t>My only love-Bob Sinclar</t>
  </si>
  <si>
    <t>Adore-Bob Sinclar</t>
  </si>
  <si>
    <t>Far l'amore-Bob Sinclar,Raffaella Carrà</t>
  </si>
  <si>
    <t>Bob Sinclar, Raffaella Carrà</t>
  </si>
  <si>
    <t>Gym tonic</t>
  </si>
  <si>
    <t>Gym tonic-Bob Sinclar</t>
  </si>
  <si>
    <t>L'Emigrant-Jean-Michel Jarre</t>
  </si>
  <si>
    <t>September-Jean-Michel Jarre</t>
  </si>
  <si>
    <t>Second Rendez-Vous-Jean-Michel Jarre</t>
  </si>
  <si>
    <t>Quatrieme Rendez-Vous-Jean-Michel Jarre</t>
  </si>
  <si>
    <t>London Kid-Jean-Michel Jarre</t>
  </si>
  <si>
    <t>Revolution-Jean-Michel Jarre</t>
  </si>
  <si>
    <t>Computer Week-End-Jean-Michel Jarre</t>
  </si>
  <si>
    <t>Oxygene, Pt. 4-Jean-Michel Jarre</t>
  </si>
  <si>
    <t>Chants magnétiques, Pt. 2-Jean-Michel Jarre</t>
  </si>
  <si>
    <t>Revolution Industrielle, Pt. 1-2-3-Jean-Michel Jarre</t>
  </si>
  <si>
    <t>Revolution Industrielle-Ouverture-Jean-Michel Jarre</t>
  </si>
  <si>
    <t>Revolutions-Jean-Michel Jarre</t>
  </si>
  <si>
    <t>Ron's Piece-Jean-Michel Jarre</t>
  </si>
  <si>
    <t>Troisieme Rendez-Vous-Jean-Michel Jarre</t>
  </si>
  <si>
    <t>Benediction Du Pape-Jean-Michel Jarre</t>
  </si>
  <si>
    <t>Equinoxe, Pt. 5-Jean-Michel Jarre</t>
  </si>
  <si>
    <t>Souvenir De Chine-Jean-Michel Jarre</t>
  </si>
  <si>
    <t>Chants Magnetiques 1-Jean-Michel Jarre</t>
  </si>
  <si>
    <t>Ethnicolor-Jean-Michel Jarre</t>
  </si>
  <si>
    <t>Oxygene V</t>
  </si>
  <si>
    <t>Oxygene V-Jean-Michel Jarre</t>
  </si>
  <si>
    <t>Souvenir de Chine-Jean-Michel Jarre</t>
  </si>
  <si>
    <t>Chants Magnetiques, Pt. 2</t>
  </si>
  <si>
    <t>Chants Magnetiques, Pt. 2-Jean-Michel Jarre</t>
  </si>
  <si>
    <t>La Dernière Rumba</t>
  </si>
  <si>
    <t>La Dernière Rumba-Jean-Michel Jarre</t>
  </si>
  <si>
    <t>Nuit A Shanghai</t>
  </si>
  <si>
    <t>Nuit A Shanghai-Jean-Michel Jarre</t>
  </si>
  <si>
    <t>Harpe Laser</t>
  </si>
  <si>
    <t>Harpe Laser-Jean-Michel Jarre</t>
  </si>
  <si>
    <t>Chants Magnetiques, Pt. 4</t>
  </si>
  <si>
    <t>Chants Magnetiques, Pt. 4-Jean-Michel Jarre</t>
  </si>
  <si>
    <t>Chants Magnetiques, Pt. 3</t>
  </si>
  <si>
    <t>Chants Magnetiques, Pt. 3-Jean-Michel Jarre</t>
  </si>
  <si>
    <t>Chants Magnetiques, Pt. 1</t>
  </si>
  <si>
    <t>Chants Magnetiques, Pt. 1-Jean-Michel Jarre</t>
  </si>
  <si>
    <t>Orient Express</t>
  </si>
  <si>
    <t>Orient Express-Jean-Michel Jarre</t>
  </si>
  <si>
    <t>Equinoxe, Pt. 7-Jean-Michel Jarre</t>
  </si>
  <si>
    <t>L'Orchestre Sous La Pluie-Jean-Michel Jarre</t>
  </si>
  <si>
    <t>Jonques De Pêcheurs Au Crepuscule</t>
  </si>
  <si>
    <t>Jonques De Pêcheurs Au Crepuscule-Jean-Michel Jarre</t>
  </si>
  <si>
    <t>Equinoxe, Pt. 4-Jean-Michel Jarre</t>
  </si>
  <si>
    <t>Arpegiateur</t>
  </si>
  <si>
    <t>Arpegiateur-Jean-Michel Jarre</t>
  </si>
  <si>
    <t>L'Ouverture</t>
  </si>
  <si>
    <t>L'Ouverture-Jean-Michel Jarre</t>
  </si>
  <si>
    <t>Continuous Mix-Jean-Michel Jarre</t>
  </si>
  <si>
    <t>Last Rendez Vous</t>
  </si>
  <si>
    <t>Last Rendez Vous-Jean-Michel Jarre</t>
  </si>
  <si>
    <t>Fifth Rendez Vous</t>
  </si>
  <si>
    <t>Fifth Rendez Vous-Jean-Michel Jarre</t>
  </si>
  <si>
    <t>Third Rendez Vous</t>
  </si>
  <si>
    <t>Third Rendez Vous-Jean-Michel Jarre</t>
  </si>
  <si>
    <t>First Rendez Vous-Jean-Michel Jarre</t>
  </si>
  <si>
    <t>Magnetic Fields, Pt. 5-Jean-Michel Jarre</t>
  </si>
  <si>
    <t>Magnetic Fields, Pt. 4-Jean-Michel Jarre</t>
  </si>
  <si>
    <t>Magnetic Fields, Pt. 3-Jean-Michel Jarre</t>
  </si>
  <si>
    <t>Magnetic Fields, Pt. 2-Jean-Michel Jarre</t>
  </si>
  <si>
    <t>Magnetic Fields, Pt. 1-Jean-Michel Jarre</t>
  </si>
  <si>
    <t>Equinoxe, Pt. 8-Jean-Michel Jarre</t>
  </si>
  <si>
    <t>Equinoxe, Pt. 6-Jean-Michel Jarre</t>
  </si>
  <si>
    <t>Equinoxe, Pt. 3-Jean-Michel Jarre</t>
  </si>
  <si>
    <t>Equinoxe, Pt. 2-Jean-Michel Jarre</t>
  </si>
  <si>
    <t>Equinoxe, Pt. 1-Jean-Michel Jarre</t>
  </si>
  <si>
    <t>Oxygene, Pt. 6-Jean-Michel Jarre</t>
  </si>
  <si>
    <t>Oxygene, Pt. 5-Jean-Michel Jarre</t>
  </si>
  <si>
    <t>Oxygene, Pt. 3-Jean-Michel Jarre</t>
  </si>
  <si>
    <t>Oxygene, Pt. 1-Jean-Michel Jarre</t>
  </si>
  <si>
    <t>Loco Contigo</t>
  </si>
  <si>
    <t>Loco Contigo-DJ Snake,J Balvin,Tyga</t>
  </si>
  <si>
    <t>Run It</t>
  </si>
  <si>
    <t>Run It-DJ Snake,Rick Ross,Rich Brian</t>
  </si>
  <si>
    <t>Lean On-Major Lazer,MØ,DJ Snake</t>
  </si>
  <si>
    <t>Major Lazer, MØ, DJ Snake</t>
  </si>
  <si>
    <t>We Are Your Friends-Justice,Simian</t>
  </si>
  <si>
    <t>Cinderella</t>
  </si>
  <si>
    <t>Cinderella-Bob Sinclar</t>
  </si>
  <si>
    <t>I feel for you</t>
  </si>
  <si>
    <t>I feel for you-Bob Sinclar</t>
  </si>
  <si>
    <t>Fourth Rendez-Vous-Jean-Michel Jarre</t>
  </si>
  <si>
    <t>Oxygene, Pt. 2-Jean-Michel Jarre</t>
  </si>
  <si>
    <t>Cassius 99-Cassius</t>
  </si>
  <si>
    <t>I Believe-Bob Sinclar</t>
  </si>
  <si>
    <t>Introverted Division-Mad Mathilde,Cassius</t>
  </si>
  <si>
    <t>Grateful-Moveek,Robin S,Cassius</t>
  </si>
  <si>
    <t>Harpy dream-Justice</t>
  </si>
  <si>
    <t>Vision Of Paradise</t>
  </si>
  <si>
    <t>Vision Of Paradise-Bob Sinclar,Riva Starr</t>
  </si>
  <si>
    <t>Ponce-Cassius</t>
  </si>
  <si>
    <t>Can't Stop-Martin Solveig,Dragonette</t>
  </si>
  <si>
    <t>WDPK 83.7 FM-Daft Punk</t>
  </si>
  <si>
    <t>Arcadine-Cassius</t>
  </si>
  <si>
    <t>Room Tone-Cassius</t>
  </si>
  <si>
    <t>Blue Jean Smile</t>
  </si>
  <si>
    <t>Blue Jean Smile-Cassius,John Gourley</t>
  </si>
  <si>
    <t>You're On</t>
  </si>
  <si>
    <t>You're On-Madeon,Kyan,Alex Metric</t>
  </si>
  <si>
    <t>Shark Simple-Cassius</t>
  </si>
  <si>
    <t>Hey You!-Cassius,Ryan Tedder</t>
  </si>
  <si>
    <t>Remedy</t>
  </si>
  <si>
    <t>Remedy-Agoria,NOEMIE,Cassius</t>
  </si>
  <si>
    <t>No Lie-Michael Calfan,Martin Solveig</t>
  </si>
  <si>
    <t>Dinapoly-Cassius</t>
  </si>
  <si>
    <t>All I Want-Cassius</t>
  </si>
  <si>
    <t>Youth Speed Trouble Cigarettes-Cassius</t>
  </si>
  <si>
    <t>Till We Got You and Me-Cassius</t>
  </si>
  <si>
    <t>The no no's-Cassius</t>
  </si>
  <si>
    <t>Ibifornia</t>
  </si>
  <si>
    <t>Ibifornia-Cassius,Myd</t>
  </si>
  <si>
    <t>La Notte-Cassius</t>
  </si>
  <si>
    <t>The Train &amp; The River-Jean-Michel Jarre,Lang Lang</t>
  </si>
  <si>
    <t>Watching You-Jean-Michel Jarre,3D (Massive Attack)</t>
  </si>
  <si>
    <t>Pay No Mind</t>
  </si>
  <si>
    <t>Pay No Mind-Madeon,Passion Pit,Yasutaka Nakata</t>
  </si>
  <si>
    <t>Icarus-Madeon</t>
  </si>
  <si>
    <t>The Beat Goes On-Bob Sinclar</t>
  </si>
  <si>
    <t>CRYSTAL GARDEN-Jean-Michel Jarre</t>
  </si>
  <si>
    <t>Jackrock-Cassius</t>
  </si>
  <si>
    <t>Au Rêve-Cassius</t>
  </si>
  <si>
    <t>The City-Madeon</t>
  </si>
  <si>
    <t>EPICA-Jean-Michel Jarre</t>
  </si>
  <si>
    <t>ZEITGEIST-Jean-Michel Jarre</t>
  </si>
  <si>
    <t>SEX IN THE MACHINE-Jean-Michel Jarre</t>
  </si>
  <si>
    <t>SYNTHY SISTERS-Jean-Michel Jarre</t>
  </si>
  <si>
    <t>Oxygene, Pt. 18-Jean-Michel Jarre</t>
  </si>
  <si>
    <t>L'amour parfait-Yelle</t>
  </si>
  <si>
    <t>Nonsense</t>
  </si>
  <si>
    <t>Nonsense-Madeon,Mark Foster</t>
  </si>
  <si>
    <t>Capoeira Mata Um</t>
  </si>
  <si>
    <t>Capoeira Mata Um-Bob Sinclar,Tom Staar</t>
  </si>
  <si>
    <t>BRUTALISM-Jean-Michel Jarre</t>
  </si>
  <si>
    <t>ANIMAL GENESIS-Jean-Michel Jarre</t>
  </si>
  <si>
    <t>SONIC LAND-Jean-Michel Jarre</t>
  </si>
  <si>
    <t>Oxygene, Pt. 20-Jean-Michel Jarre</t>
  </si>
  <si>
    <t>The Architect-Jean-Michel Jarre,Jeff Mills</t>
  </si>
  <si>
    <t>Switch on Leon-Jean-Michel Jarre,The Orb</t>
  </si>
  <si>
    <t>Rely on Me-Jean-Michel Jarre,Laurie Anderson</t>
  </si>
  <si>
    <t>Travelator, Pt. 2-Jean-Michel Jarre,Pete Townshend</t>
  </si>
  <si>
    <t>Nuit de baise II-Yelle</t>
  </si>
  <si>
    <t>OMG!!!-Yelle</t>
  </si>
  <si>
    <t>Nothing About You-Cassius,John Gourley</t>
  </si>
  <si>
    <t>The Missing-Cassius,Ryan Tedder,JAW</t>
  </si>
  <si>
    <t>Pay No Mind-Madeon,Passion Pit</t>
  </si>
  <si>
    <t>The Ghetto</t>
  </si>
  <si>
    <t>The Ghetto-Bob Sinclar,Ian Pooley</t>
  </si>
  <si>
    <t>NEON LIPS-Jean-Michel Jarre</t>
  </si>
  <si>
    <t>AGORA-Jean-Michel Jarre</t>
  </si>
  <si>
    <t>Continous Mix-Jean-Michel Jarre</t>
  </si>
  <si>
    <t>Oxygene, Pt. 16-Jean-Michel Jarre</t>
  </si>
  <si>
    <t>Falling Down-Jean-Michel Jarre</t>
  </si>
  <si>
    <t>Walking the Mile-Jean-Michel Jarre,Christophe</t>
  </si>
  <si>
    <t>What You Want-Jean-Michel Jarre,Peaches</t>
  </si>
  <si>
    <t>If..!-Jean-Michel Jarre,Little Boots</t>
  </si>
  <si>
    <t>The Emigrant</t>
  </si>
  <si>
    <t>The Emigrant-Jean-Michel Jarre</t>
  </si>
  <si>
    <t>Tokyo Kid</t>
  </si>
  <si>
    <t>Tokyo Kid-Jean-Michel Jarre</t>
  </si>
  <si>
    <t>Interpassion-Yelle</t>
  </si>
  <si>
    <t>Bouquet final-Yelle</t>
  </si>
  <si>
    <t>Les Enfants</t>
  </si>
  <si>
    <t>Les Enfants-Cassius,Gesaffelstein</t>
  </si>
  <si>
    <t>Chase-Cassius</t>
  </si>
  <si>
    <t>Vedra-Cassius</t>
  </si>
  <si>
    <t>I'm a Woman-Cassius</t>
  </si>
  <si>
    <t>Gonna Be Good-Madeon</t>
  </si>
  <si>
    <t>D.A.N.C.E.</t>
  </si>
  <si>
    <t>D.A.N.C.E.-Justice</t>
  </si>
  <si>
    <t>Lonely in LA-Bob Sinclar</t>
  </si>
  <si>
    <t>DON'T LOOK BACK</t>
  </si>
  <si>
    <t>DON'T LOOK BACK-Jean-Michel Jarre</t>
  </si>
  <si>
    <t>Zero Gravity-Jean-Michel Jarre,Tangerine Dream</t>
  </si>
  <si>
    <t>Chronology, Pt. 7</t>
  </si>
  <si>
    <t>Chronology, Pt. 7-Jean-Michel Jarre</t>
  </si>
  <si>
    <t>Ethnicolor II</t>
  </si>
  <si>
    <t>Ethnicolor II-Jean-Michel Jarre</t>
  </si>
  <si>
    <t>C'est pas une vie-Yelle</t>
  </si>
  <si>
    <t>Chimie Physique-Yelle</t>
  </si>
  <si>
    <t>Qui est cette fille ?-Yelle</t>
  </si>
  <si>
    <t>Under Influence-Cassius</t>
  </si>
  <si>
    <t>Planetz-Cassius</t>
  </si>
  <si>
    <t>Rock Number One-Cassius</t>
  </si>
  <si>
    <t>Summer-Cassius</t>
  </si>
  <si>
    <t>Action-Cassius,Cat Power,Mike D</t>
  </si>
  <si>
    <t>Imperium-Madeon,Dillon Francis</t>
  </si>
  <si>
    <t>Hey Now</t>
  </si>
  <si>
    <t>Hey Now-Martin Solveig,The Cataracs,KYLE</t>
  </si>
  <si>
    <t>Romantico Starlight</t>
  </si>
  <si>
    <t>Romantico Starlight-Bob Sinclar,The Supermen Lovers,Robbie Williams</t>
  </si>
  <si>
    <t>Digane-Bob Sinclar,Sofiya Nzau,Dual Beat</t>
  </si>
  <si>
    <t>IF THE WIND COULD SPEAK</t>
  </si>
  <si>
    <t>IF THE WIND COULD SPEAK-Jean-Michel Jarre</t>
  </si>
  <si>
    <t>Oxygene, Pt. 19-Jean-Michel Jarre</t>
  </si>
  <si>
    <t>Oxygene, Pt. 15-Jean-Michel Jarre</t>
  </si>
  <si>
    <t>Close Your Eyes-Jean-Michel Jarre,Air</t>
  </si>
  <si>
    <t>Calypso, Pt. 2</t>
  </si>
  <si>
    <t>Calypso, Pt. 2-Jean-Michel Jarre</t>
  </si>
  <si>
    <t>Industrial Revolution, Pt. 3</t>
  </si>
  <si>
    <t>Industrial Revolution, Pt. 3-Jean-Michel Jarre</t>
  </si>
  <si>
    <t>Industrial Revolution, Pt. 1</t>
  </si>
  <si>
    <t>Industrial Revolution, Pt. 1-Jean-Michel Jarre</t>
  </si>
  <si>
    <t>Blah Blah Cafe-Jean-Michel Jarre</t>
  </si>
  <si>
    <t>Coca sans bulles-Yelle</t>
  </si>
  <si>
    <t>Les femmes-Yelle</t>
  </si>
  <si>
    <t>Top Fan-Yelle</t>
  </si>
  <si>
    <t>Nuit de baise I-Yelle</t>
  </si>
  <si>
    <t>Ophélie-Nouvelle Vague,Yelle</t>
  </si>
  <si>
    <t>Viber-Christopher Wilde,Maxx,Cheryl Lynn,Cassius</t>
  </si>
  <si>
    <t>Chuffed-Cassius</t>
  </si>
  <si>
    <t>You're On-Madeon,Kyan,Oliver</t>
  </si>
  <si>
    <t>Boys &amp; Girls-Martin Solveig,Dragonette</t>
  </si>
  <si>
    <t>Back Again-Bob Sinclar</t>
  </si>
  <si>
    <t>ALL THAT YOU LEAVE BEHIND</t>
  </si>
  <si>
    <t>ALL THAT YOU LEAVE BEHIND-Jean-Michel Jarre</t>
  </si>
  <si>
    <t>Gisele-Jean-Michel Jarre,Sébastien Tellier</t>
  </si>
  <si>
    <t>Jean-Michel Jarre, Sébastien Tellier</t>
  </si>
  <si>
    <t>A Question of Blood-Jean-Michel Jarre,John Carpenter</t>
  </si>
  <si>
    <t>Chronology, Pt. 8</t>
  </si>
  <si>
    <t>Chronology, Pt. 8-Jean-Michel Jarre</t>
  </si>
  <si>
    <t>Chronology, Pt. 5</t>
  </si>
  <si>
    <t>Chronology, Pt. 5-Jean-Michel Jarre</t>
  </si>
  <si>
    <t>Calypso, Pt. 3</t>
  </si>
  <si>
    <t>Calypso, Pt. 3-Jean-Michel Jarre</t>
  </si>
  <si>
    <t>Ici &amp; Maintenant</t>
  </si>
  <si>
    <t>Ici &amp; Maintenant-Yelle</t>
  </si>
  <si>
    <t>OXYMORE-Jean-Michel Jarre</t>
  </si>
  <si>
    <t>Oxygene, Pt. 14-Jean-Michel Jarre</t>
  </si>
  <si>
    <t>Circus-Jean-Michel Jarre,Siriusmo</t>
  </si>
  <si>
    <t>These Creatures-Jean-Michel Jarre,Julia Holter</t>
  </si>
  <si>
    <t>Chronology, Pt. 3</t>
  </si>
  <si>
    <t>Chronology, Pt. 3-Jean-Michel Jarre</t>
  </si>
  <si>
    <t>Wooloomooloo</t>
  </si>
  <si>
    <t>Wooloomooloo-Jean-Michel Jarre</t>
  </si>
  <si>
    <t>Diva-Jean-Michel Jarre</t>
  </si>
  <si>
    <t>La musique-Yelle</t>
  </si>
  <si>
    <t>W18-Cassius</t>
  </si>
  <si>
    <t>Home-Madeon</t>
  </si>
  <si>
    <t>Finale-Madeon,Nicholas Petricca</t>
  </si>
  <si>
    <t>INFINITY</t>
  </si>
  <si>
    <t>INFINITY-Jean-Michel Jarre</t>
  </si>
  <si>
    <t>Oxygene, Pt. 17-Jean-Michel Jarre</t>
  </si>
  <si>
    <t>Conquistador-Jean-Michel Jarre,Gesaffelstein</t>
  </si>
  <si>
    <t>Computer Weekend</t>
  </si>
  <si>
    <t>Computer Weekend-Jean-Michel Jarre</t>
  </si>
  <si>
    <t>Industrial Revolution: Overture</t>
  </si>
  <si>
    <t>Industrial Revolution: Overture-Jean-Michel Jarre</t>
  </si>
  <si>
    <t>See Me Now-Cassius</t>
  </si>
  <si>
    <t>I &lt;3 U SO-Orchestre Lamoureux,Cassius,Thomas Roussel</t>
  </si>
  <si>
    <t>Icarus-Madeon,Fred V,Grafix</t>
  </si>
  <si>
    <t>Exit-Jean-Michel Jarre,Edward Snowden</t>
  </si>
  <si>
    <t>Here for You-Jean-Michel Jarre,Gary Numan</t>
  </si>
  <si>
    <t>As One-Jean-Michel Jarre,Primal Scream</t>
  </si>
  <si>
    <t>Oxygene, Pt. 13-Jean-Michel Jarre</t>
  </si>
  <si>
    <t>Oxygene, Pt. 11-Jean-Michel Jarre</t>
  </si>
  <si>
    <t>Chronology, Pt. 1</t>
  </si>
  <si>
    <t>Chronology, Pt. 1-Jean-Michel Jarre</t>
  </si>
  <si>
    <t>Emancipense-Yelle</t>
  </si>
  <si>
    <t>Romeo-Yelle</t>
  </si>
  <si>
    <t>Foxxy-Cassius</t>
  </si>
  <si>
    <t>Blow-Martin Solveig,Laidback Luke</t>
  </si>
  <si>
    <t>Summer Moon</t>
  </si>
  <si>
    <t>Summer Moon-Africanism,Bob Sinclar,David Guetta,Joachim Garraud,Tim Deluxe,Ben Onono</t>
  </si>
  <si>
    <t>EQUINOXE INFINITY</t>
  </si>
  <si>
    <t>EQUINOXE INFINITY-Jean-Michel Jarre</t>
  </si>
  <si>
    <t>Glory-Jean-Michel Jarre,M83</t>
  </si>
  <si>
    <t>Oxygene, Pt. 9-Jean-Michel Jarre</t>
  </si>
  <si>
    <t>Chronology, Pt. 2</t>
  </si>
  <si>
    <t>Chronology, Pt. 2-Jean-Michel Jarre</t>
  </si>
  <si>
    <t>Revolution, Revolutions</t>
  </si>
  <si>
    <t>Revolution, Revolutions-Jean-Michel Jarre</t>
  </si>
  <si>
    <t>Tristesse / joie-Yelle</t>
  </si>
  <si>
    <t>Vue d'en face-Yelle</t>
  </si>
  <si>
    <t>Comme un enfant-Yelle</t>
  </si>
  <si>
    <t>Tu peux toucher-Ambriel,Yelle</t>
  </si>
  <si>
    <t>Pay No Mind-Madeon,Passion Pit,Ulrik Denizou Lund,Kjetil Jansen</t>
  </si>
  <si>
    <t>Finale-Madeon,Nicholas Petricca,Boris Daenen</t>
  </si>
  <si>
    <t>Give a Lil' Love-Bob Sinclar</t>
  </si>
  <si>
    <t>Suns Have Gone-Jean-Michel Jarre,Moby</t>
  </si>
  <si>
    <t>Calypso</t>
  </si>
  <si>
    <t>Calypso-Jean-Michel Jarre</t>
  </si>
  <si>
    <t>Cooler Couleur-Crookers,Yelle</t>
  </si>
  <si>
    <t>Diane-Dad Feels,Yelle</t>
  </si>
  <si>
    <t>J'veux un chien-Yelle</t>
  </si>
  <si>
    <t>Brotherhood-Cassius</t>
  </si>
  <si>
    <t>Heart on Her Sleeve-Shara Rose</t>
  </si>
  <si>
    <t>Dog Eat Dog</t>
  </si>
  <si>
    <t>Dog Eat Dog-YehMe2,Duke Deuce,DJ Snake</t>
  </si>
  <si>
    <t>Be Fine-Madeon</t>
  </si>
  <si>
    <t>Dream Dream Dream-Madeon</t>
  </si>
  <si>
    <t>Digane-Bob Sinclar,Sofiya Nzau,Raphael</t>
  </si>
  <si>
    <t>MACHINES ARE LEARNING</t>
  </si>
  <si>
    <t>MACHINES ARE LEARNING-Jean-Michel Jarre</t>
  </si>
  <si>
    <t>Immortals-Jean-Michel Jarre,Fuck Buttons</t>
  </si>
  <si>
    <t>The Time Machine-Jean-Michel Jarre,Boys Noize</t>
  </si>
  <si>
    <t>Tu es beau-Yelle</t>
  </si>
  <si>
    <t>Moteur Action</t>
  </si>
  <si>
    <t>Moteur Action-Yelle</t>
  </si>
  <si>
    <t>Noir-Yelle</t>
  </si>
  <si>
    <t>Ba$$in-Yelle</t>
  </si>
  <si>
    <t>Les glaçons-KALIKA,Yelle</t>
  </si>
  <si>
    <t>Go Up-Cassius,Cat Power,Pharrell Williams</t>
  </si>
  <si>
    <t>Fame-Cassius</t>
  </si>
  <si>
    <t>Pondicherry-DJ Snake,Malaa</t>
  </si>
  <si>
    <t>Ring The Alarm-DJ Snake,Malaa</t>
  </si>
  <si>
    <t>Au fond du rêve doré-Air</t>
  </si>
  <si>
    <t>Industrial Revolution, Pt. 2-Jean-Michel Jarre</t>
  </si>
  <si>
    <t>Zoolook-Jean-Michel Jarre</t>
  </si>
  <si>
    <t>Les bruits de la ville-Voyou,Yelle</t>
  </si>
  <si>
    <t>Feel Like Me-Cassius,Cat Power</t>
  </si>
  <si>
    <t>Coming Home-Shara Rose</t>
  </si>
  <si>
    <t>Waves, Waves, Waves-M83</t>
  </si>
  <si>
    <t>Thing for You</t>
  </si>
  <si>
    <t>Thing for You-David Guetta,Martin Solveig</t>
  </si>
  <si>
    <t>The Night Out</t>
  </si>
  <si>
    <t>The Night Out-Martin Solveig</t>
  </si>
  <si>
    <t>Love Generation</t>
  </si>
  <si>
    <t>Love Generation-Bob Sinclar,&amp;friends,Zakes Bantwini,Gary Pine</t>
  </si>
  <si>
    <t>THE WATCHERS</t>
  </si>
  <si>
    <t>THE WATCHERS-Jean-Michel Jarre</t>
  </si>
  <si>
    <t>Swipe to the Right-Jean-Michel Jarre,Cyndi Lauper</t>
  </si>
  <si>
    <t>Automatic, Pt. 1-Jean-Michel Jarre,Vincent Clarke</t>
  </si>
  <si>
    <t>Oxygene, Pt. 10-Jean-Michel Jarre</t>
  </si>
  <si>
    <t>Zoolookologie-Jean-Michel Jarre</t>
  </si>
  <si>
    <t>Complètement fou-Yelle</t>
  </si>
  <si>
    <t>Karaté-Yelle</t>
  </si>
  <si>
    <t>Endless-Kavinsky</t>
  </si>
  <si>
    <t>Finding My Way-Shara Rose</t>
  </si>
  <si>
    <t>You Can Tell It to Everybody-Air</t>
  </si>
  <si>
    <t>For You-Madeon</t>
  </si>
  <si>
    <t>One Love</t>
  </si>
  <si>
    <t>One Love-David Guetta,Estelle</t>
  </si>
  <si>
    <t>Midnight Souls Still Remain-M83</t>
  </si>
  <si>
    <t>Fountains-M83</t>
  </si>
  <si>
    <t>Year One, One Ufo-M83</t>
  </si>
  <si>
    <t>Mathar-Africanism,Bob Sinclar</t>
  </si>
  <si>
    <t>Rock This Party</t>
  </si>
  <si>
    <t>Rock This Party-Bob Sinclar,Andrea Govoni,DollarMan,Big Ali,Makedah</t>
  </si>
  <si>
    <t>House Music</t>
  </si>
  <si>
    <t>House Music-Bob Sinclar,Ron Carroll</t>
  </si>
  <si>
    <t>FLYING TOTEMS</t>
  </si>
  <si>
    <t>FLYING TOTEMS-Jean-Michel Jarre</t>
  </si>
  <si>
    <t>Stardust-Jean-Michel Jarre,Armin van Buuren</t>
  </si>
  <si>
    <t>Oxygene, Pt. 12-Jean-Michel Jarre</t>
  </si>
  <si>
    <t>Ouverture-Daft Punk</t>
  </si>
  <si>
    <t>People in the City-Air</t>
  </si>
  <si>
    <t>Décollage-Air</t>
  </si>
  <si>
    <t>Baby When the Light</t>
  </si>
  <si>
    <t>Baby When the Light-David Guetta,Steve Angello,Cozi</t>
  </si>
  <si>
    <t>Love Is Gone-David Guetta,Chris Willis</t>
  </si>
  <si>
    <t>Mirage-M83</t>
  </si>
  <si>
    <t>Cabo Parano</t>
  </si>
  <si>
    <t>Cabo Parano-Martin Solveig,Stephy Haik</t>
  </si>
  <si>
    <t>What A Wonderful World</t>
  </si>
  <si>
    <t>What A Wonderful World-Bob Sinclar,Axwell,Ron Carroll,Greg Cerrone</t>
  </si>
  <si>
    <t>ROBOTS DON'T CRY</t>
  </si>
  <si>
    <t>ROBOTS DON'T CRY-Jean-Michel Jarre</t>
  </si>
  <si>
    <t>The Heart of Noise</t>
  </si>
  <si>
    <t>The Heart of Noise-Jean-Michel Jarre</t>
  </si>
  <si>
    <t>The Heart of Noise, Pt. 1-Jean-Michel Jarre,Rone</t>
  </si>
  <si>
    <t>Automatic, Pt. 2-Jean-Michel Jarre,Vincent Clarke</t>
  </si>
  <si>
    <t>Musique-Daft Punk</t>
  </si>
  <si>
    <t>The Brainwasher-Daft Punk</t>
  </si>
  <si>
    <t>La Mouche</t>
  </si>
  <si>
    <t>La Mouche-Cassius,DJ Falcon</t>
  </si>
  <si>
    <t>Four Chord Song-Shara Rose</t>
  </si>
  <si>
    <t>Purpose in the Process-Shara Rose</t>
  </si>
  <si>
    <t>4 Life-DJ Snake,GASHI</t>
  </si>
  <si>
    <t>Maggot Brain</t>
  </si>
  <si>
    <t>Maggot Brain-Air</t>
  </si>
  <si>
    <t>Dirty Hiroshima-Air</t>
  </si>
  <si>
    <t>Napalm Love-Air</t>
  </si>
  <si>
    <t>Bossa 96</t>
  </si>
  <si>
    <t>Bossa 96-Air</t>
  </si>
  <si>
    <t>Nirvana-Madeon</t>
  </si>
  <si>
    <t>Isometric</t>
  </si>
  <si>
    <t>Isometric-Madeon</t>
  </si>
  <si>
    <t>Klaus I Love You-M83</t>
  </si>
  <si>
    <t>The Heart of Noise, Pt. 2-Jean-Michel Jarre</t>
  </si>
  <si>
    <t>Waiting for Cousteau-Jean-Michel Jarre</t>
  </si>
  <si>
    <t>Parle à ma main</t>
  </si>
  <si>
    <t>Parle à ma main-Fatal Bazooka,Christelle,Yelle</t>
  </si>
  <si>
    <t>Des Choses-Scratch Massive,Yelle,Maud Geffray</t>
  </si>
  <si>
    <t>Pas touche !-Ambriel,Yelle</t>
  </si>
  <si>
    <t>Finale-Daft Punk</t>
  </si>
  <si>
    <t>Steam Machine-Daft Punk</t>
  </si>
  <si>
    <t>Under The Moon</t>
  </si>
  <si>
    <t>Under The Moon-Claptone,Nathan Nicholson,Cassius</t>
  </si>
  <si>
    <t>Recognize</t>
  </si>
  <si>
    <t>Recognize-DJ Snake,Majid Jordan</t>
  </si>
  <si>
    <t>Intro-DJ Snake</t>
  </si>
  <si>
    <t>So Light Is Her Footfall-Air,Breakbot</t>
  </si>
  <si>
    <t>Lost Message-Air</t>
  </si>
  <si>
    <t>Heaven's Light-Air</t>
  </si>
  <si>
    <t>You're On-Madeon,Kyan,Gramatik</t>
  </si>
  <si>
    <t>Cut the Kid-Madeon</t>
  </si>
  <si>
    <t>I Can Only Imagine</t>
  </si>
  <si>
    <t>I Can Only Imagine-David Guetta,Chris Brown,Lil Wayne</t>
  </si>
  <si>
    <t>You Appearing-M83</t>
  </si>
  <si>
    <t>Water Deep-M83</t>
  </si>
  <si>
    <t>Fantasy-M83,Sofia Kourtesis</t>
  </si>
  <si>
    <t>Coloring the Void-M83</t>
  </si>
  <si>
    <t>To Sudden Silence-M83</t>
  </si>
  <si>
    <t>Goodbye Captain Lee-M83</t>
  </si>
  <si>
    <t>Sister, Pt. 2-M83</t>
  </si>
  <si>
    <t>When Will You Come Home?-M83</t>
  </si>
  <si>
    <t>We Could Be Dancing</t>
  </si>
  <si>
    <t>We Could Be Dancing-Bob Sinclar,Molly Hammar</t>
  </si>
  <si>
    <t>THE OPENING</t>
  </si>
  <si>
    <t>THE OPENING-Jean-Michel Jarre</t>
  </si>
  <si>
    <t>À cause des garçons-Yelle,Tepr</t>
  </si>
  <si>
    <t>Que veux-tu</t>
  </si>
  <si>
    <t>Que veux-tu-Yelle,Madeon</t>
  </si>
  <si>
    <t>Rectifier</t>
  </si>
  <si>
    <t>Rectifier-Daft Punk</t>
  </si>
  <si>
    <t>How Deep Is Your Love</t>
  </si>
  <si>
    <t>How Deep Is Your Love-Calvin Harris,Disciples,DJ Snake</t>
  </si>
  <si>
    <t>Butterfly Effect-DJ Snake</t>
  </si>
  <si>
    <t>Don't Be Light-Air</t>
  </si>
  <si>
    <t>Once Upon a Time-Air</t>
  </si>
  <si>
    <t>J'ai dormi sous l'eau</t>
  </si>
  <si>
    <t>J'ai dormi sous l'eau-Air</t>
  </si>
  <si>
    <t>You're On-Madeon,Kyan</t>
  </si>
  <si>
    <t>Mania-Madeon</t>
  </si>
  <si>
    <t>Zephyr-Madeon</t>
  </si>
  <si>
    <t>Vision, pt. 1-M83</t>
  </si>
  <si>
    <t>Echoes Of Mine-M83</t>
  </si>
  <si>
    <t>Splendor-M83</t>
  </si>
  <si>
    <t>Train To Pluton-M83</t>
  </si>
  <si>
    <t>Summer Moon-Africanism,Eran Hersh,Stadiumx,Bob Sinclar,David Guetta,Joachim Garraud,Tim Deluxe,Ben Onono</t>
  </si>
  <si>
    <t>Oxygene, Pt. 7-Jean-Michel Jarre</t>
  </si>
  <si>
    <t>Arrival-Daft Punk</t>
  </si>
  <si>
    <t>Nocturne-Daft Punk</t>
  </si>
  <si>
    <t>Aerodynamite-Daft Punk</t>
  </si>
  <si>
    <t>Oh My My-OneRepublic,Cassius</t>
  </si>
  <si>
    <t>Don't Let Me Be-Cassius,Owlle</t>
  </si>
  <si>
    <t>Hold On-Shara Rose</t>
  </si>
  <si>
    <t>Soldissimo</t>
  </si>
  <si>
    <t>Soldissimo-Étienne de Crécy,Air</t>
  </si>
  <si>
    <t>Étienne de Crécy, Air</t>
  </si>
  <si>
    <t>Casanova 70</t>
  </si>
  <si>
    <t>Casanova 70-Air,Brendan Lynch</t>
  </si>
  <si>
    <t>Left Bank-Air</t>
  </si>
  <si>
    <t>Imperium-Madeon</t>
  </si>
  <si>
    <t>Borealis-Madeon</t>
  </si>
  <si>
    <t>Light Headed-David Guetta,Sia</t>
  </si>
  <si>
    <t>Ok Pal-M83</t>
  </si>
  <si>
    <t>New Map-M83</t>
  </si>
  <si>
    <t>Soon, My Friend-M83</t>
  </si>
  <si>
    <t>Heavy Metal-Justice</t>
  </si>
  <si>
    <t>Horsepower-Justice</t>
  </si>
  <si>
    <t>Chronology, Pt. 6</t>
  </si>
  <si>
    <t>Chronology, Pt. 6-Jean-Michel Jarre</t>
  </si>
  <si>
    <t>Safari Disco Club-Yelle</t>
  </si>
  <si>
    <t>C.L.U.</t>
  </si>
  <si>
    <t>C.L.U.-Daft Punk</t>
  </si>
  <si>
    <t>Emotion-Daft Punk</t>
  </si>
  <si>
    <t>The Prime Time of Your Life-Daft Punk</t>
  </si>
  <si>
    <t>Testarossa Autodrive-Kavinsky</t>
  </si>
  <si>
    <t>Smile</t>
  </si>
  <si>
    <t>Smile-DJ Snake,Bryson Tiller</t>
  </si>
  <si>
    <t>Future Pt 2-DJ Snake,Bipolar Sunshine</t>
  </si>
  <si>
    <t>When The Lights Go Down-DJ Snake</t>
  </si>
  <si>
    <t>Electronic Performers-Air</t>
  </si>
  <si>
    <t>Dark Messages-Air</t>
  </si>
  <si>
    <t>Radian-Air</t>
  </si>
  <si>
    <t>Moon Fever-Air</t>
  </si>
  <si>
    <t>Sing Sang Sung-Air</t>
  </si>
  <si>
    <t>Hold Me Just Because-Madeon</t>
  </si>
  <si>
    <t>Only Way Out</t>
  </si>
  <si>
    <t>Only Way Out-Madeon,Vancouver Sleep Clinic</t>
  </si>
  <si>
    <t>Bibi the Dog-M83,MAI LAN</t>
  </si>
  <si>
    <t>Earth To Sea-M83</t>
  </si>
  <si>
    <t>Skin of the Night-M83</t>
  </si>
  <si>
    <t>Laura-M83</t>
  </si>
  <si>
    <t>Slight Night Shiver-M83</t>
  </si>
  <si>
    <t>Another Wave From You-M83</t>
  </si>
  <si>
    <t>This Bright Flash-M83</t>
  </si>
  <si>
    <t>Claudia Lewis-M83</t>
  </si>
  <si>
    <t>Electrees-Jean-Michel Jarre,Hans Zimmer</t>
  </si>
  <si>
    <t>Oxygene, Pt. 8-Jean-Michel Jarre</t>
  </si>
  <si>
    <t>Ce jeu-Yelle</t>
  </si>
  <si>
    <t>Je t'aime encore-Yelle</t>
  </si>
  <si>
    <t>Television Rules the Nation-Daft Punk</t>
  </si>
  <si>
    <t>Maradona Riddim-DJ Snake,Niniola</t>
  </si>
  <si>
    <t>Enjoy Enjaami</t>
  </si>
  <si>
    <t>Enjoy Enjaami-DJ Snake,Dhee,Arivu,Santhosh Narayanan</t>
  </si>
  <si>
    <t>All My Friends-Madeon</t>
  </si>
  <si>
    <t>Technicolor-Madeon</t>
  </si>
  <si>
    <t>OK-Madeon</t>
  </si>
  <si>
    <t>The Whisperer</t>
  </si>
  <si>
    <t>The Whisperer-David Guetta,Sia</t>
  </si>
  <si>
    <t>Tu m'as tuée-M83</t>
  </si>
  <si>
    <t>Planisphere-Justice</t>
  </si>
  <si>
    <t>Canon-Justice</t>
  </si>
  <si>
    <t>Why This, Why That and Why-Jean-Michel Jarre,Yello</t>
  </si>
  <si>
    <t>À cause des garçons-Yelle</t>
  </si>
  <si>
    <t>Disc Wars</t>
  </si>
  <si>
    <t>Disc Wars-Daft Punk</t>
  </si>
  <si>
    <t>Armory</t>
  </si>
  <si>
    <t>Armory-Daft Punk</t>
  </si>
  <si>
    <t>Funk Ad-Daft Punk</t>
  </si>
  <si>
    <t>Oh Yeah-Daft Punk</t>
  </si>
  <si>
    <t>Sober-DJ Snake,JRY</t>
  </si>
  <si>
    <t>Pigalle-DJ Snake,Moksi</t>
  </si>
  <si>
    <t>Paris</t>
  </si>
  <si>
    <t>Paris-DJ Snake,GASHI</t>
  </si>
  <si>
    <t>No Option</t>
  </si>
  <si>
    <t>No Option-DJ Snake,Burna Boy</t>
  </si>
  <si>
    <t>Cemetary Party-Air</t>
  </si>
  <si>
    <t>Space Maker-Air</t>
  </si>
  <si>
    <t>All Ur Luv-Wavedash,Madeon,Toro y Moi</t>
  </si>
  <si>
    <t>Lower Your Eyelids To Die With the Sun-M83</t>
  </si>
  <si>
    <t>Road Blaster-M83</t>
  </si>
  <si>
    <t>Oceans Niagara-M83</t>
  </si>
  <si>
    <t>Raconte-Moi Une Histoire-M83</t>
  </si>
  <si>
    <t>Ohio-Justice</t>
  </si>
  <si>
    <t>Pleasure-Justice</t>
  </si>
  <si>
    <t>My Love-Martin Solveig</t>
  </si>
  <si>
    <t>Kiss My Eyes</t>
  </si>
  <si>
    <t>Kiss My Eyes-Bob Sinclar,Daddy's Groove</t>
  </si>
  <si>
    <t>Chronology, Pt. 4</t>
  </si>
  <si>
    <t>Chronology, Pt. 4-Jean-Michel Jarre</t>
  </si>
  <si>
    <t>Fall</t>
  </si>
  <si>
    <t>Fall-Daft Punk</t>
  </si>
  <si>
    <t>Outlands</t>
  </si>
  <si>
    <t>Outlands-Daft Punk</t>
  </si>
  <si>
    <t>Arena</t>
  </si>
  <si>
    <t>Arena-Daft Punk</t>
  </si>
  <si>
    <t>Falling-Shara Rose,Roy-Al</t>
  </si>
  <si>
    <t>Les professionnels-Air</t>
  </si>
  <si>
    <t>Love-Air</t>
  </si>
  <si>
    <t>African Velvet-Air</t>
  </si>
  <si>
    <t>Retour sur terre-Air</t>
  </si>
  <si>
    <t>Innocence</t>
  </si>
  <si>
    <t>Innocence-Madeon,Aquilo</t>
  </si>
  <si>
    <t>Laser Gun-M83,MAI LAN</t>
  </si>
  <si>
    <t>Walkway Blues-M83,J. Laser</t>
  </si>
  <si>
    <t>Us And The Rest-M83</t>
  </si>
  <si>
    <t>Steve McQueen-M83</t>
  </si>
  <si>
    <t>Box Of Stars Pt. 1</t>
  </si>
  <si>
    <t>Box Of Stars Pt. 1-Jacob Collier,D Smoke,Sho Madjozi,Yelle,Kanyi Mavi,Kirk Franklin,CHIKA</t>
  </si>
  <si>
    <t>All the time / Tout le temps</t>
  </si>
  <si>
    <t>All the time / Tout le temps-The Knocks,Yelle</t>
  </si>
  <si>
    <t>Heterotopia</t>
  </si>
  <si>
    <t>Heterotopia-Oliver,Yelle</t>
  </si>
  <si>
    <t>Adagio For TRON</t>
  </si>
  <si>
    <t>Adagio For TRON-Daft Punk</t>
  </si>
  <si>
    <t>Go Up-Cassius,Cat Power,Pharrell Williams,Butch</t>
  </si>
  <si>
    <t>First Blood-Kavinsky</t>
  </si>
  <si>
    <t>Made In China-Higher Brothers,DJ Snake</t>
  </si>
  <si>
    <t>Frequency 75-DJ Snake</t>
  </si>
  <si>
    <t>Dreams-David Guetta,MORTEN,Lanie Gardner</t>
  </si>
  <si>
    <t>Moonchild-M83</t>
  </si>
  <si>
    <t>Amnesia-M83</t>
  </si>
  <si>
    <t>Where The Boats Go-M83</t>
  </si>
  <si>
    <t>Randy-Justice</t>
  </si>
  <si>
    <t>Together-Bob Sinclar,Steve Edwards</t>
  </si>
  <si>
    <t>Til the Sun Rise Up</t>
  </si>
  <si>
    <t>Til the Sun Rise Up-Bob Sinclar,Akon</t>
  </si>
  <si>
    <t>Rinzler</t>
  </si>
  <si>
    <t>Rinzler-Daft Punk</t>
  </si>
  <si>
    <t>Indo Silver Club-Daft Punk</t>
  </si>
  <si>
    <t>High Fidelity-Daft Punk</t>
  </si>
  <si>
    <t>damn Right Pt. 2-AUDREY NUNA,DJ Snake</t>
  </si>
  <si>
    <t>Oh Me Oh My-DJ Snake,Travis Scott,Migos,GASHI</t>
  </si>
  <si>
    <t>Try Me</t>
  </si>
  <si>
    <t>Try Me-DJ Snake,Plastic Toy</t>
  </si>
  <si>
    <t>Bathroom Girl-Air</t>
  </si>
  <si>
    <t>No Fear No More-Madeon</t>
  </si>
  <si>
    <t>Miracle-Madeon</t>
  </si>
  <si>
    <t>Force majeure-Gaspard Augé,Justice</t>
  </si>
  <si>
    <t>Gaspard Augé, Justice</t>
  </si>
  <si>
    <t>Flynn Lives</t>
  </si>
  <si>
    <t>Flynn Lives-Daft Punk</t>
  </si>
  <si>
    <t>Recognizer</t>
  </si>
  <si>
    <t>Recognizer-Daft Punk</t>
  </si>
  <si>
    <t>The Grid</t>
  </si>
  <si>
    <t>The Grid-Daft Punk</t>
  </si>
  <si>
    <t>ProtoVision-Kavinsky</t>
  </si>
  <si>
    <t>Quiet Storm</t>
  </si>
  <si>
    <t>Quiet Storm-DJ Snake,Zomboy</t>
  </si>
  <si>
    <t>Ocho Cinco-DJ Snake,Yellow Claw</t>
  </si>
  <si>
    <t>Clouds Up-Air</t>
  </si>
  <si>
    <t>Alpha Beta Gaga-Air</t>
  </si>
  <si>
    <t>The Vagabond-Air</t>
  </si>
  <si>
    <t>Mer du Japon-Air</t>
  </si>
  <si>
    <t>Heavy With Hoping-Madeon</t>
  </si>
  <si>
    <t>Beings-Madeon</t>
  </si>
  <si>
    <t>Down-Jason Derulo,David Guetta</t>
  </si>
  <si>
    <t>One Minute To Midnight-Justice</t>
  </si>
  <si>
    <t>Rock This Party-Bob Sinclar,Crusy,DollarMan,Big Ali,Makedah</t>
  </si>
  <si>
    <t>Superheroes / Human After All / Rock'n Roll-Daft Punk</t>
  </si>
  <si>
    <t>The Game Has Changed</t>
  </si>
  <si>
    <t>The Game Has Changed-Daft Punk</t>
  </si>
  <si>
    <t>Alive-Daft Punk</t>
  </si>
  <si>
    <t>Burnin'-Daft Punk</t>
  </si>
  <si>
    <t>Rock'n Roll-Daft Punk</t>
  </si>
  <si>
    <t>Teachers-Daft Punk</t>
  </si>
  <si>
    <t>Rampage-Kavinsky</t>
  </si>
  <si>
    <t>Let's Get Ill-DJ Snake,Mercer</t>
  </si>
  <si>
    <t>No More-DJ Snake,ZHU</t>
  </si>
  <si>
    <t>Sahara-DJ Snake,Skrillex</t>
  </si>
  <si>
    <t>Modular Mix-Air</t>
  </si>
  <si>
    <t>Universal Traveler-Air</t>
  </si>
  <si>
    <t>La Lune</t>
  </si>
  <si>
    <t>La Lune-Madeon,Dan Smith</t>
  </si>
  <si>
    <t>Kim &amp; Jessie-M83</t>
  </si>
  <si>
    <t>Burning-Bob Sinclar,Daddy's Groove</t>
  </si>
  <si>
    <t>Da Funk / Daftendirekt-Daft Punk</t>
  </si>
  <si>
    <t>Aerodynamic Beats / Gabrielle , Forget About the World-Daft Punk</t>
  </si>
  <si>
    <t>End of Line</t>
  </si>
  <si>
    <t>End of Line-Daft Punk</t>
  </si>
  <si>
    <t>Make Love-Daft Punk</t>
  </si>
  <si>
    <t>The Sound of Violence</t>
  </si>
  <si>
    <t>The Sound of Violence-Cassius,Cosmo Vitelli</t>
  </si>
  <si>
    <t>Odd Look-Kavinsky</t>
  </si>
  <si>
    <t>Trust Nobody-DJ Snake</t>
  </si>
  <si>
    <t>Venus-Air</t>
  </si>
  <si>
    <t>Le soleil est près de moi-Air</t>
  </si>
  <si>
    <t>The Prince-Madeon</t>
  </si>
  <si>
    <t>No Fear No More-Madeon,EARTHGANG</t>
  </si>
  <si>
    <t>Un nouveau soleil-M83</t>
  </si>
  <si>
    <t>Jack's Dream-M83,Anthony Gonzalez,Joseph Trapanese</t>
  </si>
  <si>
    <t>I Guess I'm Floating-M83</t>
  </si>
  <si>
    <t>Holograms-M83</t>
  </si>
  <si>
    <t>Newjack-Justice</t>
  </si>
  <si>
    <t>Stop-Justice</t>
  </si>
  <si>
    <t>Digane-Bob Sinclar,Sofiya Nzau</t>
  </si>
  <si>
    <t>Human After All / Together / One More Time / Music Sounds Better with You-Daft Punk</t>
  </si>
  <si>
    <t>Prime Time of Your Life / Brainwasher / Rollin' &amp; Scratchin' / Alive-Daft Punk</t>
  </si>
  <si>
    <t>Face to Face / Short Circuit-Daft Punk</t>
  </si>
  <si>
    <t>Overture</t>
  </si>
  <si>
    <t>Overture-Daft Punk</t>
  </si>
  <si>
    <t>Human After All-Daft Punk</t>
  </si>
  <si>
    <t>Here Comes The Night-DJ Snake,Mr Hudson</t>
  </si>
  <si>
    <t>How Does It Make You Feel?-Air</t>
  </si>
  <si>
    <t>Sexy Chick</t>
  </si>
  <si>
    <t>Sexy Chick-David Guetta,Akon</t>
  </si>
  <si>
    <t>Little Bad Girl</t>
  </si>
  <si>
    <t>Little Bad Girl-David Guetta,Ludacris,Taio Cruz</t>
  </si>
  <si>
    <t>Gettin' Over</t>
  </si>
  <si>
    <t>Gettin' Over-David Guetta,Chris Willis,Fergie</t>
  </si>
  <si>
    <t>Holes In The Sky</t>
  </si>
  <si>
    <t>Holes In The Sky-M83,HAIM</t>
  </si>
  <si>
    <t>Reunion-M83</t>
  </si>
  <si>
    <t>Valentine-Justice</t>
  </si>
  <si>
    <t>The Party-Justice</t>
  </si>
  <si>
    <t>Muscle Memory-Justice</t>
  </si>
  <si>
    <t>Amora Amor</t>
  </si>
  <si>
    <t>Amora Amor-Bob Sinclar,Sagan</t>
  </si>
  <si>
    <t>Brick England-Jean-Michel Jarre,Pet Shop Boys</t>
  </si>
  <si>
    <t>Je veux te voir-Yelle</t>
  </si>
  <si>
    <t>Burnin' / Too Long-Daft Punk</t>
  </si>
  <si>
    <t>Rollin' &amp; Scratchin'-Daft Punk</t>
  </si>
  <si>
    <t>Made In France</t>
  </si>
  <si>
    <t>Made In France-DJ Snake,Tchami,Malaa,Mercer</t>
  </si>
  <si>
    <t>New Star in the Sky-Air</t>
  </si>
  <si>
    <t>Remember-Air</t>
  </si>
  <si>
    <t>The World Is Mine-Joachim Garraud,JD Davis,David Guetta</t>
  </si>
  <si>
    <t>I'm Sending You Away-M83,Anthony Gonzalez,Joseph Trapanese</t>
  </si>
  <si>
    <t>Where the Boats Go-M83</t>
  </si>
  <si>
    <t>Intro-M83</t>
  </si>
  <si>
    <t>Let There Be Light-Justice</t>
  </si>
  <si>
    <t>Explorer-Justice,Connan Mockasin</t>
  </si>
  <si>
    <t>Moonlight Rendez-vous-Justice</t>
  </si>
  <si>
    <t>Sound of Freedom-Bob Sinclar,Gary Pine,DollarMan</t>
  </si>
  <si>
    <t>TRON Legacy</t>
  </si>
  <si>
    <t>TRON Legacy-Daft Punk</t>
  </si>
  <si>
    <t>Phoenix-Daft Punk</t>
  </si>
  <si>
    <t>Enzo</t>
  </si>
  <si>
    <t>Enzo-DJ Snake,Sheck Wes,Offset,21 Savage,Gucci Mane</t>
  </si>
  <si>
    <t>The Half-DJ Snake,Jeremih,Young Thug,Swizz Beatz</t>
  </si>
  <si>
    <t>Surfing on a Rocket-Air</t>
  </si>
  <si>
    <t>She Wolf</t>
  </si>
  <si>
    <t>She Wolf-David Guetta,Sia</t>
  </si>
  <si>
    <t>Tequila</t>
  </si>
  <si>
    <t>Tequila-Jax Jones,Martin Solveig,RAYE,Europa</t>
  </si>
  <si>
    <t>Daftendirekt-Daft Punk</t>
  </si>
  <si>
    <t>Slow Down-Spanker,DJ Snake,Yellow Claw</t>
  </si>
  <si>
    <t>Talk-DJ Snake,George Maple</t>
  </si>
  <si>
    <t>Propaganda-DJ Snake</t>
  </si>
  <si>
    <t>Helium</t>
  </si>
  <si>
    <t>Helium-Sia,David Guetta,AFROJACK</t>
  </si>
  <si>
    <t>Fearful Odds-M83,Anthony Gonzalez,Joseph Trapanese</t>
  </si>
  <si>
    <t>Phantom-Justice</t>
  </si>
  <si>
    <t>Dear Alan-Justice</t>
  </si>
  <si>
    <t>Fresh-Daft Punk</t>
  </si>
  <si>
    <t>Feeling for You-Cassius</t>
  </si>
  <si>
    <t>We Own the Sky-M83</t>
  </si>
  <si>
    <t>Do It, Try It-M83</t>
  </si>
  <si>
    <t>Waking Up-M83,Anthony Gonzalez,Joseph Trapanese</t>
  </si>
  <si>
    <t>Incognito-Justice</t>
  </si>
  <si>
    <t>Le voyage de Pénélope-Air</t>
  </si>
  <si>
    <t>You Make It Easy-Air,Beth Hirsch</t>
  </si>
  <si>
    <t>Love You Back-Madeon</t>
  </si>
  <si>
    <t>Big FU-David Guetta,Ayra Starr,Lil Durk</t>
  </si>
  <si>
    <t>Saturnine-Justice,Miguel</t>
  </si>
  <si>
    <t>One More Time / Aerodynamic-Daft Punk</t>
  </si>
  <si>
    <t>Too Long / Steam Machine-Daft Punk</t>
  </si>
  <si>
    <t>Robot Rock / Oh Yeah-Daft Punk</t>
  </si>
  <si>
    <t>Technologic-Daft Punk</t>
  </si>
  <si>
    <t>Go!-M83,MAI LAN</t>
  </si>
  <si>
    <t>The End-Justice,Thundercat</t>
  </si>
  <si>
    <t>World Hold On</t>
  </si>
  <si>
    <t>World Hold On-Bob Sinclar,Soubeiran,Sasson (FR),Steve Edwards</t>
  </si>
  <si>
    <t>Touch It / Technologic-Daft Punk</t>
  </si>
  <si>
    <t>Motherboard-Daft Punk</t>
  </si>
  <si>
    <t>Cassius 1999</t>
  </si>
  <si>
    <t>Cassius 1999-Cassius</t>
  </si>
  <si>
    <t>Toop Toop-Cassius</t>
  </si>
  <si>
    <t>Roadgame-Kavinsky</t>
  </si>
  <si>
    <t>Creep On Me-GASHI,French Montana,DJ Snake</t>
  </si>
  <si>
    <t>Disco Maghreb-DJ Snake</t>
  </si>
  <si>
    <t>Your Love-David Guetta,Showtek</t>
  </si>
  <si>
    <t>Stay</t>
  </si>
  <si>
    <t>Stay-David Guetta,RAYE</t>
  </si>
  <si>
    <t>Dirty Sexy Money</t>
  </si>
  <si>
    <t>Dirty Sexy Money-David Guetta,AFROJACK,Charli xcx,French Montana</t>
  </si>
  <si>
    <t>Family-David Guetta,Bebe Rexha,Ty Dolla $ign,A Boogie Wit da Hoodie</t>
  </si>
  <si>
    <t>Something To Hold On To</t>
  </si>
  <si>
    <t>Something To Hold On To-David Guetta,MORTEN,Clementine Douglas</t>
  </si>
  <si>
    <t>Generator-Justice</t>
  </si>
  <si>
    <t>Juliet &amp; Romeo-Martin Solveig,Roy Woods</t>
  </si>
  <si>
    <t>Contact-Daft Punk</t>
  </si>
  <si>
    <t>Solar Sailer</t>
  </si>
  <si>
    <t>Solar Sailer-Daft Punk</t>
  </si>
  <si>
    <t>Robot Rock-Daft Punk</t>
  </si>
  <si>
    <t>Talisman-Air</t>
  </si>
  <si>
    <t>Don't Leave Me Alone</t>
  </si>
  <si>
    <t>Don't Leave Me Alone-David Guetta,Anne-Marie</t>
  </si>
  <si>
    <t>Midnight City-M83,Eric Prydz</t>
  </si>
  <si>
    <t>Television Rules the Nation / Crescendolls-Daft Punk</t>
  </si>
  <si>
    <t>Beyond-Daft Punk</t>
  </si>
  <si>
    <t>Derezzed</t>
  </si>
  <si>
    <t>Derezzed-Daft Punk</t>
  </si>
  <si>
    <t>Short Circuit-Daft Punk</t>
  </si>
  <si>
    <t>Fuego</t>
  </si>
  <si>
    <t>Fuego-DJ Snake,Sean Paul,Anitta,Tainy</t>
  </si>
  <si>
    <t>Selfish Love</t>
  </si>
  <si>
    <t>Selfish Love-DJ Snake,Selena Gomez</t>
  </si>
  <si>
    <t>Ce matin-là-Air</t>
  </si>
  <si>
    <t>Let It Be Me-David Guetta,Ava Max</t>
  </si>
  <si>
    <t>Gettin' Over You</t>
  </si>
  <si>
    <t>Gettin' Over You-David Guetta,Chris Willis,Fergie,LMFAO</t>
  </si>
  <si>
    <t>Turn Me On</t>
  </si>
  <si>
    <t>Turn Me On-David Guetta,Nicki Minaj</t>
  </si>
  <si>
    <t>StarWaves-M83,Anthony Gonzalez,Joseph Trapanese</t>
  </si>
  <si>
    <t>Wait-Kygo,M83</t>
  </si>
  <si>
    <t>Mannequin Love-Justice,The Flints</t>
  </si>
  <si>
    <t>The Son of Flynn</t>
  </si>
  <si>
    <t>The Son of Flynn-Daft Punk</t>
  </si>
  <si>
    <t>Too Long-Daft Punk</t>
  </si>
  <si>
    <t>Revolution 909-Daft Punk</t>
  </si>
  <si>
    <t>I &lt;3 U SO-Cassius</t>
  </si>
  <si>
    <t>Kelly Watch the Stars-Air</t>
  </si>
  <si>
    <t>What I Did for Love</t>
  </si>
  <si>
    <t>What I Did for Love-David Guetta,Emeli Sandé</t>
  </si>
  <si>
    <t>David Guetta, Emeli Sandé</t>
  </si>
  <si>
    <t>Here We Go Again-Oliver Tree,David Guetta</t>
  </si>
  <si>
    <t>On Repeat-Robin Schulz,David Guetta</t>
  </si>
  <si>
    <t>Shed a Light-Robin Schulz,David Guetta,Cheat Codes</t>
  </si>
  <si>
    <t>Play Hard</t>
  </si>
  <si>
    <t>Play Hard-David Guetta,Ne-Yo,Akon</t>
  </si>
  <si>
    <t>All Day And Night-Jax Jones,Martin Solveig,Madison Beer,Europa</t>
  </si>
  <si>
    <t>High Life-Daft Punk</t>
  </si>
  <si>
    <t>Nightvision-Daft Punk</t>
  </si>
  <si>
    <t>Alone in Kyoto-Air</t>
  </si>
  <si>
    <t>Kill Me Slow-David Guetta,MORTEN</t>
  </si>
  <si>
    <t>What Would You Do?-Joel Corry,David Guetta,Bryson Tiller</t>
  </si>
  <si>
    <t>Lost In The Rhythm-David Guetta,MORTEN</t>
  </si>
  <si>
    <t>Versace on the Floor</t>
  </si>
  <si>
    <t>Versace on the Floor-Bruno Mars,David Guetta</t>
  </si>
  <si>
    <t>Raving-David Guetta,AFROJACK</t>
  </si>
  <si>
    <t>Floating Through Space-Sia,David Guetta</t>
  </si>
  <si>
    <t>I Need You-M83</t>
  </si>
  <si>
    <t>Afterimage-Justice,RIMON</t>
  </si>
  <si>
    <t>Ti Sento-Bob Sinclar,Matia Bazar,Antonella Ruggiero</t>
  </si>
  <si>
    <t>Around the World / Harder, Better, Faster, Stronger-Daft Punk</t>
  </si>
  <si>
    <t>Within-Daft Punk</t>
  </si>
  <si>
    <t>The Game of Love-Daft Punk</t>
  </si>
  <si>
    <t>Superheroes-Daft Punk</t>
  </si>
  <si>
    <t>Goodbye</t>
  </si>
  <si>
    <t>Goodbye-Jason Derulo,David Guetta,Nicki Minaj,Willy William</t>
  </si>
  <si>
    <t>Better When You're Gone-David Guetta,Brooks,Loote</t>
  </si>
  <si>
    <t>Shot Me Down</t>
  </si>
  <si>
    <t>Shot Me Down-David Guetta,Skylar Grey</t>
  </si>
  <si>
    <t>Touch</t>
  </si>
  <si>
    <t>Touch-Daft Punk,Paul Williams</t>
  </si>
  <si>
    <t>Crescendolls-Daft Punk</t>
  </si>
  <si>
    <t>Highschool Lover-Air</t>
  </si>
  <si>
    <t>Cherry Blossom Girl-Air</t>
  </si>
  <si>
    <t>When Love Takes Over</t>
  </si>
  <si>
    <t>When Love Takes Over-David Guetta,Kelly Rowland</t>
  </si>
  <si>
    <t>Without You</t>
  </si>
  <si>
    <t>Without You-David Guetta,USHER</t>
  </si>
  <si>
    <t>Infinity Repeating</t>
  </si>
  <si>
    <t>Infinity Repeating-Daft Punk,Julian Casablancas,The Voidz</t>
  </si>
  <si>
    <t>Kill The Vibe-David Guetta,MORTEN,Prophecy</t>
  </si>
  <si>
    <t>Bang My Head</t>
  </si>
  <si>
    <t>Bang My Head-David Guetta,Fetty Wap,Sia</t>
  </si>
  <si>
    <t>Take It Easy on Me-Bob Sinclar,Michael Ekow</t>
  </si>
  <si>
    <t>Fragments of Time</t>
  </si>
  <si>
    <t>Fragments of Time-Daft Punk,Todd Edwards</t>
  </si>
  <si>
    <t>Get Low-Dillon Francis,DJ Snake</t>
  </si>
  <si>
    <t>Who's That Chick?</t>
  </si>
  <si>
    <t>Who's That Chick?-David Guetta,Rihanna</t>
  </si>
  <si>
    <t>Oblivion-M83,Susanne Sundfør</t>
  </si>
  <si>
    <t>M83, Susanne Sundfør</t>
  </si>
  <si>
    <t>Doin' it Right</t>
  </si>
  <si>
    <t>Doin' it Right-Daft Punk,Panda Bear</t>
  </si>
  <si>
    <t>Magenta Riddim-DJ Snake</t>
  </si>
  <si>
    <t>La femme d'argent-Air</t>
  </si>
  <si>
    <t>Like I Do-David Guetta,Martin Garrix,Brooks</t>
  </si>
  <si>
    <t>Where Them Girls At</t>
  </si>
  <si>
    <t>Where Them Girls At-David Guetta,Flo Rida,Nicki Minaj</t>
  </si>
  <si>
    <t>My Tears Are Becoming A Sea-M83</t>
  </si>
  <si>
    <t>U Are My High-DJ Snake</t>
  </si>
  <si>
    <t>Would I Lie to You-David Guetta,Cedric Gervais,Chris Willis</t>
  </si>
  <si>
    <t>Lighter-Galantis,David Guetta,5 Seconds of Summer</t>
  </si>
  <si>
    <t>Let's Love-David Guetta,Sia</t>
  </si>
  <si>
    <t>Wait-M83</t>
  </si>
  <si>
    <t>One Night/All Night-Justice,Tame Impala</t>
  </si>
  <si>
    <t>Giorgio by Moroder-Daft Punk</t>
  </si>
  <si>
    <t>Give Life Back to Music-Daft Punk</t>
  </si>
  <si>
    <t>Aerodynamic-Daft Punk</t>
  </si>
  <si>
    <t>Shelter-Porter Robinson,Madeon</t>
  </si>
  <si>
    <t>If You Really Love Me</t>
  </si>
  <si>
    <t>If You Really Love Me-David Guetta,MistaJam,John Newman</t>
  </si>
  <si>
    <t>Love Don't Let Me Go-David Guetta</t>
  </si>
  <si>
    <t>Flames-David Guetta,Sia</t>
  </si>
  <si>
    <t>Sexy Bitch</t>
  </si>
  <si>
    <t>Sexy Bitch-David Guetta,Akon</t>
  </si>
  <si>
    <t>Memories-David Guetta,Kid Cudi</t>
  </si>
  <si>
    <t>Face to Face-Daft Punk</t>
  </si>
  <si>
    <t>Voyager-Daft Punk</t>
  </si>
  <si>
    <t>Da Funk-Daft Punk</t>
  </si>
  <si>
    <t>Family Affair</t>
  </si>
  <si>
    <t>Family Affair-David Guetta</t>
  </si>
  <si>
    <t>2U</t>
  </si>
  <si>
    <t>2U-David Guetta,Justin Bieber</t>
  </si>
  <si>
    <t>Bad</t>
  </si>
  <si>
    <t>Bad-David Guetta,Showtek,VASSY</t>
  </si>
  <si>
    <t>Feeling Good-Hypaton,David Guetta</t>
  </si>
  <si>
    <t>Outro-M83</t>
  </si>
  <si>
    <t>A Different Way</t>
  </si>
  <si>
    <t>A Different Way-DJ Snake,Lauv</t>
  </si>
  <si>
    <t>Sexy Boy-Air</t>
  </si>
  <si>
    <t>Titanium</t>
  </si>
  <si>
    <t>Titanium-David Guetta,Sia</t>
  </si>
  <si>
    <t>All I Need</t>
  </si>
  <si>
    <t>All I Need-Air,Beth Hirsch</t>
  </si>
  <si>
    <t>Say My Name-David Guetta,Bebe Rexha,J Balvin</t>
  </si>
  <si>
    <t>My Tears Are Becoming a Sea-M83</t>
  </si>
  <si>
    <t>SG</t>
  </si>
  <si>
    <t>SG-DJ Snake,Ozuna,Megan Thee Stallion,LISA</t>
  </si>
  <si>
    <t>Playground Love-Air,Gordon Tracks</t>
  </si>
  <si>
    <t>D.A.N.C.E-Justice</t>
  </si>
  <si>
    <t>Digital Love-Daft Punk</t>
  </si>
  <si>
    <t>BED-Joel Corry,RAYE,David Guetta</t>
  </si>
  <si>
    <t>Solitude</t>
  </si>
  <si>
    <t>Solitude-M83,Felsmann + Tiley</t>
  </si>
  <si>
    <t>Lose Yourself to Dance</t>
  </si>
  <si>
    <t>Lose Yourself to Dance-Daft Punk,Pharrell Williams</t>
  </si>
  <si>
    <t>Heartbreak Anthem</t>
  </si>
  <si>
    <t>Heartbreak Anthem-Galantis,David Guetta,Little Mix</t>
  </si>
  <si>
    <t>This One's for You</t>
  </si>
  <si>
    <t>This One's for You-David Guetta,Zara Larsson</t>
  </si>
  <si>
    <t>Satisfaction-David Guetta,Benny Benassi</t>
  </si>
  <si>
    <t>Neverender-Justice,Tame Impala</t>
  </si>
  <si>
    <t>Turn Down for What-DJ Snake,Lil Jon</t>
  </si>
  <si>
    <t>One in a Million-Bebe Rexha,David Guetta</t>
  </si>
  <si>
    <t>Midnight City-M83</t>
  </si>
  <si>
    <t>Love Generation-Bob Sinclar,Gary Pine</t>
  </si>
  <si>
    <t>Something About Us-Daft Punk</t>
  </si>
  <si>
    <t>Taki Taki</t>
  </si>
  <si>
    <t>Taki Taki-DJ Snake,Selena Gomez,Ozuna,Cardi B</t>
  </si>
  <si>
    <t>Lovers on the Sun</t>
  </si>
  <si>
    <t>Lovers on the Sun-David Guetta,Sam Martin</t>
  </si>
  <si>
    <t>Crazy What Love Can Do-David Guetta,Becky Hill,Ella Henderson</t>
  </si>
  <si>
    <t>Rock This Party-Bob Sinclar,Cutee B.,DollarMan,Big Ali,Makedah</t>
  </si>
  <si>
    <t>Veridis Quo-Daft Punk</t>
  </si>
  <si>
    <t>Harder, Better, Faster, Stronger-Daft Punk</t>
  </si>
  <si>
    <t>Around the World-Daft Punk</t>
  </si>
  <si>
    <t>U Are My High-DJ Snake,Future</t>
  </si>
  <si>
    <t>You Know You Like It-DJ Snake,AlunaGeorge</t>
  </si>
  <si>
    <t>Get Lucky</t>
  </si>
  <si>
    <t>Get Lucky-Daft Punk,Pharrell Williams,Nile Rodgers</t>
  </si>
  <si>
    <t>Hey Mama</t>
  </si>
  <si>
    <t>Hey Mama-David Guetta,AFROJACK,Bebe Rexha,Nicki Minaj</t>
  </si>
  <si>
    <t>Middle-DJ Snake,Bipolar Sunshine</t>
  </si>
  <si>
    <t>Never Going Home Tonight</t>
  </si>
  <si>
    <t>Never Going Home Tonight-David Guetta,Alesso,Madison Love</t>
  </si>
  <si>
    <t>World Hold On-Bob Sinclar,Steve Edwards</t>
  </si>
  <si>
    <t>Instant Crush</t>
  </si>
  <si>
    <t>Instant Crush-Daft Punk,Julian Casablancas</t>
  </si>
  <si>
    <t>When We Were Young</t>
  </si>
  <si>
    <t>When We Were Young-David Guetta,Kim Petras</t>
  </si>
  <si>
    <t>World Hold On-Bob Sinclar,FISHER,Steve Edwards</t>
  </si>
  <si>
    <t>One More Time-Daft Punk</t>
  </si>
  <si>
    <t>Baby Don't Hurt Me-David Guetta,Anne-Marie,Coi Leray</t>
  </si>
  <si>
    <t>Forever Young-David Guetta,Alphaville,Ava Max</t>
  </si>
  <si>
    <t>I Don't Wanna Wait-David Guetta,OneRepublic</t>
  </si>
  <si>
    <t>Let Me Love You-DJ Snake,Justin Bieber</t>
  </si>
  <si>
    <t>I'm Good</t>
  </si>
  <si>
    <t>I'm Good-David Guetta,Bebe Rexha</t>
  </si>
  <si>
    <t>GN_FrenchElectro</t>
  </si>
  <si>
    <t>Bob Sinclar, Sofiya Nzau, REMIND</t>
  </si>
  <si>
    <t>Digane-Bob Sinclar,Sofiya Nzau,REMIND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</si>
</sst>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0F8E3"/>
        <bgColor indexed="64"/>
      </patternFill>
    </fill>
    <fill>
      <patternFill patternType="solid">
        <fgColor rgb="FFEAFBD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14" fontId="0" fillId="0" borderId="1" xfId="0" applyNumberFormat="1" applyBorder="1"/>
    <xf numFmtId="3" fontId="0" fillId="0" borderId="0" xfId="0" applyNumberFormat="1"/>
    <xf numFmtId="3" fontId="0" fillId="0" borderId="1" xfId="0" applyNumberFormat="1" applyBorder="1"/>
    <xf numFmtId="0" fontId="2" fillId="5" borderId="0" xfId="0" applyFont="1" applyFill="1"/>
    <xf numFmtId="0" fontId="2" fillId="6" borderId="0" xfId="0" applyFont="1" applyFill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0" borderId="0" xfId="0" quotePrefix="1"/>
    <xf numFmtId="0" fontId="0" fillId="8" borderId="1" xfId="0" quotePrefix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FBDD"/>
      <color rgb="FFE0F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7620</xdr:rowOff>
        </xdr:from>
        <xdr:to>
          <xdr:col>2</xdr:col>
          <xdr:colOff>45720</xdr:colOff>
          <xdr:row>4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AD165-A341-42C5-9EB2-A132B2521DBE}">
  <sheetPr codeName="Sheet5"/>
  <dimension ref="E1:AG1443"/>
  <sheetViews>
    <sheetView zoomScale="70" zoomScaleNormal="70" workbookViewId="0">
      <pane xSplit="4" ySplit="1" topLeftCell="X2" activePane="bottomRight" state="frozen"/>
      <selection pane="topRight" activeCell="E1" sqref="E1"/>
      <selection pane="bottomLeft" activeCell="A2" sqref="A2"/>
      <selection pane="bottomRight" activeCell="X5" sqref="X5:AC5"/>
    </sheetView>
  </sheetViews>
  <sheetFormatPr defaultRowHeight="14.4" x14ac:dyDescent="0.3"/>
  <cols>
    <col min="2" max="2" width="20.21875" customWidth="1"/>
    <col min="3" max="3" width="0" hidden="1" customWidth="1"/>
    <col min="4" max="4" width="19.5546875" customWidth="1"/>
    <col min="26" max="26" width="124.21875" customWidth="1"/>
    <col min="28" max="28" width="44.44140625" bestFit="1" customWidth="1"/>
  </cols>
  <sheetData>
    <row r="1" spans="5:33" s="2" customFormat="1" x14ac:dyDescent="0.3">
      <c r="AD1" s="2" t="s">
        <v>1</v>
      </c>
      <c r="AE1" s="2" t="s">
        <v>2</v>
      </c>
      <c r="AF1" s="2" t="s">
        <v>3</v>
      </c>
      <c r="AG1" s="2" t="s">
        <v>4</v>
      </c>
    </row>
    <row r="2" spans="5:33" x14ac:dyDescent="0.3">
      <c r="E2" s="6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 t="str">
        <f t="shared" ref="X2:X65" si="0">IF(OR(U2&lt;0.301, AND(U2&lt;0.4, P2=0)), "-SADNE-", "-HAPPY-")</f>
        <v>-SADNE-</v>
      </c>
      <c r="Y2" s="3" t="str">
        <f t="shared" ref="Y2:Y65" si="1">IF(OR(AND(L2&lt;0.5,M2&lt;0.5),AND(L2&lt;0.45,V2&lt;100),AND(M2&lt;0.45,V2&lt;100),AND(U2&lt;0.39,V2&lt;100)),"-SLOWSS-","-ENERGY-")</f>
        <v>-SLOWSS-</v>
      </c>
      <c r="Z2" s="4" t="str">
        <f>"{"&amp;CHAR(34)&amp;"couname"&amp;CHAR(34)&amp;":"&amp;CHAR(34)&amp;B2&amp;CHAR(34)&amp;","&amp;CHAR(34)&amp;"img"&amp;CHAR(34)&amp;":"&amp;CHAR(34)&amp;AC2&amp;CHAR(34)&amp;","&amp;CHAR(34)&amp;"pty"&amp;CHAR(34)&amp;":"&amp;CHAR(34)&amp;G2&amp;CHAR(34)&amp;","&amp;CHAR(34)&amp;"artist"&amp;CHAR(34)&amp;":"&amp;CHAR(34)&amp;D2&amp;CHAR(34)&amp;","&amp;CHAR(34)&amp;"genres"&amp;CHAR(34)&amp;":"&amp;CHAR(34)&amp;AE2&amp;CHAR(34)&amp;","&amp;CHAR(34)&amp;"duration"&amp;CHAR(34)&amp;":"&amp;CHAR(34)&amp;F2&amp;CHAR(34)&amp;","&amp;CHAR(34)&amp;"spotId"&amp;CHAR(34)&amp;":"&amp;CHAR(34)&amp;A2&amp;CHAR(34)&amp;","&amp;CHAR(34)&amp;"Items"&amp;CHAR(34)&amp;":"&amp;AB2&amp;"},"</f>
        <v>{"couname":"","img":"0","pty":"","artist":"","genres":"0","duration":"","spotId":"","Items":["-SADNE-","-SLOWSS-","OTHR","OTHR","XT_OffAnimals"]},</v>
      </c>
      <c r="AA2" s="5" t="s">
        <v>5</v>
      </c>
      <c r="AB2" s="3" t="str">
        <f xml:space="preserve"> "[" &amp; _xlfn.TEXTJOIN(",",TRUE,CHAR(34) &amp; X2&amp; CHAR(34), CHAR(34) &amp; Y2 &amp; CHAR(34),  CHAR(34) &amp; AF2 &amp; CHAR(34), CHAR(34) &amp;AG2 &amp; CHAR(34), CHAR(34) &amp; AA2 &amp; CHAR(34)) &amp; "]"</f>
        <v>["-SADNE-","-SLOWSS-","OTHR","OTHR","XT_OffAnimals"]</v>
      </c>
      <c r="AC2" s="3">
        <f>_xlfn.XLOOKUP(A2,Album!A:A,Album!J:J)</f>
        <v>0</v>
      </c>
      <c r="AD2" s="3">
        <f>_xlfn.XLOOKUP(D2,Artists!A:A,Artists!B:B)</f>
        <v>0</v>
      </c>
      <c r="AE2" s="3">
        <f>_xlfn.XLOOKUP(D2,Artists!A:A,Artists!C:C)</f>
        <v>0</v>
      </c>
      <c r="AF2" s="3" t="str">
        <f>IF(ISNUMBER(SEARCH("female", AD2)), "GIRL", IF(ISNUMBER(SEARCH("male", AD2)), "DUDE", "OTHR"))</f>
        <v>OTHR</v>
      </c>
      <c r="AG2" s="3" t="str">
        <f>IF(ISNUMBER(SEARCH("band", AD2)), "BAND", IF(ISNUMBER(SEARCH("solo", AD2)), "SOLO", "OTHR"))</f>
        <v>OTHR</v>
      </c>
    </row>
    <row r="3" spans="5:33" x14ac:dyDescent="0.3">
      <c r="E3" s="6" t="s">
        <v>6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 t="str">
        <f t="shared" si="0"/>
        <v>-SADNE-</v>
      </c>
      <c r="Y3" s="3" t="str">
        <f t="shared" si="1"/>
        <v>-SLOWSS-</v>
      </c>
      <c r="Z3" s="4" t="str">
        <f t="shared" ref="Z3:Z66" si="2">"{"&amp;CHAR(34)&amp;"couname"&amp;CHAR(34)&amp;":"&amp;CHAR(34)&amp;B3&amp;CHAR(34)&amp;","&amp;CHAR(34)&amp;"img"&amp;CHAR(34)&amp;":"&amp;CHAR(34)&amp;AC3&amp;CHAR(34)&amp;","&amp;CHAR(34)&amp;"pty"&amp;CHAR(34)&amp;":"&amp;CHAR(34)&amp;G3&amp;CHAR(34)&amp;","&amp;CHAR(34)&amp;"artist"&amp;CHAR(34)&amp;":"&amp;CHAR(34)&amp;D3&amp;CHAR(34)&amp;","&amp;CHAR(34)&amp;"genres"&amp;CHAR(34)&amp;":"&amp;CHAR(34)&amp;J3&amp;CHAR(34)&amp;","&amp;CHAR(34)&amp;"duration"&amp;CHAR(34)&amp;":"&amp;CHAR(34)&amp;F3&amp;CHAR(34)&amp;","&amp;CHAR(34)&amp;"spotId"&amp;CHAR(34)&amp;":"&amp;CHAR(34)&amp;A3&amp;CHAR(34)&amp;","&amp;CHAR(34)&amp;"Items"&amp;CHAR(34)&amp;":"&amp;AB3&amp;"},"</f>
        <v>{"couname":"","img":"0","pty":"","artist":"","genres":"","duration":"","spotId":"","Items":["-SADNE-","-SLOWSS-","OTHR","OTHR","XT_OffAnimals"]},</v>
      </c>
      <c r="AA3" s="5" t="s">
        <v>5</v>
      </c>
      <c r="AB3" s="3" t="str">
        <f t="shared" ref="AB3:AB66" si="3" xml:space="preserve"> "[" &amp; _xlfn.TEXTJOIN(",",TRUE,CHAR(34) &amp; X3&amp; CHAR(34), CHAR(34) &amp; Y3 &amp; CHAR(34),  CHAR(34) &amp; AF3 &amp; CHAR(34), CHAR(34) &amp;AG3 &amp; CHAR(34), CHAR(34) &amp; AA3 &amp; CHAR(34)) &amp; "]"</f>
        <v>["-SADNE-","-SLOWSS-","OTHR","OTHR","XT_OffAnimals"]</v>
      </c>
      <c r="AC3" s="3">
        <f>_xlfn.XLOOKUP(A3,Album!A:A,Album!J:J)</f>
        <v>0</v>
      </c>
      <c r="AD3" s="3">
        <f>_xlfn.XLOOKUP(D3,Artists!A:A,Artists!B:B)</f>
        <v>0</v>
      </c>
      <c r="AE3" s="3">
        <f>_xlfn.XLOOKUP(D3,Artists!A:A,Artists!C:C)</f>
        <v>0</v>
      </c>
      <c r="AF3" s="3" t="str">
        <f t="shared" ref="AF3:AF66" si="4">IF(ISNUMBER(SEARCH("female", AD3)), "GIRL", IF(ISNUMBER(SEARCH("male", AD3)), "DUDE", "OTHR"))</f>
        <v>OTHR</v>
      </c>
      <c r="AG3" s="3" t="str">
        <f t="shared" ref="AG3:AG66" si="5">IF(ISNUMBER(SEARCH("band", AD3)), "BAND", IF(ISNUMBER(SEARCH("solo", AD3)), "SOLO", "OTHR"))</f>
        <v>OTHR</v>
      </c>
    </row>
    <row r="4" spans="5:33" x14ac:dyDescent="0.3">
      <c r="E4" s="6"/>
      <c r="F4" s="3" t="s">
        <v>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 t="str">
        <f t="shared" si="0"/>
        <v>-SADNE-</v>
      </c>
      <c r="Y4" s="3" t="str">
        <f t="shared" si="1"/>
        <v>-SLOWSS-</v>
      </c>
      <c r="Z4" s="4" t="str">
        <f t="shared" si="2"/>
        <v>{"couname":"","img":"0","pty":"","artist":"","genres":"","duration":"ñ´-","spotId":"","Items":["-SADNE-","-SLOWSS-","OTHR","OTHR","XT_OffAnimals"]},</v>
      </c>
      <c r="AA4" s="5" t="s">
        <v>5</v>
      </c>
      <c r="AB4" s="3" t="str">
        <f t="shared" si="3"/>
        <v>["-SADNE-","-SLOWSS-","OTHR","OTHR","XT_OffAnimals"]</v>
      </c>
      <c r="AC4" s="3">
        <f>_xlfn.XLOOKUP(A4,Album!A:A,Album!J:J)</f>
        <v>0</v>
      </c>
      <c r="AD4" s="3">
        <f>_xlfn.XLOOKUP(D4,Artists!A:A,Artists!B:B)</f>
        <v>0</v>
      </c>
      <c r="AE4" s="3">
        <f>_xlfn.XLOOKUP(D4,Artists!A:A,Artists!C:C)</f>
        <v>0</v>
      </c>
      <c r="AF4" s="3" t="str">
        <f t="shared" si="4"/>
        <v>OTHR</v>
      </c>
      <c r="AG4" s="3" t="str">
        <f t="shared" si="5"/>
        <v>OTHR</v>
      </c>
    </row>
    <row r="5" spans="5:33" x14ac:dyDescent="0.3">
      <c r="E5" s="6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 t="str">
        <f t="shared" si="0"/>
        <v>-SADNE-</v>
      </c>
      <c r="Y5" s="3" t="str">
        <f t="shared" si="1"/>
        <v>-SLOWSS-</v>
      </c>
      <c r="Z5" s="4" t="str">
        <f t="shared" si="2"/>
        <v>{"couname":"","img":"0","pty":"","artist":"","genres":"","duration":"","spotId":"","Items":["-SADNE-","-SLOWSS-","OTHR","OTHR","XT_OffAnimals"]},</v>
      </c>
      <c r="AA5" s="5" t="s">
        <v>5</v>
      </c>
      <c r="AB5" s="3" t="str">
        <f t="shared" si="3"/>
        <v>["-SADNE-","-SLOWSS-","OTHR","OTHR","XT_OffAnimals"]</v>
      </c>
      <c r="AC5" s="3">
        <f>_xlfn.XLOOKUP(A5,Album!A:A,Album!J:J)</f>
        <v>0</v>
      </c>
      <c r="AD5" s="3">
        <f>_xlfn.XLOOKUP(D5,Artists!A:A,Artists!B:B)</f>
        <v>0</v>
      </c>
      <c r="AE5" s="3">
        <f>_xlfn.XLOOKUP(D5,Artists!A:A,Artists!C:C)</f>
        <v>0</v>
      </c>
      <c r="AF5" s="3" t="str">
        <f t="shared" si="4"/>
        <v>OTHR</v>
      </c>
      <c r="AG5" s="3" t="str">
        <f t="shared" si="5"/>
        <v>OTHR</v>
      </c>
    </row>
    <row r="6" spans="5:33" x14ac:dyDescent="0.3">
      <c r="E6" s="6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 t="str">
        <f t="shared" si="0"/>
        <v>-SADNE-</v>
      </c>
      <c r="Y6" s="3" t="str">
        <f t="shared" si="1"/>
        <v>-SLOWSS-</v>
      </c>
      <c r="Z6" s="4" t="str">
        <f t="shared" si="2"/>
        <v>{"couname":"","img":"0","pty":"","artist":"","genres":"","duration":"","spotId":"","Items":["-SADNE-","-SLOWSS-","OTHR","OTHR","XT_OffAnimals"]},</v>
      </c>
      <c r="AA6" s="5" t="s">
        <v>5</v>
      </c>
      <c r="AB6" s="3" t="str">
        <f t="shared" si="3"/>
        <v>["-SADNE-","-SLOWSS-","OTHR","OTHR","XT_OffAnimals"]</v>
      </c>
      <c r="AC6" s="3">
        <f>_xlfn.XLOOKUP(A6,Album!A:A,Album!J:J)</f>
        <v>0</v>
      </c>
      <c r="AD6" s="3">
        <f>_xlfn.XLOOKUP(D6,Artists!A:A,Artists!B:B)</f>
        <v>0</v>
      </c>
      <c r="AE6" s="3">
        <f>_xlfn.XLOOKUP(D6,Artists!A:A,Artists!C:C)</f>
        <v>0</v>
      </c>
      <c r="AF6" s="3" t="str">
        <f t="shared" si="4"/>
        <v>OTHR</v>
      </c>
      <c r="AG6" s="3" t="str">
        <f t="shared" si="5"/>
        <v>OTHR</v>
      </c>
    </row>
    <row r="7" spans="5:33" x14ac:dyDescent="0.3">
      <c r="E7" s="6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 t="str">
        <f t="shared" si="0"/>
        <v>-SADNE-</v>
      </c>
      <c r="Y7" s="3" t="str">
        <f t="shared" si="1"/>
        <v>-SLOWSS-</v>
      </c>
      <c r="Z7" s="4" t="str">
        <f t="shared" si="2"/>
        <v>{"couname":"","img":"0","pty":"","artist":"","genres":"","duration":"","spotId":"","Items":["-SADNE-","-SLOWSS-","OTHR","OTHR","XT_OffAnimals"]},</v>
      </c>
      <c r="AA7" s="5" t="s">
        <v>5</v>
      </c>
      <c r="AB7" s="3" t="str">
        <f t="shared" si="3"/>
        <v>["-SADNE-","-SLOWSS-","OTHR","OTHR","XT_OffAnimals"]</v>
      </c>
      <c r="AC7" s="3">
        <f>_xlfn.XLOOKUP(A7,Album!A:A,Album!J:J)</f>
        <v>0</v>
      </c>
      <c r="AD7" s="3">
        <f>_xlfn.XLOOKUP(D7,Artists!A:A,Artists!B:B)</f>
        <v>0</v>
      </c>
      <c r="AE7" s="3">
        <f>_xlfn.XLOOKUP(D7,Artists!A:A,Artists!C:C)</f>
        <v>0</v>
      </c>
      <c r="AF7" s="3" t="str">
        <f t="shared" si="4"/>
        <v>OTHR</v>
      </c>
      <c r="AG7" s="3" t="str">
        <f t="shared" si="5"/>
        <v>OTHR</v>
      </c>
    </row>
    <row r="8" spans="5:33" x14ac:dyDescent="0.3">
      <c r="E8" s="6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 t="str">
        <f t="shared" si="0"/>
        <v>-SADNE-</v>
      </c>
      <c r="Y8" s="3" t="str">
        <f t="shared" si="1"/>
        <v>-SLOWSS-</v>
      </c>
      <c r="Z8" s="4" t="str">
        <f t="shared" si="2"/>
        <v>{"couname":"","img":"0","pty":"","artist":"","genres":"","duration":"","spotId":"","Items":["-SADNE-","-SLOWSS-","OTHR","OTHR","XT_OffAnimals"]},</v>
      </c>
      <c r="AA8" s="5" t="s">
        <v>5</v>
      </c>
      <c r="AB8" s="3" t="str">
        <f t="shared" si="3"/>
        <v>["-SADNE-","-SLOWSS-","OTHR","OTHR","XT_OffAnimals"]</v>
      </c>
      <c r="AC8" s="3">
        <f>_xlfn.XLOOKUP(A8,Album!A:A,Album!J:J)</f>
        <v>0</v>
      </c>
      <c r="AD8" s="3">
        <f>_xlfn.XLOOKUP(D8,Artists!A:A,Artists!B:B)</f>
        <v>0</v>
      </c>
      <c r="AE8" s="3">
        <f>_xlfn.XLOOKUP(D8,Artists!A:A,Artists!C:C)</f>
        <v>0</v>
      </c>
      <c r="AF8" s="3" t="str">
        <f t="shared" si="4"/>
        <v>OTHR</v>
      </c>
      <c r="AG8" s="3" t="str">
        <f t="shared" si="5"/>
        <v>OTHR</v>
      </c>
    </row>
    <row r="9" spans="5:33" x14ac:dyDescent="0.3">
      <c r="E9" s="6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 t="str">
        <f t="shared" si="0"/>
        <v>-SADNE-</v>
      </c>
      <c r="Y9" s="3" t="str">
        <f t="shared" si="1"/>
        <v>-SLOWSS-</v>
      </c>
      <c r="Z9" s="4" t="str">
        <f t="shared" si="2"/>
        <v>{"couname":"","img":"0","pty":"","artist":"","genres":"","duration":"","spotId":"","Items":["-SADNE-","-SLOWSS-","OTHR","OTHR","XT_OffAnimals"]},</v>
      </c>
      <c r="AA9" s="5" t="s">
        <v>5</v>
      </c>
      <c r="AB9" s="3" t="str">
        <f t="shared" si="3"/>
        <v>["-SADNE-","-SLOWSS-","OTHR","OTHR","XT_OffAnimals"]</v>
      </c>
      <c r="AC9" s="3">
        <f>_xlfn.XLOOKUP(A9,Album!A:A,Album!J:J)</f>
        <v>0</v>
      </c>
      <c r="AD9" s="3">
        <f>_xlfn.XLOOKUP(D9,Artists!A:A,Artists!B:B)</f>
        <v>0</v>
      </c>
      <c r="AE9" s="3">
        <f>_xlfn.XLOOKUP(D9,Artists!A:A,Artists!C:C)</f>
        <v>0</v>
      </c>
      <c r="AF9" s="3" t="str">
        <f t="shared" si="4"/>
        <v>OTHR</v>
      </c>
      <c r="AG9" s="3" t="str">
        <f t="shared" si="5"/>
        <v>OTHR</v>
      </c>
    </row>
    <row r="10" spans="5:33" x14ac:dyDescent="0.3">
      <c r="E10" s="6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 t="str">
        <f t="shared" si="0"/>
        <v>-SADNE-</v>
      </c>
      <c r="Y10" s="3" t="str">
        <f t="shared" si="1"/>
        <v>-SLOWSS-</v>
      </c>
      <c r="Z10" s="4" t="str">
        <f t="shared" si="2"/>
        <v>{"couname":"","img":"0","pty":"","artist":"","genres":"","duration":"","spotId":"","Items":["-SADNE-","-SLOWSS-","OTHR","OTHR","XT_OffAnimals"]},</v>
      </c>
      <c r="AA10" s="5" t="s">
        <v>5</v>
      </c>
      <c r="AB10" s="3" t="str">
        <f t="shared" si="3"/>
        <v>["-SADNE-","-SLOWSS-","OTHR","OTHR","XT_OffAnimals"]</v>
      </c>
      <c r="AC10" s="3">
        <f>_xlfn.XLOOKUP(A10,Album!A:A,Album!J:J)</f>
        <v>0</v>
      </c>
      <c r="AD10" s="3">
        <f>_xlfn.XLOOKUP(D10,Artists!A:A,Artists!B:B)</f>
        <v>0</v>
      </c>
      <c r="AE10" s="3">
        <f>_xlfn.XLOOKUP(D10,Artists!A:A,Artists!C:C)</f>
        <v>0</v>
      </c>
      <c r="AF10" s="3" t="str">
        <f t="shared" si="4"/>
        <v>OTHR</v>
      </c>
      <c r="AG10" s="3" t="str">
        <f t="shared" si="5"/>
        <v>OTHR</v>
      </c>
    </row>
    <row r="11" spans="5:33" x14ac:dyDescent="0.3">
      <c r="E11" s="6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 t="str">
        <f t="shared" si="0"/>
        <v>-SADNE-</v>
      </c>
      <c r="Y11" s="3" t="str">
        <f t="shared" si="1"/>
        <v>-SLOWSS-</v>
      </c>
      <c r="Z11" s="4" t="str">
        <f t="shared" si="2"/>
        <v>{"couname":"","img":"0","pty":"","artist":"","genres":"","duration":"","spotId":"","Items":["-SADNE-","-SLOWSS-","OTHR","OTHR","XT_OffAnimals"]},</v>
      </c>
      <c r="AA11" s="5" t="s">
        <v>5</v>
      </c>
      <c r="AB11" s="3" t="str">
        <f t="shared" si="3"/>
        <v>["-SADNE-","-SLOWSS-","OTHR","OTHR","XT_OffAnimals"]</v>
      </c>
      <c r="AC11" s="3">
        <f>_xlfn.XLOOKUP(A11,Album!A:A,Album!J:J)</f>
        <v>0</v>
      </c>
      <c r="AD11" s="3">
        <f>_xlfn.XLOOKUP(D11,Artists!A:A,Artists!B:B)</f>
        <v>0</v>
      </c>
      <c r="AE11" s="3">
        <f>_xlfn.XLOOKUP(D11,Artists!A:A,Artists!C:C)</f>
        <v>0</v>
      </c>
      <c r="AF11" s="3" t="str">
        <f t="shared" si="4"/>
        <v>OTHR</v>
      </c>
      <c r="AG11" s="3" t="str">
        <f t="shared" si="5"/>
        <v>OTHR</v>
      </c>
    </row>
    <row r="12" spans="5:33" x14ac:dyDescent="0.3">
      <c r="E12" s="6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 t="str">
        <f t="shared" si="0"/>
        <v>-SADNE-</v>
      </c>
      <c r="Y12" s="3" t="str">
        <f t="shared" si="1"/>
        <v>-SLOWSS-</v>
      </c>
      <c r="Z12" s="4" t="str">
        <f t="shared" si="2"/>
        <v>{"couname":"","img":"0","pty":"","artist":"","genres":"","duration":"","spotId":"","Items":["-SADNE-","-SLOWSS-","OTHR","OTHR","XT_OffAnimals"]},</v>
      </c>
      <c r="AA12" s="5" t="s">
        <v>5</v>
      </c>
      <c r="AB12" s="3" t="str">
        <f t="shared" si="3"/>
        <v>["-SADNE-","-SLOWSS-","OTHR","OTHR","XT_OffAnimals"]</v>
      </c>
      <c r="AC12" s="3">
        <f>_xlfn.XLOOKUP(A12,Album!A:A,Album!J:J)</f>
        <v>0</v>
      </c>
      <c r="AD12" s="3">
        <f>_xlfn.XLOOKUP(D12,Artists!A:A,Artists!B:B)</f>
        <v>0</v>
      </c>
      <c r="AE12" s="3">
        <f>_xlfn.XLOOKUP(D12,Artists!A:A,Artists!C:C)</f>
        <v>0</v>
      </c>
      <c r="AF12" s="3" t="str">
        <f t="shared" si="4"/>
        <v>OTHR</v>
      </c>
      <c r="AG12" s="3" t="str">
        <f t="shared" si="5"/>
        <v>OTHR</v>
      </c>
    </row>
    <row r="13" spans="5:33" x14ac:dyDescent="0.3">
      <c r="E13" s="6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 t="str">
        <f t="shared" si="0"/>
        <v>-SADNE-</v>
      </c>
      <c r="Y13" s="3" t="str">
        <f t="shared" si="1"/>
        <v>-SLOWSS-</v>
      </c>
      <c r="Z13" s="4" t="str">
        <f t="shared" si="2"/>
        <v>{"couname":"","img":"0","pty":"","artist":"","genres":"","duration":"","spotId":"","Items":["-SADNE-","-SLOWSS-","OTHR","OTHR","XT_OffAnimals"]},</v>
      </c>
      <c r="AA13" s="5" t="s">
        <v>5</v>
      </c>
      <c r="AB13" s="3" t="str">
        <f t="shared" si="3"/>
        <v>["-SADNE-","-SLOWSS-","OTHR","OTHR","XT_OffAnimals"]</v>
      </c>
      <c r="AC13" s="3">
        <f>_xlfn.XLOOKUP(A13,Album!A:A,Album!J:J)</f>
        <v>0</v>
      </c>
      <c r="AD13" s="3">
        <f>_xlfn.XLOOKUP(D13,Artists!A:A,Artists!B:B)</f>
        <v>0</v>
      </c>
      <c r="AE13" s="3">
        <f>_xlfn.XLOOKUP(D13,Artists!A:A,Artists!C:C)</f>
        <v>0</v>
      </c>
      <c r="AF13" s="3" t="str">
        <f t="shared" si="4"/>
        <v>OTHR</v>
      </c>
      <c r="AG13" s="3" t="str">
        <f t="shared" si="5"/>
        <v>OTHR</v>
      </c>
    </row>
    <row r="14" spans="5:33" x14ac:dyDescent="0.3">
      <c r="E14" s="6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 t="str">
        <f t="shared" si="0"/>
        <v>-SADNE-</v>
      </c>
      <c r="Y14" s="3" t="str">
        <f t="shared" si="1"/>
        <v>-SLOWSS-</v>
      </c>
      <c r="Z14" s="4" t="str">
        <f t="shared" si="2"/>
        <v>{"couname":"","img":"0","pty":"","artist":"","genres":"","duration":"","spotId":"","Items":["-SADNE-","-SLOWSS-","OTHR","OTHR","XT_OffAnimals"]},</v>
      </c>
      <c r="AA14" s="5" t="s">
        <v>5</v>
      </c>
      <c r="AB14" s="3" t="str">
        <f t="shared" si="3"/>
        <v>["-SADNE-","-SLOWSS-","OTHR","OTHR","XT_OffAnimals"]</v>
      </c>
      <c r="AC14" s="3">
        <f>_xlfn.XLOOKUP(A14,Album!A:A,Album!J:J)</f>
        <v>0</v>
      </c>
      <c r="AD14" s="3">
        <f>_xlfn.XLOOKUP(D14,Artists!A:A,Artists!B:B)</f>
        <v>0</v>
      </c>
      <c r="AE14" s="3">
        <f>_xlfn.XLOOKUP(D14,Artists!A:A,Artists!C:C)</f>
        <v>0</v>
      </c>
      <c r="AF14" s="3" t="str">
        <f t="shared" si="4"/>
        <v>OTHR</v>
      </c>
      <c r="AG14" s="3" t="str">
        <f t="shared" si="5"/>
        <v>OTHR</v>
      </c>
    </row>
    <row r="15" spans="5:33" x14ac:dyDescent="0.3">
      <c r="E15" s="6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 t="str">
        <f t="shared" si="0"/>
        <v>-SADNE-</v>
      </c>
      <c r="Y15" s="3" t="str">
        <f t="shared" si="1"/>
        <v>-SLOWSS-</v>
      </c>
      <c r="Z15" s="4" t="str">
        <f t="shared" si="2"/>
        <v>{"couname":"","img":"0","pty":"","artist":"","genres":"","duration":"","spotId":"","Items":["-SADNE-","-SLOWSS-","OTHR","OTHR","XT_OffAnimals"]},</v>
      </c>
      <c r="AA15" s="5" t="s">
        <v>5</v>
      </c>
      <c r="AB15" s="3" t="str">
        <f t="shared" si="3"/>
        <v>["-SADNE-","-SLOWSS-","OTHR","OTHR","XT_OffAnimals"]</v>
      </c>
      <c r="AC15" s="3">
        <f>_xlfn.XLOOKUP(A15,Album!A:A,Album!J:J)</f>
        <v>0</v>
      </c>
      <c r="AD15" s="3">
        <f>_xlfn.XLOOKUP(D15,Artists!A:A,Artists!B:B)</f>
        <v>0</v>
      </c>
      <c r="AE15" s="3">
        <f>_xlfn.XLOOKUP(D15,Artists!A:A,Artists!C:C)</f>
        <v>0</v>
      </c>
      <c r="AF15" s="3" t="str">
        <f t="shared" si="4"/>
        <v>OTHR</v>
      </c>
      <c r="AG15" s="3" t="str">
        <f t="shared" si="5"/>
        <v>OTHR</v>
      </c>
    </row>
    <row r="16" spans="5:33" x14ac:dyDescent="0.3">
      <c r="E16" s="6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 t="str">
        <f t="shared" si="0"/>
        <v>-SADNE-</v>
      </c>
      <c r="Y16" s="3" t="str">
        <f t="shared" si="1"/>
        <v>-SLOWSS-</v>
      </c>
      <c r="Z16" s="4" t="str">
        <f t="shared" si="2"/>
        <v>{"couname":"","img":"0","pty":"","artist":"","genres":"","duration":"","spotId":"","Items":["-SADNE-","-SLOWSS-","OTHR","OTHR","XT_OffAnimals"]},</v>
      </c>
      <c r="AA16" s="5" t="s">
        <v>5</v>
      </c>
      <c r="AB16" s="3" t="str">
        <f t="shared" si="3"/>
        <v>["-SADNE-","-SLOWSS-","OTHR","OTHR","XT_OffAnimals"]</v>
      </c>
      <c r="AC16" s="3">
        <f>_xlfn.XLOOKUP(A16,Album!A:A,Album!J:J)</f>
        <v>0</v>
      </c>
      <c r="AD16" s="3">
        <f>_xlfn.XLOOKUP(D16,Artists!A:A,Artists!B:B)</f>
        <v>0</v>
      </c>
      <c r="AE16" s="3">
        <f>_xlfn.XLOOKUP(D16,Artists!A:A,Artists!C:C)</f>
        <v>0</v>
      </c>
      <c r="AF16" s="3" t="str">
        <f t="shared" si="4"/>
        <v>OTHR</v>
      </c>
      <c r="AG16" s="3" t="str">
        <f t="shared" si="5"/>
        <v>OTHR</v>
      </c>
    </row>
    <row r="17" spans="24:33" x14ac:dyDescent="0.3">
      <c r="X17" s="3" t="str">
        <f t="shared" si="0"/>
        <v>-SADNE-</v>
      </c>
      <c r="Y17" s="3" t="str">
        <f t="shared" si="1"/>
        <v>-SLOWSS-</v>
      </c>
      <c r="Z17" s="4" t="str">
        <f t="shared" si="2"/>
        <v>{"couname":"","img":"0","pty":"","artist":"","genres":"","duration":"","spotId":"","Items":["-SADNE-","-SLOWSS-","OTHR","OTHR","XT_OffAnimals"]},</v>
      </c>
      <c r="AA17" s="5" t="s">
        <v>5</v>
      </c>
      <c r="AB17" s="3" t="str">
        <f t="shared" si="3"/>
        <v>["-SADNE-","-SLOWSS-","OTHR","OTHR","XT_OffAnimals"]</v>
      </c>
      <c r="AC17" s="3">
        <f>_xlfn.XLOOKUP(A17,Album!A:A,Album!J:J)</f>
        <v>0</v>
      </c>
      <c r="AD17" s="3">
        <f>_xlfn.XLOOKUP(D17,Artists!A:A,Artists!B:B)</f>
        <v>0</v>
      </c>
      <c r="AE17" s="3">
        <f>_xlfn.XLOOKUP(D17,Artists!A:A,Artists!C:C)</f>
        <v>0</v>
      </c>
      <c r="AF17" s="3" t="str">
        <f t="shared" si="4"/>
        <v>OTHR</v>
      </c>
      <c r="AG17" s="3" t="str">
        <f t="shared" si="5"/>
        <v>OTHR</v>
      </c>
    </row>
    <row r="18" spans="24:33" x14ac:dyDescent="0.3">
      <c r="X18" s="3" t="str">
        <f t="shared" si="0"/>
        <v>-SADNE-</v>
      </c>
      <c r="Y18" s="3" t="str">
        <f t="shared" si="1"/>
        <v>-SLOWSS-</v>
      </c>
      <c r="Z18" s="4" t="str">
        <f t="shared" si="2"/>
        <v>{"couname":"","img":"0","pty":"","artist":"","genres":"","duration":"","spotId":"","Items":["-SADNE-","-SLOWSS-","OTHR","OTHR","XT_OffAnimals"]},</v>
      </c>
      <c r="AA18" s="5" t="s">
        <v>5</v>
      </c>
      <c r="AB18" s="3" t="str">
        <f t="shared" si="3"/>
        <v>["-SADNE-","-SLOWSS-","OTHR","OTHR","XT_OffAnimals"]</v>
      </c>
      <c r="AC18" s="3">
        <f>_xlfn.XLOOKUP(A18,Album!A:A,Album!J:J)</f>
        <v>0</v>
      </c>
      <c r="AD18" s="3">
        <f>_xlfn.XLOOKUP(D18,Artists!A:A,Artists!B:B)</f>
        <v>0</v>
      </c>
      <c r="AE18" s="3">
        <f>_xlfn.XLOOKUP(D18,Artists!A:A,Artists!C:C)</f>
        <v>0</v>
      </c>
      <c r="AF18" s="3" t="str">
        <f t="shared" si="4"/>
        <v>OTHR</v>
      </c>
      <c r="AG18" s="3" t="str">
        <f t="shared" si="5"/>
        <v>OTHR</v>
      </c>
    </row>
    <row r="19" spans="24:33" x14ac:dyDescent="0.3">
      <c r="X19" s="3" t="str">
        <f t="shared" si="0"/>
        <v>-SADNE-</v>
      </c>
      <c r="Y19" s="3" t="str">
        <f t="shared" si="1"/>
        <v>-SLOWSS-</v>
      </c>
      <c r="Z19" s="4" t="str">
        <f t="shared" si="2"/>
        <v>{"couname":"","img":"0","pty":"","artist":"","genres":"","duration":"","spotId":"","Items":["-SADNE-","-SLOWSS-","OTHR","OTHR","XT_OffAnimals"]},</v>
      </c>
      <c r="AA19" s="5" t="s">
        <v>5</v>
      </c>
      <c r="AB19" s="3" t="str">
        <f t="shared" si="3"/>
        <v>["-SADNE-","-SLOWSS-","OTHR","OTHR","XT_OffAnimals"]</v>
      </c>
      <c r="AC19" s="3">
        <f>_xlfn.XLOOKUP(A19,Album!A:A,Album!J:J)</f>
        <v>0</v>
      </c>
      <c r="AD19" s="3">
        <f>_xlfn.XLOOKUP(D19,Artists!A:A,Artists!B:B)</f>
        <v>0</v>
      </c>
      <c r="AE19" s="3">
        <f>_xlfn.XLOOKUP(D19,Artists!A:A,Artists!C:C)</f>
        <v>0</v>
      </c>
      <c r="AF19" s="3" t="str">
        <f t="shared" si="4"/>
        <v>OTHR</v>
      </c>
      <c r="AG19" s="3" t="str">
        <f t="shared" si="5"/>
        <v>OTHR</v>
      </c>
    </row>
    <row r="20" spans="24:33" x14ac:dyDescent="0.3">
      <c r="X20" s="3" t="str">
        <f t="shared" si="0"/>
        <v>-SADNE-</v>
      </c>
      <c r="Y20" s="3" t="str">
        <f t="shared" si="1"/>
        <v>-SLOWSS-</v>
      </c>
      <c r="Z20" s="4" t="str">
        <f t="shared" si="2"/>
        <v>{"couname":"","img":"0","pty":"","artist":"","genres":"","duration":"","spotId":"","Items":["-SADNE-","-SLOWSS-","OTHR","OTHR","XT_OffAnimals"]},</v>
      </c>
      <c r="AA20" s="5" t="s">
        <v>5</v>
      </c>
      <c r="AB20" s="3" t="str">
        <f t="shared" si="3"/>
        <v>["-SADNE-","-SLOWSS-","OTHR","OTHR","XT_OffAnimals"]</v>
      </c>
      <c r="AC20" s="3">
        <f>_xlfn.XLOOKUP(A20,Album!A:A,Album!J:J)</f>
        <v>0</v>
      </c>
      <c r="AD20" s="3">
        <f>_xlfn.XLOOKUP(D20,Artists!A:A,Artists!B:B)</f>
        <v>0</v>
      </c>
      <c r="AE20" s="3">
        <f>_xlfn.XLOOKUP(D20,Artists!A:A,Artists!C:C)</f>
        <v>0</v>
      </c>
      <c r="AF20" s="3" t="str">
        <f t="shared" si="4"/>
        <v>OTHR</v>
      </c>
      <c r="AG20" s="3" t="str">
        <f t="shared" si="5"/>
        <v>OTHR</v>
      </c>
    </row>
    <row r="21" spans="24:33" x14ac:dyDescent="0.3">
      <c r="X21" s="3" t="str">
        <f t="shared" si="0"/>
        <v>-SADNE-</v>
      </c>
      <c r="Y21" s="3" t="str">
        <f t="shared" si="1"/>
        <v>-SLOWSS-</v>
      </c>
      <c r="Z21" s="4" t="str">
        <f t="shared" si="2"/>
        <v>{"couname":"","img":"0","pty":"","artist":"","genres":"","duration":"","spotId":"","Items":["-SADNE-","-SLOWSS-","OTHR","OTHR","XT_OffAnimals"]},</v>
      </c>
      <c r="AA21" s="5" t="s">
        <v>5</v>
      </c>
      <c r="AB21" s="3" t="str">
        <f t="shared" si="3"/>
        <v>["-SADNE-","-SLOWSS-","OTHR","OTHR","XT_OffAnimals"]</v>
      </c>
      <c r="AC21" s="3">
        <f>_xlfn.XLOOKUP(A21,Album!A:A,Album!J:J)</f>
        <v>0</v>
      </c>
      <c r="AD21" s="3">
        <f>_xlfn.XLOOKUP(D21,Artists!A:A,Artists!B:B)</f>
        <v>0</v>
      </c>
      <c r="AE21" s="3">
        <f>_xlfn.XLOOKUP(D21,Artists!A:A,Artists!C:C)</f>
        <v>0</v>
      </c>
      <c r="AF21" s="3" t="str">
        <f t="shared" si="4"/>
        <v>OTHR</v>
      </c>
      <c r="AG21" s="3" t="str">
        <f t="shared" si="5"/>
        <v>OTHR</v>
      </c>
    </row>
    <row r="22" spans="24:33" x14ac:dyDescent="0.3">
      <c r="X22" s="3" t="str">
        <f t="shared" si="0"/>
        <v>-SADNE-</v>
      </c>
      <c r="Y22" s="3" t="str">
        <f t="shared" si="1"/>
        <v>-SLOWSS-</v>
      </c>
      <c r="Z22" s="4" t="str">
        <f t="shared" si="2"/>
        <v>{"couname":"","img":"0","pty":"","artist":"","genres":"","duration":"","spotId":"","Items":["-SADNE-","-SLOWSS-","OTHR","OTHR","XT_OffAnimals"]},</v>
      </c>
      <c r="AA22" s="5" t="s">
        <v>5</v>
      </c>
      <c r="AB22" s="3" t="str">
        <f t="shared" si="3"/>
        <v>["-SADNE-","-SLOWSS-","OTHR","OTHR","XT_OffAnimals"]</v>
      </c>
      <c r="AC22" s="3">
        <f>_xlfn.XLOOKUP(A22,Album!A:A,Album!J:J)</f>
        <v>0</v>
      </c>
      <c r="AD22" s="3">
        <f>_xlfn.XLOOKUP(D22,Artists!A:A,Artists!B:B)</f>
        <v>0</v>
      </c>
      <c r="AE22" s="3">
        <f>_xlfn.XLOOKUP(D22,Artists!A:A,Artists!C:C)</f>
        <v>0</v>
      </c>
      <c r="AF22" s="3" t="str">
        <f t="shared" si="4"/>
        <v>OTHR</v>
      </c>
      <c r="AG22" s="3" t="str">
        <f t="shared" si="5"/>
        <v>OTHR</v>
      </c>
    </row>
    <row r="23" spans="24:33" x14ac:dyDescent="0.3">
      <c r="X23" s="3" t="str">
        <f t="shared" si="0"/>
        <v>-SADNE-</v>
      </c>
      <c r="Y23" s="3" t="str">
        <f t="shared" si="1"/>
        <v>-SLOWSS-</v>
      </c>
      <c r="Z23" s="4" t="str">
        <f t="shared" si="2"/>
        <v>{"couname":"","img":"0","pty":"","artist":"","genres":"","duration":"","spotId":"","Items":["-SADNE-","-SLOWSS-","OTHR","OTHR","XT_OffAnimals"]},</v>
      </c>
      <c r="AA23" s="5" t="s">
        <v>5</v>
      </c>
      <c r="AB23" s="3" t="str">
        <f t="shared" si="3"/>
        <v>["-SADNE-","-SLOWSS-","OTHR","OTHR","XT_OffAnimals"]</v>
      </c>
      <c r="AC23" s="3">
        <f>_xlfn.XLOOKUP(A23,Album!A:A,Album!J:J)</f>
        <v>0</v>
      </c>
      <c r="AD23" s="3">
        <f>_xlfn.XLOOKUP(D23,Artists!A:A,Artists!B:B)</f>
        <v>0</v>
      </c>
      <c r="AE23" s="3">
        <f>_xlfn.XLOOKUP(D23,Artists!A:A,Artists!C:C)</f>
        <v>0</v>
      </c>
      <c r="AF23" s="3" t="str">
        <f t="shared" si="4"/>
        <v>OTHR</v>
      </c>
      <c r="AG23" s="3" t="str">
        <f t="shared" si="5"/>
        <v>OTHR</v>
      </c>
    </row>
    <row r="24" spans="24:33" x14ac:dyDescent="0.3">
      <c r="X24" s="3" t="str">
        <f t="shared" si="0"/>
        <v>-SADNE-</v>
      </c>
      <c r="Y24" s="3" t="str">
        <f t="shared" si="1"/>
        <v>-SLOWSS-</v>
      </c>
      <c r="Z24" s="4" t="str">
        <f t="shared" si="2"/>
        <v>{"couname":"","img":"0","pty":"","artist":"","genres":"","duration":"","spotId":"","Items":["-SADNE-","-SLOWSS-","OTHR","OTHR","XT_OffAnimals"]},</v>
      </c>
      <c r="AA24" s="5" t="s">
        <v>5</v>
      </c>
      <c r="AB24" s="3" t="str">
        <f t="shared" si="3"/>
        <v>["-SADNE-","-SLOWSS-","OTHR","OTHR","XT_OffAnimals"]</v>
      </c>
      <c r="AC24" s="3">
        <f>_xlfn.XLOOKUP(A24,Album!A:A,Album!J:J)</f>
        <v>0</v>
      </c>
      <c r="AD24" s="3">
        <f>_xlfn.XLOOKUP(D24,Artists!A:A,Artists!B:B)</f>
        <v>0</v>
      </c>
      <c r="AE24" s="3">
        <f>_xlfn.XLOOKUP(D24,Artists!A:A,Artists!C:C)</f>
        <v>0</v>
      </c>
      <c r="AF24" s="3" t="str">
        <f t="shared" si="4"/>
        <v>OTHR</v>
      </c>
      <c r="AG24" s="3" t="str">
        <f t="shared" si="5"/>
        <v>OTHR</v>
      </c>
    </row>
    <row r="25" spans="24:33" x14ac:dyDescent="0.3">
      <c r="X25" s="3" t="str">
        <f t="shared" si="0"/>
        <v>-SADNE-</v>
      </c>
      <c r="Y25" s="3" t="str">
        <f t="shared" si="1"/>
        <v>-SLOWSS-</v>
      </c>
      <c r="Z25" s="4" t="str">
        <f t="shared" si="2"/>
        <v>{"couname":"","img":"0","pty":"","artist":"","genres":"","duration":"","spotId":"","Items":["-SADNE-","-SLOWSS-","OTHR","OTHR","XT_OffAnimals"]},</v>
      </c>
      <c r="AA25" s="5" t="s">
        <v>5</v>
      </c>
      <c r="AB25" s="3" t="str">
        <f t="shared" si="3"/>
        <v>["-SADNE-","-SLOWSS-","OTHR","OTHR","XT_OffAnimals"]</v>
      </c>
      <c r="AC25" s="3">
        <f>_xlfn.XLOOKUP(A25,Album!A:A,Album!J:J)</f>
        <v>0</v>
      </c>
      <c r="AD25" s="3">
        <f>_xlfn.XLOOKUP(D25,Artists!A:A,Artists!B:B)</f>
        <v>0</v>
      </c>
      <c r="AE25" s="3">
        <f>_xlfn.XLOOKUP(D25,Artists!A:A,Artists!C:C)</f>
        <v>0</v>
      </c>
      <c r="AF25" s="3" t="str">
        <f t="shared" si="4"/>
        <v>OTHR</v>
      </c>
      <c r="AG25" s="3" t="str">
        <f t="shared" si="5"/>
        <v>OTHR</v>
      </c>
    </row>
    <row r="26" spans="24:33" x14ac:dyDescent="0.3">
      <c r="X26" s="3" t="str">
        <f t="shared" si="0"/>
        <v>-SADNE-</v>
      </c>
      <c r="Y26" s="3" t="str">
        <f t="shared" si="1"/>
        <v>-SLOWSS-</v>
      </c>
      <c r="Z26" s="4" t="str">
        <f t="shared" si="2"/>
        <v>{"couname":"","img":"0","pty":"","artist":"","genres":"","duration":"","spotId":"","Items":["-SADNE-","-SLOWSS-","OTHR","OTHR","XT_OffAnimals"]},</v>
      </c>
      <c r="AA26" s="5" t="s">
        <v>5</v>
      </c>
      <c r="AB26" s="3" t="str">
        <f t="shared" si="3"/>
        <v>["-SADNE-","-SLOWSS-","OTHR","OTHR","XT_OffAnimals"]</v>
      </c>
      <c r="AC26" s="3">
        <f>_xlfn.XLOOKUP(A26,Album!A:A,Album!J:J)</f>
        <v>0</v>
      </c>
      <c r="AD26" s="3">
        <f>_xlfn.XLOOKUP(D26,Artists!A:A,Artists!B:B)</f>
        <v>0</v>
      </c>
      <c r="AE26" s="3">
        <f>_xlfn.XLOOKUP(D26,Artists!A:A,Artists!C:C)</f>
        <v>0</v>
      </c>
      <c r="AF26" s="3" t="str">
        <f t="shared" si="4"/>
        <v>OTHR</v>
      </c>
      <c r="AG26" s="3" t="str">
        <f t="shared" si="5"/>
        <v>OTHR</v>
      </c>
    </row>
    <row r="27" spans="24:33" x14ac:dyDescent="0.3">
      <c r="X27" s="3" t="str">
        <f t="shared" si="0"/>
        <v>-SADNE-</v>
      </c>
      <c r="Y27" s="3" t="str">
        <f t="shared" si="1"/>
        <v>-SLOWSS-</v>
      </c>
      <c r="Z27" s="4" t="str">
        <f t="shared" si="2"/>
        <v>{"couname":"","img":"0","pty":"","artist":"","genres":"","duration":"","spotId":"","Items":["-SADNE-","-SLOWSS-","OTHR","OTHR","XT_OffAnimals"]},</v>
      </c>
      <c r="AA27" s="5" t="s">
        <v>5</v>
      </c>
      <c r="AB27" s="3" t="str">
        <f t="shared" si="3"/>
        <v>["-SADNE-","-SLOWSS-","OTHR","OTHR","XT_OffAnimals"]</v>
      </c>
      <c r="AC27" s="3">
        <f>_xlfn.XLOOKUP(A27,Album!A:A,Album!J:J)</f>
        <v>0</v>
      </c>
      <c r="AD27" s="3">
        <f>_xlfn.XLOOKUP(D27,Artists!A:A,Artists!B:B)</f>
        <v>0</v>
      </c>
      <c r="AE27" s="3">
        <f>_xlfn.XLOOKUP(D27,Artists!A:A,Artists!C:C)</f>
        <v>0</v>
      </c>
      <c r="AF27" s="3" t="str">
        <f t="shared" si="4"/>
        <v>OTHR</v>
      </c>
      <c r="AG27" s="3" t="str">
        <f t="shared" si="5"/>
        <v>OTHR</v>
      </c>
    </row>
    <row r="28" spans="24:33" x14ac:dyDescent="0.3">
      <c r="X28" s="3" t="str">
        <f t="shared" si="0"/>
        <v>-SADNE-</v>
      </c>
      <c r="Y28" s="3" t="str">
        <f t="shared" si="1"/>
        <v>-SLOWSS-</v>
      </c>
      <c r="Z28" s="4" t="str">
        <f t="shared" si="2"/>
        <v>{"couname":"","img":"0","pty":"","artist":"","genres":"","duration":"","spotId":"","Items":["-SADNE-","-SLOWSS-","OTHR","OTHR","XT_OffAnimals"]},</v>
      </c>
      <c r="AA28" s="5" t="s">
        <v>5</v>
      </c>
      <c r="AB28" s="3" t="str">
        <f t="shared" si="3"/>
        <v>["-SADNE-","-SLOWSS-","OTHR","OTHR","XT_OffAnimals"]</v>
      </c>
      <c r="AC28" s="3">
        <f>_xlfn.XLOOKUP(A28,Album!A:A,Album!J:J)</f>
        <v>0</v>
      </c>
      <c r="AD28" s="3">
        <f>_xlfn.XLOOKUP(D28,Artists!A:A,Artists!B:B)</f>
        <v>0</v>
      </c>
      <c r="AE28" s="3">
        <f>_xlfn.XLOOKUP(D28,Artists!A:A,Artists!C:C)</f>
        <v>0</v>
      </c>
      <c r="AF28" s="3" t="str">
        <f t="shared" si="4"/>
        <v>OTHR</v>
      </c>
      <c r="AG28" s="3" t="str">
        <f t="shared" si="5"/>
        <v>OTHR</v>
      </c>
    </row>
    <row r="29" spans="24:33" x14ac:dyDescent="0.3">
      <c r="X29" s="3" t="str">
        <f t="shared" si="0"/>
        <v>-SADNE-</v>
      </c>
      <c r="Y29" s="3" t="str">
        <f t="shared" si="1"/>
        <v>-SLOWSS-</v>
      </c>
      <c r="Z29" s="4" t="str">
        <f t="shared" si="2"/>
        <v>{"couname":"","img":"0","pty":"","artist":"","genres":"","duration":"","spotId":"","Items":["-SADNE-","-SLOWSS-","OTHR","OTHR","XT_OffAnimals"]},</v>
      </c>
      <c r="AA29" s="5" t="s">
        <v>5</v>
      </c>
      <c r="AB29" s="3" t="str">
        <f t="shared" si="3"/>
        <v>["-SADNE-","-SLOWSS-","OTHR","OTHR","XT_OffAnimals"]</v>
      </c>
      <c r="AC29" s="3">
        <f>_xlfn.XLOOKUP(A29,Album!A:A,Album!J:J)</f>
        <v>0</v>
      </c>
      <c r="AD29" s="3">
        <f>_xlfn.XLOOKUP(D29,Artists!A:A,Artists!B:B)</f>
        <v>0</v>
      </c>
      <c r="AE29" s="3">
        <f>_xlfn.XLOOKUP(D29,Artists!A:A,Artists!C:C)</f>
        <v>0</v>
      </c>
      <c r="AF29" s="3" t="str">
        <f t="shared" si="4"/>
        <v>OTHR</v>
      </c>
      <c r="AG29" s="3" t="str">
        <f t="shared" si="5"/>
        <v>OTHR</v>
      </c>
    </row>
    <row r="30" spans="24:33" x14ac:dyDescent="0.3">
      <c r="X30" s="3" t="str">
        <f t="shared" si="0"/>
        <v>-SADNE-</v>
      </c>
      <c r="Y30" s="3" t="str">
        <f t="shared" si="1"/>
        <v>-SLOWSS-</v>
      </c>
      <c r="Z30" s="4" t="str">
        <f t="shared" si="2"/>
        <v>{"couname":"","img":"0","pty":"","artist":"","genres":"","duration":"","spotId":"","Items":["-SADNE-","-SLOWSS-","OTHR","OTHR","XT_OffAnimals"]},</v>
      </c>
      <c r="AA30" s="5" t="s">
        <v>5</v>
      </c>
      <c r="AB30" s="3" t="str">
        <f t="shared" si="3"/>
        <v>["-SADNE-","-SLOWSS-","OTHR","OTHR","XT_OffAnimals"]</v>
      </c>
      <c r="AC30" s="3">
        <f>_xlfn.XLOOKUP(A30,Album!A:A,Album!J:J)</f>
        <v>0</v>
      </c>
      <c r="AD30" s="3">
        <f>_xlfn.XLOOKUP(D30,Artists!A:A,Artists!B:B)</f>
        <v>0</v>
      </c>
      <c r="AE30" s="3">
        <f>_xlfn.XLOOKUP(D30,Artists!A:A,Artists!C:C)</f>
        <v>0</v>
      </c>
      <c r="AF30" s="3" t="str">
        <f t="shared" si="4"/>
        <v>OTHR</v>
      </c>
      <c r="AG30" s="3" t="str">
        <f t="shared" si="5"/>
        <v>OTHR</v>
      </c>
    </row>
    <row r="31" spans="24:33" x14ac:dyDescent="0.3">
      <c r="X31" s="3" t="str">
        <f t="shared" si="0"/>
        <v>-SADNE-</v>
      </c>
      <c r="Y31" s="3" t="str">
        <f t="shared" si="1"/>
        <v>-SLOWSS-</v>
      </c>
      <c r="Z31" s="4" t="str">
        <f t="shared" si="2"/>
        <v>{"couname":"","img":"0","pty":"","artist":"","genres":"","duration":"","spotId":"","Items":["-SADNE-","-SLOWSS-","OTHR","OTHR","XT_OffAnimals"]},</v>
      </c>
      <c r="AA31" s="5" t="s">
        <v>5</v>
      </c>
      <c r="AB31" s="3" t="str">
        <f t="shared" si="3"/>
        <v>["-SADNE-","-SLOWSS-","OTHR","OTHR","XT_OffAnimals"]</v>
      </c>
      <c r="AC31" s="3">
        <f>_xlfn.XLOOKUP(A31,Album!A:A,Album!J:J)</f>
        <v>0</v>
      </c>
      <c r="AD31" s="3">
        <f>_xlfn.XLOOKUP(D31,Artists!A:A,Artists!B:B)</f>
        <v>0</v>
      </c>
      <c r="AE31" s="3">
        <f>_xlfn.XLOOKUP(D31,Artists!A:A,Artists!C:C)</f>
        <v>0</v>
      </c>
      <c r="AF31" s="3" t="str">
        <f t="shared" si="4"/>
        <v>OTHR</v>
      </c>
      <c r="AG31" s="3" t="str">
        <f t="shared" si="5"/>
        <v>OTHR</v>
      </c>
    </row>
    <row r="32" spans="24:33" x14ac:dyDescent="0.3">
      <c r="X32" s="3" t="str">
        <f t="shared" si="0"/>
        <v>-SADNE-</v>
      </c>
      <c r="Y32" s="3" t="str">
        <f t="shared" si="1"/>
        <v>-SLOWSS-</v>
      </c>
      <c r="Z32" s="4" t="str">
        <f t="shared" si="2"/>
        <v>{"couname":"","img":"0","pty":"","artist":"","genres":"","duration":"","spotId":"","Items":["-SADNE-","-SLOWSS-","OTHR","OTHR","XT_OffAnimals"]},</v>
      </c>
      <c r="AA32" s="5" t="s">
        <v>5</v>
      </c>
      <c r="AB32" s="3" t="str">
        <f t="shared" si="3"/>
        <v>["-SADNE-","-SLOWSS-","OTHR","OTHR","XT_OffAnimals"]</v>
      </c>
      <c r="AC32" s="3">
        <f>_xlfn.XLOOKUP(A32,Album!A:A,Album!J:J)</f>
        <v>0</v>
      </c>
      <c r="AD32" s="3">
        <f>_xlfn.XLOOKUP(D32,Artists!A:A,Artists!B:B)</f>
        <v>0</v>
      </c>
      <c r="AE32" s="3">
        <f>_xlfn.XLOOKUP(D32,Artists!A:A,Artists!C:C)</f>
        <v>0</v>
      </c>
      <c r="AF32" s="3" t="str">
        <f t="shared" si="4"/>
        <v>OTHR</v>
      </c>
      <c r="AG32" s="3" t="str">
        <f t="shared" si="5"/>
        <v>OTHR</v>
      </c>
    </row>
    <row r="33" spans="24:33" x14ac:dyDescent="0.3">
      <c r="X33" s="3" t="str">
        <f t="shared" si="0"/>
        <v>-SADNE-</v>
      </c>
      <c r="Y33" s="3" t="str">
        <f t="shared" si="1"/>
        <v>-SLOWSS-</v>
      </c>
      <c r="Z33" s="4" t="str">
        <f t="shared" si="2"/>
        <v>{"couname":"","img":"0","pty":"","artist":"","genres":"","duration":"","spotId":"","Items":["-SADNE-","-SLOWSS-","OTHR","OTHR","XT_OffAnimals"]},</v>
      </c>
      <c r="AA33" s="5" t="s">
        <v>5</v>
      </c>
      <c r="AB33" s="3" t="str">
        <f t="shared" si="3"/>
        <v>["-SADNE-","-SLOWSS-","OTHR","OTHR","XT_OffAnimals"]</v>
      </c>
      <c r="AC33" s="3">
        <f>_xlfn.XLOOKUP(A33,Album!A:A,Album!J:J)</f>
        <v>0</v>
      </c>
      <c r="AD33" s="3">
        <f>_xlfn.XLOOKUP(D33,Artists!A:A,Artists!B:B)</f>
        <v>0</v>
      </c>
      <c r="AE33" s="3">
        <f>_xlfn.XLOOKUP(D33,Artists!A:A,Artists!C:C)</f>
        <v>0</v>
      </c>
      <c r="AF33" s="3" t="str">
        <f t="shared" si="4"/>
        <v>OTHR</v>
      </c>
      <c r="AG33" s="3" t="str">
        <f t="shared" si="5"/>
        <v>OTHR</v>
      </c>
    </row>
    <row r="34" spans="24:33" x14ac:dyDescent="0.3">
      <c r="X34" s="3" t="str">
        <f t="shared" si="0"/>
        <v>-SADNE-</v>
      </c>
      <c r="Y34" s="3" t="str">
        <f t="shared" si="1"/>
        <v>-SLOWSS-</v>
      </c>
      <c r="Z34" s="4" t="str">
        <f t="shared" si="2"/>
        <v>{"couname":"","img":"0","pty":"","artist":"","genres":"","duration":"","spotId":"","Items":["-SADNE-","-SLOWSS-","OTHR","OTHR","XT_OffAnimals"]},</v>
      </c>
      <c r="AA34" s="5" t="s">
        <v>5</v>
      </c>
      <c r="AB34" s="3" t="str">
        <f t="shared" si="3"/>
        <v>["-SADNE-","-SLOWSS-","OTHR","OTHR","XT_OffAnimals"]</v>
      </c>
      <c r="AC34" s="3">
        <f>_xlfn.XLOOKUP(A34,Album!A:A,Album!J:J)</f>
        <v>0</v>
      </c>
      <c r="AD34" s="3">
        <f>_xlfn.XLOOKUP(D34,Artists!A:A,Artists!B:B)</f>
        <v>0</v>
      </c>
      <c r="AE34" s="3">
        <f>_xlfn.XLOOKUP(D34,Artists!A:A,Artists!C:C)</f>
        <v>0</v>
      </c>
      <c r="AF34" s="3" t="str">
        <f t="shared" si="4"/>
        <v>OTHR</v>
      </c>
      <c r="AG34" s="3" t="str">
        <f t="shared" si="5"/>
        <v>OTHR</v>
      </c>
    </row>
    <row r="35" spans="24:33" x14ac:dyDescent="0.3">
      <c r="X35" s="3" t="str">
        <f t="shared" si="0"/>
        <v>-SADNE-</v>
      </c>
      <c r="Y35" s="3" t="str">
        <f t="shared" si="1"/>
        <v>-SLOWSS-</v>
      </c>
      <c r="Z35" s="4" t="str">
        <f t="shared" si="2"/>
        <v>{"couname":"","img":"0","pty":"","artist":"","genres":"","duration":"","spotId":"","Items":["-SADNE-","-SLOWSS-","OTHR","OTHR","XT_OffAnimals"]},</v>
      </c>
      <c r="AA35" s="5" t="s">
        <v>5</v>
      </c>
      <c r="AB35" s="3" t="str">
        <f t="shared" si="3"/>
        <v>["-SADNE-","-SLOWSS-","OTHR","OTHR","XT_OffAnimals"]</v>
      </c>
      <c r="AC35" s="3">
        <f>_xlfn.XLOOKUP(A35,Album!A:A,Album!J:J)</f>
        <v>0</v>
      </c>
      <c r="AD35" s="3">
        <f>_xlfn.XLOOKUP(D35,Artists!A:A,Artists!B:B)</f>
        <v>0</v>
      </c>
      <c r="AE35" s="3">
        <f>_xlfn.XLOOKUP(D35,Artists!A:A,Artists!C:C)</f>
        <v>0</v>
      </c>
      <c r="AF35" s="3" t="str">
        <f t="shared" si="4"/>
        <v>OTHR</v>
      </c>
      <c r="AG35" s="3" t="str">
        <f t="shared" si="5"/>
        <v>OTHR</v>
      </c>
    </row>
    <row r="36" spans="24:33" x14ac:dyDescent="0.3">
      <c r="X36" s="3" t="str">
        <f t="shared" si="0"/>
        <v>-SADNE-</v>
      </c>
      <c r="Y36" s="3" t="str">
        <f t="shared" si="1"/>
        <v>-SLOWSS-</v>
      </c>
      <c r="Z36" s="4" t="str">
        <f t="shared" si="2"/>
        <v>{"couname":"","img":"0","pty":"","artist":"","genres":"","duration":"","spotId":"","Items":["-SADNE-","-SLOWSS-","OTHR","OTHR","XT_OffAnimals"]},</v>
      </c>
      <c r="AA36" s="5" t="s">
        <v>5</v>
      </c>
      <c r="AB36" s="3" t="str">
        <f t="shared" si="3"/>
        <v>["-SADNE-","-SLOWSS-","OTHR","OTHR","XT_OffAnimals"]</v>
      </c>
      <c r="AC36" s="3">
        <f>_xlfn.XLOOKUP(A36,Album!A:A,Album!J:J)</f>
        <v>0</v>
      </c>
      <c r="AD36" s="3">
        <f>_xlfn.XLOOKUP(D36,Artists!A:A,Artists!B:B)</f>
        <v>0</v>
      </c>
      <c r="AE36" s="3">
        <f>_xlfn.XLOOKUP(D36,Artists!A:A,Artists!C:C)</f>
        <v>0</v>
      </c>
      <c r="AF36" s="3" t="str">
        <f t="shared" si="4"/>
        <v>OTHR</v>
      </c>
      <c r="AG36" s="3" t="str">
        <f t="shared" si="5"/>
        <v>OTHR</v>
      </c>
    </row>
    <row r="37" spans="24:33" x14ac:dyDescent="0.3">
      <c r="X37" s="3" t="str">
        <f t="shared" si="0"/>
        <v>-SADNE-</v>
      </c>
      <c r="Y37" s="3" t="str">
        <f t="shared" si="1"/>
        <v>-SLOWSS-</v>
      </c>
      <c r="Z37" s="4" t="str">
        <f t="shared" si="2"/>
        <v>{"couname":"","img":"0","pty":"","artist":"","genres":"","duration":"","spotId":"","Items":["-SADNE-","-SLOWSS-","OTHR","OTHR","XT_OffAnimals"]},</v>
      </c>
      <c r="AA37" s="5" t="s">
        <v>5</v>
      </c>
      <c r="AB37" s="3" t="str">
        <f t="shared" si="3"/>
        <v>["-SADNE-","-SLOWSS-","OTHR","OTHR","XT_OffAnimals"]</v>
      </c>
      <c r="AC37" s="3">
        <f>_xlfn.XLOOKUP(A37,Album!A:A,Album!J:J)</f>
        <v>0</v>
      </c>
      <c r="AD37" s="3">
        <f>_xlfn.XLOOKUP(D37,Artists!A:A,Artists!B:B)</f>
        <v>0</v>
      </c>
      <c r="AE37" s="3">
        <f>_xlfn.XLOOKUP(D37,Artists!A:A,Artists!C:C)</f>
        <v>0</v>
      </c>
      <c r="AF37" s="3" t="str">
        <f t="shared" si="4"/>
        <v>OTHR</v>
      </c>
      <c r="AG37" s="3" t="str">
        <f t="shared" si="5"/>
        <v>OTHR</v>
      </c>
    </row>
    <row r="38" spans="24:33" x14ac:dyDescent="0.3">
      <c r="X38" s="3" t="str">
        <f t="shared" si="0"/>
        <v>-SADNE-</v>
      </c>
      <c r="Y38" s="3" t="str">
        <f t="shared" si="1"/>
        <v>-SLOWSS-</v>
      </c>
      <c r="Z38" s="4" t="str">
        <f t="shared" si="2"/>
        <v>{"couname":"","img":"0","pty":"","artist":"","genres":"","duration":"","spotId":"","Items":["-SADNE-","-SLOWSS-","OTHR","OTHR","XT_OffAnimals"]},</v>
      </c>
      <c r="AA38" s="5" t="s">
        <v>5</v>
      </c>
      <c r="AB38" s="3" t="str">
        <f t="shared" si="3"/>
        <v>["-SADNE-","-SLOWSS-","OTHR","OTHR","XT_OffAnimals"]</v>
      </c>
      <c r="AC38" s="3">
        <f>_xlfn.XLOOKUP(A38,Album!A:A,Album!J:J)</f>
        <v>0</v>
      </c>
      <c r="AD38" s="3">
        <f>_xlfn.XLOOKUP(D38,Artists!A:A,Artists!B:B)</f>
        <v>0</v>
      </c>
      <c r="AE38" s="3">
        <f>_xlfn.XLOOKUP(D38,Artists!A:A,Artists!C:C)</f>
        <v>0</v>
      </c>
      <c r="AF38" s="3" t="str">
        <f t="shared" si="4"/>
        <v>OTHR</v>
      </c>
      <c r="AG38" s="3" t="str">
        <f t="shared" si="5"/>
        <v>OTHR</v>
      </c>
    </row>
    <row r="39" spans="24:33" x14ac:dyDescent="0.3">
      <c r="X39" s="3" t="str">
        <f t="shared" si="0"/>
        <v>-SADNE-</v>
      </c>
      <c r="Y39" s="3" t="str">
        <f t="shared" si="1"/>
        <v>-SLOWSS-</v>
      </c>
      <c r="Z39" s="4" t="str">
        <f t="shared" si="2"/>
        <v>{"couname":"","img":"0","pty":"","artist":"","genres":"","duration":"","spotId":"","Items":["-SADNE-","-SLOWSS-","OTHR","OTHR","XT_OffAnimals"]},</v>
      </c>
      <c r="AA39" s="5" t="s">
        <v>5</v>
      </c>
      <c r="AB39" s="3" t="str">
        <f t="shared" si="3"/>
        <v>["-SADNE-","-SLOWSS-","OTHR","OTHR","XT_OffAnimals"]</v>
      </c>
      <c r="AC39" s="3">
        <f>_xlfn.XLOOKUP(A39,Album!A:A,Album!J:J)</f>
        <v>0</v>
      </c>
      <c r="AD39" s="3">
        <f>_xlfn.XLOOKUP(D39,Artists!A:A,Artists!B:B)</f>
        <v>0</v>
      </c>
      <c r="AE39" s="3">
        <f>_xlfn.XLOOKUP(D39,Artists!A:A,Artists!C:C)</f>
        <v>0</v>
      </c>
      <c r="AF39" s="3" t="str">
        <f t="shared" si="4"/>
        <v>OTHR</v>
      </c>
      <c r="AG39" s="3" t="str">
        <f t="shared" si="5"/>
        <v>OTHR</v>
      </c>
    </row>
    <row r="40" spans="24:33" x14ac:dyDescent="0.3">
      <c r="X40" s="3" t="str">
        <f t="shared" si="0"/>
        <v>-SADNE-</v>
      </c>
      <c r="Y40" s="3" t="str">
        <f t="shared" si="1"/>
        <v>-SLOWSS-</v>
      </c>
      <c r="Z40" s="4" t="str">
        <f t="shared" si="2"/>
        <v>{"couname":"","img":"0","pty":"","artist":"","genres":"","duration":"","spotId":"","Items":["-SADNE-","-SLOWSS-","OTHR","OTHR","XT_OffAnimals"]},</v>
      </c>
      <c r="AA40" s="5" t="s">
        <v>5</v>
      </c>
      <c r="AB40" s="3" t="str">
        <f t="shared" si="3"/>
        <v>["-SADNE-","-SLOWSS-","OTHR","OTHR","XT_OffAnimals"]</v>
      </c>
      <c r="AC40" s="3">
        <f>_xlfn.XLOOKUP(A40,Album!A:A,Album!J:J)</f>
        <v>0</v>
      </c>
      <c r="AD40" s="3">
        <f>_xlfn.XLOOKUP(D40,Artists!A:A,Artists!B:B)</f>
        <v>0</v>
      </c>
      <c r="AE40" s="3">
        <f>_xlfn.XLOOKUP(D40,Artists!A:A,Artists!C:C)</f>
        <v>0</v>
      </c>
      <c r="AF40" s="3" t="str">
        <f t="shared" si="4"/>
        <v>OTHR</v>
      </c>
      <c r="AG40" s="3" t="str">
        <f t="shared" si="5"/>
        <v>OTHR</v>
      </c>
    </row>
    <row r="41" spans="24:33" x14ac:dyDescent="0.3">
      <c r="X41" s="3" t="str">
        <f t="shared" si="0"/>
        <v>-SADNE-</v>
      </c>
      <c r="Y41" s="3" t="str">
        <f t="shared" si="1"/>
        <v>-SLOWSS-</v>
      </c>
      <c r="Z41" s="4" t="str">
        <f t="shared" si="2"/>
        <v>{"couname":"","img":"0","pty":"","artist":"","genres":"","duration":"","spotId":"","Items":["-SADNE-","-SLOWSS-","OTHR","OTHR","XT_OffAnimals"]},</v>
      </c>
      <c r="AA41" s="5" t="s">
        <v>5</v>
      </c>
      <c r="AB41" s="3" t="str">
        <f t="shared" si="3"/>
        <v>["-SADNE-","-SLOWSS-","OTHR","OTHR","XT_OffAnimals"]</v>
      </c>
      <c r="AC41" s="3">
        <f>_xlfn.XLOOKUP(A41,Album!A:A,Album!J:J)</f>
        <v>0</v>
      </c>
      <c r="AD41" s="3">
        <f>_xlfn.XLOOKUP(D41,Artists!A:A,Artists!B:B)</f>
        <v>0</v>
      </c>
      <c r="AE41" s="3">
        <f>_xlfn.XLOOKUP(D41,Artists!A:A,Artists!C:C)</f>
        <v>0</v>
      </c>
      <c r="AF41" s="3" t="str">
        <f t="shared" si="4"/>
        <v>OTHR</v>
      </c>
      <c r="AG41" s="3" t="str">
        <f t="shared" si="5"/>
        <v>OTHR</v>
      </c>
    </row>
    <row r="42" spans="24:33" x14ac:dyDescent="0.3">
      <c r="X42" s="3" t="str">
        <f t="shared" si="0"/>
        <v>-SADNE-</v>
      </c>
      <c r="Y42" s="3" t="str">
        <f t="shared" si="1"/>
        <v>-SLOWSS-</v>
      </c>
      <c r="Z42" s="4" t="str">
        <f t="shared" si="2"/>
        <v>{"couname":"","img":"0","pty":"","artist":"","genres":"","duration":"","spotId":"","Items":["-SADNE-","-SLOWSS-","OTHR","OTHR","XT_OffAnimals"]},</v>
      </c>
      <c r="AA42" s="5" t="s">
        <v>5</v>
      </c>
      <c r="AB42" s="3" t="str">
        <f t="shared" si="3"/>
        <v>["-SADNE-","-SLOWSS-","OTHR","OTHR","XT_OffAnimals"]</v>
      </c>
      <c r="AC42" s="3">
        <f>_xlfn.XLOOKUP(A42,Album!A:A,Album!J:J)</f>
        <v>0</v>
      </c>
      <c r="AD42" s="3">
        <f>_xlfn.XLOOKUP(D42,Artists!A:A,Artists!B:B)</f>
        <v>0</v>
      </c>
      <c r="AE42" s="3">
        <f>_xlfn.XLOOKUP(D42,Artists!A:A,Artists!C:C)</f>
        <v>0</v>
      </c>
      <c r="AF42" s="3" t="str">
        <f t="shared" si="4"/>
        <v>OTHR</v>
      </c>
      <c r="AG42" s="3" t="str">
        <f t="shared" si="5"/>
        <v>OTHR</v>
      </c>
    </row>
    <row r="43" spans="24:33" x14ac:dyDescent="0.3">
      <c r="X43" s="3" t="str">
        <f t="shared" si="0"/>
        <v>-SADNE-</v>
      </c>
      <c r="Y43" s="3" t="str">
        <f t="shared" si="1"/>
        <v>-SLOWSS-</v>
      </c>
      <c r="Z43" s="4" t="str">
        <f t="shared" si="2"/>
        <v>{"couname":"","img":"0","pty":"","artist":"","genres":"","duration":"","spotId":"","Items":["-SADNE-","-SLOWSS-","OTHR","OTHR","XT_OffAnimals"]},</v>
      </c>
      <c r="AA43" s="5" t="s">
        <v>5</v>
      </c>
      <c r="AB43" s="3" t="str">
        <f t="shared" si="3"/>
        <v>["-SADNE-","-SLOWSS-","OTHR","OTHR","XT_OffAnimals"]</v>
      </c>
      <c r="AC43" s="3">
        <f>_xlfn.XLOOKUP(A43,Album!A:A,Album!J:J)</f>
        <v>0</v>
      </c>
      <c r="AD43" s="3">
        <f>_xlfn.XLOOKUP(D43,Artists!A:A,Artists!B:B)</f>
        <v>0</v>
      </c>
      <c r="AE43" s="3">
        <f>_xlfn.XLOOKUP(D43,Artists!A:A,Artists!C:C)</f>
        <v>0</v>
      </c>
      <c r="AF43" s="3" t="str">
        <f t="shared" si="4"/>
        <v>OTHR</v>
      </c>
      <c r="AG43" s="3" t="str">
        <f t="shared" si="5"/>
        <v>OTHR</v>
      </c>
    </row>
    <row r="44" spans="24:33" x14ac:dyDescent="0.3">
      <c r="X44" s="3" t="str">
        <f t="shared" si="0"/>
        <v>-SADNE-</v>
      </c>
      <c r="Y44" s="3" t="str">
        <f t="shared" si="1"/>
        <v>-SLOWSS-</v>
      </c>
      <c r="Z44" s="4" t="str">
        <f t="shared" si="2"/>
        <v>{"couname":"","img":"0","pty":"","artist":"","genres":"","duration":"","spotId":"","Items":["-SADNE-","-SLOWSS-","OTHR","OTHR","XT_OffAnimals"]},</v>
      </c>
      <c r="AA44" s="5" t="s">
        <v>5</v>
      </c>
      <c r="AB44" s="3" t="str">
        <f t="shared" si="3"/>
        <v>["-SADNE-","-SLOWSS-","OTHR","OTHR","XT_OffAnimals"]</v>
      </c>
      <c r="AC44" s="3">
        <f>_xlfn.XLOOKUP(A44,Album!A:A,Album!J:J)</f>
        <v>0</v>
      </c>
      <c r="AD44" s="3">
        <f>_xlfn.XLOOKUP(D44,Artists!A:A,Artists!B:B)</f>
        <v>0</v>
      </c>
      <c r="AE44" s="3">
        <f>_xlfn.XLOOKUP(D44,Artists!A:A,Artists!C:C)</f>
        <v>0</v>
      </c>
      <c r="AF44" s="3" t="str">
        <f t="shared" si="4"/>
        <v>OTHR</v>
      </c>
      <c r="AG44" s="3" t="str">
        <f t="shared" si="5"/>
        <v>OTHR</v>
      </c>
    </row>
    <row r="45" spans="24:33" x14ac:dyDescent="0.3">
      <c r="X45" s="3" t="str">
        <f t="shared" si="0"/>
        <v>-SADNE-</v>
      </c>
      <c r="Y45" s="3" t="str">
        <f t="shared" si="1"/>
        <v>-SLOWSS-</v>
      </c>
      <c r="Z45" s="4" t="str">
        <f t="shared" si="2"/>
        <v>{"couname":"","img":"0","pty":"","artist":"","genres":"","duration":"","spotId":"","Items":["-SADNE-","-SLOWSS-","OTHR","OTHR","XT_OffAnimals"]},</v>
      </c>
      <c r="AA45" s="5" t="s">
        <v>5</v>
      </c>
      <c r="AB45" s="3" t="str">
        <f t="shared" si="3"/>
        <v>["-SADNE-","-SLOWSS-","OTHR","OTHR","XT_OffAnimals"]</v>
      </c>
      <c r="AC45" s="3">
        <f>_xlfn.XLOOKUP(A45,Album!A:A,Album!J:J)</f>
        <v>0</v>
      </c>
      <c r="AD45" s="3">
        <f>_xlfn.XLOOKUP(D45,Artists!A:A,Artists!B:B)</f>
        <v>0</v>
      </c>
      <c r="AE45" s="3">
        <f>_xlfn.XLOOKUP(D45,Artists!A:A,Artists!C:C)</f>
        <v>0</v>
      </c>
      <c r="AF45" s="3" t="str">
        <f t="shared" si="4"/>
        <v>OTHR</v>
      </c>
      <c r="AG45" s="3" t="str">
        <f t="shared" si="5"/>
        <v>OTHR</v>
      </c>
    </row>
    <row r="46" spans="24:33" x14ac:dyDescent="0.3">
      <c r="X46" s="3" t="str">
        <f t="shared" si="0"/>
        <v>-SADNE-</v>
      </c>
      <c r="Y46" s="3" t="str">
        <f t="shared" si="1"/>
        <v>-SLOWSS-</v>
      </c>
      <c r="Z46" s="4" t="str">
        <f t="shared" si="2"/>
        <v>{"couname":"","img":"0","pty":"","artist":"","genres":"","duration":"","spotId":"","Items":["-SADNE-","-SLOWSS-","OTHR","OTHR","XT_OffAnimals"]},</v>
      </c>
      <c r="AA46" s="5" t="s">
        <v>5</v>
      </c>
      <c r="AB46" s="3" t="str">
        <f t="shared" si="3"/>
        <v>["-SADNE-","-SLOWSS-","OTHR","OTHR","XT_OffAnimals"]</v>
      </c>
      <c r="AC46" s="3">
        <f>_xlfn.XLOOKUP(A46,Album!A:A,Album!J:J)</f>
        <v>0</v>
      </c>
      <c r="AD46" s="3">
        <f>_xlfn.XLOOKUP(D46,Artists!A:A,Artists!B:B)</f>
        <v>0</v>
      </c>
      <c r="AE46" s="3">
        <f>_xlfn.XLOOKUP(D46,Artists!A:A,Artists!C:C)</f>
        <v>0</v>
      </c>
      <c r="AF46" s="3" t="str">
        <f t="shared" si="4"/>
        <v>OTHR</v>
      </c>
      <c r="AG46" s="3" t="str">
        <f t="shared" si="5"/>
        <v>OTHR</v>
      </c>
    </row>
    <row r="47" spans="24:33" x14ac:dyDescent="0.3">
      <c r="X47" s="3" t="str">
        <f t="shared" si="0"/>
        <v>-SADNE-</v>
      </c>
      <c r="Y47" s="3" t="str">
        <f t="shared" si="1"/>
        <v>-SLOWSS-</v>
      </c>
      <c r="Z47" s="4" t="str">
        <f t="shared" si="2"/>
        <v>{"couname":"","img":"0","pty":"","artist":"","genres":"","duration":"","spotId":"","Items":["-SADNE-","-SLOWSS-","OTHR","OTHR","XT_OffAnimals"]},</v>
      </c>
      <c r="AA47" s="5" t="s">
        <v>5</v>
      </c>
      <c r="AB47" s="3" t="str">
        <f t="shared" si="3"/>
        <v>["-SADNE-","-SLOWSS-","OTHR","OTHR","XT_OffAnimals"]</v>
      </c>
      <c r="AC47" s="3">
        <f>_xlfn.XLOOKUP(A47,Album!A:A,Album!J:J)</f>
        <v>0</v>
      </c>
      <c r="AD47" s="3">
        <f>_xlfn.XLOOKUP(D47,Artists!A:A,Artists!B:B)</f>
        <v>0</v>
      </c>
      <c r="AE47" s="3">
        <f>_xlfn.XLOOKUP(D47,Artists!A:A,Artists!C:C)</f>
        <v>0</v>
      </c>
      <c r="AF47" s="3" t="str">
        <f t="shared" si="4"/>
        <v>OTHR</v>
      </c>
      <c r="AG47" s="3" t="str">
        <f t="shared" si="5"/>
        <v>OTHR</v>
      </c>
    </row>
    <row r="48" spans="24:33" x14ac:dyDescent="0.3">
      <c r="X48" s="3" t="str">
        <f t="shared" si="0"/>
        <v>-SADNE-</v>
      </c>
      <c r="Y48" s="3" t="str">
        <f t="shared" si="1"/>
        <v>-SLOWSS-</v>
      </c>
      <c r="Z48" s="4" t="str">
        <f t="shared" si="2"/>
        <v>{"couname":"","img":"0","pty":"","artist":"","genres":"","duration":"","spotId":"","Items":["-SADNE-","-SLOWSS-","OTHR","OTHR","XT_OffAnimals"]},</v>
      </c>
      <c r="AA48" s="5" t="s">
        <v>5</v>
      </c>
      <c r="AB48" s="3" t="str">
        <f t="shared" si="3"/>
        <v>["-SADNE-","-SLOWSS-","OTHR","OTHR","XT_OffAnimals"]</v>
      </c>
      <c r="AC48" s="3">
        <f>_xlfn.XLOOKUP(A48,Album!A:A,Album!J:J)</f>
        <v>0</v>
      </c>
      <c r="AD48" s="3">
        <f>_xlfn.XLOOKUP(D48,Artists!A:A,Artists!B:B)</f>
        <v>0</v>
      </c>
      <c r="AE48" s="3">
        <f>_xlfn.XLOOKUP(D48,Artists!A:A,Artists!C:C)</f>
        <v>0</v>
      </c>
      <c r="AF48" s="3" t="str">
        <f t="shared" si="4"/>
        <v>OTHR</v>
      </c>
      <c r="AG48" s="3" t="str">
        <f t="shared" si="5"/>
        <v>OTHR</v>
      </c>
    </row>
    <row r="49" spans="24:33" x14ac:dyDescent="0.3">
      <c r="X49" s="3" t="str">
        <f t="shared" si="0"/>
        <v>-SADNE-</v>
      </c>
      <c r="Y49" s="3" t="str">
        <f t="shared" si="1"/>
        <v>-SLOWSS-</v>
      </c>
      <c r="Z49" s="4" t="str">
        <f t="shared" si="2"/>
        <v>{"couname":"","img":"0","pty":"","artist":"","genres":"","duration":"","spotId":"","Items":["-SADNE-","-SLOWSS-","OTHR","OTHR","XT_OffAnimals"]},</v>
      </c>
      <c r="AA49" s="5" t="s">
        <v>5</v>
      </c>
      <c r="AB49" s="3" t="str">
        <f t="shared" si="3"/>
        <v>["-SADNE-","-SLOWSS-","OTHR","OTHR","XT_OffAnimals"]</v>
      </c>
      <c r="AC49" s="3">
        <f>_xlfn.XLOOKUP(A49,Album!A:A,Album!J:J)</f>
        <v>0</v>
      </c>
      <c r="AD49" s="3">
        <f>_xlfn.XLOOKUP(D49,Artists!A:A,Artists!B:B)</f>
        <v>0</v>
      </c>
      <c r="AE49" s="3">
        <f>_xlfn.XLOOKUP(D49,Artists!A:A,Artists!C:C)</f>
        <v>0</v>
      </c>
      <c r="AF49" s="3" t="str">
        <f t="shared" si="4"/>
        <v>OTHR</v>
      </c>
      <c r="AG49" s="3" t="str">
        <f t="shared" si="5"/>
        <v>OTHR</v>
      </c>
    </row>
    <row r="50" spans="24:33" x14ac:dyDescent="0.3">
      <c r="X50" s="3" t="str">
        <f t="shared" si="0"/>
        <v>-SADNE-</v>
      </c>
      <c r="Y50" s="3" t="str">
        <f t="shared" si="1"/>
        <v>-SLOWSS-</v>
      </c>
      <c r="Z50" s="4" t="str">
        <f t="shared" si="2"/>
        <v>{"couname":"","img":"0","pty":"","artist":"","genres":"","duration":"","spotId":"","Items":["-SADNE-","-SLOWSS-","OTHR","OTHR","XT_OffAnimals"]},</v>
      </c>
      <c r="AA50" s="5" t="s">
        <v>5</v>
      </c>
      <c r="AB50" s="3" t="str">
        <f t="shared" si="3"/>
        <v>["-SADNE-","-SLOWSS-","OTHR","OTHR","XT_OffAnimals"]</v>
      </c>
      <c r="AC50" s="3">
        <f>_xlfn.XLOOKUP(A50,Album!A:A,Album!J:J)</f>
        <v>0</v>
      </c>
      <c r="AD50" s="3">
        <f>_xlfn.XLOOKUP(D50,Artists!A:A,Artists!B:B)</f>
        <v>0</v>
      </c>
      <c r="AE50" s="3">
        <f>_xlfn.XLOOKUP(D50,Artists!A:A,Artists!C:C)</f>
        <v>0</v>
      </c>
      <c r="AF50" s="3" t="str">
        <f t="shared" si="4"/>
        <v>OTHR</v>
      </c>
      <c r="AG50" s="3" t="str">
        <f t="shared" si="5"/>
        <v>OTHR</v>
      </c>
    </row>
    <row r="51" spans="24:33" x14ac:dyDescent="0.3">
      <c r="X51" s="3" t="str">
        <f t="shared" si="0"/>
        <v>-SADNE-</v>
      </c>
      <c r="Y51" s="3" t="str">
        <f t="shared" si="1"/>
        <v>-SLOWSS-</v>
      </c>
      <c r="Z51" s="4" t="str">
        <f t="shared" si="2"/>
        <v>{"couname":"","img":"0","pty":"","artist":"","genres":"","duration":"","spotId":"","Items":["-SADNE-","-SLOWSS-","OTHR","OTHR","XT_OffAnimals"]},</v>
      </c>
      <c r="AA51" s="5" t="s">
        <v>5</v>
      </c>
      <c r="AB51" s="3" t="str">
        <f t="shared" si="3"/>
        <v>["-SADNE-","-SLOWSS-","OTHR","OTHR","XT_OffAnimals"]</v>
      </c>
      <c r="AC51" s="3">
        <f>_xlfn.XLOOKUP(A51,Album!A:A,Album!J:J)</f>
        <v>0</v>
      </c>
      <c r="AD51" s="3">
        <f>_xlfn.XLOOKUP(D51,Artists!A:A,Artists!B:B)</f>
        <v>0</v>
      </c>
      <c r="AE51" s="3">
        <f>_xlfn.XLOOKUP(D51,Artists!A:A,Artists!C:C)</f>
        <v>0</v>
      </c>
      <c r="AF51" s="3" t="str">
        <f t="shared" si="4"/>
        <v>OTHR</v>
      </c>
      <c r="AG51" s="3" t="str">
        <f t="shared" si="5"/>
        <v>OTHR</v>
      </c>
    </row>
    <row r="52" spans="24:33" x14ac:dyDescent="0.3">
      <c r="X52" s="3" t="str">
        <f t="shared" si="0"/>
        <v>-SADNE-</v>
      </c>
      <c r="Y52" s="3" t="str">
        <f t="shared" si="1"/>
        <v>-SLOWSS-</v>
      </c>
      <c r="Z52" s="4" t="str">
        <f t="shared" si="2"/>
        <v>{"couname":"","img":"0","pty":"","artist":"","genres":"","duration":"","spotId":"","Items":["-SADNE-","-SLOWSS-","OTHR","OTHR","XT_OffAnimals"]},</v>
      </c>
      <c r="AA52" s="5" t="s">
        <v>5</v>
      </c>
      <c r="AB52" s="3" t="str">
        <f t="shared" si="3"/>
        <v>["-SADNE-","-SLOWSS-","OTHR","OTHR","XT_OffAnimals"]</v>
      </c>
      <c r="AC52" s="3">
        <f>_xlfn.XLOOKUP(A52,Album!A:A,Album!J:J)</f>
        <v>0</v>
      </c>
      <c r="AD52" s="3">
        <f>_xlfn.XLOOKUP(D52,Artists!A:A,Artists!B:B)</f>
        <v>0</v>
      </c>
      <c r="AE52" s="3">
        <f>_xlfn.XLOOKUP(D52,Artists!A:A,Artists!C:C)</f>
        <v>0</v>
      </c>
      <c r="AF52" s="3" t="str">
        <f t="shared" si="4"/>
        <v>OTHR</v>
      </c>
      <c r="AG52" s="3" t="str">
        <f t="shared" si="5"/>
        <v>OTHR</v>
      </c>
    </row>
    <row r="53" spans="24:33" x14ac:dyDescent="0.3">
      <c r="X53" s="3" t="str">
        <f t="shared" si="0"/>
        <v>-SADNE-</v>
      </c>
      <c r="Y53" s="3" t="str">
        <f t="shared" si="1"/>
        <v>-SLOWSS-</v>
      </c>
      <c r="Z53" s="4" t="str">
        <f t="shared" si="2"/>
        <v>{"couname":"","img":"0","pty":"","artist":"","genres":"","duration":"","spotId":"","Items":["-SADNE-","-SLOWSS-","OTHR","OTHR","XT_OffAnimals"]},</v>
      </c>
      <c r="AA53" s="5" t="s">
        <v>5</v>
      </c>
      <c r="AB53" s="3" t="str">
        <f t="shared" si="3"/>
        <v>["-SADNE-","-SLOWSS-","OTHR","OTHR","XT_OffAnimals"]</v>
      </c>
      <c r="AC53" s="3">
        <f>_xlfn.XLOOKUP(A53,Album!A:A,Album!J:J)</f>
        <v>0</v>
      </c>
      <c r="AD53" s="3">
        <f>_xlfn.XLOOKUP(D53,Artists!A:A,Artists!B:B)</f>
        <v>0</v>
      </c>
      <c r="AE53" s="3">
        <f>_xlfn.XLOOKUP(D53,Artists!A:A,Artists!C:C)</f>
        <v>0</v>
      </c>
      <c r="AF53" s="3" t="str">
        <f t="shared" si="4"/>
        <v>OTHR</v>
      </c>
      <c r="AG53" s="3" t="str">
        <f t="shared" si="5"/>
        <v>OTHR</v>
      </c>
    </row>
    <row r="54" spans="24:33" x14ac:dyDescent="0.3">
      <c r="X54" s="3" t="str">
        <f t="shared" si="0"/>
        <v>-SADNE-</v>
      </c>
      <c r="Y54" s="3" t="str">
        <f t="shared" si="1"/>
        <v>-SLOWSS-</v>
      </c>
      <c r="Z54" s="4" t="str">
        <f t="shared" si="2"/>
        <v>{"couname":"","img":"0","pty":"","artist":"","genres":"","duration":"","spotId":"","Items":["-SADNE-","-SLOWSS-","OTHR","OTHR","XT_OffAnimals"]},</v>
      </c>
      <c r="AA54" s="5" t="s">
        <v>5</v>
      </c>
      <c r="AB54" s="3" t="str">
        <f t="shared" si="3"/>
        <v>["-SADNE-","-SLOWSS-","OTHR","OTHR","XT_OffAnimals"]</v>
      </c>
      <c r="AC54" s="3">
        <f>_xlfn.XLOOKUP(A54,Album!A:A,Album!J:J)</f>
        <v>0</v>
      </c>
      <c r="AD54" s="3">
        <f>_xlfn.XLOOKUP(D54,Artists!A:A,Artists!B:B)</f>
        <v>0</v>
      </c>
      <c r="AE54" s="3">
        <f>_xlfn.XLOOKUP(D54,Artists!A:A,Artists!C:C)</f>
        <v>0</v>
      </c>
      <c r="AF54" s="3" t="str">
        <f t="shared" si="4"/>
        <v>OTHR</v>
      </c>
      <c r="AG54" s="3" t="str">
        <f t="shared" si="5"/>
        <v>OTHR</v>
      </c>
    </row>
    <row r="55" spans="24:33" x14ac:dyDescent="0.3">
      <c r="X55" s="3" t="str">
        <f t="shared" si="0"/>
        <v>-SADNE-</v>
      </c>
      <c r="Y55" s="3" t="str">
        <f t="shared" si="1"/>
        <v>-SLOWSS-</v>
      </c>
      <c r="Z55" s="4" t="str">
        <f t="shared" si="2"/>
        <v>{"couname":"","img":"0","pty":"","artist":"","genres":"","duration":"","spotId":"","Items":["-SADNE-","-SLOWSS-","OTHR","OTHR","XT_OffAnimals"]},</v>
      </c>
      <c r="AA55" s="5" t="s">
        <v>5</v>
      </c>
      <c r="AB55" s="3" t="str">
        <f t="shared" si="3"/>
        <v>["-SADNE-","-SLOWSS-","OTHR","OTHR","XT_OffAnimals"]</v>
      </c>
      <c r="AC55" s="3">
        <f>_xlfn.XLOOKUP(A55,Album!A:A,Album!J:J)</f>
        <v>0</v>
      </c>
      <c r="AD55" s="3">
        <f>_xlfn.XLOOKUP(D55,Artists!A:A,Artists!B:B)</f>
        <v>0</v>
      </c>
      <c r="AE55" s="3">
        <f>_xlfn.XLOOKUP(D55,Artists!A:A,Artists!C:C)</f>
        <v>0</v>
      </c>
      <c r="AF55" s="3" t="str">
        <f t="shared" si="4"/>
        <v>OTHR</v>
      </c>
      <c r="AG55" s="3" t="str">
        <f t="shared" si="5"/>
        <v>OTHR</v>
      </c>
    </row>
    <row r="56" spans="24:33" x14ac:dyDescent="0.3">
      <c r="X56" s="3" t="str">
        <f t="shared" si="0"/>
        <v>-SADNE-</v>
      </c>
      <c r="Y56" s="3" t="str">
        <f t="shared" si="1"/>
        <v>-SLOWSS-</v>
      </c>
      <c r="Z56" s="4" t="str">
        <f t="shared" si="2"/>
        <v>{"couname":"","img":"0","pty":"","artist":"","genres":"","duration":"","spotId":"","Items":["-SADNE-","-SLOWSS-","OTHR","OTHR","XT_OffAnimals"]},</v>
      </c>
      <c r="AA56" s="5" t="s">
        <v>5</v>
      </c>
      <c r="AB56" s="3" t="str">
        <f t="shared" si="3"/>
        <v>["-SADNE-","-SLOWSS-","OTHR","OTHR","XT_OffAnimals"]</v>
      </c>
      <c r="AC56" s="3">
        <f>_xlfn.XLOOKUP(A56,Album!A:A,Album!J:J)</f>
        <v>0</v>
      </c>
      <c r="AD56" s="3">
        <f>_xlfn.XLOOKUP(D56,Artists!A:A,Artists!B:B)</f>
        <v>0</v>
      </c>
      <c r="AE56" s="3">
        <f>_xlfn.XLOOKUP(D56,Artists!A:A,Artists!C:C)</f>
        <v>0</v>
      </c>
      <c r="AF56" s="3" t="str">
        <f t="shared" si="4"/>
        <v>OTHR</v>
      </c>
      <c r="AG56" s="3" t="str">
        <f t="shared" si="5"/>
        <v>OTHR</v>
      </c>
    </row>
    <row r="57" spans="24:33" x14ac:dyDescent="0.3">
      <c r="X57" s="3" t="str">
        <f t="shared" si="0"/>
        <v>-SADNE-</v>
      </c>
      <c r="Y57" s="3" t="str">
        <f t="shared" si="1"/>
        <v>-SLOWSS-</v>
      </c>
      <c r="Z57" s="4" t="str">
        <f t="shared" si="2"/>
        <v>{"couname":"","img":"0","pty":"","artist":"","genres":"","duration":"","spotId":"","Items":["-SADNE-","-SLOWSS-","OTHR","OTHR","XT_OffAnimals"]},</v>
      </c>
      <c r="AA57" s="5" t="s">
        <v>5</v>
      </c>
      <c r="AB57" s="3" t="str">
        <f t="shared" si="3"/>
        <v>["-SADNE-","-SLOWSS-","OTHR","OTHR","XT_OffAnimals"]</v>
      </c>
      <c r="AC57" s="3">
        <f>_xlfn.XLOOKUP(A57,Album!A:A,Album!J:J)</f>
        <v>0</v>
      </c>
      <c r="AD57" s="3">
        <f>_xlfn.XLOOKUP(D57,Artists!A:A,Artists!B:B)</f>
        <v>0</v>
      </c>
      <c r="AE57" s="3">
        <f>_xlfn.XLOOKUP(D57,Artists!A:A,Artists!C:C)</f>
        <v>0</v>
      </c>
      <c r="AF57" s="3" t="str">
        <f t="shared" si="4"/>
        <v>OTHR</v>
      </c>
      <c r="AG57" s="3" t="str">
        <f t="shared" si="5"/>
        <v>OTHR</v>
      </c>
    </row>
    <row r="58" spans="24:33" x14ac:dyDescent="0.3">
      <c r="X58" s="3" t="str">
        <f t="shared" si="0"/>
        <v>-SADNE-</v>
      </c>
      <c r="Y58" s="3" t="str">
        <f t="shared" si="1"/>
        <v>-SLOWSS-</v>
      </c>
      <c r="Z58" s="4" t="str">
        <f t="shared" si="2"/>
        <v>{"couname":"","img":"0","pty":"","artist":"","genres":"","duration":"","spotId":"","Items":["-SADNE-","-SLOWSS-","OTHR","OTHR","XT_OffAnimals"]},</v>
      </c>
      <c r="AA58" s="5" t="s">
        <v>5</v>
      </c>
      <c r="AB58" s="3" t="str">
        <f t="shared" si="3"/>
        <v>["-SADNE-","-SLOWSS-","OTHR","OTHR","XT_OffAnimals"]</v>
      </c>
      <c r="AC58" s="3">
        <f>_xlfn.XLOOKUP(A58,Album!A:A,Album!J:J)</f>
        <v>0</v>
      </c>
      <c r="AD58" s="3">
        <f>_xlfn.XLOOKUP(D58,Artists!A:A,Artists!B:B)</f>
        <v>0</v>
      </c>
      <c r="AE58" s="3">
        <f>_xlfn.XLOOKUP(D58,Artists!A:A,Artists!C:C)</f>
        <v>0</v>
      </c>
      <c r="AF58" s="3" t="str">
        <f t="shared" si="4"/>
        <v>OTHR</v>
      </c>
      <c r="AG58" s="3" t="str">
        <f t="shared" si="5"/>
        <v>OTHR</v>
      </c>
    </row>
    <row r="59" spans="24:33" x14ac:dyDescent="0.3">
      <c r="X59" s="3" t="str">
        <f t="shared" si="0"/>
        <v>-SADNE-</v>
      </c>
      <c r="Y59" s="3" t="str">
        <f t="shared" si="1"/>
        <v>-SLOWSS-</v>
      </c>
      <c r="Z59" s="4" t="str">
        <f t="shared" si="2"/>
        <v>{"couname":"","img":"0","pty":"","artist":"","genres":"","duration":"","spotId":"","Items":["-SADNE-","-SLOWSS-","OTHR","OTHR","XT_OffAnimals"]},</v>
      </c>
      <c r="AA59" s="5" t="s">
        <v>5</v>
      </c>
      <c r="AB59" s="3" t="str">
        <f t="shared" si="3"/>
        <v>["-SADNE-","-SLOWSS-","OTHR","OTHR","XT_OffAnimals"]</v>
      </c>
      <c r="AC59" s="3">
        <f>_xlfn.XLOOKUP(A59,Album!A:A,Album!J:J)</f>
        <v>0</v>
      </c>
      <c r="AD59" s="3">
        <f>_xlfn.XLOOKUP(D59,Artists!A:A,Artists!B:B)</f>
        <v>0</v>
      </c>
      <c r="AE59" s="3">
        <f>_xlfn.XLOOKUP(D59,Artists!A:A,Artists!C:C)</f>
        <v>0</v>
      </c>
      <c r="AF59" s="3" t="str">
        <f t="shared" si="4"/>
        <v>OTHR</v>
      </c>
      <c r="AG59" s="3" t="str">
        <f t="shared" si="5"/>
        <v>OTHR</v>
      </c>
    </row>
    <row r="60" spans="24:33" x14ac:dyDescent="0.3">
      <c r="X60" s="3" t="str">
        <f t="shared" si="0"/>
        <v>-SADNE-</v>
      </c>
      <c r="Y60" s="3" t="str">
        <f t="shared" si="1"/>
        <v>-SLOWSS-</v>
      </c>
      <c r="Z60" s="4" t="str">
        <f t="shared" si="2"/>
        <v>{"couname":"","img":"0","pty":"","artist":"","genres":"","duration":"","spotId":"","Items":["-SADNE-","-SLOWSS-","OTHR","OTHR","XT_OffAnimals"]},</v>
      </c>
      <c r="AA60" s="5" t="s">
        <v>5</v>
      </c>
      <c r="AB60" s="3" t="str">
        <f t="shared" si="3"/>
        <v>["-SADNE-","-SLOWSS-","OTHR","OTHR","XT_OffAnimals"]</v>
      </c>
      <c r="AC60" s="3">
        <f>_xlfn.XLOOKUP(A60,Album!A:A,Album!J:J)</f>
        <v>0</v>
      </c>
      <c r="AD60" s="3">
        <f>_xlfn.XLOOKUP(D60,Artists!A:A,Artists!B:B)</f>
        <v>0</v>
      </c>
      <c r="AE60" s="3">
        <f>_xlfn.XLOOKUP(D60,Artists!A:A,Artists!C:C)</f>
        <v>0</v>
      </c>
      <c r="AF60" s="3" t="str">
        <f t="shared" si="4"/>
        <v>OTHR</v>
      </c>
      <c r="AG60" s="3" t="str">
        <f t="shared" si="5"/>
        <v>OTHR</v>
      </c>
    </row>
    <row r="61" spans="24:33" x14ac:dyDescent="0.3">
      <c r="X61" s="3" t="str">
        <f t="shared" si="0"/>
        <v>-SADNE-</v>
      </c>
      <c r="Y61" s="3" t="str">
        <f t="shared" si="1"/>
        <v>-SLOWSS-</v>
      </c>
      <c r="Z61" s="4" t="str">
        <f t="shared" si="2"/>
        <v>{"couname":"","img":"0","pty":"","artist":"","genres":"","duration":"","spotId":"","Items":["-SADNE-","-SLOWSS-","OTHR","OTHR","XT_OffAnimals"]},</v>
      </c>
      <c r="AA61" s="5" t="s">
        <v>5</v>
      </c>
      <c r="AB61" s="3" t="str">
        <f t="shared" si="3"/>
        <v>["-SADNE-","-SLOWSS-","OTHR","OTHR","XT_OffAnimals"]</v>
      </c>
      <c r="AC61" s="3">
        <f>_xlfn.XLOOKUP(A61,Album!A:A,Album!J:J)</f>
        <v>0</v>
      </c>
      <c r="AD61" s="3">
        <f>_xlfn.XLOOKUP(D61,Artists!A:A,Artists!B:B)</f>
        <v>0</v>
      </c>
      <c r="AE61" s="3">
        <f>_xlfn.XLOOKUP(D61,Artists!A:A,Artists!C:C)</f>
        <v>0</v>
      </c>
      <c r="AF61" s="3" t="str">
        <f t="shared" si="4"/>
        <v>OTHR</v>
      </c>
      <c r="AG61" s="3" t="str">
        <f t="shared" si="5"/>
        <v>OTHR</v>
      </c>
    </row>
    <row r="62" spans="24:33" x14ac:dyDescent="0.3">
      <c r="X62" s="3" t="str">
        <f t="shared" si="0"/>
        <v>-SADNE-</v>
      </c>
      <c r="Y62" s="3" t="str">
        <f t="shared" si="1"/>
        <v>-SLOWSS-</v>
      </c>
      <c r="Z62" s="4" t="str">
        <f t="shared" si="2"/>
        <v>{"couname":"","img":"0","pty":"","artist":"","genres":"","duration":"","spotId":"","Items":["-SADNE-","-SLOWSS-","OTHR","OTHR","XT_OffAnimals"]},</v>
      </c>
      <c r="AA62" s="5" t="s">
        <v>5</v>
      </c>
      <c r="AB62" s="3" t="str">
        <f t="shared" si="3"/>
        <v>["-SADNE-","-SLOWSS-","OTHR","OTHR","XT_OffAnimals"]</v>
      </c>
      <c r="AC62" s="3">
        <f>_xlfn.XLOOKUP(A62,Album!A:A,Album!J:J)</f>
        <v>0</v>
      </c>
      <c r="AD62" s="3">
        <f>_xlfn.XLOOKUP(D62,Artists!A:A,Artists!B:B)</f>
        <v>0</v>
      </c>
      <c r="AE62" s="3">
        <f>_xlfn.XLOOKUP(D62,Artists!A:A,Artists!C:C)</f>
        <v>0</v>
      </c>
      <c r="AF62" s="3" t="str">
        <f t="shared" si="4"/>
        <v>OTHR</v>
      </c>
      <c r="AG62" s="3" t="str">
        <f t="shared" si="5"/>
        <v>OTHR</v>
      </c>
    </row>
    <row r="63" spans="24:33" x14ac:dyDescent="0.3">
      <c r="X63" s="3" t="str">
        <f t="shared" si="0"/>
        <v>-SADNE-</v>
      </c>
      <c r="Y63" s="3" t="str">
        <f t="shared" si="1"/>
        <v>-SLOWSS-</v>
      </c>
      <c r="Z63" s="4" t="str">
        <f t="shared" si="2"/>
        <v>{"couname":"","img":"0","pty":"","artist":"","genres":"","duration":"","spotId":"","Items":["-SADNE-","-SLOWSS-","OTHR","OTHR","XT_OffAnimals"]},</v>
      </c>
      <c r="AA63" s="5" t="s">
        <v>5</v>
      </c>
      <c r="AB63" s="3" t="str">
        <f t="shared" si="3"/>
        <v>["-SADNE-","-SLOWSS-","OTHR","OTHR","XT_OffAnimals"]</v>
      </c>
      <c r="AC63" s="3">
        <f>_xlfn.XLOOKUP(A63,Album!A:A,Album!J:J)</f>
        <v>0</v>
      </c>
      <c r="AD63" s="3">
        <f>_xlfn.XLOOKUP(D63,Artists!A:A,Artists!B:B)</f>
        <v>0</v>
      </c>
      <c r="AE63" s="3">
        <f>_xlfn.XLOOKUP(D63,Artists!A:A,Artists!C:C)</f>
        <v>0</v>
      </c>
      <c r="AF63" s="3" t="str">
        <f t="shared" si="4"/>
        <v>OTHR</v>
      </c>
      <c r="AG63" s="3" t="str">
        <f t="shared" si="5"/>
        <v>OTHR</v>
      </c>
    </row>
    <row r="64" spans="24:33" x14ac:dyDescent="0.3">
      <c r="X64" s="3" t="str">
        <f t="shared" si="0"/>
        <v>-SADNE-</v>
      </c>
      <c r="Y64" s="3" t="str">
        <f t="shared" si="1"/>
        <v>-SLOWSS-</v>
      </c>
      <c r="Z64" s="4" t="str">
        <f t="shared" si="2"/>
        <v>{"couname":"","img":"0","pty":"","artist":"","genres":"","duration":"","spotId":"","Items":["-SADNE-","-SLOWSS-","OTHR","OTHR","XT_OffAnimals"]},</v>
      </c>
      <c r="AA64" s="5" t="s">
        <v>5</v>
      </c>
      <c r="AB64" s="3" t="str">
        <f t="shared" si="3"/>
        <v>["-SADNE-","-SLOWSS-","OTHR","OTHR","XT_OffAnimals"]</v>
      </c>
      <c r="AC64" s="3">
        <f>_xlfn.XLOOKUP(A64,Album!A:A,Album!J:J)</f>
        <v>0</v>
      </c>
      <c r="AD64" s="3">
        <f>_xlfn.XLOOKUP(D64,Artists!A:A,Artists!B:B)</f>
        <v>0</v>
      </c>
      <c r="AE64" s="3">
        <f>_xlfn.XLOOKUP(D64,Artists!A:A,Artists!C:C)</f>
        <v>0</v>
      </c>
      <c r="AF64" s="3" t="str">
        <f t="shared" si="4"/>
        <v>OTHR</v>
      </c>
      <c r="AG64" s="3" t="str">
        <f t="shared" si="5"/>
        <v>OTHR</v>
      </c>
    </row>
    <row r="65" spans="24:33" x14ac:dyDescent="0.3">
      <c r="X65" s="3" t="str">
        <f t="shared" si="0"/>
        <v>-SADNE-</v>
      </c>
      <c r="Y65" s="3" t="str">
        <f t="shared" si="1"/>
        <v>-SLOWSS-</v>
      </c>
      <c r="Z65" s="4" t="str">
        <f t="shared" si="2"/>
        <v>{"couname":"","img":"0","pty":"","artist":"","genres":"","duration":"","spotId":"","Items":["-SADNE-","-SLOWSS-","OTHR","OTHR","XT_OffAnimals"]},</v>
      </c>
      <c r="AA65" s="5" t="s">
        <v>5</v>
      </c>
      <c r="AB65" s="3" t="str">
        <f t="shared" si="3"/>
        <v>["-SADNE-","-SLOWSS-","OTHR","OTHR","XT_OffAnimals"]</v>
      </c>
      <c r="AC65" s="3">
        <f>_xlfn.XLOOKUP(A65,Album!A:A,Album!J:J)</f>
        <v>0</v>
      </c>
      <c r="AD65" s="3">
        <f>_xlfn.XLOOKUP(D65,Artists!A:A,Artists!B:B)</f>
        <v>0</v>
      </c>
      <c r="AE65" s="3">
        <f>_xlfn.XLOOKUP(D65,Artists!A:A,Artists!C:C)</f>
        <v>0</v>
      </c>
      <c r="AF65" s="3" t="str">
        <f t="shared" si="4"/>
        <v>OTHR</v>
      </c>
      <c r="AG65" s="3" t="str">
        <f t="shared" si="5"/>
        <v>OTHR</v>
      </c>
    </row>
    <row r="66" spans="24:33" x14ac:dyDescent="0.3">
      <c r="X66" s="3" t="str">
        <f t="shared" ref="X66:X129" si="6">IF(OR(U66&lt;0.301, AND(U66&lt;0.4, P66=0)), "-SADNE-", "-HAPPY-")</f>
        <v>-SADNE-</v>
      </c>
      <c r="Y66" s="3" t="str">
        <f t="shared" ref="Y66:Y129" si="7">IF(OR(AND(L66&lt;0.5,M66&lt;0.5),AND(L66&lt;0.45,V66&lt;100),AND(M66&lt;0.45,V66&lt;100),AND(U66&lt;0.39,V66&lt;100)),"-SLOWSS-","-ENERGY-")</f>
        <v>-SLOWSS-</v>
      </c>
      <c r="Z66" s="4" t="str">
        <f t="shared" si="2"/>
        <v>{"couname":"","img":"0","pty":"","artist":"","genres":"","duration":"","spotId":"","Items":["-SADNE-","-SLOWSS-","OTHR","OTHR","XT_OffAnimals"]},</v>
      </c>
      <c r="AA66" s="5" t="s">
        <v>5</v>
      </c>
      <c r="AB66" s="3" t="str">
        <f t="shared" si="3"/>
        <v>["-SADNE-","-SLOWSS-","OTHR","OTHR","XT_OffAnimals"]</v>
      </c>
      <c r="AC66" s="3">
        <f>_xlfn.XLOOKUP(A66,Album!A:A,Album!J:J)</f>
        <v>0</v>
      </c>
      <c r="AD66" s="3">
        <f>_xlfn.XLOOKUP(D66,Artists!A:A,Artists!B:B)</f>
        <v>0</v>
      </c>
      <c r="AE66" s="3">
        <f>_xlfn.XLOOKUP(D66,Artists!A:A,Artists!C:C)</f>
        <v>0</v>
      </c>
      <c r="AF66" s="3" t="str">
        <f t="shared" si="4"/>
        <v>OTHR</v>
      </c>
      <c r="AG66" s="3" t="str">
        <f t="shared" si="5"/>
        <v>OTHR</v>
      </c>
    </row>
    <row r="67" spans="24:33" x14ac:dyDescent="0.3">
      <c r="X67" s="3" t="str">
        <f t="shared" si="6"/>
        <v>-SADNE-</v>
      </c>
      <c r="Y67" s="3" t="str">
        <f t="shared" si="7"/>
        <v>-SLOWSS-</v>
      </c>
      <c r="Z67" s="4" t="str">
        <f t="shared" ref="Z67:Z130" si="8">"{"&amp;CHAR(34)&amp;"couname"&amp;CHAR(34)&amp;":"&amp;CHAR(34)&amp;B67&amp;CHAR(34)&amp;","&amp;CHAR(34)&amp;"img"&amp;CHAR(34)&amp;":"&amp;CHAR(34)&amp;AC67&amp;CHAR(34)&amp;","&amp;CHAR(34)&amp;"pty"&amp;CHAR(34)&amp;":"&amp;CHAR(34)&amp;G67&amp;CHAR(34)&amp;","&amp;CHAR(34)&amp;"artist"&amp;CHAR(34)&amp;":"&amp;CHAR(34)&amp;D67&amp;CHAR(34)&amp;","&amp;CHAR(34)&amp;"genres"&amp;CHAR(34)&amp;":"&amp;CHAR(34)&amp;J67&amp;CHAR(34)&amp;","&amp;CHAR(34)&amp;"duration"&amp;CHAR(34)&amp;":"&amp;CHAR(34)&amp;F67&amp;CHAR(34)&amp;","&amp;CHAR(34)&amp;"spotId"&amp;CHAR(34)&amp;":"&amp;CHAR(34)&amp;A67&amp;CHAR(34)&amp;","&amp;CHAR(34)&amp;"Items"&amp;CHAR(34)&amp;":"&amp;AB67&amp;"},"</f>
        <v>{"couname":"","img":"0","pty":"","artist":"","genres":"","duration":"","spotId":"","Items":["-SADNE-","-SLOWSS-","OTHR","OTHR","XT_OffAnimals"]},</v>
      </c>
      <c r="AA67" s="5" t="s">
        <v>5</v>
      </c>
      <c r="AB67" s="3" t="str">
        <f t="shared" ref="AB67:AB130" si="9" xml:space="preserve"> "[" &amp; _xlfn.TEXTJOIN(",",TRUE,CHAR(34) &amp; X67&amp; CHAR(34), CHAR(34) &amp; Y67 &amp; CHAR(34),  CHAR(34) &amp; AF67 &amp; CHAR(34), CHAR(34) &amp;AG67 &amp; CHAR(34), CHAR(34) &amp; AA67 &amp; CHAR(34)) &amp; "]"</f>
        <v>["-SADNE-","-SLOWSS-","OTHR","OTHR","XT_OffAnimals"]</v>
      </c>
      <c r="AC67" s="3">
        <f>_xlfn.XLOOKUP(A67,Album!A:A,Album!J:J)</f>
        <v>0</v>
      </c>
      <c r="AD67" s="3">
        <f>_xlfn.XLOOKUP(D67,Artists!A:A,Artists!B:B)</f>
        <v>0</v>
      </c>
      <c r="AE67" s="3">
        <f>_xlfn.XLOOKUP(D67,Artists!A:A,Artists!C:C)</f>
        <v>0</v>
      </c>
      <c r="AF67" s="3" t="str">
        <f t="shared" ref="AF67:AF130" si="10">IF(ISNUMBER(SEARCH("female", AD67)), "GIRL", IF(ISNUMBER(SEARCH("male", AD67)), "DUDE", "OTHR"))</f>
        <v>OTHR</v>
      </c>
      <c r="AG67" s="3" t="str">
        <f t="shared" ref="AG67:AG130" si="11">IF(ISNUMBER(SEARCH("band", AD67)), "BAND", IF(ISNUMBER(SEARCH("solo", AD67)), "SOLO", "OTHR"))</f>
        <v>OTHR</v>
      </c>
    </row>
    <row r="68" spans="24:33" x14ac:dyDescent="0.3">
      <c r="X68" s="3" t="str">
        <f t="shared" si="6"/>
        <v>-SADNE-</v>
      </c>
      <c r="Y68" s="3" t="str">
        <f t="shared" si="7"/>
        <v>-SLOWSS-</v>
      </c>
      <c r="Z68" s="4" t="str">
        <f t="shared" si="8"/>
        <v>{"couname":"","img":"0","pty":"","artist":"","genres":"","duration":"","spotId":"","Items":["-SADNE-","-SLOWSS-","OTHR","OTHR","XT_OffAnimals"]},</v>
      </c>
      <c r="AA68" s="5" t="s">
        <v>5</v>
      </c>
      <c r="AB68" s="3" t="str">
        <f t="shared" si="9"/>
        <v>["-SADNE-","-SLOWSS-","OTHR","OTHR","XT_OffAnimals"]</v>
      </c>
      <c r="AC68" s="3">
        <f>_xlfn.XLOOKUP(A68,Album!A:A,Album!J:J)</f>
        <v>0</v>
      </c>
      <c r="AD68" s="3">
        <f>_xlfn.XLOOKUP(D68,Artists!A:A,Artists!B:B)</f>
        <v>0</v>
      </c>
      <c r="AE68" s="3">
        <f>_xlfn.XLOOKUP(D68,Artists!A:A,Artists!C:C)</f>
        <v>0</v>
      </c>
      <c r="AF68" s="3" t="str">
        <f t="shared" si="10"/>
        <v>OTHR</v>
      </c>
      <c r="AG68" s="3" t="str">
        <f t="shared" si="11"/>
        <v>OTHR</v>
      </c>
    </row>
    <row r="69" spans="24:33" x14ac:dyDescent="0.3">
      <c r="X69" s="3" t="str">
        <f t="shared" si="6"/>
        <v>-SADNE-</v>
      </c>
      <c r="Y69" s="3" t="str">
        <f t="shared" si="7"/>
        <v>-SLOWSS-</v>
      </c>
      <c r="Z69" s="4" t="str">
        <f t="shared" si="8"/>
        <v>{"couname":"","img":"0","pty":"","artist":"","genres":"","duration":"","spotId":"","Items":["-SADNE-","-SLOWSS-","OTHR","OTHR","XT_OffAnimals"]},</v>
      </c>
      <c r="AA69" s="5" t="s">
        <v>5</v>
      </c>
      <c r="AB69" s="3" t="str">
        <f t="shared" si="9"/>
        <v>["-SADNE-","-SLOWSS-","OTHR","OTHR","XT_OffAnimals"]</v>
      </c>
      <c r="AC69" s="3">
        <f>_xlfn.XLOOKUP(A69,Album!A:A,Album!J:J)</f>
        <v>0</v>
      </c>
      <c r="AD69" s="3">
        <f>_xlfn.XLOOKUP(D69,Artists!A:A,Artists!B:B)</f>
        <v>0</v>
      </c>
      <c r="AE69" s="3">
        <f>_xlfn.XLOOKUP(D69,Artists!A:A,Artists!C:C)</f>
        <v>0</v>
      </c>
      <c r="AF69" s="3" t="str">
        <f t="shared" si="10"/>
        <v>OTHR</v>
      </c>
      <c r="AG69" s="3" t="str">
        <f t="shared" si="11"/>
        <v>OTHR</v>
      </c>
    </row>
    <row r="70" spans="24:33" x14ac:dyDescent="0.3">
      <c r="X70" s="3" t="str">
        <f t="shared" si="6"/>
        <v>-SADNE-</v>
      </c>
      <c r="Y70" s="3" t="str">
        <f t="shared" si="7"/>
        <v>-SLOWSS-</v>
      </c>
      <c r="Z70" s="4" t="str">
        <f t="shared" si="8"/>
        <v>{"couname":"","img":"0","pty":"","artist":"","genres":"","duration":"","spotId":"","Items":["-SADNE-","-SLOWSS-","OTHR","OTHR","XT_OffAnimals"]},</v>
      </c>
      <c r="AA70" s="5" t="s">
        <v>5</v>
      </c>
      <c r="AB70" s="3" t="str">
        <f t="shared" si="9"/>
        <v>["-SADNE-","-SLOWSS-","OTHR","OTHR","XT_OffAnimals"]</v>
      </c>
      <c r="AC70" s="3">
        <f>_xlfn.XLOOKUP(A70,Album!A:A,Album!J:J)</f>
        <v>0</v>
      </c>
      <c r="AD70" s="3">
        <f>_xlfn.XLOOKUP(D70,Artists!A:A,Artists!B:B)</f>
        <v>0</v>
      </c>
      <c r="AE70" s="3">
        <f>_xlfn.XLOOKUP(D70,Artists!A:A,Artists!C:C)</f>
        <v>0</v>
      </c>
      <c r="AF70" s="3" t="str">
        <f t="shared" si="10"/>
        <v>OTHR</v>
      </c>
      <c r="AG70" s="3" t="str">
        <f t="shared" si="11"/>
        <v>OTHR</v>
      </c>
    </row>
    <row r="71" spans="24:33" x14ac:dyDescent="0.3">
      <c r="X71" s="3" t="str">
        <f t="shared" si="6"/>
        <v>-SADNE-</v>
      </c>
      <c r="Y71" s="3" t="str">
        <f t="shared" si="7"/>
        <v>-SLOWSS-</v>
      </c>
      <c r="Z71" s="4" t="str">
        <f t="shared" si="8"/>
        <v>{"couname":"","img":"0","pty":"","artist":"","genres":"","duration":"","spotId":"","Items":["-SADNE-","-SLOWSS-","OTHR","OTHR","XT_OffAnimals"]},</v>
      </c>
      <c r="AA71" s="5" t="s">
        <v>5</v>
      </c>
      <c r="AB71" s="3" t="str">
        <f t="shared" si="9"/>
        <v>["-SADNE-","-SLOWSS-","OTHR","OTHR","XT_OffAnimals"]</v>
      </c>
      <c r="AC71" s="3">
        <f>_xlfn.XLOOKUP(A71,Album!A:A,Album!J:J)</f>
        <v>0</v>
      </c>
      <c r="AD71" s="3">
        <f>_xlfn.XLOOKUP(D71,Artists!A:A,Artists!B:B)</f>
        <v>0</v>
      </c>
      <c r="AE71" s="3">
        <f>_xlfn.XLOOKUP(D71,Artists!A:A,Artists!C:C)</f>
        <v>0</v>
      </c>
      <c r="AF71" s="3" t="str">
        <f t="shared" si="10"/>
        <v>OTHR</v>
      </c>
      <c r="AG71" s="3" t="str">
        <f t="shared" si="11"/>
        <v>OTHR</v>
      </c>
    </row>
    <row r="72" spans="24:33" x14ac:dyDescent="0.3">
      <c r="X72" s="3" t="str">
        <f t="shared" si="6"/>
        <v>-SADNE-</v>
      </c>
      <c r="Y72" s="3" t="str">
        <f t="shared" si="7"/>
        <v>-SLOWSS-</v>
      </c>
      <c r="Z72" s="4" t="str">
        <f t="shared" si="8"/>
        <v>{"couname":"","img":"0","pty":"","artist":"","genres":"","duration":"","spotId":"","Items":["-SADNE-","-SLOWSS-","OTHR","OTHR","XT_OffAnimals"]},</v>
      </c>
      <c r="AA72" s="5" t="s">
        <v>5</v>
      </c>
      <c r="AB72" s="3" t="str">
        <f t="shared" si="9"/>
        <v>["-SADNE-","-SLOWSS-","OTHR","OTHR","XT_OffAnimals"]</v>
      </c>
      <c r="AC72" s="3">
        <f>_xlfn.XLOOKUP(A72,Album!A:A,Album!J:J)</f>
        <v>0</v>
      </c>
      <c r="AD72" s="3">
        <f>_xlfn.XLOOKUP(D72,Artists!A:A,Artists!B:B)</f>
        <v>0</v>
      </c>
      <c r="AE72" s="3">
        <f>_xlfn.XLOOKUP(D72,Artists!A:A,Artists!C:C)</f>
        <v>0</v>
      </c>
      <c r="AF72" s="3" t="str">
        <f t="shared" si="10"/>
        <v>OTHR</v>
      </c>
      <c r="AG72" s="3" t="str">
        <f t="shared" si="11"/>
        <v>OTHR</v>
      </c>
    </row>
    <row r="73" spans="24:33" x14ac:dyDescent="0.3">
      <c r="X73" s="3" t="str">
        <f t="shared" si="6"/>
        <v>-SADNE-</v>
      </c>
      <c r="Y73" s="3" t="str">
        <f t="shared" si="7"/>
        <v>-SLOWSS-</v>
      </c>
      <c r="Z73" s="4" t="str">
        <f t="shared" si="8"/>
        <v>{"couname":"","img":"0","pty":"","artist":"","genres":"","duration":"","spotId":"","Items":["-SADNE-","-SLOWSS-","OTHR","OTHR","XT_OffAnimals"]},</v>
      </c>
      <c r="AA73" s="5" t="s">
        <v>5</v>
      </c>
      <c r="AB73" s="3" t="str">
        <f t="shared" si="9"/>
        <v>["-SADNE-","-SLOWSS-","OTHR","OTHR","XT_OffAnimals"]</v>
      </c>
      <c r="AC73" s="3">
        <f>_xlfn.XLOOKUP(A73,Album!A:A,Album!J:J)</f>
        <v>0</v>
      </c>
      <c r="AD73" s="3">
        <f>_xlfn.XLOOKUP(D73,Artists!A:A,Artists!B:B)</f>
        <v>0</v>
      </c>
      <c r="AE73" s="3">
        <f>_xlfn.XLOOKUP(D73,Artists!A:A,Artists!C:C)</f>
        <v>0</v>
      </c>
      <c r="AF73" s="3" t="str">
        <f t="shared" si="10"/>
        <v>OTHR</v>
      </c>
      <c r="AG73" s="3" t="str">
        <f t="shared" si="11"/>
        <v>OTHR</v>
      </c>
    </row>
    <row r="74" spans="24:33" x14ac:dyDescent="0.3">
      <c r="X74" s="3" t="str">
        <f t="shared" si="6"/>
        <v>-SADNE-</v>
      </c>
      <c r="Y74" s="3" t="str">
        <f t="shared" si="7"/>
        <v>-SLOWSS-</v>
      </c>
      <c r="Z74" s="4" t="str">
        <f t="shared" si="8"/>
        <v>{"couname":"","img":"0","pty":"","artist":"","genres":"","duration":"","spotId":"","Items":["-SADNE-","-SLOWSS-","OTHR","OTHR","XT_OffAnimals"]},</v>
      </c>
      <c r="AA74" s="5" t="s">
        <v>5</v>
      </c>
      <c r="AB74" s="3" t="str">
        <f t="shared" si="9"/>
        <v>["-SADNE-","-SLOWSS-","OTHR","OTHR","XT_OffAnimals"]</v>
      </c>
      <c r="AC74" s="3">
        <f>_xlfn.XLOOKUP(A74,Album!A:A,Album!J:J)</f>
        <v>0</v>
      </c>
      <c r="AD74" s="3">
        <f>_xlfn.XLOOKUP(D74,Artists!A:A,Artists!B:B)</f>
        <v>0</v>
      </c>
      <c r="AE74" s="3">
        <f>_xlfn.XLOOKUP(D74,Artists!A:A,Artists!C:C)</f>
        <v>0</v>
      </c>
      <c r="AF74" s="3" t="str">
        <f t="shared" si="10"/>
        <v>OTHR</v>
      </c>
      <c r="AG74" s="3" t="str">
        <f t="shared" si="11"/>
        <v>OTHR</v>
      </c>
    </row>
    <row r="75" spans="24:33" x14ac:dyDescent="0.3">
      <c r="X75" s="3" t="str">
        <f t="shared" si="6"/>
        <v>-SADNE-</v>
      </c>
      <c r="Y75" s="3" t="str">
        <f t="shared" si="7"/>
        <v>-SLOWSS-</v>
      </c>
      <c r="Z75" s="4" t="str">
        <f t="shared" si="8"/>
        <v>{"couname":"","img":"0","pty":"","artist":"","genres":"","duration":"","spotId":"","Items":["-SADNE-","-SLOWSS-","OTHR","OTHR","XT_OffAnimals"]},</v>
      </c>
      <c r="AA75" s="5" t="s">
        <v>5</v>
      </c>
      <c r="AB75" s="3" t="str">
        <f t="shared" si="9"/>
        <v>["-SADNE-","-SLOWSS-","OTHR","OTHR","XT_OffAnimals"]</v>
      </c>
      <c r="AC75" s="3">
        <f>_xlfn.XLOOKUP(A75,Album!A:A,Album!J:J)</f>
        <v>0</v>
      </c>
      <c r="AD75" s="3">
        <f>_xlfn.XLOOKUP(D75,Artists!A:A,Artists!B:B)</f>
        <v>0</v>
      </c>
      <c r="AE75" s="3">
        <f>_xlfn.XLOOKUP(D75,Artists!A:A,Artists!C:C)</f>
        <v>0</v>
      </c>
      <c r="AF75" s="3" t="str">
        <f t="shared" si="10"/>
        <v>OTHR</v>
      </c>
      <c r="AG75" s="3" t="str">
        <f t="shared" si="11"/>
        <v>OTHR</v>
      </c>
    </row>
    <row r="76" spans="24:33" x14ac:dyDescent="0.3">
      <c r="X76" s="3" t="str">
        <f t="shared" si="6"/>
        <v>-SADNE-</v>
      </c>
      <c r="Y76" s="3" t="str">
        <f t="shared" si="7"/>
        <v>-SLOWSS-</v>
      </c>
      <c r="Z76" s="4" t="str">
        <f t="shared" si="8"/>
        <v>{"couname":"","img":"0","pty":"","artist":"","genres":"","duration":"","spotId":"","Items":["-SADNE-","-SLOWSS-","OTHR","OTHR","XT_OffAnimals"]},</v>
      </c>
      <c r="AA76" s="5" t="s">
        <v>5</v>
      </c>
      <c r="AB76" s="3" t="str">
        <f t="shared" si="9"/>
        <v>["-SADNE-","-SLOWSS-","OTHR","OTHR","XT_OffAnimals"]</v>
      </c>
      <c r="AC76" s="3">
        <f>_xlfn.XLOOKUP(A76,Album!A:A,Album!J:J)</f>
        <v>0</v>
      </c>
      <c r="AD76" s="3">
        <f>_xlfn.XLOOKUP(D76,Artists!A:A,Artists!B:B)</f>
        <v>0</v>
      </c>
      <c r="AE76" s="3">
        <f>_xlfn.XLOOKUP(D76,Artists!A:A,Artists!C:C)</f>
        <v>0</v>
      </c>
      <c r="AF76" s="3" t="str">
        <f t="shared" si="10"/>
        <v>OTHR</v>
      </c>
      <c r="AG76" s="3" t="str">
        <f t="shared" si="11"/>
        <v>OTHR</v>
      </c>
    </row>
    <row r="77" spans="24:33" x14ac:dyDescent="0.3">
      <c r="X77" s="3" t="str">
        <f t="shared" si="6"/>
        <v>-SADNE-</v>
      </c>
      <c r="Y77" s="3" t="str">
        <f t="shared" si="7"/>
        <v>-SLOWSS-</v>
      </c>
      <c r="Z77" s="4" t="str">
        <f t="shared" si="8"/>
        <v>{"couname":"","img":"0","pty":"","artist":"","genres":"","duration":"","spotId":"","Items":["-SADNE-","-SLOWSS-","OTHR","OTHR","XT_OffAnimals"]},</v>
      </c>
      <c r="AA77" s="5" t="s">
        <v>5</v>
      </c>
      <c r="AB77" s="3" t="str">
        <f t="shared" si="9"/>
        <v>["-SADNE-","-SLOWSS-","OTHR","OTHR","XT_OffAnimals"]</v>
      </c>
      <c r="AC77" s="3">
        <f>_xlfn.XLOOKUP(A77,Album!A:A,Album!J:J)</f>
        <v>0</v>
      </c>
      <c r="AD77" s="3">
        <f>_xlfn.XLOOKUP(D77,Artists!A:A,Artists!B:B)</f>
        <v>0</v>
      </c>
      <c r="AE77" s="3">
        <f>_xlfn.XLOOKUP(D77,Artists!A:A,Artists!C:C)</f>
        <v>0</v>
      </c>
      <c r="AF77" s="3" t="str">
        <f t="shared" si="10"/>
        <v>OTHR</v>
      </c>
      <c r="AG77" s="3" t="str">
        <f t="shared" si="11"/>
        <v>OTHR</v>
      </c>
    </row>
    <row r="78" spans="24:33" x14ac:dyDescent="0.3">
      <c r="X78" s="3" t="str">
        <f t="shared" si="6"/>
        <v>-SADNE-</v>
      </c>
      <c r="Y78" s="3" t="str">
        <f t="shared" si="7"/>
        <v>-SLOWSS-</v>
      </c>
      <c r="Z78" s="4" t="str">
        <f t="shared" si="8"/>
        <v>{"couname":"","img":"0","pty":"","artist":"","genres":"","duration":"","spotId":"","Items":["-SADNE-","-SLOWSS-","OTHR","OTHR","XT_OffAnimals"]},</v>
      </c>
      <c r="AA78" s="5" t="s">
        <v>5</v>
      </c>
      <c r="AB78" s="3" t="str">
        <f t="shared" si="9"/>
        <v>["-SADNE-","-SLOWSS-","OTHR","OTHR","XT_OffAnimals"]</v>
      </c>
      <c r="AC78" s="3">
        <f>_xlfn.XLOOKUP(A78,Album!A:A,Album!J:J)</f>
        <v>0</v>
      </c>
      <c r="AD78" s="3">
        <f>_xlfn.XLOOKUP(D78,Artists!A:A,Artists!B:B)</f>
        <v>0</v>
      </c>
      <c r="AE78" s="3">
        <f>_xlfn.XLOOKUP(D78,Artists!A:A,Artists!C:C)</f>
        <v>0</v>
      </c>
      <c r="AF78" s="3" t="str">
        <f t="shared" si="10"/>
        <v>OTHR</v>
      </c>
      <c r="AG78" s="3" t="str">
        <f t="shared" si="11"/>
        <v>OTHR</v>
      </c>
    </row>
    <row r="79" spans="24:33" x14ac:dyDescent="0.3">
      <c r="X79" s="3" t="str">
        <f t="shared" si="6"/>
        <v>-SADNE-</v>
      </c>
      <c r="Y79" s="3" t="str">
        <f t="shared" si="7"/>
        <v>-SLOWSS-</v>
      </c>
      <c r="Z79" s="4" t="str">
        <f t="shared" si="8"/>
        <v>{"couname":"","img":"0","pty":"","artist":"","genres":"","duration":"","spotId":"","Items":["-SADNE-","-SLOWSS-","OTHR","OTHR","XT_OffAnimals"]},</v>
      </c>
      <c r="AA79" s="5" t="s">
        <v>5</v>
      </c>
      <c r="AB79" s="3" t="str">
        <f t="shared" si="9"/>
        <v>["-SADNE-","-SLOWSS-","OTHR","OTHR","XT_OffAnimals"]</v>
      </c>
      <c r="AC79" s="3">
        <f>_xlfn.XLOOKUP(A79,Album!A:A,Album!J:J)</f>
        <v>0</v>
      </c>
      <c r="AD79" s="3">
        <f>_xlfn.XLOOKUP(D79,Artists!A:A,Artists!B:B)</f>
        <v>0</v>
      </c>
      <c r="AE79" s="3">
        <f>_xlfn.XLOOKUP(D79,Artists!A:A,Artists!C:C)</f>
        <v>0</v>
      </c>
      <c r="AF79" s="3" t="str">
        <f t="shared" si="10"/>
        <v>OTHR</v>
      </c>
      <c r="AG79" s="3" t="str">
        <f t="shared" si="11"/>
        <v>OTHR</v>
      </c>
    </row>
    <row r="80" spans="24:33" x14ac:dyDescent="0.3">
      <c r="X80" s="3" t="str">
        <f t="shared" si="6"/>
        <v>-SADNE-</v>
      </c>
      <c r="Y80" s="3" t="str">
        <f t="shared" si="7"/>
        <v>-SLOWSS-</v>
      </c>
      <c r="Z80" s="4" t="str">
        <f t="shared" si="8"/>
        <v>{"couname":"","img":"0","pty":"","artist":"","genres":"","duration":"","spotId":"","Items":["-SADNE-","-SLOWSS-","OTHR","OTHR","XT_OffAnimals"]},</v>
      </c>
      <c r="AA80" s="5" t="s">
        <v>5</v>
      </c>
      <c r="AB80" s="3" t="str">
        <f t="shared" si="9"/>
        <v>["-SADNE-","-SLOWSS-","OTHR","OTHR","XT_OffAnimals"]</v>
      </c>
      <c r="AC80" s="3">
        <f>_xlfn.XLOOKUP(A80,Album!A:A,Album!J:J)</f>
        <v>0</v>
      </c>
      <c r="AD80" s="3">
        <f>_xlfn.XLOOKUP(D80,Artists!A:A,Artists!B:B)</f>
        <v>0</v>
      </c>
      <c r="AE80" s="3">
        <f>_xlfn.XLOOKUP(D80,Artists!A:A,Artists!C:C)</f>
        <v>0</v>
      </c>
      <c r="AF80" s="3" t="str">
        <f t="shared" si="10"/>
        <v>OTHR</v>
      </c>
      <c r="AG80" s="3" t="str">
        <f t="shared" si="11"/>
        <v>OTHR</v>
      </c>
    </row>
    <row r="81" spans="24:33" x14ac:dyDescent="0.3">
      <c r="X81" s="3" t="str">
        <f t="shared" si="6"/>
        <v>-SADNE-</v>
      </c>
      <c r="Y81" s="3" t="str">
        <f t="shared" si="7"/>
        <v>-SLOWSS-</v>
      </c>
      <c r="Z81" s="4" t="str">
        <f t="shared" si="8"/>
        <v>{"couname":"","img":"0","pty":"","artist":"","genres":"","duration":"","spotId":"","Items":["-SADNE-","-SLOWSS-","OTHR","OTHR","XT_OffAnimals"]},</v>
      </c>
      <c r="AA81" s="5" t="s">
        <v>5</v>
      </c>
      <c r="AB81" s="3" t="str">
        <f t="shared" si="9"/>
        <v>["-SADNE-","-SLOWSS-","OTHR","OTHR","XT_OffAnimals"]</v>
      </c>
      <c r="AC81" s="3">
        <f>_xlfn.XLOOKUP(A81,Album!A:A,Album!J:J)</f>
        <v>0</v>
      </c>
      <c r="AD81" s="3">
        <f>_xlfn.XLOOKUP(D81,Artists!A:A,Artists!B:B)</f>
        <v>0</v>
      </c>
      <c r="AE81" s="3">
        <f>_xlfn.XLOOKUP(D81,Artists!A:A,Artists!C:C)</f>
        <v>0</v>
      </c>
      <c r="AF81" s="3" t="str">
        <f t="shared" si="10"/>
        <v>OTHR</v>
      </c>
      <c r="AG81" s="3" t="str">
        <f t="shared" si="11"/>
        <v>OTHR</v>
      </c>
    </row>
    <row r="82" spans="24:33" x14ac:dyDescent="0.3">
      <c r="X82" s="3" t="str">
        <f t="shared" si="6"/>
        <v>-SADNE-</v>
      </c>
      <c r="Y82" s="3" t="str">
        <f t="shared" si="7"/>
        <v>-SLOWSS-</v>
      </c>
      <c r="Z82" s="4" t="str">
        <f t="shared" si="8"/>
        <v>{"couname":"","img":"0","pty":"","artist":"","genres":"","duration":"","spotId":"","Items":["-SADNE-","-SLOWSS-","OTHR","OTHR","XT_OffAnimals"]},</v>
      </c>
      <c r="AA82" s="5" t="s">
        <v>5</v>
      </c>
      <c r="AB82" s="3" t="str">
        <f t="shared" si="9"/>
        <v>["-SADNE-","-SLOWSS-","OTHR","OTHR","XT_OffAnimals"]</v>
      </c>
      <c r="AC82" s="3">
        <f>_xlfn.XLOOKUP(A82,Album!A:A,Album!J:J)</f>
        <v>0</v>
      </c>
      <c r="AD82" s="3">
        <f>_xlfn.XLOOKUP(D82,Artists!A:A,Artists!B:B)</f>
        <v>0</v>
      </c>
      <c r="AE82" s="3">
        <f>_xlfn.XLOOKUP(D82,Artists!A:A,Artists!C:C)</f>
        <v>0</v>
      </c>
      <c r="AF82" s="3" t="str">
        <f t="shared" si="10"/>
        <v>OTHR</v>
      </c>
      <c r="AG82" s="3" t="str">
        <f t="shared" si="11"/>
        <v>OTHR</v>
      </c>
    </row>
    <row r="83" spans="24:33" x14ac:dyDescent="0.3">
      <c r="X83" s="3" t="str">
        <f t="shared" si="6"/>
        <v>-SADNE-</v>
      </c>
      <c r="Y83" s="3" t="str">
        <f t="shared" si="7"/>
        <v>-SLOWSS-</v>
      </c>
      <c r="Z83" s="4" t="str">
        <f t="shared" si="8"/>
        <v>{"couname":"","img":"0","pty":"","artist":"","genres":"","duration":"","spotId":"","Items":["-SADNE-","-SLOWSS-","OTHR","OTHR","XT_OffAnimals"]},</v>
      </c>
      <c r="AA83" s="5" t="s">
        <v>5</v>
      </c>
      <c r="AB83" s="3" t="str">
        <f t="shared" si="9"/>
        <v>["-SADNE-","-SLOWSS-","OTHR","OTHR","XT_OffAnimals"]</v>
      </c>
      <c r="AC83" s="3">
        <f>_xlfn.XLOOKUP(A83,Album!A:A,Album!J:J)</f>
        <v>0</v>
      </c>
      <c r="AD83" s="3">
        <f>_xlfn.XLOOKUP(D83,Artists!A:A,Artists!B:B)</f>
        <v>0</v>
      </c>
      <c r="AE83" s="3">
        <f>_xlfn.XLOOKUP(D83,Artists!A:A,Artists!C:C)</f>
        <v>0</v>
      </c>
      <c r="AF83" s="3" t="str">
        <f t="shared" si="10"/>
        <v>OTHR</v>
      </c>
      <c r="AG83" s="3" t="str">
        <f t="shared" si="11"/>
        <v>OTHR</v>
      </c>
    </row>
    <row r="84" spans="24:33" x14ac:dyDescent="0.3">
      <c r="X84" s="3" t="str">
        <f t="shared" si="6"/>
        <v>-SADNE-</v>
      </c>
      <c r="Y84" s="3" t="str">
        <f t="shared" si="7"/>
        <v>-SLOWSS-</v>
      </c>
      <c r="Z84" s="4" t="str">
        <f t="shared" si="8"/>
        <v>{"couname":"","img":"0","pty":"","artist":"","genres":"","duration":"","spotId":"","Items":["-SADNE-","-SLOWSS-","OTHR","OTHR","XT_OffAnimals"]},</v>
      </c>
      <c r="AA84" s="5" t="s">
        <v>5</v>
      </c>
      <c r="AB84" s="3" t="str">
        <f t="shared" si="9"/>
        <v>["-SADNE-","-SLOWSS-","OTHR","OTHR","XT_OffAnimals"]</v>
      </c>
      <c r="AC84" s="3">
        <f>_xlfn.XLOOKUP(A84,Album!A:A,Album!J:J)</f>
        <v>0</v>
      </c>
      <c r="AD84" s="3">
        <f>_xlfn.XLOOKUP(D84,Artists!A:A,Artists!B:B)</f>
        <v>0</v>
      </c>
      <c r="AE84" s="3">
        <f>_xlfn.XLOOKUP(D84,Artists!A:A,Artists!C:C)</f>
        <v>0</v>
      </c>
      <c r="AF84" s="3" t="str">
        <f t="shared" si="10"/>
        <v>OTHR</v>
      </c>
      <c r="AG84" s="3" t="str">
        <f t="shared" si="11"/>
        <v>OTHR</v>
      </c>
    </row>
    <row r="85" spans="24:33" x14ac:dyDescent="0.3">
      <c r="X85" s="3" t="str">
        <f t="shared" si="6"/>
        <v>-SADNE-</v>
      </c>
      <c r="Y85" s="3" t="str">
        <f t="shared" si="7"/>
        <v>-SLOWSS-</v>
      </c>
      <c r="Z85" s="4" t="str">
        <f t="shared" si="8"/>
        <v>{"couname":"","img":"0","pty":"","artist":"","genres":"","duration":"","spotId":"","Items":["-SADNE-","-SLOWSS-","OTHR","OTHR","XT_OffAnimals"]},</v>
      </c>
      <c r="AA85" s="5" t="s">
        <v>5</v>
      </c>
      <c r="AB85" s="3" t="str">
        <f t="shared" si="9"/>
        <v>["-SADNE-","-SLOWSS-","OTHR","OTHR","XT_OffAnimals"]</v>
      </c>
      <c r="AC85" s="3">
        <f>_xlfn.XLOOKUP(A85,Album!A:A,Album!J:J)</f>
        <v>0</v>
      </c>
      <c r="AD85" s="3">
        <f>_xlfn.XLOOKUP(D85,Artists!A:A,Artists!B:B)</f>
        <v>0</v>
      </c>
      <c r="AE85" s="3">
        <f>_xlfn.XLOOKUP(D85,Artists!A:A,Artists!C:C)</f>
        <v>0</v>
      </c>
      <c r="AF85" s="3" t="str">
        <f t="shared" si="10"/>
        <v>OTHR</v>
      </c>
      <c r="AG85" s="3" t="str">
        <f t="shared" si="11"/>
        <v>OTHR</v>
      </c>
    </row>
    <row r="86" spans="24:33" x14ac:dyDescent="0.3">
      <c r="X86" s="3" t="str">
        <f t="shared" si="6"/>
        <v>-SADNE-</v>
      </c>
      <c r="Y86" s="3" t="str">
        <f t="shared" si="7"/>
        <v>-SLOWSS-</v>
      </c>
      <c r="Z86" s="4" t="str">
        <f t="shared" si="8"/>
        <v>{"couname":"","img":"0","pty":"","artist":"","genres":"","duration":"","spotId":"","Items":["-SADNE-","-SLOWSS-","OTHR","OTHR","XT_OffAnimals"]},</v>
      </c>
      <c r="AA86" s="5" t="s">
        <v>5</v>
      </c>
      <c r="AB86" s="3" t="str">
        <f t="shared" si="9"/>
        <v>["-SADNE-","-SLOWSS-","OTHR","OTHR","XT_OffAnimals"]</v>
      </c>
      <c r="AC86" s="3">
        <f>_xlfn.XLOOKUP(A86,Album!A:A,Album!J:J)</f>
        <v>0</v>
      </c>
      <c r="AD86" s="3">
        <f>_xlfn.XLOOKUP(D86,Artists!A:A,Artists!B:B)</f>
        <v>0</v>
      </c>
      <c r="AE86" s="3">
        <f>_xlfn.XLOOKUP(D86,Artists!A:A,Artists!C:C)</f>
        <v>0</v>
      </c>
      <c r="AF86" s="3" t="str">
        <f t="shared" si="10"/>
        <v>OTHR</v>
      </c>
      <c r="AG86" s="3" t="str">
        <f t="shared" si="11"/>
        <v>OTHR</v>
      </c>
    </row>
    <row r="87" spans="24:33" x14ac:dyDescent="0.3">
      <c r="X87" s="3" t="str">
        <f t="shared" si="6"/>
        <v>-SADNE-</v>
      </c>
      <c r="Y87" s="3" t="str">
        <f t="shared" si="7"/>
        <v>-SLOWSS-</v>
      </c>
      <c r="Z87" s="4" t="str">
        <f t="shared" si="8"/>
        <v>{"couname":"","img":"0","pty":"","artist":"","genres":"","duration":"","spotId":"","Items":["-SADNE-","-SLOWSS-","OTHR","OTHR","XT_OffAnimals"]},</v>
      </c>
      <c r="AA87" s="5" t="s">
        <v>5</v>
      </c>
      <c r="AB87" s="3" t="str">
        <f t="shared" si="9"/>
        <v>["-SADNE-","-SLOWSS-","OTHR","OTHR","XT_OffAnimals"]</v>
      </c>
      <c r="AC87" s="3">
        <f>_xlfn.XLOOKUP(A87,Album!A:A,Album!J:J)</f>
        <v>0</v>
      </c>
      <c r="AD87" s="3">
        <f>_xlfn.XLOOKUP(D87,Artists!A:A,Artists!B:B)</f>
        <v>0</v>
      </c>
      <c r="AE87" s="3">
        <f>_xlfn.XLOOKUP(D87,Artists!A:A,Artists!C:C)</f>
        <v>0</v>
      </c>
      <c r="AF87" s="3" t="str">
        <f t="shared" si="10"/>
        <v>OTHR</v>
      </c>
      <c r="AG87" s="3" t="str">
        <f t="shared" si="11"/>
        <v>OTHR</v>
      </c>
    </row>
    <row r="88" spans="24:33" x14ac:dyDescent="0.3">
      <c r="X88" s="3" t="str">
        <f t="shared" si="6"/>
        <v>-SADNE-</v>
      </c>
      <c r="Y88" s="3" t="str">
        <f t="shared" si="7"/>
        <v>-SLOWSS-</v>
      </c>
      <c r="Z88" s="4" t="str">
        <f t="shared" si="8"/>
        <v>{"couname":"","img":"0","pty":"","artist":"","genres":"","duration":"","spotId":"","Items":["-SADNE-","-SLOWSS-","OTHR","OTHR","XT_OffAnimals"]},</v>
      </c>
      <c r="AA88" s="5" t="s">
        <v>5</v>
      </c>
      <c r="AB88" s="3" t="str">
        <f t="shared" si="9"/>
        <v>["-SADNE-","-SLOWSS-","OTHR","OTHR","XT_OffAnimals"]</v>
      </c>
      <c r="AC88" s="3">
        <f>_xlfn.XLOOKUP(A88,Album!A:A,Album!J:J)</f>
        <v>0</v>
      </c>
      <c r="AD88" s="3">
        <f>_xlfn.XLOOKUP(D88,Artists!A:A,Artists!B:B)</f>
        <v>0</v>
      </c>
      <c r="AE88" s="3">
        <f>_xlfn.XLOOKUP(D88,Artists!A:A,Artists!C:C)</f>
        <v>0</v>
      </c>
      <c r="AF88" s="3" t="str">
        <f t="shared" si="10"/>
        <v>OTHR</v>
      </c>
      <c r="AG88" s="3" t="str">
        <f t="shared" si="11"/>
        <v>OTHR</v>
      </c>
    </row>
    <row r="89" spans="24:33" x14ac:dyDescent="0.3">
      <c r="X89" s="3" t="str">
        <f t="shared" si="6"/>
        <v>-SADNE-</v>
      </c>
      <c r="Y89" s="3" t="str">
        <f t="shared" si="7"/>
        <v>-SLOWSS-</v>
      </c>
      <c r="Z89" s="4" t="str">
        <f t="shared" si="8"/>
        <v>{"couname":"","img":"0","pty":"","artist":"","genres":"","duration":"","spotId":"","Items":["-SADNE-","-SLOWSS-","OTHR","OTHR","XT_OffAnimals"]},</v>
      </c>
      <c r="AA89" s="5" t="s">
        <v>5</v>
      </c>
      <c r="AB89" s="3" t="str">
        <f t="shared" si="9"/>
        <v>["-SADNE-","-SLOWSS-","OTHR","OTHR","XT_OffAnimals"]</v>
      </c>
      <c r="AC89" s="3">
        <f>_xlfn.XLOOKUP(A89,Album!A:A,Album!J:J)</f>
        <v>0</v>
      </c>
      <c r="AD89" s="3">
        <f>_xlfn.XLOOKUP(D89,Artists!A:A,Artists!B:B)</f>
        <v>0</v>
      </c>
      <c r="AE89" s="3">
        <f>_xlfn.XLOOKUP(D89,Artists!A:A,Artists!C:C)</f>
        <v>0</v>
      </c>
      <c r="AF89" s="3" t="str">
        <f t="shared" si="10"/>
        <v>OTHR</v>
      </c>
      <c r="AG89" s="3" t="str">
        <f t="shared" si="11"/>
        <v>OTHR</v>
      </c>
    </row>
    <row r="90" spans="24:33" x14ac:dyDescent="0.3">
      <c r="X90" s="3" t="str">
        <f t="shared" si="6"/>
        <v>-SADNE-</v>
      </c>
      <c r="Y90" s="3" t="str">
        <f t="shared" si="7"/>
        <v>-SLOWSS-</v>
      </c>
      <c r="Z90" s="4" t="str">
        <f t="shared" si="8"/>
        <v>{"couname":"","img":"0","pty":"","artist":"","genres":"","duration":"","spotId":"","Items":["-SADNE-","-SLOWSS-","OTHR","OTHR","XT_OffAnimals"]},</v>
      </c>
      <c r="AA90" s="5" t="s">
        <v>5</v>
      </c>
      <c r="AB90" s="3" t="str">
        <f t="shared" si="9"/>
        <v>["-SADNE-","-SLOWSS-","OTHR","OTHR","XT_OffAnimals"]</v>
      </c>
      <c r="AC90" s="3">
        <f>_xlfn.XLOOKUP(A90,Album!A:A,Album!J:J)</f>
        <v>0</v>
      </c>
      <c r="AD90" s="3">
        <f>_xlfn.XLOOKUP(D90,Artists!A:A,Artists!B:B)</f>
        <v>0</v>
      </c>
      <c r="AE90" s="3">
        <f>_xlfn.XLOOKUP(D90,Artists!A:A,Artists!C:C)</f>
        <v>0</v>
      </c>
      <c r="AF90" s="3" t="str">
        <f t="shared" si="10"/>
        <v>OTHR</v>
      </c>
      <c r="AG90" s="3" t="str">
        <f t="shared" si="11"/>
        <v>OTHR</v>
      </c>
    </row>
    <row r="91" spans="24:33" x14ac:dyDescent="0.3">
      <c r="X91" s="3" t="str">
        <f t="shared" si="6"/>
        <v>-SADNE-</v>
      </c>
      <c r="Y91" s="3" t="str">
        <f t="shared" si="7"/>
        <v>-SLOWSS-</v>
      </c>
      <c r="Z91" s="4" t="str">
        <f t="shared" si="8"/>
        <v>{"couname":"","img":"0","pty":"","artist":"","genres":"","duration":"","spotId":"","Items":["-SADNE-","-SLOWSS-","OTHR","OTHR","XT_OffAnimals"]},</v>
      </c>
      <c r="AA91" s="5" t="s">
        <v>5</v>
      </c>
      <c r="AB91" s="3" t="str">
        <f t="shared" si="9"/>
        <v>["-SADNE-","-SLOWSS-","OTHR","OTHR","XT_OffAnimals"]</v>
      </c>
      <c r="AC91" s="3">
        <f>_xlfn.XLOOKUP(A91,Album!A:A,Album!J:J)</f>
        <v>0</v>
      </c>
      <c r="AD91" s="3">
        <f>_xlfn.XLOOKUP(D91,Artists!A:A,Artists!B:B)</f>
        <v>0</v>
      </c>
      <c r="AE91" s="3">
        <f>_xlfn.XLOOKUP(D91,Artists!A:A,Artists!C:C)</f>
        <v>0</v>
      </c>
      <c r="AF91" s="3" t="str">
        <f t="shared" si="10"/>
        <v>OTHR</v>
      </c>
      <c r="AG91" s="3" t="str">
        <f t="shared" si="11"/>
        <v>OTHR</v>
      </c>
    </row>
    <row r="92" spans="24:33" x14ac:dyDescent="0.3">
      <c r="X92" s="3" t="str">
        <f t="shared" si="6"/>
        <v>-SADNE-</v>
      </c>
      <c r="Y92" s="3" t="str">
        <f t="shared" si="7"/>
        <v>-SLOWSS-</v>
      </c>
      <c r="Z92" s="4" t="str">
        <f t="shared" si="8"/>
        <v>{"couname":"","img":"0","pty":"","artist":"","genres":"","duration":"","spotId":"","Items":["-SADNE-","-SLOWSS-","OTHR","OTHR","XT_OffAnimals"]},</v>
      </c>
      <c r="AA92" s="5" t="s">
        <v>5</v>
      </c>
      <c r="AB92" s="3" t="str">
        <f t="shared" si="9"/>
        <v>["-SADNE-","-SLOWSS-","OTHR","OTHR","XT_OffAnimals"]</v>
      </c>
      <c r="AC92" s="3">
        <f>_xlfn.XLOOKUP(A92,Album!A:A,Album!J:J)</f>
        <v>0</v>
      </c>
      <c r="AD92" s="3">
        <f>_xlfn.XLOOKUP(D92,Artists!A:A,Artists!B:B)</f>
        <v>0</v>
      </c>
      <c r="AE92" s="3">
        <f>_xlfn.XLOOKUP(D92,Artists!A:A,Artists!C:C)</f>
        <v>0</v>
      </c>
      <c r="AF92" s="3" t="str">
        <f t="shared" si="10"/>
        <v>OTHR</v>
      </c>
      <c r="AG92" s="3" t="str">
        <f t="shared" si="11"/>
        <v>OTHR</v>
      </c>
    </row>
    <row r="93" spans="24:33" x14ac:dyDescent="0.3">
      <c r="X93" s="3" t="str">
        <f t="shared" si="6"/>
        <v>-SADNE-</v>
      </c>
      <c r="Y93" s="3" t="str">
        <f t="shared" si="7"/>
        <v>-SLOWSS-</v>
      </c>
      <c r="Z93" s="4" t="str">
        <f t="shared" si="8"/>
        <v>{"couname":"","img":"0","pty":"","artist":"","genres":"","duration":"","spotId":"","Items":["-SADNE-","-SLOWSS-","OTHR","OTHR","XT_OffAnimals"]},</v>
      </c>
      <c r="AA93" s="5" t="s">
        <v>5</v>
      </c>
      <c r="AB93" s="3" t="str">
        <f t="shared" si="9"/>
        <v>["-SADNE-","-SLOWSS-","OTHR","OTHR","XT_OffAnimals"]</v>
      </c>
      <c r="AC93" s="3">
        <f>_xlfn.XLOOKUP(A93,Album!A:A,Album!J:J)</f>
        <v>0</v>
      </c>
      <c r="AD93" s="3">
        <f>_xlfn.XLOOKUP(D93,Artists!A:A,Artists!B:B)</f>
        <v>0</v>
      </c>
      <c r="AE93" s="3">
        <f>_xlfn.XLOOKUP(D93,Artists!A:A,Artists!C:C)</f>
        <v>0</v>
      </c>
      <c r="AF93" s="3" t="str">
        <f t="shared" si="10"/>
        <v>OTHR</v>
      </c>
      <c r="AG93" s="3" t="str">
        <f t="shared" si="11"/>
        <v>OTHR</v>
      </c>
    </row>
    <row r="94" spans="24:33" x14ac:dyDescent="0.3">
      <c r="X94" s="3" t="str">
        <f t="shared" si="6"/>
        <v>-SADNE-</v>
      </c>
      <c r="Y94" s="3" t="str">
        <f t="shared" si="7"/>
        <v>-SLOWSS-</v>
      </c>
      <c r="Z94" s="4" t="str">
        <f t="shared" si="8"/>
        <v>{"couname":"","img":"0","pty":"","artist":"","genres":"","duration":"","spotId":"","Items":["-SADNE-","-SLOWSS-","OTHR","OTHR","XT_OffAnimals"]},</v>
      </c>
      <c r="AA94" s="5" t="s">
        <v>5</v>
      </c>
      <c r="AB94" s="3" t="str">
        <f t="shared" si="9"/>
        <v>["-SADNE-","-SLOWSS-","OTHR","OTHR","XT_OffAnimals"]</v>
      </c>
      <c r="AC94" s="3">
        <f>_xlfn.XLOOKUP(A94,Album!A:A,Album!J:J)</f>
        <v>0</v>
      </c>
      <c r="AD94" s="3">
        <f>_xlfn.XLOOKUP(D94,Artists!A:A,Artists!B:B)</f>
        <v>0</v>
      </c>
      <c r="AE94" s="3">
        <f>_xlfn.XLOOKUP(D94,Artists!A:A,Artists!C:C)</f>
        <v>0</v>
      </c>
      <c r="AF94" s="3" t="str">
        <f t="shared" si="10"/>
        <v>OTHR</v>
      </c>
      <c r="AG94" s="3" t="str">
        <f t="shared" si="11"/>
        <v>OTHR</v>
      </c>
    </row>
    <row r="95" spans="24:33" x14ac:dyDescent="0.3">
      <c r="X95" s="3" t="str">
        <f t="shared" si="6"/>
        <v>-SADNE-</v>
      </c>
      <c r="Y95" s="3" t="str">
        <f t="shared" si="7"/>
        <v>-SLOWSS-</v>
      </c>
      <c r="Z95" s="4" t="str">
        <f t="shared" si="8"/>
        <v>{"couname":"","img":"0","pty":"","artist":"","genres":"","duration":"","spotId":"","Items":["-SADNE-","-SLOWSS-","OTHR","OTHR","XT_OffAnimals"]},</v>
      </c>
      <c r="AA95" s="5" t="s">
        <v>5</v>
      </c>
      <c r="AB95" s="3" t="str">
        <f t="shared" si="9"/>
        <v>["-SADNE-","-SLOWSS-","OTHR","OTHR","XT_OffAnimals"]</v>
      </c>
      <c r="AC95" s="3">
        <f>_xlfn.XLOOKUP(A95,Album!A:A,Album!J:J)</f>
        <v>0</v>
      </c>
      <c r="AD95" s="3">
        <f>_xlfn.XLOOKUP(D95,Artists!A:A,Artists!B:B)</f>
        <v>0</v>
      </c>
      <c r="AE95" s="3">
        <f>_xlfn.XLOOKUP(D95,Artists!A:A,Artists!C:C)</f>
        <v>0</v>
      </c>
      <c r="AF95" s="3" t="str">
        <f t="shared" si="10"/>
        <v>OTHR</v>
      </c>
      <c r="AG95" s="3" t="str">
        <f t="shared" si="11"/>
        <v>OTHR</v>
      </c>
    </row>
    <row r="96" spans="24:33" x14ac:dyDescent="0.3">
      <c r="X96" s="3" t="str">
        <f t="shared" si="6"/>
        <v>-SADNE-</v>
      </c>
      <c r="Y96" s="3" t="str">
        <f t="shared" si="7"/>
        <v>-SLOWSS-</v>
      </c>
      <c r="Z96" s="4" t="str">
        <f t="shared" si="8"/>
        <v>{"couname":"","img":"0","pty":"","artist":"","genres":"","duration":"","spotId":"","Items":["-SADNE-","-SLOWSS-","OTHR","OTHR","XT_OffAnimals"]},</v>
      </c>
      <c r="AA96" s="5" t="s">
        <v>5</v>
      </c>
      <c r="AB96" s="3" t="str">
        <f t="shared" si="9"/>
        <v>["-SADNE-","-SLOWSS-","OTHR","OTHR","XT_OffAnimals"]</v>
      </c>
      <c r="AC96" s="3">
        <f>_xlfn.XLOOKUP(A96,Album!A:A,Album!J:J)</f>
        <v>0</v>
      </c>
      <c r="AD96" s="3">
        <f>_xlfn.XLOOKUP(D96,Artists!A:A,Artists!B:B)</f>
        <v>0</v>
      </c>
      <c r="AE96" s="3">
        <f>_xlfn.XLOOKUP(D96,Artists!A:A,Artists!C:C)</f>
        <v>0</v>
      </c>
      <c r="AF96" s="3" t="str">
        <f t="shared" si="10"/>
        <v>OTHR</v>
      </c>
      <c r="AG96" s="3" t="str">
        <f t="shared" si="11"/>
        <v>OTHR</v>
      </c>
    </row>
    <row r="97" spans="24:33" x14ac:dyDescent="0.3">
      <c r="X97" s="3" t="str">
        <f t="shared" si="6"/>
        <v>-SADNE-</v>
      </c>
      <c r="Y97" s="3" t="str">
        <f t="shared" si="7"/>
        <v>-SLOWSS-</v>
      </c>
      <c r="Z97" s="4" t="str">
        <f t="shared" si="8"/>
        <v>{"couname":"","img":"0","pty":"","artist":"","genres":"","duration":"","spotId":"","Items":["-SADNE-","-SLOWSS-","OTHR","OTHR","XT_OffAnimals"]},</v>
      </c>
      <c r="AA97" s="5" t="s">
        <v>5</v>
      </c>
      <c r="AB97" s="3" t="str">
        <f t="shared" si="9"/>
        <v>["-SADNE-","-SLOWSS-","OTHR","OTHR","XT_OffAnimals"]</v>
      </c>
      <c r="AC97" s="3">
        <f>_xlfn.XLOOKUP(A97,Album!A:A,Album!J:J)</f>
        <v>0</v>
      </c>
      <c r="AD97" s="3">
        <f>_xlfn.XLOOKUP(D97,Artists!A:A,Artists!B:B)</f>
        <v>0</v>
      </c>
      <c r="AE97" s="3">
        <f>_xlfn.XLOOKUP(D97,Artists!A:A,Artists!C:C)</f>
        <v>0</v>
      </c>
      <c r="AF97" s="3" t="str">
        <f t="shared" si="10"/>
        <v>OTHR</v>
      </c>
      <c r="AG97" s="3" t="str">
        <f t="shared" si="11"/>
        <v>OTHR</v>
      </c>
    </row>
    <row r="98" spans="24:33" x14ac:dyDescent="0.3">
      <c r="X98" s="3" t="str">
        <f t="shared" si="6"/>
        <v>-SADNE-</v>
      </c>
      <c r="Y98" s="3" t="str">
        <f t="shared" si="7"/>
        <v>-SLOWSS-</v>
      </c>
      <c r="Z98" s="4" t="str">
        <f t="shared" si="8"/>
        <v>{"couname":"","img":"0","pty":"","artist":"","genres":"","duration":"","spotId":"","Items":["-SADNE-","-SLOWSS-","OTHR","OTHR","XT_OffAnimals"]},</v>
      </c>
      <c r="AA98" s="5" t="s">
        <v>5</v>
      </c>
      <c r="AB98" s="3" t="str">
        <f t="shared" si="9"/>
        <v>["-SADNE-","-SLOWSS-","OTHR","OTHR","XT_OffAnimals"]</v>
      </c>
      <c r="AC98" s="3">
        <f>_xlfn.XLOOKUP(A98,Album!A:A,Album!J:J)</f>
        <v>0</v>
      </c>
      <c r="AD98" s="3">
        <f>_xlfn.XLOOKUP(D98,Artists!A:A,Artists!B:B)</f>
        <v>0</v>
      </c>
      <c r="AE98" s="3">
        <f>_xlfn.XLOOKUP(D98,Artists!A:A,Artists!C:C)</f>
        <v>0</v>
      </c>
      <c r="AF98" s="3" t="str">
        <f t="shared" si="10"/>
        <v>OTHR</v>
      </c>
      <c r="AG98" s="3" t="str">
        <f t="shared" si="11"/>
        <v>OTHR</v>
      </c>
    </row>
    <row r="99" spans="24:33" x14ac:dyDescent="0.3">
      <c r="X99" s="3" t="str">
        <f t="shared" si="6"/>
        <v>-SADNE-</v>
      </c>
      <c r="Y99" s="3" t="str">
        <f t="shared" si="7"/>
        <v>-SLOWSS-</v>
      </c>
      <c r="Z99" s="4" t="str">
        <f t="shared" si="8"/>
        <v>{"couname":"","img":"0","pty":"","artist":"","genres":"","duration":"","spotId":"","Items":["-SADNE-","-SLOWSS-","OTHR","OTHR","XT_OffAnimals"]},</v>
      </c>
      <c r="AA99" s="5" t="s">
        <v>5</v>
      </c>
      <c r="AB99" s="3" t="str">
        <f t="shared" si="9"/>
        <v>["-SADNE-","-SLOWSS-","OTHR","OTHR","XT_OffAnimals"]</v>
      </c>
      <c r="AC99" s="3">
        <f>_xlfn.XLOOKUP(A99,Album!A:A,Album!J:J)</f>
        <v>0</v>
      </c>
      <c r="AD99" s="3">
        <f>_xlfn.XLOOKUP(D99,Artists!A:A,Artists!B:B)</f>
        <v>0</v>
      </c>
      <c r="AE99" s="3">
        <f>_xlfn.XLOOKUP(D99,Artists!A:A,Artists!C:C)</f>
        <v>0</v>
      </c>
      <c r="AF99" s="3" t="str">
        <f t="shared" si="10"/>
        <v>OTHR</v>
      </c>
      <c r="AG99" s="3" t="str">
        <f t="shared" si="11"/>
        <v>OTHR</v>
      </c>
    </row>
    <row r="100" spans="24:33" x14ac:dyDescent="0.3">
      <c r="X100" s="3" t="str">
        <f t="shared" si="6"/>
        <v>-SADNE-</v>
      </c>
      <c r="Y100" s="3" t="str">
        <f t="shared" si="7"/>
        <v>-SLOWSS-</v>
      </c>
      <c r="Z100" s="4" t="str">
        <f t="shared" si="8"/>
        <v>{"couname":"","img":"0","pty":"","artist":"","genres":"","duration":"","spotId":"","Items":["-SADNE-","-SLOWSS-","OTHR","OTHR","XT_OffAnimals"]},</v>
      </c>
      <c r="AA100" s="5" t="s">
        <v>5</v>
      </c>
      <c r="AB100" s="3" t="str">
        <f t="shared" si="9"/>
        <v>["-SADNE-","-SLOWSS-","OTHR","OTHR","XT_OffAnimals"]</v>
      </c>
      <c r="AC100" s="3">
        <f>_xlfn.XLOOKUP(A100,Album!A:A,Album!J:J)</f>
        <v>0</v>
      </c>
      <c r="AD100" s="3">
        <f>_xlfn.XLOOKUP(D100,Artists!A:A,Artists!B:B)</f>
        <v>0</v>
      </c>
      <c r="AE100" s="3">
        <f>_xlfn.XLOOKUP(D100,Artists!A:A,Artists!C:C)</f>
        <v>0</v>
      </c>
      <c r="AF100" s="3" t="str">
        <f t="shared" si="10"/>
        <v>OTHR</v>
      </c>
      <c r="AG100" s="3" t="str">
        <f t="shared" si="11"/>
        <v>OTHR</v>
      </c>
    </row>
    <row r="101" spans="24:33" x14ac:dyDescent="0.3">
      <c r="X101" s="3" t="str">
        <f t="shared" si="6"/>
        <v>-SADNE-</v>
      </c>
      <c r="Y101" s="3" t="str">
        <f t="shared" si="7"/>
        <v>-SLOWSS-</v>
      </c>
      <c r="Z101" s="4" t="str">
        <f t="shared" si="8"/>
        <v>{"couname":"","img":"0","pty":"","artist":"","genres":"","duration":"","spotId":"","Items":["-SADNE-","-SLOWSS-","OTHR","OTHR","XT_OffAnimals"]},</v>
      </c>
      <c r="AA101" s="5" t="s">
        <v>5</v>
      </c>
      <c r="AB101" s="3" t="str">
        <f t="shared" si="9"/>
        <v>["-SADNE-","-SLOWSS-","OTHR","OTHR","XT_OffAnimals"]</v>
      </c>
      <c r="AC101" s="3">
        <f>_xlfn.XLOOKUP(A101,Album!A:A,Album!J:J)</f>
        <v>0</v>
      </c>
      <c r="AD101" s="3">
        <f>_xlfn.XLOOKUP(D101,Artists!A:A,Artists!B:B)</f>
        <v>0</v>
      </c>
      <c r="AE101" s="3">
        <f>_xlfn.XLOOKUP(D101,Artists!A:A,Artists!C:C)</f>
        <v>0</v>
      </c>
      <c r="AF101" s="3" t="str">
        <f t="shared" si="10"/>
        <v>OTHR</v>
      </c>
      <c r="AG101" s="3" t="str">
        <f t="shared" si="11"/>
        <v>OTHR</v>
      </c>
    </row>
    <row r="102" spans="24:33" x14ac:dyDescent="0.3">
      <c r="X102" s="3" t="str">
        <f t="shared" si="6"/>
        <v>-SADNE-</v>
      </c>
      <c r="Y102" s="3" t="str">
        <f t="shared" si="7"/>
        <v>-SLOWSS-</v>
      </c>
      <c r="Z102" s="4" t="str">
        <f t="shared" si="8"/>
        <v>{"couname":"","img":"0","pty":"","artist":"","genres":"","duration":"","spotId":"","Items":["-SADNE-","-SLOWSS-","OTHR","OTHR","XT_OffAnimals"]},</v>
      </c>
      <c r="AA102" s="5" t="s">
        <v>5</v>
      </c>
      <c r="AB102" s="3" t="str">
        <f t="shared" si="9"/>
        <v>["-SADNE-","-SLOWSS-","OTHR","OTHR","XT_OffAnimals"]</v>
      </c>
      <c r="AC102" s="3">
        <f>_xlfn.XLOOKUP(A102,Album!A:A,Album!J:J)</f>
        <v>0</v>
      </c>
      <c r="AD102" s="3">
        <f>_xlfn.XLOOKUP(D102,Artists!A:A,Artists!B:B)</f>
        <v>0</v>
      </c>
      <c r="AE102" s="3">
        <f>_xlfn.XLOOKUP(D102,Artists!A:A,Artists!C:C)</f>
        <v>0</v>
      </c>
      <c r="AF102" s="3" t="str">
        <f t="shared" si="10"/>
        <v>OTHR</v>
      </c>
      <c r="AG102" s="3" t="str">
        <f t="shared" si="11"/>
        <v>OTHR</v>
      </c>
    </row>
    <row r="103" spans="24:33" x14ac:dyDescent="0.3">
      <c r="X103" s="3" t="str">
        <f t="shared" si="6"/>
        <v>-SADNE-</v>
      </c>
      <c r="Y103" s="3" t="str">
        <f t="shared" si="7"/>
        <v>-SLOWSS-</v>
      </c>
      <c r="Z103" s="4" t="str">
        <f t="shared" si="8"/>
        <v>{"couname":"","img":"0","pty":"","artist":"","genres":"","duration":"","spotId":"","Items":["-SADNE-","-SLOWSS-","OTHR","OTHR","XT_OffAnimals"]},</v>
      </c>
      <c r="AA103" s="5" t="s">
        <v>5</v>
      </c>
      <c r="AB103" s="3" t="str">
        <f t="shared" si="9"/>
        <v>["-SADNE-","-SLOWSS-","OTHR","OTHR","XT_OffAnimals"]</v>
      </c>
      <c r="AC103" s="3">
        <f>_xlfn.XLOOKUP(A103,Album!A:A,Album!J:J)</f>
        <v>0</v>
      </c>
      <c r="AD103" s="3">
        <f>_xlfn.XLOOKUP(D103,Artists!A:A,Artists!B:B)</f>
        <v>0</v>
      </c>
      <c r="AE103" s="3">
        <f>_xlfn.XLOOKUP(D103,Artists!A:A,Artists!C:C)</f>
        <v>0</v>
      </c>
      <c r="AF103" s="3" t="str">
        <f t="shared" si="10"/>
        <v>OTHR</v>
      </c>
      <c r="AG103" s="3" t="str">
        <f t="shared" si="11"/>
        <v>OTHR</v>
      </c>
    </row>
    <row r="104" spans="24:33" x14ac:dyDescent="0.3">
      <c r="X104" s="3" t="str">
        <f t="shared" si="6"/>
        <v>-SADNE-</v>
      </c>
      <c r="Y104" s="3" t="str">
        <f t="shared" si="7"/>
        <v>-SLOWSS-</v>
      </c>
      <c r="Z104" s="4" t="str">
        <f t="shared" si="8"/>
        <v>{"couname":"","img":"0","pty":"","artist":"","genres":"","duration":"","spotId":"","Items":["-SADNE-","-SLOWSS-","OTHR","OTHR","XT_OffAnimals"]},</v>
      </c>
      <c r="AA104" s="5" t="s">
        <v>5</v>
      </c>
      <c r="AB104" s="3" t="str">
        <f t="shared" si="9"/>
        <v>["-SADNE-","-SLOWSS-","OTHR","OTHR","XT_OffAnimals"]</v>
      </c>
      <c r="AC104" s="3">
        <f>_xlfn.XLOOKUP(A104,Album!A:A,Album!J:J)</f>
        <v>0</v>
      </c>
      <c r="AD104" s="3">
        <f>_xlfn.XLOOKUP(D104,Artists!A:A,Artists!B:B)</f>
        <v>0</v>
      </c>
      <c r="AE104" s="3">
        <f>_xlfn.XLOOKUP(D104,Artists!A:A,Artists!C:C)</f>
        <v>0</v>
      </c>
      <c r="AF104" s="3" t="str">
        <f t="shared" si="10"/>
        <v>OTHR</v>
      </c>
      <c r="AG104" s="3" t="str">
        <f t="shared" si="11"/>
        <v>OTHR</v>
      </c>
    </row>
    <row r="105" spans="24:33" x14ac:dyDescent="0.3">
      <c r="X105" s="3" t="str">
        <f t="shared" si="6"/>
        <v>-SADNE-</v>
      </c>
      <c r="Y105" s="3" t="str">
        <f t="shared" si="7"/>
        <v>-SLOWSS-</v>
      </c>
      <c r="Z105" s="4" t="str">
        <f t="shared" si="8"/>
        <v>{"couname":"","img":"0","pty":"","artist":"","genres":"","duration":"","spotId":"","Items":["-SADNE-","-SLOWSS-","OTHR","OTHR","XT_OffAnimals"]},</v>
      </c>
      <c r="AA105" s="5" t="s">
        <v>5</v>
      </c>
      <c r="AB105" s="3" t="str">
        <f t="shared" si="9"/>
        <v>["-SADNE-","-SLOWSS-","OTHR","OTHR","XT_OffAnimals"]</v>
      </c>
      <c r="AC105" s="3">
        <f>_xlfn.XLOOKUP(A105,Album!A:A,Album!J:J)</f>
        <v>0</v>
      </c>
      <c r="AD105" s="3">
        <f>_xlfn.XLOOKUP(D105,Artists!A:A,Artists!B:B)</f>
        <v>0</v>
      </c>
      <c r="AE105" s="3">
        <f>_xlfn.XLOOKUP(D105,Artists!A:A,Artists!C:C)</f>
        <v>0</v>
      </c>
      <c r="AF105" s="3" t="str">
        <f t="shared" si="10"/>
        <v>OTHR</v>
      </c>
      <c r="AG105" s="3" t="str">
        <f t="shared" si="11"/>
        <v>OTHR</v>
      </c>
    </row>
    <row r="106" spans="24:33" x14ac:dyDescent="0.3">
      <c r="X106" s="3" t="str">
        <f t="shared" si="6"/>
        <v>-SADNE-</v>
      </c>
      <c r="Y106" s="3" t="str">
        <f t="shared" si="7"/>
        <v>-SLOWSS-</v>
      </c>
      <c r="Z106" s="4" t="str">
        <f t="shared" si="8"/>
        <v>{"couname":"","img":"0","pty":"","artist":"","genres":"","duration":"","spotId":"","Items":["-SADNE-","-SLOWSS-","OTHR","OTHR","XT_OffAnimals"]},</v>
      </c>
      <c r="AA106" s="5" t="s">
        <v>5</v>
      </c>
      <c r="AB106" s="3" t="str">
        <f t="shared" si="9"/>
        <v>["-SADNE-","-SLOWSS-","OTHR","OTHR","XT_OffAnimals"]</v>
      </c>
      <c r="AC106" s="3">
        <f>_xlfn.XLOOKUP(A106,Album!A:A,Album!J:J)</f>
        <v>0</v>
      </c>
      <c r="AD106" s="3">
        <f>_xlfn.XLOOKUP(D106,Artists!A:A,Artists!B:B)</f>
        <v>0</v>
      </c>
      <c r="AE106" s="3">
        <f>_xlfn.XLOOKUP(D106,Artists!A:A,Artists!C:C)</f>
        <v>0</v>
      </c>
      <c r="AF106" s="3" t="str">
        <f t="shared" si="10"/>
        <v>OTHR</v>
      </c>
      <c r="AG106" s="3" t="str">
        <f t="shared" si="11"/>
        <v>OTHR</v>
      </c>
    </row>
    <row r="107" spans="24:33" x14ac:dyDescent="0.3">
      <c r="X107" s="3" t="str">
        <f t="shared" si="6"/>
        <v>-SADNE-</v>
      </c>
      <c r="Y107" s="3" t="str">
        <f t="shared" si="7"/>
        <v>-SLOWSS-</v>
      </c>
      <c r="Z107" s="4" t="str">
        <f t="shared" si="8"/>
        <v>{"couname":"","img":"0","pty":"","artist":"","genres":"","duration":"","spotId":"","Items":["-SADNE-","-SLOWSS-","OTHR","OTHR","XT_OffAnimals"]},</v>
      </c>
      <c r="AA107" s="5" t="s">
        <v>5</v>
      </c>
      <c r="AB107" s="3" t="str">
        <f t="shared" si="9"/>
        <v>["-SADNE-","-SLOWSS-","OTHR","OTHR","XT_OffAnimals"]</v>
      </c>
      <c r="AC107" s="3">
        <f>_xlfn.XLOOKUP(A107,Album!A:A,Album!J:J)</f>
        <v>0</v>
      </c>
      <c r="AD107" s="3">
        <f>_xlfn.XLOOKUP(D107,Artists!A:A,Artists!B:B)</f>
        <v>0</v>
      </c>
      <c r="AE107" s="3">
        <f>_xlfn.XLOOKUP(D107,Artists!A:A,Artists!C:C)</f>
        <v>0</v>
      </c>
      <c r="AF107" s="3" t="str">
        <f t="shared" si="10"/>
        <v>OTHR</v>
      </c>
      <c r="AG107" s="3" t="str">
        <f t="shared" si="11"/>
        <v>OTHR</v>
      </c>
    </row>
    <row r="108" spans="24:33" x14ac:dyDescent="0.3">
      <c r="X108" s="3" t="str">
        <f t="shared" si="6"/>
        <v>-SADNE-</v>
      </c>
      <c r="Y108" s="3" t="str">
        <f t="shared" si="7"/>
        <v>-SLOWSS-</v>
      </c>
      <c r="Z108" s="4" t="str">
        <f t="shared" si="8"/>
        <v>{"couname":"","img":"0","pty":"","artist":"","genres":"","duration":"","spotId":"","Items":["-SADNE-","-SLOWSS-","OTHR","OTHR","XT_OffAnimals"]},</v>
      </c>
      <c r="AA108" s="5" t="s">
        <v>5</v>
      </c>
      <c r="AB108" s="3" t="str">
        <f t="shared" si="9"/>
        <v>["-SADNE-","-SLOWSS-","OTHR","OTHR","XT_OffAnimals"]</v>
      </c>
      <c r="AC108" s="3">
        <f>_xlfn.XLOOKUP(A108,Album!A:A,Album!J:J)</f>
        <v>0</v>
      </c>
      <c r="AD108" s="3">
        <f>_xlfn.XLOOKUP(D108,Artists!A:A,Artists!B:B)</f>
        <v>0</v>
      </c>
      <c r="AE108" s="3">
        <f>_xlfn.XLOOKUP(D108,Artists!A:A,Artists!C:C)</f>
        <v>0</v>
      </c>
      <c r="AF108" s="3" t="str">
        <f t="shared" si="10"/>
        <v>OTHR</v>
      </c>
      <c r="AG108" s="3" t="str">
        <f t="shared" si="11"/>
        <v>OTHR</v>
      </c>
    </row>
    <row r="109" spans="24:33" x14ac:dyDescent="0.3">
      <c r="X109" s="3" t="str">
        <f t="shared" si="6"/>
        <v>-SADNE-</v>
      </c>
      <c r="Y109" s="3" t="str">
        <f t="shared" si="7"/>
        <v>-SLOWSS-</v>
      </c>
      <c r="Z109" s="4" t="str">
        <f t="shared" si="8"/>
        <v>{"couname":"","img":"0","pty":"","artist":"","genres":"","duration":"","spotId":"","Items":["-SADNE-","-SLOWSS-","OTHR","OTHR","XT_OffAnimals"]},</v>
      </c>
      <c r="AA109" s="5" t="s">
        <v>5</v>
      </c>
      <c r="AB109" s="3" t="str">
        <f t="shared" si="9"/>
        <v>["-SADNE-","-SLOWSS-","OTHR","OTHR","XT_OffAnimals"]</v>
      </c>
      <c r="AC109" s="3">
        <f>_xlfn.XLOOKUP(A109,Album!A:A,Album!J:J)</f>
        <v>0</v>
      </c>
      <c r="AD109" s="3">
        <f>_xlfn.XLOOKUP(D109,Artists!A:A,Artists!B:B)</f>
        <v>0</v>
      </c>
      <c r="AE109" s="3">
        <f>_xlfn.XLOOKUP(D109,Artists!A:A,Artists!C:C)</f>
        <v>0</v>
      </c>
      <c r="AF109" s="3" t="str">
        <f t="shared" si="10"/>
        <v>OTHR</v>
      </c>
      <c r="AG109" s="3" t="str">
        <f t="shared" si="11"/>
        <v>OTHR</v>
      </c>
    </row>
    <row r="110" spans="24:33" x14ac:dyDescent="0.3">
      <c r="X110" s="3" t="str">
        <f t="shared" si="6"/>
        <v>-SADNE-</v>
      </c>
      <c r="Y110" s="3" t="str">
        <f t="shared" si="7"/>
        <v>-SLOWSS-</v>
      </c>
      <c r="Z110" s="4" t="str">
        <f t="shared" si="8"/>
        <v>{"couname":"","img":"0","pty":"","artist":"","genres":"","duration":"","spotId":"","Items":["-SADNE-","-SLOWSS-","OTHR","OTHR","XT_OffAnimals"]},</v>
      </c>
      <c r="AA110" s="5" t="s">
        <v>5</v>
      </c>
      <c r="AB110" s="3" t="str">
        <f t="shared" si="9"/>
        <v>["-SADNE-","-SLOWSS-","OTHR","OTHR","XT_OffAnimals"]</v>
      </c>
      <c r="AC110" s="3">
        <f>_xlfn.XLOOKUP(A110,Album!A:A,Album!J:J)</f>
        <v>0</v>
      </c>
      <c r="AD110" s="3">
        <f>_xlfn.XLOOKUP(D110,Artists!A:A,Artists!B:B)</f>
        <v>0</v>
      </c>
      <c r="AE110" s="3">
        <f>_xlfn.XLOOKUP(D110,Artists!A:A,Artists!C:C)</f>
        <v>0</v>
      </c>
      <c r="AF110" s="3" t="str">
        <f t="shared" si="10"/>
        <v>OTHR</v>
      </c>
      <c r="AG110" s="3" t="str">
        <f t="shared" si="11"/>
        <v>OTHR</v>
      </c>
    </row>
    <row r="111" spans="24:33" x14ac:dyDescent="0.3">
      <c r="X111" s="3" t="str">
        <f t="shared" si="6"/>
        <v>-SADNE-</v>
      </c>
      <c r="Y111" s="3" t="str">
        <f t="shared" si="7"/>
        <v>-SLOWSS-</v>
      </c>
      <c r="Z111" s="4" t="str">
        <f t="shared" si="8"/>
        <v>{"couname":"","img":"0","pty":"","artist":"","genres":"","duration":"","spotId":"","Items":["-SADNE-","-SLOWSS-","OTHR","OTHR","XT_OffAnimals"]},</v>
      </c>
      <c r="AA111" s="5" t="s">
        <v>5</v>
      </c>
      <c r="AB111" s="3" t="str">
        <f t="shared" si="9"/>
        <v>["-SADNE-","-SLOWSS-","OTHR","OTHR","XT_OffAnimals"]</v>
      </c>
      <c r="AC111" s="3">
        <f>_xlfn.XLOOKUP(A111,Album!A:A,Album!J:J)</f>
        <v>0</v>
      </c>
      <c r="AD111" s="3">
        <f>_xlfn.XLOOKUP(D111,Artists!A:A,Artists!B:B)</f>
        <v>0</v>
      </c>
      <c r="AE111" s="3">
        <f>_xlfn.XLOOKUP(D111,Artists!A:A,Artists!C:C)</f>
        <v>0</v>
      </c>
      <c r="AF111" s="3" t="str">
        <f t="shared" si="10"/>
        <v>OTHR</v>
      </c>
      <c r="AG111" s="3" t="str">
        <f t="shared" si="11"/>
        <v>OTHR</v>
      </c>
    </row>
    <row r="112" spans="24:33" x14ac:dyDescent="0.3">
      <c r="X112" s="3" t="str">
        <f t="shared" si="6"/>
        <v>-SADNE-</v>
      </c>
      <c r="Y112" s="3" t="str">
        <f t="shared" si="7"/>
        <v>-SLOWSS-</v>
      </c>
      <c r="Z112" s="4" t="str">
        <f t="shared" si="8"/>
        <v>{"couname":"","img":"0","pty":"","artist":"","genres":"","duration":"","spotId":"","Items":["-SADNE-","-SLOWSS-","OTHR","OTHR","XT_OffAnimals"]},</v>
      </c>
      <c r="AA112" s="5" t="s">
        <v>5</v>
      </c>
      <c r="AB112" s="3" t="str">
        <f t="shared" si="9"/>
        <v>["-SADNE-","-SLOWSS-","OTHR","OTHR","XT_OffAnimals"]</v>
      </c>
      <c r="AC112" s="3">
        <f>_xlfn.XLOOKUP(A112,Album!A:A,Album!J:J)</f>
        <v>0</v>
      </c>
      <c r="AD112" s="3">
        <f>_xlfn.XLOOKUP(D112,Artists!A:A,Artists!B:B)</f>
        <v>0</v>
      </c>
      <c r="AE112" s="3">
        <f>_xlfn.XLOOKUP(D112,Artists!A:A,Artists!C:C)</f>
        <v>0</v>
      </c>
      <c r="AF112" s="3" t="str">
        <f t="shared" si="10"/>
        <v>OTHR</v>
      </c>
      <c r="AG112" s="3" t="str">
        <f t="shared" si="11"/>
        <v>OTHR</v>
      </c>
    </row>
    <row r="113" spans="24:33" x14ac:dyDescent="0.3">
      <c r="X113" s="3" t="str">
        <f t="shared" si="6"/>
        <v>-SADNE-</v>
      </c>
      <c r="Y113" s="3" t="str">
        <f t="shared" si="7"/>
        <v>-SLOWSS-</v>
      </c>
      <c r="Z113" s="4" t="str">
        <f t="shared" si="8"/>
        <v>{"couname":"","img":"0","pty":"","artist":"","genres":"","duration":"","spotId":"","Items":["-SADNE-","-SLOWSS-","OTHR","OTHR","XT_OffAnimals"]},</v>
      </c>
      <c r="AA113" s="5" t="s">
        <v>5</v>
      </c>
      <c r="AB113" s="3" t="str">
        <f t="shared" si="9"/>
        <v>["-SADNE-","-SLOWSS-","OTHR","OTHR","XT_OffAnimals"]</v>
      </c>
      <c r="AC113" s="3">
        <f>_xlfn.XLOOKUP(A113,Album!A:A,Album!J:J)</f>
        <v>0</v>
      </c>
      <c r="AD113" s="3">
        <f>_xlfn.XLOOKUP(D113,Artists!A:A,Artists!B:B)</f>
        <v>0</v>
      </c>
      <c r="AE113" s="3">
        <f>_xlfn.XLOOKUP(D113,Artists!A:A,Artists!C:C)</f>
        <v>0</v>
      </c>
      <c r="AF113" s="3" t="str">
        <f t="shared" si="10"/>
        <v>OTHR</v>
      </c>
      <c r="AG113" s="3" t="str">
        <f t="shared" si="11"/>
        <v>OTHR</v>
      </c>
    </row>
    <row r="114" spans="24:33" x14ac:dyDescent="0.3">
      <c r="X114" s="3" t="str">
        <f t="shared" si="6"/>
        <v>-SADNE-</v>
      </c>
      <c r="Y114" s="3" t="str">
        <f t="shared" si="7"/>
        <v>-SLOWSS-</v>
      </c>
      <c r="Z114" s="4" t="str">
        <f t="shared" si="8"/>
        <v>{"couname":"","img":"0","pty":"","artist":"","genres":"","duration":"","spotId":"","Items":["-SADNE-","-SLOWSS-","OTHR","OTHR","XT_OffAnimals"]},</v>
      </c>
      <c r="AA114" s="5" t="s">
        <v>5</v>
      </c>
      <c r="AB114" s="3" t="str">
        <f t="shared" si="9"/>
        <v>["-SADNE-","-SLOWSS-","OTHR","OTHR","XT_OffAnimals"]</v>
      </c>
      <c r="AC114" s="3">
        <f>_xlfn.XLOOKUP(A114,Album!A:A,Album!J:J)</f>
        <v>0</v>
      </c>
      <c r="AD114" s="3">
        <f>_xlfn.XLOOKUP(D114,Artists!A:A,Artists!B:B)</f>
        <v>0</v>
      </c>
      <c r="AE114" s="3">
        <f>_xlfn.XLOOKUP(D114,Artists!A:A,Artists!C:C)</f>
        <v>0</v>
      </c>
      <c r="AF114" s="3" t="str">
        <f t="shared" si="10"/>
        <v>OTHR</v>
      </c>
      <c r="AG114" s="3" t="str">
        <f t="shared" si="11"/>
        <v>OTHR</v>
      </c>
    </row>
    <row r="115" spans="24:33" x14ac:dyDescent="0.3">
      <c r="X115" s="3" t="str">
        <f t="shared" si="6"/>
        <v>-SADNE-</v>
      </c>
      <c r="Y115" s="3" t="str">
        <f t="shared" si="7"/>
        <v>-SLOWSS-</v>
      </c>
      <c r="Z115" s="4" t="str">
        <f t="shared" si="8"/>
        <v>{"couname":"","img":"0","pty":"","artist":"","genres":"","duration":"","spotId":"","Items":["-SADNE-","-SLOWSS-","OTHR","OTHR","XT_OffAnimals"]},</v>
      </c>
      <c r="AA115" s="5" t="s">
        <v>5</v>
      </c>
      <c r="AB115" s="3" t="str">
        <f t="shared" si="9"/>
        <v>["-SADNE-","-SLOWSS-","OTHR","OTHR","XT_OffAnimals"]</v>
      </c>
      <c r="AC115" s="3">
        <f>_xlfn.XLOOKUP(A115,Album!A:A,Album!J:J)</f>
        <v>0</v>
      </c>
      <c r="AD115" s="3">
        <f>_xlfn.XLOOKUP(D115,Artists!A:A,Artists!B:B)</f>
        <v>0</v>
      </c>
      <c r="AE115" s="3">
        <f>_xlfn.XLOOKUP(D115,Artists!A:A,Artists!C:C)</f>
        <v>0</v>
      </c>
      <c r="AF115" s="3" t="str">
        <f t="shared" si="10"/>
        <v>OTHR</v>
      </c>
      <c r="AG115" s="3" t="str">
        <f t="shared" si="11"/>
        <v>OTHR</v>
      </c>
    </row>
    <row r="116" spans="24:33" x14ac:dyDescent="0.3">
      <c r="X116" s="3" t="str">
        <f t="shared" si="6"/>
        <v>-SADNE-</v>
      </c>
      <c r="Y116" s="3" t="str">
        <f t="shared" si="7"/>
        <v>-SLOWSS-</v>
      </c>
      <c r="Z116" s="4" t="str">
        <f t="shared" si="8"/>
        <v>{"couname":"","img":"0","pty":"","artist":"","genres":"","duration":"","spotId":"","Items":["-SADNE-","-SLOWSS-","OTHR","OTHR","XT_OffAnimals"]},</v>
      </c>
      <c r="AA116" s="5" t="s">
        <v>5</v>
      </c>
      <c r="AB116" s="3" t="str">
        <f t="shared" si="9"/>
        <v>["-SADNE-","-SLOWSS-","OTHR","OTHR","XT_OffAnimals"]</v>
      </c>
      <c r="AC116" s="3">
        <f>_xlfn.XLOOKUP(A116,Album!A:A,Album!J:J)</f>
        <v>0</v>
      </c>
      <c r="AD116" s="3">
        <f>_xlfn.XLOOKUP(D116,Artists!A:A,Artists!B:B)</f>
        <v>0</v>
      </c>
      <c r="AE116" s="3">
        <f>_xlfn.XLOOKUP(D116,Artists!A:A,Artists!C:C)</f>
        <v>0</v>
      </c>
      <c r="AF116" s="3" t="str">
        <f t="shared" si="10"/>
        <v>OTHR</v>
      </c>
      <c r="AG116" s="3" t="str">
        <f t="shared" si="11"/>
        <v>OTHR</v>
      </c>
    </row>
    <row r="117" spans="24:33" x14ac:dyDescent="0.3">
      <c r="X117" s="3" t="str">
        <f t="shared" si="6"/>
        <v>-SADNE-</v>
      </c>
      <c r="Y117" s="3" t="str">
        <f t="shared" si="7"/>
        <v>-SLOWSS-</v>
      </c>
      <c r="Z117" s="4" t="str">
        <f t="shared" si="8"/>
        <v>{"couname":"","img":"0","pty":"","artist":"","genres":"","duration":"","spotId":"","Items":["-SADNE-","-SLOWSS-","OTHR","OTHR","XT_OffAnimals"]},</v>
      </c>
      <c r="AA117" s="5" t="s">
        <v>5</v>
      </c>
      <c r="AB117" s="3" t="str">
        <f t="shared" si="9"/>
        <v>["-SADNE-","-SLOWSS-","OTHR","OTHR","XT_OffAnimals"]</v>
      </c>
      <c r="AC117" s="3">
        <f>_xlfn.XLOOKUP(A117,Album!A:A,Album!J:J)</f>
        <v>0</v>
      </c>
      <c r="AD117" s="3">
        <f>_xlfn.XLOOKUP(D117,Artists!A:A,Artists!B:B)</f>
        <v>0</v>
      </c>
      <c r="AE117" s="3">
        <f>_xlfn.XLOOKUP(D117,Artists!A:A,Artists!C:C)</f>
        <v>0</v>
      </c>
      <c r="AF117" s="3" t="str">
        <f t="shared" si="10"/>
        <v>OTHR</v>
      </c>
      <c r="AG117" s="3" t="str">
        <f t="shared" si="11"/>
        <v>OTHR</v>
      </c>
    </row>
    <row r="118" spans="24:33" x14ac:dyDescent="0.3">
      <c r="X118" s="3" t="str">
        <f t="shared" si="6"/>
        <v>-SADNE-</v>
      </c>
      <c r="Y118" s="3" t="str">
        <f t="shared" si="7"/>
        <v>-SLOWSS-</v>
      </c>
      <c r="Z118" s="4" t="str">
        <f t="shared" si="8"/>
        <v>{"couname":"","img":"0","pty":"","artist":"","genres":"","duration":"","spotId":"","Items":["-SADNE-","-SLOWSS-","OTHR","OTHR","XT_OffAnimals"]},</v>
      </c>
      <c r="AA118" s="5" t="s">
        <v>5</v>
      </c>
      <c r="AB118" s="3" t="str">
        <f t="shared" si="9"/>
        <v>["-SADNE-","-SLOWSS-","OTHR","OTHR","XT_OffAnimals"]</v>
      </c>
      <c r="AC118" s="3">
        <f>_xlfn.XLOOKUP(A118,Album!A:A,Album!J:J)</f>
        <v>0</v>
      </c>
      <c r="AD118" s="3">
        <f>_xlfn.XLOOKUP(D118,Artists!A:A,Artists!B:B)</f>
        <v>0</v>
      </c>
      <c r="AE118" s="3">
        <f>_xlfn.XLOOKUP(D118,Artists!A:A,Artists!C:C)</f>
        <v>0</v>
      </c>
      <c r="AF118" s="3" t="str">
        <f t="shared" si="10"/>
        <v>OTHR</v>
      </c>
      <c r="AG118" s="3" t="str">
        <f t="shared" si="11"/>
        <v>OTHR</v>
      </c>
    </row>
    <row r="119" spans="24:33" x14ac:dyDescent="0.3">
      <c r="X119" s="3" t="str">
        <f t="shared" si="6"/>
        <v>-SADNE-</v>
      </c>
      <c r="Y119" s="3" t="str">
        <f t="shared" si="7"/>
        <v>-SLOWSS-</v>
      </c>
      <c r="Z119" s="4" t="str">
        <f t="shared" si="8"/>
        <v>{"couname":"","img":"0","pty":"","artist":"","genres":"","duration":"","spotId":"","Items":["-SADNE-","-SLOWSS-","OTHR","OTHR","XT_OffAnimals"]},</v>
      </c>
      <c r="AA119" s="5" t="s">
        <v>5</v>
      </c>
      <c r="AB119" s="3" t="str">
        <f t="shared" si="9"/>
        <v>["-SADNE-","-SLOWSS-","OTHR","OTHR","XT_OffAnimals"]</v>
      </c>
      <c r="AC119" s="3">
        <f>_xlfn.XLOOKUP(A119,Album!A:A,Album!J:J)</f>
        <v>0</v>
      </c>
      <c r="AD119" s="3">
        <f>_xlfn.XLOOKUP(D119,Artists!A:A,Artists!B:B)</f>
        <v>0</v>
      </c>
      <c r="AE119" s="3">
        <f>_xlfn.XLOOKUP(D119,Artists!A:A,Artists!C:C)</f>
        <v>0</v>
      </c>
      <c r="AF119" s="3" t="str">
        <f t="shared" si="10"/>
        <v>OTHR</v>
      </c>
      <c r="AG119" s="3" t="str">
        <f t="shared" si="11"/>
        <v>OTHR</v>
      </c>
    </row>
    <row r="120" spans="24:33" x14ac:dyDescent="0.3">
      <c r="X120" s="3" t="str">
        <f t="shared" si="6"/>
        <v>-SADNE-</v>
      </c>
      <c r="Y120" s="3" t="str">
        <f t="shared" si="7"/>
        <v>-SLOWSS-</v>
      </c>
      <c r="Z120" s="4" t="str">
        <f t="shared" si="8"/>
        <v>{"couname":"","img":"0","pty":"","artist":"","genres":"","duration":"","spotId":"","Items":["-SADNE-","-SLOWSS-","OTHR","OTHR","XT_OffAnimals"]},</v>
      </c>
      <c r="AA120" s="5" t="s">
        <v>5</v>
      </c>
      <c r="AB120" s="3" t="str">
        <f t="shared" si="9"/>
        <v>["-SADNE-","-SLOWSS-","OTHR","OTHR","XT_OffAnimals"]</v>
      </c>
      <c r="AC120" s="3">
        <f>_xlfn.XLOOKUP(A120,Album!A:A,Album!J:J)</f>
        <v>0</v>
      </c>
      <c r="AD120" s="3">
        <f>_xlfn.XLOOKUP(D120,Artists!A:A,Artists!B:B)</f>
        <v>0</v>
      </c>
      <c r="AE120" s="3">
        <f>_xlfn.XLOOKUP(D120,Artists!A:A,Artists!C:C)</f>
        <v>0</v>
      </c>
      <c r="AF120" s="3" t="str">
        <f t="shared" si="10"/>
        <v>OTHR</v>
      </c>
      <c r="AG120" s="3" t="str">
        <f t="shared" si="11"/>
        <v>OTHR</v>
      </c>
    </row>
    <row r="121" spans="24:33" x14ac:dyDescent="0.3">
      <c r="X121" s="3" t="str">
        <f t="shared" si="6"/>
        <v>-SADNE-</v>
      </c>
      <c r="Y121" s="3" t="str">
        <f t="shared" si="7"/>
        <v>-SLOWSS-</v>
      </c>
      <c r="Z121" s="4" t="str">
        <f t="shared" si="8"/>
        <v>{"couname":"","img":"0","pty":"","artist":"","genres":"","duration":"","spotId":"","Items":["-SADNE-","-SLOWSS-","OTHR","OTHR","XT_OffAnimals"]},</v>
      </c>
      <c r="AA121" s="5" t="s">
        <v>5</v>
      </c>
      <c r="AB121" s="3" t="str">
        <f t="shared" si="9"/>
        <v>["-SADNE-","-SLOWSS-","OTHR","OTHR","XT_OffAnimals"]</v>
      </c>
      <c r="AC121" s="3">
        <f>_xlfn.XLOOKUP(A121,Album!A:A,Album!J:J)</f>
        <v>0</v>
      </c>
      <c r="AD121" s="3">
        <f>_xlfn.XLOOKUP(D121,Artists!A:A,Artists!B:B)</f>
        <v>0</v>
      </c>
      <c r="AE121" s="3">
        <f>_xlfn.XLOOKUP(D121,Artists!A:A,Artists!C:C)</f>
        <v>0</v>
      </c>
      <c r="AF121" s="3" t="str">
        <f t="shared" si="10"/>
        <v>OTHR</v>
      </c>
      <c r="AG121" s="3" t="str">
        <f t="shared" si="11"/>
        <v>OTHR</v>
      </c>
    </row>
    <row r="122" spans="24:33" x14ac:dyDescent="0.3">
      <c r="X122" s="3" t="str">
        <f t="shared" si="6"/>
        <v>-SADNE-</v>
      </c>
      <c r="Y122" s="3" t="str">
        <f t="shared" si="7"/>
        <v>-SLOWSS-</v>
      </c>
      <c r="Z122" s="4" t="str">
        <f t="shared" si="8"/>
        <v>{"couname":"","img":"0","pty":"","artist":"","genres":"","duration":"","spotId":"","Items":["-SADNE-","-SLOWSS-","OTHR","OTHR","XT_OffAnimals"]},</v>
      </c>
      <c r="AA122" s="5" t="s">
        <v>5</v>
      </c>
      <c r="AB122" s="3" t="str">
        <f t="shared" si="9"/>
        <v>["-SADNE-","-SLOWSS-","OTHR","OTHR","XT_OffAnimals"]</v>
      </c>
      <c r="AC122" s="3">
        <f>_xlfn.XLOOKUP(A122,Album!A:A,Album!J:J)</f>
        <v>0</v>
      </c>
      <c r="AD122" s="3">
        <f>_xlfn.XLOOKUP(D122,Artists!A:A,Artists!B:B)</f>
        <v>0</v>
      </c>
      <c r="AE122" s="3">
        <f>_xlfn.XLOOKUP(D122,Artists!A:A,Artists!C:C)</f>
        <v>0</v>
      </c>
      <c r="AF122" s="3" t="str">
        <f t="shared" si="10"/>
        <v>OTHR</v>
      </c>
      <c r="AG122" s="3" t="str">
        <f t="shared" si="11"/>
        <v>OTHR</v>
      </c>
    </row>
    <row r="123" spans="24:33" x14ac:dyDescent="0.3">
      <c r="X123" s="3" t="str">
        <f t="shared" si="6"/>
        <v>-SADNE-</v>
      </c>
      <c r="Y123" s="3" t="str">
        <f t="shared" si="7"/>
        <v>-SLOWSS-</v>
      </c>
      <c r="Z123" s="4" t="str">
        <f t="shared" si="8"/>
        <v>{"couname":"","img":"0","pty":"","artist":"","genres":"","duration":"","spotId":"","Items":["-SADNE-","-SLOWSS-","OTHR","OTHR","XT_OffAnimals"]},</v>
      </c>
      <c r="AA123" s="5" t="s">
        <v>5</v>
      </c>
      <c r="AB123" s="3" t="str">
        <f t="shared" si="9"/>
        <v>["-SADNE-","-SLOWSS-","OTHR","OTHR","XT_OffAnimals"]</v>
      </c>
      <c r="AC123" s="3">
        <f>_xlfn.XLOOKUP(A123,Album!A:A,Album!J:J)</f>
        <v>0</v>
      </c>
      <c r="AD123" s="3">
        <f>_xlfn.XLOOKUP(D123,Artists!A:A,Artists!B:B)</f>
        <v>0</v>
      </c>
      <c r="AE123" s="3">
        <f>_xlfn.XLOOKUP(D123,Artists!A:A,Artists!C:C)</f>
        <v>0</v>
      </c>
      <c r="AF123" s="3" t="str">
        <f t="shared" si="10"/>
        <v>OTHR</v>
      </c>
      <c r="AG123" s="3" t="str">
        <f t="shared" si="11"/>
        <v>OTHR</v>
      </c>
    </row>
    <row r="124" spans="24:33" x14ac:dyDescent="0.3">
      <c r="X124" s="3" t="str">
        <f t="shared" si="6"/>
        <v>-SADNE-</v>
      </c>
      <c r="Y124" s="3" t="str">
        <f t="shared" si="7"/>
        <v>-SLOWSS-</v>
      </c>
      <c r="Z124" s="4" t="str">
        <f t="shared" si="8"/>
        <v>{"couname":"","img":"0","pty":"","artist":"","genres":"","duration":"","spotId":"","Items":["-SADNE-","-SLOWSS-","OTHR","OTHR","XT_OffAnimals"]},</v>
      </c>
      <c r="AA124" s="5" t="s">
        <v>5</v>
      </c>
      <c r="AB124" s="3" t="str">
        <f t="shared" si="9"/>
        <v>["-SADNE-","-SLOWSS-","OTHR","OTHR","XT_OffAnimals"]</v>
      </c>
      <c r="AC124" s="3">
        <f>_xlfn.XLOOKUP(A124,Album!A:A,Album!J:J)</f>
        <v>0</v>
      </c>
      <c r="AD124" s="3">
        <f>_xlfn.XLOOKUP(D124,Artists!A:A,Artists!B:B)</f>
        <v>0</v>
      </c>
      <c r="AE124" s="3">
        <f>_xlfn.XLOOKUP(D124,Artists!A:A,Artists!C:C)</f>
        <v>0</v>
      </c>
      <c r="AF124" s="3" t="str">
        <f t="shared" si="10"/>
        <v>OTHR</v>
      </c>
      <c r="AG124" s="3" t="str">
        <f t="shared" si="11"/>
        <v>OTHR</v>
      </c>
    </row>
    <row r="125" spans="24:33" x14ac:dyDescent="0.3">
      <c r="X125" s="3" t="str">
        <f t="shared" si="6"/>
        <v>-SADNE-</v>
      </c>
      <c r="Y125" s="3" t="str">
        <f t="shared" si="7"/>
        <v>-SLOWSS-</v>
      </c>
      <c r="Z125" s="4" t="str">
        <f t="shared" si="8"/>
        <v>{"couname":"","img":"0","pty":"","artist":"","genres":"","duration":"","spotId":"","Items":["-SADNE-","-SLOWSS-","OTHR","OTHR","XT_OffAnimals"]},</v>
      </c>
      <c r="AA125" s="5" t="s">
        <v>5</v>
      </c>
      <c r="AB125" s="3" t="str">
        <f t="shared" si="9"/>
        <v>["-SADNE-","-SLOWSS-","OTHR","OTHR","XT_OffAnimals"]</v>
      </c>
      <c r="AC125" s="3">
        <f>_xlfn.XLOOKUP(A125,Album!A:A,Album!J:J)</f>
        <v>0</v>
      </c>
      <c r="AD125" s="3">
        <f>_xlfn.XLOOKUP(D125,Artists!A:A,Artists!B:B)</f>
        <v>0</v>
      </c>
      <c r="AE125" s="3">
        <f>_xlfn.XLOOKUP(D125,Artists!A:A,Artists!C:C)</f>
        <v>0</v>
      </c>
      <c r="AF125" s="3" t="str">
        <f t="shared" si="10"/>
        <v>OTHR</v>
      </c>
      <c r="AG125" s="3" t="str">
        <f t="shared" si="11"/>
        <v>OTHR</v>
      </c>
    </row>
    <row r="126" spans="24:33" x14ac:dyDescent="0.3">
      <c r="X126" s="3" t="str">
        <f t="shared" si="6"/>
        <v>-SADNE-</v>
      </c>
      <c r="Y126" s="3" t="str">
        <f t="shared" si="7"/>
        <v>-SLOWSS-</v>
      </c>
      <c r="Z126" s="4" t="str">
        <f t="shared" si="8"/>
        <v>{"couname":"","img":"0","pty":"","artist":"","genres":"","duration":"","spotId":"","Items":["-SADNE-","-SLOWSS-","OTHR","OTHR","XT_OffAnimals"]},</v>
      </c>
      <c r="AA126" s="5" t="s">
        <v>5</v>
      </c>
      <c r="AB126" s="3" t="str">
        <f t="shared" si="9"/>
        <v>["-SADNE-","-SLOWSS-","OTHR","OTHR","XT_OffAnimals"]</v>
      </c>
      <c r="AC126" s="3">
        <f>_xlfn.XLOOKUP(A126,Album!A:A,Album!J:J)</f>
        <v>0</v>
      </c>
      <c r="AD126" s="3">
        <f>_xlfn.XLOOKUP(D126,Artists!A:A,Artists!B:B)</f>
        <v>0</v>
      </c>
      <c r="AE126" s="3">
        <f>_xlfn.XLOOKUP(D126,Artists!A:A,Artists!C:C)</f>
        <v>0</v>
      </c>
      <c r="AF126" s="3" t="str">
        <f t="shared" si="10"/>
        <v>OTHR</v>
      </c>
      <c r="AG126" s="3" t="str">
        <f t="shared" si="11"/>
        <v>OTHR</v>
      </c>
    </row>
    <row r="127" spans="24:33" x14ac:dyDescent="0.3">
      <c r="X127" s="3" t="str">
        <f t="shared" si="6"/>
        <v>-SADNE-</v>
      </c>
      <c r="Y127" s="3" t="str">
        <f t="shared" si="7"/>
        <v>-SLOWSS-</v>
      </c>
      <c r="Z127" s="4" t="str">
        <f t="shared" si="8"/>
        <v>{"couname":"","img":"0","pty":"","artist":"","genres":"","duration":"","spotId":"","Items":["-SADNE-","-SLOWSS-","OTHR","OTHR","XT_OffAnimals"]},</v>
      </c>
      <c r="AA127" s="5" t="s">
        <v>5</v>
      </c>
      <c r="AB127" s="3" t="str">
        <f t="shared" si="9"/>
        <v>["-SADNE-","-SLOWSS-","OTHR","OTHR","XT_OffAnimals"]</v>
      </c>
      <c r="AC127" s="3">
        <f>_xlfn.XLOOKUP(A127,Album!A:A,Album!J:J)</f>
        <v>0</v>
      </c>
      <c r="AD127" s="3">
        <f>_xlfn.XLOOKUP(D127,Artists!A:A,Artists!B:B)</f>
        <v>0</v>
      </c>
      <c r="AE127" s="3">
        <f>_xlfn.XLOOKUP(D127,Artists!A:A,Artists!C:C)</f>
        <v>0</v>
      </c>
      <c r="AF127" s="3" t="str">
        <f t="shared" si="10"/>
        <v>OTHR</v>
      </c>
      <c r="AG127" s="3" t="str">
        <f t="shared" si="11"/>
        <v>OTHR</v>
      </c>
    </row>
    <row r="128" spans="24:33" x14ac:dyDescent="0.3">
      <c r="X128" s="3" t="str">
        <f t="shared" si="6"/>
        <v>-SADNE-</v>
      </c>
      <c r="Y128" s="3" t="str">
        <f t="shared" si="7"/>
        <v>-SLOWSS-</v>
      </c>
      <c r="Z128" s="4" t="str">
        <f t="shared" si="8"/>
        <v>{"couname":"","img":"0","pty":"","artist":"","genres":"","duration":"","spotId":"","Items":["-SADNE-","-SLOWSS-","OTHR","OTHR","XT_OffAnimals"]},</v>
      </c>
      <c r="AA128" s="5" t="s">
        <v>5</v>
      </c>
      <c r="AB128" s="3" t="str">
        <f t="shared" si="9"/>
        <v>["-SADNE-","-SLOWSS-","OTHR","OTHR","XT_OffAnimals"]</v>
      </c>
      <c r="AC128" s="3">
        <f>_xlfn.XLOOKUP(A128,Album!A:A,Album!J:J)</f>
        <v>0</v>
      </c>
      <c r="AD128" s="3">
        <f>_xlfn.XLOOKUP(D128,Artists!A:A,Artists!B:B)</f>
        <v>0</v>
      </c>
      <c r="AE128" s="3">
        <f>_xlfn.XLOOKUP(D128,Artists!A:A,Artists!C:C)</f>
        <v>0</v>
      </c>
      <c r="AF128" s="3" t="str">
        <f t="shared" si="10"/>
        <v>OTHR</v>
      </c>
      <c r="AG128" s="3" t="str">
        <f t="shared" si="11"/>
        <v>OTHR</v>
      </c>
    </row>
    <row r="129" spans="24:33" x14ac:dyDescent="0.3">
      <c r="X129" s="3" t="str">
        <f t="shared" si="6"/>
        <v>-SADNE-</v>
      </c>
      <c r="Y129" s="3" t="str">
        <f t="shared" si="7"/>
        <v>-SLOWSS-</v>
      </c>
      <c r="Z129" s="4" t="str">
        <f t="shared" si="8"/>
        <v>{"couname":"","img":"0","pty":"","artist":"","genres":"","duration":"","spotId":"","Items":["-SADNE-","-SLOWSS-","OTHR","OTHR","XT_OffAnimals"]},</v>
      </c>
      <c r="AA129" s="5" t="s">
        <v>5</v>
      </c>
      <c r="AB129" s="3" t="str">
        <f t="shared" si="9"/>
        <v>["-SADNE-","-SLOWSS-","OTHR","OTHR","XT_OffAnimals"]</v>
      </c>
      <c r="AC129" s="3">
        <f>_xlfn.XLOOKUP(A129,Album!A:A,Album!J:J)</f>
        <v>0</v>
      </c>
      <c r="AD129" s="3">
        <f>_xlfn.XLOOKUP(D129,Artists!A:A,Artists!B:B)</f>
        <v>0</v>
      </c>
      <c r="AE129" s="3">
        <f>_xlfn.XLOOKUP(D129,Artists!A:A,Artists!C:C)</f>
        <v>0</v>
      </c>
      <c r="AF129" s="3" t="str">
        <f t="shared" si="10"/>
        <v>OTHR</v>
      </c>
      <c r="AG129" s="3" t="str">
        <f t="shared" si="11"/>
        <v>OTHR</v>
      </c>
    </row>
    <row r="130" spans="24:33" x14ac:dyDescent="0.3">
      <c r="X130" s="3" t="str">
        <f t="shared" ref="X130:X193" si="12">IF(OR(U130&lt;0.301, AND(U130&lt;0.4, P130=0)), "-SADNE-", "-HAPPY-")</f>
        <v>-SADNE-</v>
      </c>
      <c r="Y130" s="3" t="str">
        <f t="shared" ref="Y130:Y193" si="13">IF(OR(AND(L130&lt;0.5,M130&lt;0.5),AND(L130&lt;0.45,V130&lt;100),AND(M130&lt;0.45,V130&lt;100),AND(U130&lt;0.39,V130&lt;100)),"-SLOWSS-","-ENERGY-")</f>
        <v>-SLOWSS-</v>
      </c>
      <c r="Z130" s="4" t="str">
        <f t="shared" si="8"/>
        <v>{"couname":"","img":"0","pty":"","artist":"","genres":"","duration":"","spotId":"","Items":["-SADNE-","-SLOWSS-","OTHR","OTHR","XT_OffAnimals"]},</v>
      </c>
      <c r="AA130" s="5" t="s">
        <v>5</v>
      </c>
      <c r="AB130" s="3" t="str">
        <f t="shared" si="9"/>
        <v>["-SADNE-","-SLOWSS-","OTHR","OTHR","XT_OffAnimals"]</v>
      </c>
      <c r="AC130" s="3">
        <f>_xlfn.XLOOKUP(A130,Album!A:A,Album!J:J)</f>
        <v>0</v>
      </c>
      <c r="AD130" s="3">
        <f>_xlfn.XLOOKUP(D130,Artists!A:A,Artists!B:B)</f>
        <v>0</v>
      </c>
      <c r="AE130" s="3">
        <f>_xlfn.XLOOKUP(D130,Artists!A:A,Artists!C:C)</f>
        <v>0</v>
      </c>
      <c r="AF130" s="3" t="str">
        <f t="shared" si="10"/>
        <v>OTHR</v>
      </c>
      <c r="AG130" s="3" t="str">
        <f t="shared" si="11"/>
        <v>OTHR</v>
      </c>
    </row>
    <row r="131" spans="24:33" x14ac:dyDescent="0.3">
      <c r="X131" s="3" t="str">
        <f t="shared" si="12"/>
        <v>-SADNE-</v>
      </c>
      <c r="Y131" s="3" t="str">
        <f t="shared" si="13"/>
        <v>-SLOWSS-</v>
      </c>
      <c r="Z131" s="4" t="str">
        <f t="shared" ref="Z131:Z194" si="14">"{"&amp;CHAR(34)&amp;"couname"&amp;CHAR(34)&amp;":"&amp;CHAR(34)&amp;B131&amp;CHAR(34)&amp;","&amp;CHAR(34)&amp;"img"&amp;CHAR(34)&amp;":"&amp;CHAR(34)&amp;AC131&amp;CHAR(34)&amp;","&amp;CHAR(34)&amp;"pty"&amp;CHAR(34)&amp;":"&amp;CHAR(34)&amp;G131&amp;CHAR(34)&amp;","&amp;CHAR(34)&amp;"artist"&amp;CHAR(34)&amp;":"&amp;CHAR(34)&amp;D131&amp;CHAR(34)&amp;","&amp;CHAR(34)&amp;"genres"&amp;CHAR(34)&amp;":"&amp;CHAR(34)&amp;J131&amp;CHAR(34)&amp;","&amp;CHAR(34)&amp;"duration"&amp;CHAR(34)&amp;":"&amp;CHAR(34)&amp;F131&amp;CHAR(34)&amp;","&amp;CHAR(34)&amp;"spotId"&amp;CHAR(34)&amp;":"&amp;CHAR(34)&amp;A131&amp;CHAR(34)&amp;","&amp;CHAR(34)&amp;"Items"&amp;CHAR(34)&amp;":"&amp;AB131&amp;"},"</f>
        <v>{"couname":"","img":"0","pty":"","artist":"","genres":"","duration":"","spotId":"","Items":["-SADNE-","-SLOWSS-","OTHR","OTHR","XT_OffAnimals"]},</v>
      </c>
      <c r="AA131" s="5" t="s">
        <v>5</v>
      </c>
      <c r="AB131" s="3" t="str">
        <f t="shared" ref="AB131:AB194" si="15" xml:space="preserve"> "[" &amp; _xlfn.TEXTJOIN(",",TRUE,CHAR(34) &amp; X131&amp; CHAR(34), CHAR(34) &amp; Y131 &amp; CHAR(34),  CHAR(34) &amp; AF131 &amp; CHAR(34), CHAR(34) &amp;AG131 &amp; CHAR(34), CHAR(34) &amp; AA131 &amp; CHAR(34)) &amp; "]"</f>
        <v>["-SADNE-","-SLOWSS-","OTHR","OTHR","XT_OffAnimals"]</v>
      </c>
      <c r="AC131" s="3">
        <f>_xlfn.XLOOKUP(A131,Album!A:A,Album!J:J)</f>
        <v>0</v>
      </c>
      <c r="AD131" s="3">
        <f>_xlfn.XLOOKUP(D131,Artists!A:A,Artists!B:B)</f>
        <v>0</v>
      </c>
      <c r="AE131" s="3">
        <f>_xlfn.XLOOKUP(D131,Artists!A:A,Artists!C:C)</f>
        <v>0</v>
      </c>
      <c r="AF131" s="3" t="str">
        <f t="shared" ref="AF131:AF194" si="16">IF(ISNUMBER(SEARCH("female", AD131)), "GIRL", IF(ISNUMBER(SEARCH("male", AD131)), "DUDE", "OTHR"))</f>
        <v>OTHR</v>
      </c>
      <c r="AG131" s="3" t="str">
        <f t="shared" ref="AG131:AG194" si="17">IF(ISNUMBER(SEARCH("band", AD131)), "BAND", IF(ISNUMBER(SEARCH("solo", AD131)), "SOLO", "OTHR"))</f>
        <v>OTHR</v>
      </c>
    </row>
    <row r="132" spans="24:33" x14ac:dyDescent="0.3">
      <c r="X132" s="3" t="str">
        <f t="shared" si="12"/>
        <v>-SADNE-</v>
      </c>
      <c r="Y132" s="3" t="str">
        <f t="shared" si="13"/>
        <v>-SLOWSS-</v>
      </c>
      <c r="Z132" s="4" t="str">
        <f t="shared" si="14"/>
        <v>{"couname":"","img":"0","pty":"","artist":"","genres":"","duration":"","spotId":"","Items":["-SADNE-","-SLOWSS-","OTHR","OTHR","XT_OffAnimals"]},</v>
      </c>
      <c r="AA132" s="5" t="s">
        <v>5</v>
      </c>
      <c r="AB132" s="3" t="str">
        <f t="shared" si="15"/>
        <v>["-SADNE-","-SLOWSS-","OTHR","OTHR","XT_OffAnimals"]</v>
      </c>
      <c r="AC132" s="3">
        <f>_xlfn.XLOOKUP(A132,Album!A:A,Album!J:J)</f>
        <v>0</v>
      </c>
      <c r="AD132" s="3">
        <f>_xlfn.XLOOKUP(D132,Artists!A:A,Artists!B:B)</f>
        <v>0</v>
      </c>
      <c r="AE132" s="3">
        <f>_xlfn.XLOOKUP(D132,Artists!A:A,Artists!C:C)</f>
        <v>0</v>
      </c>
      <c r="AF132" s="3" t="str">
        <f t="shared" si="16"/>
        <v>OTHR</v>
      </c>
      <c r="AG132" s="3" t="str">
        <f t="shared" si="17"/>
        <v>OTHR</v>
      </c>
    </row>
    <row r="133" spans="24:33" x14ac:dyDescent="0.3">
      <c r="X133" s="3" t="str">
        <f t="shared" si="12"/>
        <v>-SADNE-</v>
      </c>
      <c r="Y133" s="3" t="str">
        <f t="shared" si="13"/>
        <v>-SLOWSS-</v>
      </c>
      <c r="Z133" s="4" t="str">
        <f t="shared" si="14"/>
        <v>{"couname":"","img":"0","pty":"","artist":"","genres":"","duration":"","spotId":"","Items":["-SADNE-","-SLOWSS-","OTHR","OTHR","XT_OffAnimals"]},</v>
      </c>
      <c r="AA133" s="5" t="s">
        <v>5</v>
      </c>
      <c r="AB133" s="3" t="str">
        <f t="shared" si="15"/>
        <v>["-SADNE-","-SLOWSS-","OTHR","OTHR","XT_OffAnimals"]</v>
      </c>
      <c r="AC133" s="3">
        <f>_xlfn.XLOOKUP(A133,Album!A:A,Album!J:J)</f>
        <v>0</v>
      </c>
      <c r="AD133" s="3">
        <f>_xlfn.XLOOKUP(D133,Artists!A:A,Artists!B:B)</f>
        <v>0</v>
      </c>
      <c r="AE133" s="3">
        <f>_xlfn.XLOOKUP(D133,Artists!A:A,Artists!C:C)</f>
        <v>0</v>
      </c>
      <c r="AF133" s="3" t="str">
        <f t="shared" si="16"/>
        <v>OTHR</v>
      </c>
      <c r="AG133" s="3" t="str">
        <f t="shared" si="17"/>
        <v>OTHR</v>
      </c>
    </row>
    <row r="134" spans="24:33" x14ac:dyDescent="0.3">
      <c r="X134" s="3" t="str">
        <f t="shared" si="12"/>
        <v>-SADNE-</v>
      </c>
      <c r="Y134" s="3" t="str">
        <f t="shared" si="13"/>
        <v>-SLOWSS-</v>
      </c>
      <c r="Z134" s="4" t="str">
        <f t="shared" si="14"/>
        <v>{"couname":"","img":"0","pty":"","artist":"","genres":"","duration":"","spotId":"","Items":["-SADNE-","-SLOWSS-","OTHR","OTHR","XT_OffAnimals"]},</v>
      </c>
      <c r="AA134" s="5" t="s">
        <v>5</v>
      </c>
      <c r="AB134" s="3" t="str">
        <f t="shared" si="15"/>
        <v>["-SADNE-","-SLOWSS-","OTHR","OTHR","XT_OffAnimals"]</v>
      </c>
      <c r="AC134" s="3">
        <f>_xlfn.XLOOKUP(A134,Album!A:A,Album!J:J)</f>
        <v>0</v>
      </c>
      <c r="AD134" s="3">
        <f>_xlfn.XLOOKUP(D134,Artists!A:A,Artists!B:B)</f>
        <v>0</v>
      </c>
      <c r="AE134" s="3">
        <f>_xlfn.XLOOKUP(D134,Artists!A:A,Artists!C:C)</f>
        <v>0</v>
      </c>
      <c r="AF134" s="3" t="str">
        <f t="shared" si="16"/>
        <v>OTHR</v>
      </c>
      <c r="AG134" s="3" t="str">
        <f t="shared" si="17"/>
        <v>OTHR</v>
      </c>
    </row>
    <row r="135" spans="24:33" x14ac:dyDescent="0.3">
      <c r="X135" s="3" t="str">
        <f t="shared" si="12"/>
        <v>-SADNE-</v>
      </c>
      <c r="Y135" s="3" t="str">
        <f t="shared" si="13"/>
        <v>-SLOWSS-</v>
      </c>
      <c r="Z135" s="4" t="str">
        <f t="shared" si="14"/>
        <v>{"couname":"","img":"0","pty":"","artist":"","genres":"","duration":"","spotId":"","Items":["-SADNE-","-SLOWSS-","OTHR","OTHR","XT_OffAnimals"]},</v>
      </c>
      <c r="AA135" s="5" t="s">
        <v>5</v>
      </c>
      <c r="AB135" s="3" t="str">
        <f t="shared" si="15"/>
        <v>["-SADNE-","-SLOWSS-","OTHR","OTHR","XT_OffAnimals"]</v>
      </c>
      <c r="AC135" s="3">
        <f>_xlfn.XLOOKUP(A135,Album!A:A,Album!J:J)</f>
        <v>0</v>
      </c>
      <c r="AD135" s="3">
        <f>_xlfn.XLOOKUP(D135,Artists!A:A,Artists!B:B)</f>
        <v>0</v>
      </c>
      <c r="AE135" s="3">
        <f>_xlfn.XLOOKUP(D135,Artists!A:A,Artists!C:C)</f>
        <v>0</v>
      </c>
      <c r="AF135" s="3" t="str">
        <f t="shared" si="16"/>
        <v>OTHR</v>
      </c>
      <c r="AG135" s="3" t="str">
        <f t="shared" si="17"/>
        <v>OTHR</v>
      </c>
    </row>
    <row r="136" spans="24:33" x14ac:dyDescent="0.3">
      <c r="X136" s="3" t="str">
        <f t="shared" si="12"/>
        <v>-SADNE-</v>
      </c>
      <c r="Y136" s="3" t="str">
        <f t="shared" si="13"/>
        <v>-SLOWSS-</v>
      </c>
      <c r="Z136" s="4" t="str">
        <f t="shared" si="14"/>
        <v>{"couname":"","img":"0","pty":"","artist":"","genres":"","duration":"","spotId":"","Items":["-SADNE-","-SLOWSS-","OTHR","OTHR","XT_OffAnimals"]},</v>
      </c>
      <c r="AA136" s="5" t="s">
        <v>5</v>
      </c>
      <c r="AB136" s="3" t="str">
        <f t="shared" si="15"/>
        <v>["-SADNE-","-SLOWSS-","OTHR","OTHR","XT_OffAnimals"]</v>
      </c>
      <c r="AC136" s="3">
        <f>_xlfn.XLOOKUP(A136,Album!A:A,Album!J:J)</f>
        <v>0</v>
      </c>
      <c r="AD136" s="3">
        <f>_xlfn.XLOOKUP(D136,Artists!A:A,Artists!B:B)</f>
        <v>0</v>
      </c>
      <c r="AE136" s="3">
        <f>_xlfn.XLOOKUP(D136,Artists!A:A,Artists!C:C)</f>
        <v>0</v>
      </c>
      <c r="AF136" s="3" t="str">
        <f t="shared" si="16"/>
        <v>OTHR</v>
      </c>
      <c r="AG136" s="3" t="str">
        <f t="shared" si="17"/>
        <v>OTHR</v>
      </c>
    </row>
    <row r="137" spans="24:33" x14ac:dyDescent="0.3">
      <c r="X137" s="3" t="str">
        <f t="shared" si="12"/>
        <v>-SADNE-</v>
      </c>
      <c r="Y137" s="3" t="str">
        <f t="shared" si="13"/>
        <v>-SLOWSS-</v>
      </c>
      <c r="Z137" s="4" t="str">
        <f t="shared" si="14"/>
        <v>{"couname":"","img":"0","pty":"","artist":"","genres":"","duration":"","spotId":"","Items":["-SADNE-","-SLOWSS-","OTHR","OTHR","XT_OffAnimals"]},</v>
      </c>
      <c r="AA137" s="5" t="s">
        <v>5</v>
      </c>
      <c r="AB137" s="3" t="str">
        <f t="shared" si="15"/>
        <v>["-SADNE-","-SLOWSS-","OTHR","OTHR","XT_OffAnimals"]</v>
      </c>
      <c r="AC137" s="3">
        <f>_xlfn.XLOOKUP(A137,Album!A:A,Album!J:J)</f>
        <v>0</v>
      </c>
      <c r="AD137" s="3">
        <f>_xlfn.XLOOKUP(D137,Artists!A:A,Artists!B:B)</f>
        <v>0</v>
      </c>
      <c r="AE137" s="3">
        <f>_xlfn.XLOOKUP(D137,Artists!A:A,Artists!C:C)</f>
        <v>0</v>
      </c>
      <c r="AF137" s="3" t="str">
        <f t="shared" si="16"/>
        <v>OTHR</v>
      </c>
      <c r="AG137" s="3" t="str">
        <f t="shared" si="17"/>
        <v>OTHR</v>
      </c>
    </row>
    <row r="138" spans="24:33" x14ac:dyDescent="0.3">
      <c r="X138" s="3" t="str">
        <f t="shared" si="12"/>
        <v>-SADNE-</v>
      </c>
      <c r="Y138" s="3" t="str">
        <f t="shared" si="13"/>
        <v>-SLOWSS-</v>
      </c>
      <c r="Z138" s="4" t="str">
        <f t="shared" si="14"/>
        <v>{"couname":"","img":"0","pty":"","artist":"","genres":"","duration":"","spotId":"","Items":["-SADNE-","-SLOWSS-","OTHR","OTHR","XT_OffAnimals"]},</v>
      </c>
      <c r="AA138" s="5" t="s">
        <v>5</v>
      </c>
      <c r="AB138" s="3" t="str">
        <f t="shared" si="15"/>
        <v>["-SADNE-","-SLOWSS-","OTHR","OTHR","XT_OffAnimals"]</v>
      </c>
      <c r="AC138" s="3">
        <f>_xlfn.XLOOKUP(A138,Album!A:A,Album!J:J)</f>
        <v>0</v>
      </c>
      <c r="AD138" s="3">
        <f>_xlfn.XLOOKUP(D138,Artists!A:A,Artists!B:B)</f>
        <v>0</v>
      </c>
      <c r="AE138" s="3">
        <f>_xlfn.XLOOKUP(D138,Artists!A:A,Artists!C:C)</f>
        <v>0</v>
      </c>
      <c r="AF138" s="3" t="str">
        <f t="shared" si="16"/>
        <v>OTHR</v>
      </c>
      <c r="AG138" s="3" t="str">
        <f t="shared" si="17"/>
        <v>OTHR</v>
      </c>
    </row>
    <row r="139" spans="24:33" x14ac:dyDescent="0.3">
      <c r="X139" s="3" t="str">
        <f t="shared" si="12"/>
        <v>-SADNE-</v>
      </c>
      <c r="Y139" s="3" t="str">
        <f t="shared" si="13"/>
        <v>-SLOWSS-</v>
      </c>
      <c r="Z139" s="4" t="str">
        <f t="shared" si="14"/>
        <v>{"couname":"","img":"0","pty":"","artist":"","genres":"","duration":"","spotId":"","Items":["-SADNE-","-SLOWSS-","OTHR","OTHR","XT_OffAnimals"]},</v>
      </c>
      <c r="AA139" s="5" t="s">
        <v>5</v>
      </c>
      <c r="AB139" s="3" t="str">
        <f t="shared" si="15"/>
        <v>["-SADNE-","-SLOWSS-","OTHR","OTHR","XT_OffAnimals"]</v>
      </c>
      <c r="AC139" s="3">
        <f>_xlfn.XLOOKUP(A139,Album!A:A,Album!J:J)</f>
        <v>0</v>
      </c>
      <c r="AD139" s="3">
        <f>_xlfn.XLOOKUP(D139,Artists!A:A,Artists!B:B)</f>
        <v>0</v>
      </c>
      <c r="AE139" s="3">
        <f>_xlfn.XLOOKUP(D139,Artists!A:A,Artists!C:C)</f>
        <v>0</v>
      </c>
      <c r="AF139" s="3" t="str">
        <f t="shared" si="16"/>
        <v>OTHR</v>
      </c>
      <c r="AG139" s="3" t="str">
        <f t="shared" si="17"/>
        <v>OTHR</v>
      </c>
    </row>
    <row r="140" spans="24:33" x14ac:dyDescent="0.3">
      <c r="X140" s="3" t="str">
        <f t="shared" si="12"/>
        <v>-SADNE-</v>
      </c>
      <c r="Y140" s="3" t="str">
        <f t="shared" si="13"/>
        <v>-SLOWSS-</v>
      </c>
      <c r="Z140" s="4" t="str">
        <f t="shared" si="14"/>
        <v>{"couname":"","img":"0","pty":"","artist":"","genres":"","duration":"","spotId":"","Items":["-SADNE-","-SLOWSS-","OTHR","OTHR","XT_OffAnimals"]},</v>
      </c>
      <c r="AA140" s="5" t="s">
        <v>5</v>
      </c>
      <c r="AB140" s="3" t="str">
        <f t="shared" si="15"/>
        <v>["-SADNE-","-SLOWSS-","OTHR","OTHR","XT_OffAnimals"]</v>
      </c>
      <c r="AC140" s="3">
        <f>_xlfn.XLOOKUP(A140,Album!A:A,Album!J:J)</f>
        <v>0</v>
      </c>
      <c r="AD140" s="3">
        <f>_xlfn.XLOOKUP(D140,Artists!A:A,Artists!B:B)</f>
        <v>0</v>
      </c>
      <c r="AE140" s="3">
        <f>_xlfn.XLOOKUP(D140,Artists!A:A,Artists!C:C)</f>
        <v>0</v>
      </c>
      <c r="AF140" s="3" t="str">
        <f t="shared" si="16"/>
        <v>OTHR</v>
      </c>
      <c r="AG140" s="3" t="str">
        <f t="shared" si="17"/>
        <v>OTHR</v>
      </c>
    </row>
    <row r="141" spans="24:33" x14ac:dyDescent="0.3">
      <c r="X141" s="3" t="str">
        <f t="shared" si="12"/>
        <v>-SADNE-</v>
      </c>
      <c r="Y141" s="3" t="str">
        <f t="shared" si="13"/>
        <v>-SLOWSS-</v>
      </c>
      <c r="Z141" s="4" t="str">
        <f t="shared" si="14"/>
        <v>{"couname":"","img":"0","pty":"","artist":"","genres":"","duration":"","spotId":"","Items":["-SADNE-","-SLOWSS-","OTHR","OTHR","XT_OffAnimals"]},</v>
      </c>
      <c r="AA141" s="5" t="s">
        <v>5</v>
      </c>
      <c r="AB141" s="3" t="str">
        <f t="shared" si="15"/>
        <v>["-SADNE-","-SLOWSS-","OTHR","OTHR","XT_OffAnimals"]</v>
      </c>
      <c r="AC141" s="3">
        <f>_xlfn.XLOOKUP(A141,Album!A:A,Album!J:J)</f>
        <v>0</v>
      </c>
      <c r="AD141" s="3">
        <f>_xlfn.XLOOKUP(D141,Artists!A:A,Artists!B:B)</f>
        <v>0</v>
      </c>
      <c r="AE141" s="3">
        <f>_xlfn.XLOOKUP(D141,Artists!A:A,Artists!C:C)</f>
        <v>0</v>
      </c>
      <c r="AF141" s="3" t="str">
        <f t="shared" si="16"/>
        <v>OTHR</v>
      </c>
      <c r="AG141" s="3" t="str">
        <f t="shared" si="17"/>
        <v>OTHR</v>
      </c>
    </row>
    <row r="142" spans="24:33" x14ac:dyDescent="0.3">
      <c r="X142" s="3" t="str">
        <f t="shared" si="12"/>
        <v>-SADNE-</v>
      </c>
      <c r="Y142" s="3" t="str">
        <f t="shared" si="13"/>
        <v>-SLOWSS-</v>
      </c>
      <c r="Z142" s="4" t="str">
        <f t="shared" si="14"/>
        <v>{"couname":"","img":"0","pty":"","artist":"","genres":"","duration":"","spotId":"","Items":["-SADNE-","-SLOWSS-","OTHR","OTHR","XT_OffAnimals"]},</v>
      </c>
      <c r="AA142" s="5" t="s">
        <v>5</v>
      </c>
      <c r="AB142" s="3" t="str">
        <f t="shared" si="15"/>
        <v>["-SADNE-","-SLOWSS-","OTHR","OTHR","XT_OffAnimals"]</v>
      </c>
      <c r="AC142" s="3">
        <f>_xlfn.XLOOKUP(A142,Album!A:A,Album!J:J)</f>
        <v>0</v>
      </c>
      <c r="AD142" s="3">
        <f>_xlfn.XLOOKUP(D142,Artists!A:A,Artists!B:B)</f>
        <v>0</v>
      </c>
      <c r="AE142" s="3">
        <f>_xlfn.XLOOKUP(D142,Artists!A:A,Artists!C:C)</f>
        <v>0</v>
      </c>
      <c r="AF142" s="3" t="str">
        <f t="shared" si="16"/>
        <v>OTHR</v>
      </c>
      <c r="AG142" s="3" t="str">
        <f t="shared" si="17"/>
        <v>OTHR</v>
      </c>
    </row>
    <row r="143" spans="24:33" x14ac:dyDescent="0.3">
      <c r="X143" s="3" t="str">
        <f t="shared" si="12"/>
        <v>-SADNE-</v>
      </c>
      <c r="Y143" s="3" t="str">
        <f t="shared" si="13"/>
        <v>-SLOWSS-</v>
      </c>
      <c r="Z143" s="4" t="str">
        <f t="shared" si="14"/>
        <v>{"couname":"","img":"0","pty":"","artist":"","genres":"","duration":"","spotId":"","Items":["-SADNE-","-SLOWSS-","OTHR","OTHR","XT_OffAnimals"]},</v>
      </c>
      <c r="AA143" s="5" t="s">
        <v>5</v>
      </c>
      <c r="AB143" s="3" t="str">
        <f t="shared" si="15"/>
        <v>["-SADNE-","-SLOWSS-","OTHR","OTHR","XT_OffAnimals"]</v>
      </c>
      <c r="AC143" s="3">
        <f>_xlfn.XLOOKUP(A143,Album!A:A,Album!J:J)</f>
        <v>0</v>
      </c>
      <c r="AD143" s="3">
        <f>_xlfn.XLOOKUP(D143,Artists!A:A,Artists!B:B)</f>
        <v>0</v>
      </c>
      <c r="AE143" s="3">
        <f>_xlfn.XLOOKUP(D143,Artists!A:A,Artists!C:C)</f>
        <v>0</v>
      </c>
      <c r="AF143" s="3" t="str">
        <f t="shared" si="16"/>
        <v>OTHR</v>
      </c>
      <c r="AG143" s="3" t="str">
        <f t="shared" si="17"/>
        <v>OTHR</v>
      </c>
    </row>
    <row r="144" spans="24:33" x14ac:dyDescent="0.3">
      <c r="X144" s="3" t="str">
        <f t="shared" si="12"/>
        <v>-SADNE-</v>
      </c>
      <c r="Y144" s="3" t="str">
        <f t="shared" si="13"/>
        <v>-SLOWSS-</v>
      </c>
      <c r="Z144" s="4" t="str">
        <f t="shared" si="14"/>
        <v>{"couname":"","img":"0","pty":"","artist":"","genres":"","duration":"","spotId":"","Items":["-SADNE-","-SLOWSS-","OTHR","OTHR","XT_OffAnimals"]},</v>
      </c>
      <c r="AA144" s="5" t="s">
        <v>5</v>
      </c>
      <c r="AB144" s="3" t="str">
        <f t="shared" si="15"/>
        <v>["-SADNE-","-SLOWSS-","OTHR","OTHR","XT_OffAnimals"]</v>
      </c>
      <c r="AC144" s="3">
        <f>_xlfn.XLOOKUP(A144,Album!A:A,Album!J:J)</f>
        <v>0</v>
      </c>
      <c r="AD144" s="3">
        <f>_xlfn.XLOOKUP(D144,Artists!A:A,Artists!B:B)</f>
        <v>0</v>
      </c>
      <c r="AE144" s="3">
        <f>_xlfn.XLOOKUP(D144,Artists!A:A,Artists!C:C)</f>
        <v>0</v>
      </c>
      <c r="AF144" s="3" t="str">
        <f t="shared" si="16"/>
        <v>OTHR</v>
      </c>
      <c r="AG144" s="3" t="str">
        <f t="shared" si="17"/>
        <v>OTHR</v>
      </c>
    </row>
    <row r="145" spans="24:33" x14ac:dyDescent="0.3">
      <c r="X145" s="3" t="str">
        <f t="shared" si="12"/>
        <v>-SADNE-</v>
      </c>
      <c r="Y145" s="3" t="str">
        <f t="shared" si="13"/>
        <v>-SLOWSS-</v>
      </c>
      <c r="Z145" s="4" t="str">
        <f t="shared" si="14"/>
        <v>{"couname":"","img":"0","pty":"","artist":"","genres":"","duration":"","spotId":"","Items":["-SADNE-","-SLOWSS-","OTHR","OTHR","XT_OffAnimals"]},</v>
      </c>
      <c r="AA145" s="5" t="s">
        <v>5</v>
      </c>
      <c r="AB145" s="3" t="str">
        <f t="shared" si="15"/>
        <v>["-SADNE-","-SLOWSS-","OTHR","OTHR","XT_OffAnimals"]</v>
      </c>
      <c r="AC145" s="3">
        <f>_xlfn.XLOOKUP(A145,Album!A:A,Album!J:J)</f>
        <v>0</v>
      </c>
      <c r="AD145" s="3">
        <f>_xlfn.XLOOKUP(D145,Artists!A:A,Artists!B:B)</f>
        <v>0</v>
      </c>
      <c r="AE145" s="3">
        <f>_xlfn.XLOOKUP(D145,Artists!A:A,Artists!C:C)</f>
        <v>0</v>
      </c>
      <c r="AF145" s="3" t="str">
        <f t="shared" si="16"/>
        <v>OTHR</v>
      </c>
      <c r="AG145" s="3" t="str">
        <f t="shared" si="17"/>
        <v>OTHR</v>
      </c>
    </row>
    <row r="146" spans="24:33" x14ac:dyDescent="0.3">
      <c r="X146" s="3" t="str">
        <f t="shared" si="12"/>
        <v>-SADNE-</v>
      </c>
      <c r="Y146" s="3" t="str">
        <f t="shared" si="13"/>
        <v>-SLOWSS-</v>
      </c>
      <c r="Z146" s="4" t="str">
        <f t="shared" si="14"/>
        <v>{"couname":"","img":"0","pty":"","artist":"","genres":"","duration":"","spotId":"","Items":["-SADNE-","-SLOWSS-","OTHR","OTHR","XT_OffAnimals"]},</v>
      </c>
      <c r="AA146" s="5" t="s">
        <v>5</v>
      </c>
      <c r="AB146" s="3" t="str">
        <f t="shared" si="15"/>
        <v>["-SADNE-","-SLOWSS-","OTHR","OTHR","XT_OffAnimals"]</v>
      </c>
      <c r="AC146" s="3">
        <f>_xlfn.XLOOKUP(A146,Album!A:A,Album!J:J)</f>
        <v>0</v>
      </c>
      <c r="AD146" s="3">
        <f>_xlfn.XLOOKUP(D146,Artists!A:A,Artists!B:B)</f>
        <v>0</v>
      </c>
      <c r="AE146" s="3">
        <f>_xlfn.XLOOKUP(D146,Artists!A:A,Artists!C:C)</f>
        <v>0</v>
      </c>
      <c r="AF146" s="3" t="str">
        <f t="shared" si="16"/>
        <v>OTHR</v>
      </c>
      <c r="AG146" s="3" t="str">
        <f t="shared" si="17"/>
        <v>OTHR</v>
      </c>
    </row>
    <row r="147" spans="24:33" x14ac:dyDescent="0.3">
      <c r="X147" s="3" t="str">
        <f t="shared" si="12"/>
        <v>-SADNE-</v>
      </c>
      <c r="Y147" s="3" t="str">
        <f t="shared" si="13"/>
        <v>-SLOWSS-</v>
      </c>
      <c r="Z147" s="4" t="str">
        <f t="shared" si="14"/>
        <v>{"couname":"","img":"0","pty":"","artist":"","genres":"","duration":"","spotId":"","Items":["-SADNE-","-SLOWSS-","OTHR","OTHR","XT_OffAnimals"]},</v>
      </c>
      <c r="AA147" s="5" t="s">
        <v>5</v>
      </c>
      <c r="AB147" s="3" t="str">
        <f t="shared" si="15"/>
        <v>["-SADNE-","-SLOWSS-","OTHR","OTHR","XT_OffAnimals"]</v>
      </c>
      <c r="AC147" s="3">
        <f>_xlfn.XLOOKUP(A147,Album!A:A,Album!J:J)</f>
        <v>0</v>
      </c>
      <c r="AD147" s="3">
        <f>_xlfn.XLOOKUP(D147,Artists!A:A,Artists!B:B)</f>
        <v>0</v>
      </c>
      <c r="AE147" s="3">
        <f>_xlfn.XLOOKUP(D147,Artists!A:A,Artists!C:C)</f>
        <v>0</v>
      </c>
      <c r="AF147" s="3" t="str">
        <f t="shared" si="16"/>
        <v>OTHR</v>
      </c>
      <c r="AG147" s="3" t="str">
        <f t="shared" si="17"/>
        <v>OTHR</v>
      </c>
    </row>
    <row r="148" spans="24:33" x14ac:dyDescent="0.3">
      <c r="X148" s="3" t="str">
        <f t="shared" si="12"/>
        <v>-SADNE-</v>
      </c>
      <c r="Y148" s="3" t="str">
        <f t="shared" si="13"/>
        <v>-SLOWSS-</v>
      </c>
      <c r="Z148" s="4" t="str">
        <f t="shared" si="14"/>
        <v>{"couname":"","img":"0","pty":"","artist":"","genres":"","duration":"","spotId":"","Items":["-SADNE-","-SLOWSS-","OTHR","OTHR","XT_OffAnimals"]},</v>
      </c>
      <c r="AA148" s="5" t="s">
        <v>5</v>
      </c>
      <c r="AB148" s="3" t="str">
        <f t="shared" si="15"/>
        <v>["-SADNE-","-SLOWSS-","OTHR","OTHR","XT_OffAnimals"]</v>
      </c>
      <c r="AC148" s="3">
        <f>_xlfn.XLOOKUP(A148,Album!A:A,Album!J:J)</f>
        <v>0</v>
      </c>
      <c r="AD148" s="3">
        <f>_xlfn.XLOOKUP(D148,Artists!A:A,Artists!B:B)</f>
        <v>0</v>
      </c>
      <c r="AE148" s="3">
        <f>_xlfn.XLOOKUP(D148,Artists!A:A,Artists!C:C)</f>
        <v>0</v>
      </c>
      <c r="AF148" s="3" t="str">
        <f t="shared" si="16"/>
        <v>OTHR</v>
      </c>
      <c r="AG148" s="3" t="str">
        <f t="shared" si="17"/>
        <v>OTHR</v>
      </c>
    </row>
    <row r="149" spans="24:33" x14ac:dyDescent="0.3">
      <c r="X149" s="3" t="str">
        <f t="shared" si="12"/>
        <v>-SADNE-</v>
      </c>
      <c r="Y149" s="3" t="str">
        <f t="shared" si="13"/>
        <v>-SLOWSS-</v>
      </c>
      <c r="Z149" s="4" t="str">
        <f t="shared" si="14"/>
        <v>{"couname":"","img":"0","pty":"","artist":"","genres":"","duration":"","spotId":"","Items":["-SADNE-","-SLOWSS-","OTHR","OTHR","XT_OffAnimals"]},</v>
      </c>
      <c r="AA149" s="5" t="s">
        <v>5</v>
      </c>
      <c r="AB149" s="3" t="str">
        <f t="shared" si="15"/>
        <v>["-SADNE-","-SLOWSS-","OTHR","OTHR","XT_OffAnimals"]</v>
      </c>
      <c r="AC149" s="3">
        <f>_xlfn.XLOOKUP(A149,Album!A:A,Album!J:J)</f>
        <v>0</v>
      </c>
      <c r="AD149" s="3">
        <f>_xlfn.XLOOKUP(D149,Artists!A:A,Artists!B:B)</f>
        <v>0</v>
      </c>
      <c r="AE149" s="3">
        <f>_xlfn.XLOOKUP(D149,Artists!A:A,Artists!C:C)</f>
        <v>0</v>
      </c>
      <c r="AF149" s="3" t="str">
        <f t="shared" si="16"/>
        <v>OTHR</v>
      </c>
      <c r="AG149" s="3" t="str">
        <f t="shared" si="17"/>
        <v>OTHR</v>
      </c>
    </row>
    <row r="150" spans="24:33" x14ac:dyDescent="0.3">
      <c r="X150" s="3" t="str">
        <f t="shared" si="12"/>
        <v>-SADNE-</v>
      </c>
      <c r="Y150" s="3" t="str">
        <f t="shared" si="13"/>
        <v>-SLOWSS-</v>
      </c>
      <c r="Z150" s="4" t="str">
        <f t="shared" si="14"/>
        <v>{"couname":"","img":"0","pty":"","artist":"","genres":"","duration":"","spotId":"","Items":["-SADNE-","-SLOWSS-","OTHR","OTHR","XT_OffAnimals"]},</v>
      </c>
      <c r="AA150" s="5" t="s">
        <v>5</v>
      </c>
      <c r="AB150" s="3" t="str">
        <f t="shared" si="15"/>
        <v>["-SADNE-","-SLOWSS-","OTHR","OTHR","XT_OffAnimals"]</v>
      </c>
      <c r="AC150" s="3">
        <f>_xlfn.XLOOKUP(A150,Album!A:A,Album!J:J)</f>
        <v>0</v>
      </c>
      <c r="AD150" s="3">
        <f>_xlfn.XLOOKUP(D150,Artists!A:A,Artists!B:B)</f>
        <v>0</v>
      </c>
      <c r="AE150" s="3">
        <f>_xlfn.XLOOKUP(D150,Artists!A:A,Artists!C:C)</f>
        <v>0</v>
      </c>
      <c r="AF150" s="3" t="str">
        <f t="shared" si="16"/>
        <v>OTHR</v>
      </c>
      <c r="AG150" s="3" t="str">
        <f t="shared" si="17"/>
        <v>OTHR</v>
      </c>
    </row>
    <row r="151" spans="24:33" x14ac:dyDescent="0.3">
      <c r="X151" s="3" t="str">
        <f t="shared" si="12"/>
        <v>-SADNE-</v>
      </c>
      <c r="Y151" s="3" t="str">
        <f t="shared" si="13"/>
        <v>-SLOWSS-</v>
      </c>
      <c r="Z151" s="4" t="str">
        <f t="shared" si="14"/>
        <v>{"couname":"","img":"0","pty":"","artist":"","genres":"","duration":"","spotId":"","Items":["-SADNE-","-SLOWSS-","OTHR","OTHR","XT_OffAnimals"]},</v>
      </c>
      <c r="AA151" s="5" t="s">
        <v>5</v>
      </c>
      <c r="AB151" s="3" t="str">
        <f t="shared" si="15"/>
        <v>["-SADNE-","-SLOWSS-","OTHR","OTHR","XT_OffAnimals"]</v>
      </c>
      <c r="AC151" s="3">
        <f>_xlfn.XLOOKUP(A151,Album!A:A,Album!J:J)</f>
        <v>0</v>
      </c>
      <c r="AD151" s="3">
        <f>_xlfn.XLOOKUP(D151,Artists!A:A,Artists!B:B)</f>
        <v>0</v>
      </c>
      <c r="AE151" s="3">
        <f>_xlfn.XLOOKUP(D151,Artists!A:A,Artists!C:C)</f>
        <v>0</v>
      </c>
      <c r="AF151" s="3" t="str">
        <f t="shared" si="16"/>
        <v>OTHR</v>
      </c>
      <c r="AG151" s="3" t="str">
        <f t="shared" si="17"/>
        <v>OTHR</v>
      </c>
    </row>
    <row r="152" spans="24:33" x14ac:dyDescent="0.3">
      <c r="X152" s="3" t="str">
        <f t="shared" si="12"/>
        <v>-SADNE-</v>
      </c>
      <c r="Y152" s="3" t="str">
        <f t="shared" si="13"/>
        <v>-SLOWSS-</v>
      </c>
      <c r="Z152" s="4" t="str">
        <f t="shared" si="14"/>
        <v>{"couname":"","img":"0","pty":"","artist":"","genres":"","duration":"","spotId":"","Items":["-SADNE-","-SLOWSS-","OTHR","OTHR","XT_OffAnimals"]},</v>
      </c>
      <c r="AA152" s="5" t="s">
        <v>5</v>
      </c>
      <c r="AB152" s="3" t="str">
        <f t="shared" si="15"/>
        <v>["-SADNE-","-SLOWSS-","OTHR","OTHR","XT_OffAnimals"]</v>
      </c>
      <c r="AC152" s="3">
        <f>_xlfn.XLOOKUP(A152,Album!A:A,Album!J:J)</f>
        <v>0</v>
      </c>
      <c r="AD152" s="3">
        <f>_xlfn.XLOOKUP(D152,Artists!A:A,Artists!B:B)</f>
        <v>0</v>
      </c>
      <c r="AE152" s="3">
        <f>_xlfn.XLOOKUP(D152,Artists!A:A,Artists!C:C)</f>
        <v>0</v>
      </c>
      <c r="AF152" s="3" t="str">
        <f t="shared" si="16"/>
        <v>OTHR</v>
      </c>
      <c r="AG152" s="3" t="str">
        <f t="shared" si="17"/>
        <v>OTHR</v>
      </c>
    </row>
    <row r="153" spans="24:33" x14ac:dyDescent="0.3">
      <c r="X153" s="3" t="str">
        <f t="shared" si="12"/>
        <v>-SADNE-</v>
      </c>
      <c r="Y153" s="3" t="str">
        <f t="shared" si="13"/>
        <v>-SLOWSS-</v>
      </c>
      <c r="Z153" s="4" t="str">
        <f t="shared" si="14"/>
        <v>{"couname":"","img":"0","pty":"","artist":"","genres":"","duration":"","spotId":"","Items":["-SADNE-","-SLOWSS-","OTHR","OTHR","XT_OffAnimals"]},</v>
      </c>
      <c r="AA153" s="5" t="s">
        <v>5</v>
      </c>
      <c r="AB153" s="3" t="str">
        <f t="shared" si="15"/>
        <v>["-SADNE-","-SLOWSS-","OTHR","OTHR","XT_OffAnimals"]</v>
      </c>
      <c r="AC153" s="3">
        <f>_xlfn.XLOOKUP(A153,Album!A:A,Album!J:J)</f>
        <v>0</v>
      </c>
      <c r="AD153" s="3">
        <f>_xlfn.XLOOKUP(D153,Artists!A:A,Artists!B:B)</f>
        <v>0</v>
      </c>
      <c r="AE153" s="3">
        <f>_xlfn.XLOOKUP(D153,Artists!A:A,Artists!C:C)</f>
        <v>0</v>
      </c>
      <c r="AF153" s="3" t="str">
        <f t="shared" si="16"/>
        <v>OTHR</v>
      </c>
      <c r="AG153" s="3" t="str">
        <f t="shared" si="17"/>
        <v>OTHR</v>
      </c>
    </row>
    <row r="154" spans="24:33" x14ac:dyDescent="0.3">
      <c r="X154" s="3" t="str">
        <f t="shared" si="12"/>
        <v>-SADNE-</v>
      </c>
      <c r="Y154" s="3" t="str">
        <f t="shared" si="13"/>
        <v>-SLOWSS-</v>
      </c>
      <c r="Z154" s="4" t="str">
        <f t="shared" si="14"/>
        <v>{"couname":"","img":"0","pty":"","artist":"","genres":"","duration":"","spotId":"","Items":["-SADNE-","-SLOWSS-","OTHR","OTHR","XT_OffAnimals"]},</v>
      </c>
      <c r="AA154" s="5" t="s">
        <v>5</v>
      </c>
      <c r="AB154" s="3" t="str">
        <f t="shared" si="15"/>
        <v>["-SADNE-","-SLOWSS-","OTHR","OTHR","XT_OffAnimals"]</v>
      </c>
      <c r="AC154" s="3">
        <f>_xlfn.XLOOKUP(A154,Album!A:A,Album!J:J)</f>
        <v>0</v>
      </c>
      <c r="AD154" s="3">
        <f>_xlfn.XLOOKUP(D154,Artists!A:A,Artists!B:B)</f>
        <v>0</v>
      </c>
      <c r="AE154" s="3">
        <f>_xlfn.XLOOKUP(D154,Artists!A:A,Artists!C:C)</f>
        <v>0</v>
      </c>
      <c r="AF154" s="3" t="str">
        <f t="shared" si="16"/>
        <v>OTHR</v>
      </c>
      <c r="AG154" s="3" t="str">
        <f t="shared" si="17"/>
        <v>OTHR</v>
      </c>
    </row>
    <row r="155" spans="24:33" x14ac:dyDescent="0.3">
      <c r="X155" s="3" t="str">
        <f t="shared" si="12"/>
        <v>-SADNE-</v>
      </c>
      <c r="Y155" s="3" t="str">
        <f t="shared" si="13"/>
        <v>-SLOWSS-</v>
      </c>
      <c r="Z155" s="4" t="str">
        <f t="shared" si="14"/>
        <v>{"couname":"","img":"0","pty":"","artist":"","genres":"","duration":"","spotId":"","Items":["-SADNE-","-SLOWSS-","OTHR","OTHR","XT_OffAnimals"]},</v>
      </c>
      <c r="AA155" s="5" t="s">
        <v>5</v>
      </c>
      <c r="AB155" s="3" t="str">
        <f t="shared" si="15"/>
        <v>["-SADNE-","-SLOWSS-","OTHR","OTHR","XT_OffAnimals"]</v>
      </c>
      <c r="AC155" s="3">
        <f>_xlfn.XLOOKUP(A155,Album!A:A,Album!J:J)</f>
        <v>0</v>
      </c>
      <c r="AD155" s="3">
        <f>_xlfn.XLOOKUP(D155,Artists!A:A,Artists!B:B)</f>
        <v>0</v>
      </c>
      <c r="AE155" s="3">
        <f>_xlfn.XLOOKUP(D155,Artists!A:A,Artists!C:C)</f>
        <v>0</v>
      </c>
      <c r="AF155" s="3" t="str">
        <f t="shared" si="16"/>
        <v>OTHR</v>
      </c>
      <c r="AG155" s="3" t="str">
        <f t="shared" si="17"/>
        <v>OTHR</v>
      </c>
    </row>
    <row r="156" spans="24:33" x14ac:dyDescent="0.3">
      <c r="X156" s="3" t="str">
        <f t="shared" si="12"/>
        <v>-SADNE-</v>
      </c>
      <c r="Y156" s="3" t="str">
        <f t="shared" si="13"/>
        <v>-SLOWSS-</v>
      </c>
      <c r="Z156" s="4" t="str">
        <f t="shared" si="14"/>
        <v>{"couname":"","img":"0","pty":"","artist":"","genres":"","duration":"","spotId":"","Items":["-SADNE-","-SLOWSS-","OTHR","OTHR","XT_OffAnimals"]},</v>
      </c>
      <c r="AA156" s="5" t="s">
        <v>5</v>
      </c>
      <c r="AB156" s="3" t="str">
        <f t="shared" si="15"/>
        <v>["-SADNE-","-SLOWSS-","OTHR","OTHR","XT_OffAnimals"]</v>
      </c>
      <c r="AC156" s="3">
        <f>_xlfn.XLOOKUP(A156,Album!A:A,Album!J:J)</f>
        <v>0</v>
      </c>
      <c r="AD156" s="3">
        <f>_xlfn.XLOOKUP(D156,Artists!A:A,Artists!B:B)</f>
        <v>0</v>
      </c>
      <c r="AE156" s="3">
        <f>_xlfn.XLOOKUP(D156,Artists!A:A,Artists!C:C)</f>
        <v>0</v>
      </c>
      <c r="AF156" s="3" t="str">
        <f t="shared" si="16"/>
        <v>OTHR</v>
      </c>
      <c r="AG156" s="3" t="str">
        <f t="shared" si="17"/>
        <v>OTHR</v>
      </c>
    </row>
    <row r="157" spans="24:33" x14ac:dyDescent="0.3">
      <c r="X157" s="3" t="str">
        <f t="shared" si="12"/>
        <v>-SADNE-</v>
      </c>
      <c r="Y157" s="3" t="str">
        <f t="shared" si="13"/>
        <v>-SLOWSS-</v>
      </c>
      <c r="Z157" s="4" t="str">
        <f t="shared" si="14"/>
        <v>{"couname":"","img":"0","pty":"","artist":"","genres":"","duration":"","spotId":"","Items":["-SADNE-","-SLOWSS-","OTHR","OTHR","XT_OffAnimals"]},</v>
      </c>
      <c r="AA157" s="5" t="s">
        <v>5</v>
      </c>
      <c r="AB157" s="3" t="str">
        <f t="shared" si="15"/>
        <v>["-SADNE-","-SLOWSS-","OTHR","OTHR","XT_OffAnimals"]</v>
      </c>
      <c r="AC157" s="3">
        <f>_xlfn.XLOOKUP(A157,Album!A:A,Album!J:J)</f>
        <v>0</v>
      </c>
      <c r="AD157" s="3">
        <f>_xlfn.XLOOKUP(D157,Artists!A:A,Artists!B:B)</f>
        <v>0</v>
      </c>
      <c r="AE157" s="3">
        <f>_xlfn.XLOOKUP(D157,Artists!A:A,Artists!C:C)</f>
        <v>0</v>
      </c>
      <c r="AF157" s="3" t="str">
        <f t="shared" si="16"/>
        <v>OTHR</v>
      </c>
      <c r="AG157" s="3" t="str">
        <f t="shared" si="17"/>
        <v>OTHR</v>
      </c>
    </row>
    <row r="158" spans="24:33" x14ac:dyDescent="0.3">
      <c r="X158" s="3" t="str">
        <f t="shared" si="12"/>
        <v>-SADNE-</v>
      </c>
      <c r="Y158" s="3" t="str">
        <f t="shared" si="13"/>
        <v>-SLOWSS-</v>
      </c>
      <c r="Z158" s="4" t="str">
        <f t="shared" si="14"/>
        <v>{"couname":"","img":"0","pty":"","artist":"","genres":"","duration":"","spotId":"","Items":["-SADNE-","-SLOWSS-","OTHR","OTHR","XT_OffAnimals"]},</v>
      </c>
      <c r="AA158" s="5" t="s">
        <v>5</v>
      </c>
      <c r="AB158" s="3" t="str">
        <f t="shared" si="15"/>
        <v>["-SADNE-","-SLOWSS-","OTHR","OTHR","XT_OffAnimals"]</v>
      </c>
      <c r="AC158" s="3">
        <f>_xlfn.XLOOKUP(A158,Album!A:A,Album!J:J)</f>
        <v>0</v>
      </c>
      <c r="AD158" s="3">
        <f>_xlfn.XLOOKUP(D158,Artists!A:A,Artists!B:B)</f>
        <v>0</v>
      </c>
      <c r="AE158" s="3">
        <f>_xlfn.XLOOKUP(D158,Artists!A:A,Artists!C:C)</f>
        <v>0</v>
      </c>
      <c r="AF158" s="3" t="str">
        <f t="shared" si="16"/>
        <v>OTHR</v>
      </c>
      <c r="AG158" s="3" t="str">
        <f t="shared" si="17"/>
        <v>OTHR</v>
      </c>
    </row>
    <row r="159" spans="24:33" x14ac:dyDescent="0.3">
      <c r="X159" s="3" t="str">
        <f t="shared" si="12"/>
        <v>-SADNE-</v>
      </c>
      <c r="Y159" s="3" t="str">
        <f t="shared" si="13"/>
        <v>-SLOWSS-</v>
      </c>
      <c r="Z159" s="4" t="str">
        <f t="shared" si="14"/>
        <v>{"couname":"","img":"0","pty":"","artist":"","genres":"","duration":"","spotId":"","Items":["-SADNE-","-SLOWSS-","OTHR","OTHR","XT_OffAnimals"]},</v>
      </c>
      <c r="AA159" s="5" t="s">
        <v>5</v>
      </c>
      <c r="AB159" s="3" t="str">
        <f t="shared" si="15"/>
        <v>["-SADNE-","-SLOWSS-","OTHR","OTHR","XT_OffAnimals"]</v>
      </c>
      <c r="AC159" s="3">
        <f>_xlfn.XLOOKUP(A159,Album!A:A,Album!J:J)</f>
        <v>0</v>
      </c>
      <c r="AD159" s="3">
        <f>_xlfn.XLOOKUP(D159,Artists!A:A,Artists!B:B)</f>
        <v>0</v>
      </c>
      <c r="AE159" s="3">
        <f>_xlfn.XLOOKUP(D159,Artists!A:A,Artists!C:C)</f>
        <v>0</v>
      </c>
      <c r="AF159" s="3" t="str">
        <f t="shared" si="16"/>
        <v>OTHR</v>
      </c>
      <c r="AG159" s="3" t="str">
        <f t="shared" si="17"/>
        <v>OTHR</v>
      </c>
    </row>
    <row r="160" spans="24:33" x14ac:dyDescent="0.3">
      <c r="X160" s="3" t="str">
        <f t="shared" si="12"/>
        <v>-SADNE-</v>
      </c>
      <c r="Y160" s="3" t="str">
        <f t="shared" si="13"/>
        <v>-SLOWSS-</v>
      </c>
      <c r="Z160" s="4" t="str">
        <f t="shared" si="14"/>
        <v>{"couname":"","img":"0","pty":"","artist":"","genres":"","duration":"","spotId":"","Items":["-SADNE-","-SLOWSS-","OTHR","OTHR","XT_OffAnimals"]},</v>
      </c>
      <c r="AA160" s="5" t="s">
        <v>5</v>
      </c>
      <c r="AB160" s="3" t="str">
        <f t="shared" si="15"/>
        <v>["-SADNE-","-SLOWSS-","OTHR","OTHR","XT_OffAnimals"]</v>
      </c>
      <c r="AC160" s="3">
        <f>_xlfn.XLOOKUP(A160,Album!A:A,Album!J:J)</f>
        <v>0</v>
      </c>
      <c r="AD160" s="3">
        <f>_xlfn.XLOOKUP(D160,Artists!A:A,Artists!B:B)</f>
        <v>0</v>
      </c>
      <c r="AE160" s="3">
        <f>_xlfn.XLOOKUP(D160,Artists!A:A,Artists!C:C)</f>
        <v>0</v>
      </c>
      <c r="AF160" s="3" t="str">
        <f t="shared" si="16"/>
        <v>OTHR</v>
      </c>
      <c r="AG160" s="3" t="str">
        <f t="shared" si="17"/>
        <v>OTHR</v>
      </c>
    </row>
    <row r="161" spans="24:33" x14ac:dyDescent="0.3">
      <c r="X161" s="3" t="str">
        <f t="shared" si="12"/>
        <v>-SADNE-</v>
      </c>
      <c r="Y161" s="3" t="str">
        <f t="shared" si="13"/>
        <v>-SLOWSS-</v>
      </c>
      <c r="Z161" s="4" t="str">
        <f t="shared" si="14"/>
        <v>{"couname":"","img":"0","pty":"","artist":"","genres":"","duration":"","spotId":"","Items":["-SADNE-","-SLOWSS-","OTHR","OTHR","XT_OffAnimals"]},</v>
      </c>
      <c r="AA161" s="5" t="s">
        <v>5</v>
      </c>
      <c r="AB161" s="3" t="str">
        <f t="shared" si="15"/>
        <v>["-SADNE-","-SLOWSS-","OTHR","OTHR","XT_OffAnimals"]</v>
      </c>
      <c r="AC161" s="3">
        <f>_xlfn.XLOOKUP(A161,Album!A:A,Album!J:J)</f>
        <v>0</v>
      </c>
      <c r="AD161" s="3">
        <f>_xlfn.XLOOKUP(D161,Artists!A:A,Artists!B:B)</f>
        <v>0</v>
      </c>
      <c r="AE161" s="3">
        <f>_xlfn.XLOOKUP(D161,Artists!A:A,Artists!C:C)</f>
        <v>0</v>
      </c>
      <c r="AF161" s="3" t="str">
        <f t="shared" si="16"/>
        <v>OTHR</v>
      </c>
      <c r="AG161" s="3" t="str">
        <f t="shared" si="17"/>
        <v>OTHR</v>
      </c>
    </row>
    <row r="162" spans="24:33" x14ac:dyDescent="0.3">
      <c r="X162" s="3" t="str">
        <f t="shared" si="12"/>
        <v>-SADNE-</v>
      </c>
      <c r="Y162" s="3" t="str">
        <f t="shared" si="13"/>
        <v>-SLOWSS-</v>
      </c>
      <c r="Z162" s="4" t="str">
        <f t="shared" si="14"/>
        <v>{"couname":"","img":"0","pty":"","artist":"","genres":"","duration":"","spotId":"","Items":["-SADNE-","-SLOWSS-","OTHR","OTHR","XT_OffAnimals"]},</v>
      </c>
      <c r="AA162" s="5" t="s">
        <v>5</v>
      </c>
      <c r="AB162" s="3" t="str">
        <f t="shared" si="15"/>
        <v>["-SADNE-","-SLOWSS-","OTHR","OTHR","XT_OffAnimals"]</v>
      </c>
      <c r="AC162" s="3">
        <f>_xlfn.XLOOKUP(A162,Album!A:A,Album!J:J)</f>
        <v>0</v>
      </c>
      <c r="AD162" s="3">
        <f>_xlfn.XLOOKUP(D162,Artists!A:A,Artists!B:B)</f>
        <v>0</v>
      </c>
      <c r="AE162" s="3">
        <f>_xlfn.XLOOKUP(D162,Artists!A:A,Artists!C:C)</f>
        <v>0</v>
      </c>
      <c r="AF162" s="3" t="str">
        <f t="shared" si="16"/>
        <v>OTHR</v>
      </c>
      <c r="AG162" s="3" t="str">
        <f t="shared" si="17"/>
        <v>OTHR</v>
      </c>
    </row>
    <row r="163" spans="24:33" x14ac:dyDescent="0.3">
      <c r="X163" s="3" t="str">
        <f t="shared" si="12"/>
        <v>-SADNE-</v>
      </c>
      <c r="Y163" s="3" t="str">
        <f t="shared" si="13"/>
        <v>-SLOWSS-</v>
      </c>
      <c r="Z163" s="4" t="str">
        <f t="shared" si="14"/>
        <v>{"couname":"","img":"0","pty":"","artist":"","genres":"","duration":"","spotId":"","Items":["-SADNE-","-SLOWSS-","OTHR","OTHR","XT_OffAnimals"]},</v>
      </c>
      <c r="AA163" s="5" t="s">
        <v>5</v>
      </c>
      <c r="AB163" s="3" t="str">
        <f t="shared" si="15"/>
        <v>["-SADNE-","-SLOWSS-","OTHR","OTHR","XT_OffAnimals"]</v>
      </c>
      <c r="AC163" s="3">
        <f>_xlfn.XLOOKUP(A163,Album!A:A,Album!J:J)</f>
        <v>0</v>
      </c>
      <c r="AD163" s="3">
        <f>_xlfn.XLOOKUP(D163,Artists!A:A,Artists!B:B)</f>
        <v>0</v>
      </c>
      <c r="AE163" s="3">
        <f>_xlfn.XLOOKUP(D163,Artists!A:A,Artists!C:C)</f>
        <v>0</v>
      </c>
      <c r="AF163" s="3" t="str">
        <f t="shared" si="16"/>
        <v>OTHR</v>
      </c>
      <c r="AG163" s="3" t="str">
        <f t="shared" si="17"/>
        <v>OTHR</v>
      </c>
    </row>
    <row r="164" spans="24:33" x14ac:dyDescent="0.3">
      <c r="X164" s="3" t="str">
        <f t="shared" si="12"/>
        <v>-SADNE-</v>
      </c>
      <c r="Y164" s="3" t="str">
        <f t="shared" si="13"/>
        <v>-SLOWSS-</v>
      </c>
      <c r="Z164" s="4" t="str">
        <f t="shared" si="14"/>
        <v>{"couname":"","img":"0","pty":"","artist":"","genres":"","duration":"","spotId":"","Items":["-SADNE-","-SLOWSS-","OTHR","OTHR","XT_OffAnimals"]},</v>
      </c>
      <c r="AA164" s="5" t="s">
        <v>5</v>
      </c>
      <c r="AB164" s="3" t="str">
        <f t="shared" si="15"/>
        <v>["-SADNE-","-SLOWSS-","OTHR","OTHR","XT_OffAnimals"]</v>
      </c>
      <c r="AC164" s="3">
        <f>_xlfn.XLOOKUP(A164,Album!A:A,Album!J:J)</f>
        <v>0</v>
      </c>
      <c r="AD164" s="3">
        <f>_xlfn.XLOOKUP(D164,Artists!A:A,Artists!B:B)</f>
        <v>0</v>
      </c>
      <c r="AE164" s="3">
        <f>_xlfn.XLOOKUP(D164,Artists!A:A,Artists!C:C)</f>
        <v>0</v>
      </c>
      <c r="AF164" s="3" t="str">
        <f t="shared" si="16"/>
        <v>OTHR</v>
      </c>
      <c r="AG164" s="3" t="str">
        <f t="shared" si="17"/>
        <v>OTHR</v>
      </c>
    </row>
    <row r="165" spans="24:33" x14ac:dyDescent="0.3">
      <c r="X165" s="3" t="str">
        <f t="shared" si="12"/>
        <v>-SADNE-</v>
      </c>
      <c r="Y165" s="3" t="str">
        <f t="shared" si="13"/>
        <v>-SLOWSS-</v>
      </c>
      <c r="Z165" s="4" t="str">
        <f t="shared" si="14"/>
        <v>{"couname":"","img":"0","pty":"","artist":"","genres":"","duration":"","spotId":"","Items":["-SADNE-","-SLOWSS-","OTHR","OTHR","XT_OffAnimals"]},</v>
      </c>
      <c r="AA165" s="5" t="s">
        <v>5</v>
      </c>
      <c r="AB165" s="3" t="str">
        <f t="shared" si="15"/>
        <v>["-SADNE-","-SLOWSS-","OTHR","OTHR","XT_OffAnimals"]</v>
      </c>
      <c r="AC165" s="3">
        <f>_xlfn.XLOOKUP(A165,Album!A:A,Album!J:J)</f>
        <v>0</v>
      </c>
      <c r="AD165" s="3">
        <f>_xlfn.XLOOKUP(D165,Artists!A:A,Artists!B:B)</f>
        <v>0</v>
      </c>
      <c r="AE165" s="3">
        <f>_xlfn.XLOOKUP(D165,Artists!A:A,Artists!C:C)</f>
        <v>0</v>
      </c>
      <c r="AF165" s="3" t="str">
        <f t="shared" si="16"/>
        <v>OTHR</v>
      </c>
      <c r="AG165" s="3" t="str">
        <f t="shared" si="17"/>
        <v>OTHR</v>
      </c>
    </row>
    <row r="166" spans="24:33" x14ac:dyDescent="0.3">
      <c r="X166" s="3" t="str">
        <f t="shared" si="12"/>
        <v>-SADNE-</v>
      </c>
      <c r="Y166" s="3" t="str">
        <f t="shared" si="13"/>
        <v>-SLOWSS-</v>
      </c>
      <c r="Z166" s="4" t="str">
        <f t="shared" si="14"/>
        <v>{"couname":"","img":"0","pty":"","artist":"","genres":"","duration":"","spotId":"","Items":["-SADNE-","-SLOWSS-","OTHR","OTHR","XT_OffAnimals"]},</v>
      </c>
      <c r="AA166" s="5" t="s">
        <v>5</v>
      </c>
      <c r="AB166" s="3" t="str">
        <f t="shared" si="15"/>
        <v>["-SADNE-","-SLOWSS-","OTHR","OTHR","XT_OffAnimals"]</v>
      </c>
      <c r="AC166" s="3">
        <f>_xlfn.XLOOKUP(A166,Album!A:A,Album!J:J)</f>
        <v>0</v>
      </c>
      <c r="AD166" s="3">
        <f>_xlfn.XLOOKUP(D166,Artists!A:A,Artists!B:B)</f>
        <v>0</v>
      </c>
      <c r="AE166" s="3">
        <f>_xlfn.XLOOKUP(D166,Artists!A:A,Artists!C:C)</f>
        <v>0</v>
      </c>
      <c r="AF166" s="3" t="str">
        <f t="shared" si="16"/>
        <v>OTHR</v>
      </c>
      <c r="AG166" s="3" t="str">
        <f t="shared" si="17"/>
        <v>OTHR</v>
      </c>
    </row>
    <row r="167" spans="24:33" x14ac:dyDescent="0.3">
      <c r="X167" s="3" t="str">
        <f t="shared" si="12"/>
        <v>-SADNE-</v>
      </c>
      <c r="Y167" s="3" t="str">
        <f t="shared" si="13"/>
        <v>-SLOWSS-</v>
      </c>
      <c r="Z167" s="4" t="str">
        <f t="shared" si="14"/>
        <v>{"couname":"","img":"0","pty":"","artist":"","genres":"","duration":"","spotId":"","Items":["-SADNE-","-SLOWSS-","OTHR","OTHR","XT_OffAnimals"]},</v>
      </c>
      <c r="AA167" s="5" t="s">
        <v>5</v>
      </c>
      <c r="AB167" s="3" t="str">
        <f t="shared" si="15"/>
        <v>["-SADNE-","-SLOWSS-","OTHR","OTHR","XT_OffAnimals"]</v>
      </c>
      <c r="AC167" s="3">
        <f>_xlfn.XLOOKUP(A167,Album!A:A,Album!J:J)</f>
        <v>0</v>
      </c>
      <c r="AD167" s="3">
        <f>_xlfn.XLOOKUP(D167,Artists!A:A,Artists!B:B)</f>
        <v>0</v>
      </c>
      <c r="AE167" s="3">
        <f>_xlfn.XLOOKUP(D167,Artists!A:A,Artists!C:C)</f>
        <v>0</v>
      </c>
      <c r="AF167" s="3" t="str">
        <f t="shared" si="16"/>
        <v>OTHR</v>
      </c>
      <c r="AG167" s="3" t="str">
        <f t="shared" si="17"/>
        <v>OTHR</v>
      </c>
    </row>
    <row r="168" spans="24:33" x14ac:dyDescent="0.3">
      <c r="X168" s="3" t="str">
        <f t="shared" si="12"/>
        <v>-SADNE-</v>
      </c>
      <c r="Y168" s="3" t="str">
        <f t="shared" si="13"/>
        <v>-SLOWSS-</v>
      </c>
      <c r="Z168" s="4" t="str">
        <f t="shared" si="14"/>
        <v>{"couname":"","img":"0","pty":"","artist":"","genres":"","duration":"","spotId":"","Items":["-SADNE-","-SLOWSS-","OTHR","OTHR","XT_OffAnimals"]},</v>
      </c>
      <c r="AA168" s="5" t="s">
        <v>5</v>
      </c>
      <c r="AB168" s="3" t="str">
        <f t="shared" si="15"/>
        <v>["-SADNE-","-SLOWSS-","OTHR","OTHR","XT_OffAnimals"]</v>
      </c>
      <c r="AC168" s="3">
        <f>_xlfn.XLOOKUP(A168,Album!A:A,Album!J:J)</f>
        <v>0</v>
      </c>
      <c r="AD168" s="3">
        <f>_xlfn.XLOOKUP(D168,Artists!A:A,Artists!B:B)</f>
        <v>0</v>
      </c>
      <c r="AE168" s="3">
        <f>_xlfn.XLOOKUP(D168,Artists!A:A,Artists!C:C)</f>
        <v>0</v>
      </c>
      <c r="AF168" s="3" t="str">
        <f t="shared" si="16"/>
        <v>OTHR</v>
      </c>
      <c r="AG168" s="3" t="str">
        <f t="shared" si="17"/>
        <v>OTHR</v>
      </c>
    </row>
    <row r="169" spans="24:33" x14ac:dyDescent="0.3">
      <c r="X169" s="3" t="str">
        <f t="shared" si="12"/>
        <v>-SADNE-</v>
      </c>
      <c r="Y169" s="3" t="str">
        <f t="shared" si="13"/>
        <v>-SLOWSS-</v>
      </c>
      <c r="Z169" s="4" t="str">
        <f t="shared" si="14"/>
        <v>{"couname":"","img":"0","pty":"","artist":"","genres":"","duration":"","spotId":"","Items":["-SADNE-","-SLOWSS-","OTHR","OTHR","XT_OffAnimals"]},</v>
      </c>
      <c r="AA169" s="5" t="s">
        <v>5</v>
      </c>
      <c r="AB169" s="3" t="str">
        <f t="shared" si="15"/>
        <v>["-SADNE-","-SLOWSS-","OTHR","OTHR","XT_OffAnimals"]</v>
      </c>
      <c r="AC169" s="3">
        <f>_xlfn.XLOOKUP(A169,Album!A:A,Album!J:J)</f>
        <v>0</v>
      </c>
      <c r="AD169" s="3">
        <f>_xlfn.XLOOKUP(D169,Artists!A:A,Artists!B:B)</f>
        <v>0</v>
      </c>
      <c r="AE169" s="3">
        <f>_xlfn.XLOOKUP(D169,Artists!A:A,Artists!C:C)</f>
        <v>0</v>
      </c>
      <c r="AF169" s="3" t="str">
        <f t="shared" si="16"/>
        <v>OTHR</v>
      </c>
      <c r="AG169" s="3" t="str">
        <f t="shared" si="17"/>
        <v>OTHR</v>
      </c>
    </row>
    <row r="170" spans="24:33" x14ac:dyDescent="0.3">
      <c r="X170" s="3" t="str">
        <f t="shared" si="12"/>
        <v>-SADNE-</v>
      </c>
      <c r="Y170" s="3" t="str">
        <f t="shared" si="13"/>
        <v>-SLOWSS-</v>
      </c>
      <c r="Z170" s="4" t="str">
        <f t="shared" si="14"/>
        <v>{"couname":"","img":"0","pty":"","artist":"","genres":"","duration":"","spotId":"","Items":["-SADNE-","-SLOWSS-","OTHR","OTHR","XT_OffAnimals"]},</v>
      </c>
      <c r="AA170" s="5" t="s">
        <v>5</v>
      </c>
      <c r="AB170" s="3" t="str">
        <f t="shared" si="15"/>
        <v>["-SADNE-","-SLOWSS-","OTHR","OTHR","XT_OffAnimals"]</v>
      </c>
      <c r="AC170" s="3">
        <f>_xlfn.XLOOKUP(A170,Album!A:A,Album!J:J)</f>
        <v>0</v>
      </c>
      <c r="AD170" s="3">
        <f>_xlfn.XLOOKUP(D170,Artists!A:A,Artists!B:B)</f>
        <v>0</v>
      </c>
      <c r="AE170" s="3">
        <f>_xlfn.XLOOKUP(D170,Artists!A:A,Artists!C:C)</f>
        <v>0</v>
      </c>
      <c r="AF170" s="3" t="str">
        <f t="shared" si="16"/>
        <v>OTHR</v>
      </c>
      <c r="AG170" s="3" t="str">
        <f t="shared" si="17"/>
        <v>OTHR</v>
      </c>
    </row>
    <row r="171" spans="24:33" x14ac:dyDescent="0.3">
      <c r="X171" s="3" t="str">
        <f t="shared" si="12"/>
        <v>-SADNE-</v>
      </c>
      <c r="Y171" s="3" t="str">
        <f t="shared" si="13"/>
        <v>-SLOWSS-</v>
      </c>
      <c r="Z171" s="4" t="str">
        <f t="shared" si="14"/>
        <v>{"couname":"","img":"0","pty":"","artist":"","genres":"","duration":"","spotId":"","Items":["-SADNE-","-SLOWSS-","OTHR","OTHR","XT_OffAnimals"]},</v>
      </c>
      <c r="AA171" s="5" t="s">
        <v>5</v>
      </c>
      <c r="AB171" s="3" t="str">
        <f t="shared" si="15"/>
        <v>["-SADNE-","-SLOWSS-","OTHR","OTHR","XT_OffAnimals"]</v>
      </c>
      <c r="AC171" s="3">
        <f>_xlfn.XLOOKUP(A171,Album!A:A,Album!J:J)</f>
        <v>0</v>
      </c>
      <c r="AD171" s="3">
        <f>_xlfn.XLOOKUP(D171,Artists!A:A,Artists!B:B)</f>
        <v>0</v>
      </c>
      <c r="AE171" s="3">
        <f>_xlfn.XLOOKUP(D171,Artists!A:A,Artists!C:C)</f>
        <v>0</v>
      </c>
      <c r="AF171" s="3" t="str">
        <f t="shared" si="16"/>
        <v>OTHR</v>
      </c>
      <c r="AG171" s="3" t="str">
        <f t="shared" si="17"/>
        <v>OTHR</v>
      </c>
    </row>
    <row r="172" spans="24:33" x14ac:dyDescent="0.3">
      <c r="X172" s="3" t="str">
        <f t="shared" si="12"/>
        <v>-SADNE-</v>
      </c>
      <c r="Y172" s="3" t="str">
        <f t="shared" si="13"/>
        <v>-SLOWSS-</v>
      </c>
      <c r="Z172" s="4" t="str">
        <f t="shared" si="14"/>
        <v>{"couname":"","img":"0","pty":"","artist":"","genres":"","duration":"","spotId":"","Items":["-SADNE-","-SLOWSS-","OTHR","OTHR","XT_OffAnimals"]},</v>
      </c>
      <c r="AA172" s="5" t="s">
        <v>5</v>
      </c>
      <c r="AB172" s="3" t="str">
        <f t="shared" si="15"/>
        <v>["-SADNE-","-SLOWSS-","OTHR","OTHR","XT_OffAnimals"]</v>
      </c>
      <c r="AC172" s="3">
        <f>_xlfn.XLOOKUP(A172,Album!A:A,Album!J:J)</f>
        <v>0</v>
      </c>
      <c r="AD172" s="3">
        <f>_xlfn.XLOOKUP(D172,Artists!A:A,Artists!B:B)</f>
        <v>0</v>
      </c>
      <c r="AE172" s="3">
        <f>_xlfn.XLOOKUP(D172,Artists!A:A,Artists!C:C)</f>
        <v>0</v>
      </c>
      <c r="AF172" s="3" t="str">
        <f t="shared" si="16"/>
        <v>OTHR</v>
      </c>
      <c r="AG172" s="3" t="str">
        <f t="shared" si="17"/>
        <v>OTHR</v>
      </c>
    </row>
    <row r="173" spans="24:33" x14ac:dyDescent="0.3">
      <c r="X173" s="3" t="str">
        <f t="shared" si="12"/>
        <v>-SADNE-</v>
      </c>
      <c r="Y173" s="3" t="str">
        <f t="shared" si="13"/>
        <v>-SLOWSS-</v>
      </c>
      <c r="Z173" s="4" t="str">
        <f t="shared" si="14"/>
        <v>{"couname":"","img":"0","pty":"","artist":"","genres":"","duration":"","spotId":"","Items":["-SADNE-","-SLOWSS-","OTHR","OTHR","XT_OffAnimals"]},</v>
      </c>
      <c r="AA173" s="5" t="s">
        <v>5</v>
      </c>
      <c r="AB173" s="3" t="str">
        <f t="shared" si="15"/>
        <v>["-SADNE-","-SLOWSS-","OTHR","OTHR","XT_OffAnimals"]</v>
      </c>
      <c r="AC173" s="3">
        <f>_xlfn.XLOOKUP(A173,Album!A:A,Album!J:J)</f>
        <v>0</v>
      </c>
      <c r="AD173" s="3">
        <f>_xlfn.XLOOKUP(D173,Artists!A:A,Artists!B:B)</f>
        <v>0</v>
      </c>
      <c r="AE173" s="3">
        <f>_xlfn.XLOOKUP(D173,Artists!A:A,Artists!C:C)</f>
        <v>0</v>
      </c>
      <c r="AF173" s="3" t="str">
        <f t="shared" si="16"/>
        <v>OTHR</v>
      </c>
      <c r="AG173" s="3" t="str">
        <f t="shared" si="17"/>
        <v>OTHR</v>
      </c>
    </row>
    <row r="174" spans="24:33" x14ac:dyDescent="0.3">
      <c r="X174" s="3" t="str">
        <f t="shared" si="12"/>
        <v>-SADNE-</v>
      </c>
      <c r="Y174" s="3" t="str">
        <f t="shared" si="13"/>
        <v>-SLOWSS-</v>
      </c>
      <c r="Z174" s="4" t="str">
        <f t="shared" si="14"/>
        <v>{"couname":"","img":"0","pty":"","artist":"","genres":"","duration":"","spotId":"","Items":["-SADNE-","-SLOWSS-","OTHR","OTHR","XT_OffAnimals"]},</v>
      </c>
      <c r="AA174" s="5" t="s">
        <v>5</v>
      </c>
      <c r="AB174" s="3" t="str">
        <f t="shared" si="15"/>
        <v>["-SADNE-","-SLOWSS-","OTHR","OTHR","XT_OffAnimals"]</v>
      </c>
      <c r="AC174" s="3">
        <f>_xlfn.XLOOKUP(A174,Album!A:A,Album!J:J)</f>
        <v>0</v>
      </c>
      <c r="AD174" s="3">
        <f>_xlfn.XLOOKUP(D174,Artists!A:A,Artists!B:B)</f>
        <v>0</v>
      </c>
      <c r="AE174" s="3">
        <f>_xlfn.XLOOKUP(D174,Artists!A:A,Artists!C:C)</f>
        <v>0</v>
      </c>
      <c r="AF174" s="3" t="str">
        <f t="shared" si="16"/>
        <v>OTHR</v>
      </c>
      <c r="AG174" s="3" t="str">
        <f t="shared" si="17"/>
        <v>OTHR</v>
      </c>
    </row>
    <row r="175" spans="24:33" x14ac:dyDescent="0.3">
      <c r="X175" s="3" t="str">
        <f t="shared" si="12"/>
        <v>-SADNE-</v>
      </c>
      <c r="Y175" s="3" t="str">
        <f t="shared" si="13"/>
        <v>-SLOWSS-</v>
      </c>
      <c r="Z175" s="4" t="str">
        <f t="shared" si="14"/>
        <v>{"couname":"","img":"0","pty":"","artist":"","genres":"","duration":"","spotId":"","Items":["-SADNE-","-SLOWSS-","OTHR","OTHR","XT_OffAnimals"]},</v>
      </c>
      <c r="AA175" s="5" t="s">
        <v>5</v>
      </c>
      <c r="AB175" s="3" t="str">
        <f t="shared" si="15"/>
        <v>["-SADNE-","-SLOWSS-","OTHR","OTHR","XT_OffAnimals"]</v>
      </c>
      <c r="AC175" s="3">
        <f>_xlfn.XLOOKUP(A175,Album!A:A,Album!J:J)</f>
        <v>0</v>
      </c>
      <c r="AD175" s="3">
        <f>_xlfn.XLOOKUP(D175,Artists!A:A,Artists!B:B)</f>
        <v>0</v>
      </c>
      <c r="AE175" s="3">
        <f>_xlfn.XLOOKUP(D175,Artists!A:A,Artists!C:C)</f>
        <v>0</v>
      </c>
      <c r="AF175" s="3" t="str">
        <f t="shared" si="16"/>
        <v>OTHR</v>
      </c>
      <c r="AG175" s="3" t="str">
        <f t="shared" si="17"/>
        <v>OTHR</v>
      </c>
    </row>
    <row r="176" spans="24:33" x14ac:dyDescent="0.3">
      <c r="X176" s="3" t="str">
        <f t="shared" si="12"/>
        <v>-SADNE-</v>
      </c>
      <c r="Y176" s="3" t="str">
        <f t="shared" si="13"/>
        <v>-SLOWSS-</v>
      </c>
      <c r="Z176" s="4" t="str">
        <f t="shared" si="14"/>
        <v>{"couname":"","img":"0","pty":"","artist":"","genres":"","duration":"","spotId":"","Items":["-SADNE-","-SLOWSS-","OTHR","OTHR","XT_OffAnimals"]},</v>
      </c>
      <c r="AA176" s="5" t="s">
        <v>5</v>
      </c>
      <c r="AB176" s="3" t="str">
        <f t="shared" si="15"/>
        <v>["-SADNE-","-SLOWSS-","OTHR","OTHR","XT_OffAnimals"]</v>
      </c>
      <c r="AC176" s="3">
        <f>_xlfn.XLOOKUP(A176,Album!A:A,Album!J:J)</f>
        <v>0</v>
      </c>
      <c r="AD176" s="3">
        <f>_xlfn.XLOOKUP(D176,Artists!A:A,Artists!B:B)</f>
        <v>0</v>
      </c>
      <c r="AE176" s="3">
        <f>_xlfn.XLOOKUP(D176,Artists!A:A,Artists!C:C)</f>
        <v>0</v>
      </c>
      <c r="AF176" s="3" t="str">
        <f t="shared" si="16"/>
        <v>OTHR</v>
      </c>
      <c r="AG176" s="3" t="str">
        <f t="shared" si="17"/>
        <v>OTHR</v>
      </c>
    </row>
    <row r="177" spans="24:33" x14ac:dyDescent="0.3">
      <c r="X177" s="3" t="str">
        <f t="shared" si="12"/>
        <v>-SADNE-</v>
      </c>
      <c r="Y177" s="3" t="str">
        <f t="shared" si="13"/>
        <v>-SLOWSS-</v>
      </c>
      <c r="Z177" s="4" t="str">
        <f t="shared" si="14"/>
        <v>{"couname":"","img":"0","pty":"","artist":"","genres":"","duration":"","spotId":"","Items":["-SADNE-","-SLOWSS-","OTHR","OTHR","XT_OffAnimals"]},</v>
      </c>
      <c r="AA177" s="5" t="s">
        <v>5</v>
      </c>
      <c r="AB177" s="3" t="str">
        <f t="shared" si="15"/>
        <v>["-SADNE-","-SLOWSS-","OTHR","OTHR","XT_OffAnimals"]</v>
      </c>
      <c r="AC177" s="3">
        <f>_xlfn.XLOOKUP(A177,Album!A:A,Album!J:J)</f>
        <v>0</v>
      </c>
      <c r="AD177" s="3">
        <f>_xlfn.XLOOKUP(D177,Artists!A:A,Artists!B:B)</f>
        <v>0</v>
      </c>
      <c r="AE177" s="3">
        <f>_xlfn.XLOOKUP(D177,Artists!A:A,Artists!C:C)</f>
        <v>0</v>
      </c>
      <c r="AF177" s="3" t="str">
        <f t="shared" si="16"/>
        <v>OTHR</v>
      </c>
      <c r="AG177" s="3" t="str">
        <f t="shared" si="17"/>
        <v>OTHR</v>
      </c>
    </row>
    <row r="178" spans="24:33" x14ac:dyDescent="0.3">
      <c r="X178" s="3" t="str">
        <f t="shared" si="12"/>
        <v>-SADNE-</v>
      </c>
      <c r="Y178" s="3" t="str">
        <f t="shared" si="13"/>
        <v>-SLOWSS-</v>
      </c>
      <c r="Z178" s="4" t="str">
        <f t="shared" si="14"/>
        <v>{"couname":"","img":"0","pty":"","artist":"","genres":"","duration":"","spotId":"","Items":["-SADNE-","-SLOWSS-","OTHR","OTHR","XT_OffAnimals"]},</v>
      </c>
      <c r="AA178" s="5" t="s">
        <v>5</v>
      </c>
      <c r="AB178" s="3" t="str">
        <f t="shared" si="15"/>
        <v>["-SADNE-","-SLOWSS-","OTHR","OTHR","XT_OffAnimals"]</v>
      </c>
      <c r="AC178" s="3">
        <f>_xlfn.XLOOKUP(A178,Album!A:A,Album!J:J)</f>
        <v>0</v>
      </c>
      <c r="AD178" s="3">
        <f>_xlfn.XLOOKUP(D178,Artists!A:A,Artists!B:B)</f>
        <v>0</v>
      </c>
      <c r="AE178" s="3">
        <f>_xlfn.XLOOKUP(D178,Artists!A:A,Artists!C:C)</f>
        <v>0</v>
      </c>
      <c r="AF178" s="3" t="str">
        <f t="shared" si="16"/>
        <v>OTHR</v>
      </c>
      <c r="AG178" s="3" t="str">
        <f t="shared" si="17"/>
        <v>OTHR</v>
      </c>
    </row>
    <row r="179" spans="24:33" x14ac:dyDescent="0.3">
      <c r="X179" s="3" t="str">
        <f t="shared" si="12"/>
        <v>-SADNE-</v>
      </c>
      <c r="Y179" s="3" t="str">
        <f t="shared" si="13"/>
        <v>-SLOWSS-</v>
      </c>
      <c r="Z179" s="4" t="str">
        <f t="shared" si="14"/>
        <v>{"couname":"","img":"0","pty":"","artist":"","genres":"","duration":"","spotId":"","Items":["-SADNE-","-SLOWSS-","OTHR","OTHR","XT_OffAnimals"]},</v>
      </c>
      <c r="AA179" s="5" t="s">
        <v>5</v>
      </c>
      <c r="AB179" s="3" t="str">
        <f t="shared" si="15"/>
        <v>["-SADNE-","-SLOWSS-","OTHR","OTHR","XT_OffAnimals"]</v>
      </c>
      <c r="AC179" s="3">
        <f>_xlfn.XLOOKUP(A179,Album!A:A,Album!J:J)</f>
        <v>0</v>
      </c>
      <c r="AD179" s="3">
        <f>_xlfn.XLOOKUP(D179,Artists!A:A,Artists!B:B)</f>
        <v>0</v>
      </c>
      <c r="AE179" s="3">
        <f>_xlfn.XLOOKUP(D179,Artists!A:A,Artists!C:C)</f>
        <v>0</v>
      </c>
      <c r="AF179" s="3" t="str">
        <f t="shared" si="16"/>
        <v>OTHR</v>
      </c>
      <c r="AG179" s="3" t="str">
        <f t="shared" si="17"/>
        <v>OTHR</v>
      </c>
    </row>
    <row r="180" spans="24:33" x14ac:dyDescent="0.3">
      <c r="X180" s="3" t="str">
        <f t="shared" si="12"/>
        <v>-SADNE-</v>
      </c>
      <c r="Y180" s="3" t="str">
        <f t="shared" si="13"/>
        <v>-SLOWSS-</v>
      </c>
      <c r="Z180" s="4" t="str">
        <f t="shared" si="14"/>
        <v>{"couname":"","img":"0","pty":"","artist":"","genres":"","duration":"","spotId":"","Items":["-SADNE-","-SLOWSS-","OTHR","OTHR","XT_OffAnimals"]},</v>
      </c>
      <c r="AA180" s="5" t="s">
        <v>5</v>
      </c>
      <c r="AB180" s="3" t="str">
        <f t="shared" si="15"/>
        <v>["-SADNE-","-SLOWSS-","OTHR","OTHR","XT_OffAnimals"]</v>
      </c>
      <c r="AC180" s="3">
        <f>_xlfn.XLOOKUP(A180,Album!A:A,Album!J:J)</f>
        <v>0</v>
      </c>
      <c r="AD180" s="3">
        <f>_xlfn.XLOOKUP(D180,Artists!A:A,Artists!B:B)</f>
        <v>0</v>
      </c>
      <c r="AE180" s="3">
        <f>_xlfn.XLOOKUP(D180,Artists!A:A,Artists!C:C)</f>
        <v>0</v>
      </c>
      <c r="AF180" s="3" t="str">
        <f t="shared" si="16"/>
        <v>OTHR</v>
      </c>
      <c r="AG180" s="3" t="str">
        <f t="shared" si="17"/>
        <v>OTHR</v>
      </c>
    </row>
    <row r="181" spans="24:33" x14ac:dyDescent="0.3">
      <c r="X181" s="3" t="str">
        <f t="shared" si="12"/>
        <v>-SADNE-</v>
      </c>
      <c r="Y181" s="3" t="str">
        <f t="shared" si="13"/>
        <v>-SLOWSS-</v>
      </c>
      <c r="Z181" s="4" t="str">
        <f t="shared" si="14"/>
        <v>{"couname":"","img":"0","pty":"","artist":"","genres":"","duration":"","spotId":"","Items":["-SADNE-","-SLOWSS-","OTHR","OTHR","XT_OffAnimals"]},</v>
      </c>
      <c r="AA181" s="5" t="s">
        <v>5</v>
      </c>
      <c r="AB181" s="3" t="str">
        <f t="shared" si="15"/>
        <v>["-SADNE-","-SLOWSS-","OTHR","OTHR","XT_OffAnimals"]</v>
      </c>
      <c r="AC181" s="3">
        <f>_xlfn.XLOOKUP(A181,Album!A:A,Album!J:J)</f>
        <v>0</v>
      </c>
      <c r="AD181" s="3">
        <f>_xlfn.XLOOKUP(D181,Artists!A:A,Artists!B:B)</f>
        <v>0</v>
      </c>
      <c r="AE181" s="3">
        <f>_xlfn.XLOOKUP(D181,Artists!A:A,Artists!C:C)</f>
        <v>0</v>
      </c>
      <c r="AF181" s="3" t="str">
        <f t="shared" si="16"/>
        <v>OTHR</v>
      </c>
      <c r="AG181" s="3" t="str">
        <f t="shared" si="17"/>
        <v>OTHR</v>
      </c>
    </row>
    <row r="182" spans="24:33" x14ac:dyDescent="0.3">
      <c r="X182" s="3" t="str">
        <f t="shared" si="12"/>
        <v>-SADNE-</v>
      </c>
      <c r="Y182" s="3" t="str">
        <f t="shared" si="13"/>
        <v>-SLOWSS-</v>
      </c>
      <c r="Z182" s="4" t="str">
        <f t="shared" si="14"/>
        <v>{"couname":"","img":"0","pty":"","artist":"","genres":"","duration":"","spotId":"","Items":["-SADNE-","-SLOWSS-","OTHR","OTHR","XT_OffAnimals"]},</v>
      </c>
      <c r="AA182" s="5" t="s">
        <v>5</v>
      </c>
      <c r="AB182" s="3" t="str">
        <f t="shared" si="15"/>
        <v>["-SADNE-","-SLOWSS-","OTHR","OTHR","XT_OffAnimals"]</v>
      </c>
      <c r="AC182" s="3">
        <f>_xlfn.XLOOKUP(A182,Album!A:A,Album!J:J)</f>
        <v>0</v>
      </c>
      <c r="AD182" s="3">
        <f>_xlfn.XLOOKUP(D182,Artists!A:A,Artists!B:B)</f>
        <v>0</v>
      </c>
      <c r="AE182" s="3">
        <f>_xlfn.XLOOKUP(D182,Artists!A:A,Artists!C:C)</f>
        <v>0</v>
      </c>
      <c r="AF182" s="3" t="str">
        <f t="shared" si="16"/>
        <v>OTHR</v>
      </c>
      <c r="AG182" s="3" t="str">
        <f t="shared" si="17"/>
        <v>OTHR</v>
      </c>
    </row>
    <row r="183" spans="24:33" x14ac:dyDescent="0.3">
      <c r="X183" s="3" t="str">
        <f t="shared" si="12"/>
        <v>-SADNE-</v>
      </c>
      <c r="Y183" s="3" t="str">
        <f t="shared" si="13"/>
        <v>-SLOWSS-</v>
      </c>
      <c r="Z183" s="4" t="str">
        <f t="shared" si="14"/>
        <v>{"couname":"","img":"0","pty":"","artist":"","genres":"","duration":"","spotId":"","Items":["-SADNE-","-SLOWSS-","OTHR","OTHR","XT_OffAnimals"]},</v>
      </c>
      <c r="AA183" s="5" t="s">
        <v>5</v>
      </c>
      <c r="AB183" s="3" t="str">
        <f t="shared" si="15"/>
        <v>["-SADNE-","-SLOWSS-","OTHR","OTHR","XT_OffAnimals"]</v>
      </c>
      <c r="AC183" s="3">
        <f>_xlfn.XLOOKUP(A183,Album!A:A,Album!J:J)</f>
        <v>0</v>
      </c>
      <c r="AD183" s="3">
        <f>_xlfn.XLOOKUP(D183,Artists!A:A,Artists!B:B)</f>
        <v>0</v>
      </c>
      <c r="AE183" s="3">
        <f>_xlfn.XLOOKUP(D183,Artists!A:A,Artists!C:C)</f>
        <v>0</v>
      </c>
      <c r="AF183" s="3" t="str">
        <f t="shared" si="16"/>
        <v>OTHR</v>
      </c>
      <c r="AG183" s="3" t="str">
        <f t="shared" si="17"/>
        <v>OTHR</v>
      </c>
    </row>
    <row r="184" spans="24:33" x14ac:dyDescent="0.3">
      <c r="X184" s="3" t="str">
        <f t="shared" si="12"/>
        <v>-SADNE-</v>
      </c>
      <c r="Y184" s="3" t="str">
        <f t="shared" si="13"/>
        <v>-SLOWSS-</v>
      </c>
      <c r="Z184" s="4" t="str">
        <f t="shared" si="14"/>
        <v>{"couname":"","img":"0","pty":"","artist":"","genres":"","duration":"","spotId":"","Items":["-SADNE-","-SLOWSS-","OTHR","OTHR","XT_OffAnimals"]},</v>
      </c>
      <c r="AA184" s="5" t="s">
        <v>5</v>
      </c>
      <c r="AB184" s="3" t="str">
        <f t="shared" si="15"/>
        <v>["-SADNE-","-SLOWSS-","OTHR","OTHR","XT_OffAnimals"]</v>
      </c>
      <c r="AC184" s="3">
        <f>_xlfn.XLOOKUP(A184,Album!A:A,Album!J:J)</f>
        <v>0</v>
      </c>
      <c r="AD184" s="3">
        <f>_xlfn.XLOOKUP(D184,Artists!A:A,Artists!B:B)</f>
        <v>0</v>
      </c>
      <c r="AE184" s="3">
        <f>_xlfn.XLOOKUP(D184,Artists!A:A,Artists!C:C)</f>
        <v>0</v>
      </c>
      <c r="AF184" s="3" t="str">
        <f t="shared" si="16"/>
        <v>OTHR</v>
      </c>
      <c r="AG184" s="3" t="str">
        <f t="shared" si="17"/>
        <v>OTHR</v>
      </c>
    </row>
    <row r="185" spans="24:33" x14ac:dyDescent="0.3">
      <c r="X185" s="3" t="str">
        <f t="shared" si="12"/>
        <v>-SADNE-</v>
      </c>
      <c r="Y185" s="3" t="str">
        <f t="shared" si="13"/>
        <v>-SLOWSS-</v>
      </c>
      <c r="Z185" s="4" t="str">
        <f t="shared" si="14"/>
        <v>{"couname":"","img":"0","pty":"","artist":"","genres":"","duration":"","spotId":"","Items":["-SADNE-","-SLOWSS-","OTHR","OTHR","XT_OffAnimals"]},</v>
      </c>
      <c r="AA185" s="5" t="s">
        <v>5</v>
      </c>
      <c r="AB185" s="3" t="str">
        <f t="shared" si="15"/>
        <v>["-SADNE-","-SLOWSS-","OTHR","OTHR","XT_OffAnimals"]</v>
      </c>
      <c r="AC185" s="3">
        <f>_xlfn.XLOOKUP(A185,Album!A:A,Album!J:J)</f>
        <v>0</v>
      </c>
      <c r="AD185" s="3">
        <f>_xlfn.XLOOKUP(D185,Artists!A:A,Artists!B:B)</f>
        <v>0</v>
      </c>
      <c r="AE185" s="3">
        <f>_xlfn.XLOOKUP(D185,Artists!A:A,Artists!C:C)</f>
        <v>0</v>
      </c>
      <c r="AF185" s="3" t="str">
        <f t="shared" si="16"/>
        <v>OTHR</v>
      </c>
      <c r="AG185" s="3" t="str">
        <f t="shared" si="17"/>
        <v>OTHR</v>
      </c>
    </row>
    <row r="186" spans="24:33" x14ac:dyDescent="0.3">
      <c r="X186" s="3" t="str">
        <f t="shared" si="12"/>
        <v>-SADNE-</v>
      </c>
      <c r="Y186" s="3" t="str">
        <f t="shared" si="13"/>
        <v>-SLOWSS-</v>
      </c>
      <c r="Z186" s="4" t="str">
        <f t="shared" si="14"/>
        <v>{"couname":"","img":"0","pty":"","artist":"","genres":"","duration":"","spotId":"","Items":["-SADNE-","-SLOWSS-","OTHR","OTHR","XT_OffAnimals"]},</v>
      </c>
      <c r="AA186" s="5" t="s">
        <v>5</v>
      </c>
      <c r="AB186" s="3" t="str">
        <f t="shared" si="15"/>
        <v>["-SADNE-","-SLOWSS-","OTHR","OTHR","XT_OffAnimals"]</v>
      </c>
      <c r="AC186" s="3">
        <f>_xlfn.XLOOKUP(A186,Album!A:A,Album!J:J)</f>
        <v>0</v>
      </c>
      <c r="AD186" s="3">
        <f>_xlfn.XLOOKUP(D186,Artists!A:A,Artists!B:B)</f>
        <v>0</v>
      </c>
      <c r="AE186" s="3">
        <f>_xlfn.XLOOKUP(D186,Artists!A:A,Artists!C:C)</f>
        <v>0</v>
      </c>
      <c r="AF186" s="3" t="str">
        <f t="shared" si="16"/>
        <v>OTHR</v>
      </c>
      <c r="AG186" s="3" t="str">
        <f t="shared" si="17"/>
        <v>OTHR</v>
      </c>
    </row>
    <row r="187" spans="24:33" x14ac:dyDescent="0.3">
      <c r="X187" s="3" t="str">
        <f t="shared" si="12"/>
        <v>-SADNE-</v>
      </c>
      <c r="Y187" s="3" t="str">
        <f t="shared" si="13"/>
        <v>-SLOWSS-</v>
      </c>
      <c r="Z187" s="4" t="str">
        <f t="shared" si="14"/>
        <v>{"couname":"","img":"0","pty":"","artist":"","genres":"","duration":"","spotId":"","Items":["-SADNE-","-SLOWSS-","OTHR","OTHR","XT_OffAnimals"]},</v>
      </c>
      <c r="AA187" s="5" t="s">
        <v>5</v>
      </c>
      <c r="AB187" s="3" t="str">
        <f t="shared" si="15"/>
        <v>["-SADNE-","-SLOWSS-","OTHR","OTHR","XT_OffAnimals"]</v>
      </c>
      <c r="AC187" s="3">
        <f>_xlfn.XLOOKUP(A187,Album!A:A,Album!J:J)</f>
        <v>0</v>
      </c>
      <c r="AD187" s="3">
        <f>_xlfn.XLOOKUP(D187,Artists!A:A,Artists!B:B)</f>
        <v>0</v>
      </c>
      <c r="AE187" s="3">
        <f>_xlfn.XLOOKUP(D187,Artists!A:A,Artists!C:C)</f>
        <v>0</v>
      </c>
      <c r="AF187" s="3" t="str">
        <f t="shared" si="16"/>
        <v>OTHR</v>
      </c>
      <c r="AG187" s="3" t="str">
        <f t="shared" si="17"/>
        <v>OTHR</v>
      </c>
    </row>
    <row r="188" spans="24:33" x14ac:dyDescent="0.3">
      <c r="X188" s="3" t="str">
        <f t="shared" si="12"/>
        <v>-SADNE-</v>
      </c>
      <c r="Y188" s="3" t="str">
        <f t="shared" si="13"/>
        <v>-SLOWSS-</v>
      </c>
      <c r="Z188" s="4" t="str">
        <f t="shared" si="14"/>
        <v>{"couname":"","img":"0","pty":"","artist":"","genres":"","duration":"","spotId":"","Items":["-SADNE-","-SLOWSS-","OTHR","OTHR","XT_OffAnimals"]},</v>
      </c>
      <c r="AA188" s="5" t="s">
        <v>5</v>
      </c>
      <c r="AB188" s="3" t="str">
        <f t="shared" si="15"/>
        <v>["-SADNE-","-SLOWSS-","OTHR","OTHR","XT_OffAnimals"]</v>
      </c>
      <c r="AC188" s="3">
        <f>_xlfn.XLOOKUP(A188,Album!A:A,Album!J:J)</f>
        <v>0</v>
      </c>
      <c r="AD188" s="3">
        <f>_xlfn.XLOOKUP(D188,Artists!A:A,Artists!B:B)</f>
        <v>0</v>
      </c>
      <c r="AE188" s="3">
        <f>_xlfn.XLOOKUP(D188,Artists!A:A,Artists!C:C)</f>
        <v>0</v>
      </c>
      <c r="AF188" s="3" t="str">
        <f t="shared" si="16"/>
        <v>OTHR</v>
      </c>
      <c r="AG188" s="3" t="str">
        <f t="shared" si="17"/>
        <v>OTHR</v>
      </c>
    </row>
    <row r="189" spans="24:33" x14ac:dyDescent="0.3">
      <c r="X189" s="3" t="str">
        <f t="shared" si="12"/>
        <v>-SADNE-</v>
      </c>
      <c r="Y189" s="3" t="str">
        <f t="shared" si="13"/>
        <v>-SLOWSS-</v>
      </c>
      <c r="Z189" s="4" t="str">
        <f t="shared" si="14"/>
        <v>{"couname":"","img":"0","pty":"","artist":"","genres":"","duration":"","spotId":"","Items":["-SADNE-","-SLOWSS-","OTHR","OTHR","XT_OffAnimals"]},</v>
      </c>
      <c r="AA189" s="5" t="s">
        <v>5</v>
      </c>
      <c r="AB189" s="3" t="str">
        <f t="shared" si="15"/>
        <v>["-SADNE-","-SLOWSS-","OTHR","OTHR","XT_OffAnimals"]</v>
      </c>
      <c r="AC189" s="3">
        <f>_xlfn.XLOOKUP(A189,Album!A:A,Album!J:J)</f>
        <v>0</v>
      </c>
      <c r="AD189" s="3">
        <f>_xlfn.XLOOKUP(D189,Artists!A:A,Artists!B:B)</f>
        <v>0</v>
      </c>
      <c r="AE189" s="3">
        <f>_xlfn.XLOOKUP(D189,Artists!A:A,Artists!C:C)</f>
        <v>0</v>
      </c>
      <c r="AF189" s="3" t="str">
        <f t="shared" si="16"/>
        <v>OTHR</v>
      </c>
      <c r="AG189" s="3" t="str">
        <f t="shared" si="17"/>
        <v>OTHR</v>
      </c>
    </row>
    <row r="190" spans="24:33" x14ac:dyDescent="0.3">
      <c r="X190" s="3" t="str">
        <f t="shared" si="12"/>
        <v>-SADNE-</v>
      </c>
      <c r="Y190" s="3" t="str">
        <f t="shared" si="13"/>
        <v>-SLOWSS-</v>
      </c>
      <c r="Z190" s="4" t="str">
        <f t="shared" si="14"/>
        <v>{"couname":"","img":"0","pty":"","artist":"","genres":"","duration":"","spotId":"","Items":["-SADNE-","-SLOWSS-","OTHR","OTHR","XT_OffAnimals"]},</v>
      </c>
      <c r="AA190" s="5" t="s">
        <v>5</v>
      </c>
      <c r="AB190" s="3" t="str">
        <f t="shared" si="15"/>
        <v>["-SADNE-","-SLOWSS-","OTHR","OTHR","XT_OffAnimals"]</v>
      </c>
      <c r="AC190" s="3">
        <f>_xlfn.XLOOKUP(A190,Album!A:A,Album!J:J)</f>
        <v>0</v>
      </c>
      <c r="AD190" s="3">
        <f>_xlfn.XLOOKUP(D190,Artists!A:A,Artists!B:B)</f>
        <v>0</v>
      </c>
      <c r="AE190" s="3">
        <f>_xlfn.XLOOKUP(D190,Artists!A:A,Artists!C:C)</f>
        <v>0</v>
      </c>
      <c r="AF190" s="3" t="str">
        <f t="shared" si="16"/>
        <v>OTHR</v>
      </c>
      <c r="AG190" s="3" t="str">
        <f t="shared" si="17"/>
        <v>OTHR</v>
      </c>
    </row>
    <row r="191" spans="24:33" x14ac:dyDescent="0.3">
      <c r="X191" s="3" t="str">
        <f t="shared" si="12"/>
        <v>-SADNE-</v>
      </c>
      <c r="Y191" s="3" t="str">
        <f t="shared" si="13"/>
        <v>-SLOWSS-</v>
      </c>
      <c r="Z191" s="4" t="str">
        <f t="shared" si="14"/>
        <v>{"couname":"","img":"0","pty":"","artist":"","genres":"","duration":"","spotId":"","Items":["-SADNE-","-SLOWSS-","OTHR","OTHR","XT_OffAnimals"]},</v>
      </c>
      <c r="AA191" s="5" t="s">
        <v>5</v>
      </c>
      <c r="AB191" s="3" t="str">
        <f t="shared" si="15"/>
        <v>["-SADNE-","-SLOWSS-","OTHR","OTHR","XT_OffAnimals"]</v>
      </c>
      <c r="AC191" s="3">
        <f>_xlfn.XLOOKUP(A191,Album!A:A,Album!J:J)</f>
        <v>0</v>
      </c>
      <c r="AD191" s="3">
        <f>_xlfn.XLOOKUP(D191,Artists!A:A,Artists!B:B)</f>
        <v>0</v>
      </c>
      <c r="AE191" s="3">
        <f>_xlfn.XLOOKUP(D191,Artists!A:A,Artists!C:C)</f>
        <v>0</v>
      </c>
      <c r="AF191" s="3" t="str">
        <f t="shared" si="16"/>
        <v>OTHR</v>
      </c>
      <c r="AG191" s="3" t="str">
        <f t="shared" si="17"/>
        <v>OTHR</v>
      </c>
    </row>
    <row r="192" spans="24:33" x14ac:dyDescent="0.3">
      <c r="X192" s="3" t="str">
        <f t="shared" si="12"/>
        <v>-SADNE-</v>
      </c>
      <c r="Y192" s="3" t="str">
        <f t="shared" si="13"/>
        <v>-SLOWSS-</v>
      </c>
      <c r="Z192" s="4" t="str">
        <f t="shared" si="14"/>
        <v>{"couname":"","img":"0","pty":"","artist":"","genres":"","duration":"","spotId":"","Items":["-SADNE-","-SLOWSS-","OTHR","OTHR","XT_OffAnimals"]},</v>
      </c>
      <c r="AA192" s="5" t="s">
        <v>5</v>
      </c>
      <c r="AB192" s="3" t="str">
        <f t="shared" si="15"/>
        <v>["-SADNE-","-SLOWSS-","OTHR","OTHR","XT_OffAnimals"]</v>
      </c>
      <c r="AC192" s="3">
        <f>_xlfn.XLOOKUP(A192,Album!A:A,Album!J:J)</f>
        <v>0</v>
      </c>
      <c r="AD192" s="3">
        <f>_xlfn.XLOOKUP(D192,Artists!A:A,Artists!B:B)</f>
        <v>0</v>
      </c>
      <c r="AE192" s="3">
        <f>_xlfn.XLOOKUP(D192,Artists!A:A,Artists!C:C)</f>
        <v>0</v>
      </c>
      <c r="AF192" s="3" t="str">
        <f t="shared" si="16"/>
        <v>OTHR</v>
      </c>
      <c r="AG192" s="3" t="str">
        <f t="shared" si="17"/>
        <v>OTHR</v>
      </c>
    </row>
    <row r="193" spans="24:33" x14ac:dyDescent="0.3">
      <c r="X193" s="3" t="str">
        <f t="shared" si="12"/>
        <v>-SADNE-</v>
      </c>
      <c r="Y193" s="3" t="str">
        <f t="shared" si="13"/>
        <v>-SLOWSS-</v>
      </c>
      <c r="Z193" s="4" t="str">
        <f t="shared" si="14"/>
        <v>{"couname":"","img":"0","pty":"","artist":"","genres":"","duration":"","spotId":"","Items":["-SADNE-","-SLOWSS-","OTHR","OTHR","XT_OffAnimals"]},</v>
      </c>
      <c r="AA193" s="5" t="s">
        <v>5</v>
      </c>
      <c r="AB193" s="3" t="str">
        <f t="shared" si="15"/>
        <v>["-SADNE-","-SLOWSS-","OTHR","OTHR","XT_OffAnimals"]</v>
      </c>
      <c r="AC193" s="3">
        <f>_xlfn.XLOOKUP(A193,Album!A:A,Album!J:J)</f>
        <v>0</v>
      </c>
      <c r="AD193" s="3">
        <f>_xlfn.XLOOKUP(D193,Artists!A:A,Artists!B:B)</f>
        <v>0</v>
      </c>
      <c r="AE193" s="3">
        <f>_xlfn.XLOOKUP(D193,Artists!A:A,Artists!C:C)</f>
        <v>0</v>
      </c>
      <c r="AF193" s="3" t="str">
        <f t="shared" si="16"/>
        <v>OTHR</v>
      </c>
      <c r="AG193" s="3" t="str">
        <f t="shared" si="17"/>
        <v>OTHR</v>
      </c>
    </row>
    <row r="194" spans="24:33" x14ac:dyDescent="0.3">
      <c r="X194" s="3" t="str">
        <f t="shared" ref="X194:X257" si="18">IF(OR(U194&lt;0.301, AND(U194&lt;0.4, P194=0)), "-SADNE-", "-HAPPY-")</f>
        <v>-SADNE-</v>
      </c>
      <c r="Y194" s="3" t="str">
        <f t="shared" ref="Y194:Y257" si="19">IF(OR(AND(L194&lt;0.5,M194&lt;0.5),AND(L194&lt;0.45,V194&lt;100),AND(M194&lt;0.45,V194&lt;100),AND(U194&lt;0.39,V194&lt;100)),"-SLOWSS-","-ENERGY-")</f>
        <v>-SLOWSS-</v>
      </c>
      <c r="Z194" s="4" t="str">
        <f t="shared" si="14"/>
        <v>{"couname":"","img":"0","pty":"","artist":"","genres":"","duration":"","spotId":"","Items":["-SADNE-","-SLOWSS-","OTHR","OTHR","XT_OffAnimals"]},</v>
      </c>
      <c r="AA194" s="5" t="s">
        <v>5</v>
      </c>
      <c r="AB194" s="3" t="str">
        <f t="shared" si="15"/>
        <v>["-SADNE-","-SLOWSS-","OTHR","OTHR","XT_OffAnimals"]</v>
      </c>
      <c r="AC194" s="3">
        <f>_xlfn.XLOOKUP(A194,Album!A:A,Album!J:J)</f>
        <v>0</v>
      </c>
      <c r="AD194" s="3">
        <f>_xlfn.XLOOKUP(D194,Artists!A:A,Artists!B:B)</f>
        <v>0</v>
      </c>
      <c r="AE194" s="3">
        <f>_xlfn.XLOOKUP(D194,Artists!A:A,Artists!C:C)</f>
        <v>0</v>
      </c>
      <c r="AF194" s="3" t="str">
        <f t="shared" si="16"/>
        <v>OTHR</v>
      </c>
      <c r="AG194" s="3" t="str">
        <f t="shared" si="17"/>
        <v>OTHR</v>
      </c>
    </row>
    <row r="195" spans="24:33" x14ac:dyDescent="0.3">
      <c r="X195" s="3" t="str">
        <f t="shared" si="18"/>
        <v>-SADNE-</v>
      </c>
      <c r="Y195" s="3" t="str">
        <f t="shared" si="19"/>
        <v>-SLOWSS-</v>
      </c>
      <c r="Z195" s="4" t="str">
        <f t="shared" ref="Z195:Z258" si="20">"{"&amp;CHAR(34)&amp;"couname"&amp;CHAR(34)&amp;":"&amp;CHAR(34)&amp;B195&amp;CHAR(34)&amp;","&amp;CHAR(34)&amp;"img"&amp;CHAR(34)&amp;":"&amp;CHAR(34)&amp;AC195&amp;CHAR(34)&amp;","&amp;CHAR(34)&amp;"pty"&amp;CHAR(34)&amp;":"&amp;CHAR(34)&amp;G195&amp;CHAR(34)&amp;","&amp;CHAR(34)&amp;"artist"&amp;CHAR(34)&amp;":"&amp;CHAR(34)&amp;D195&amp;CHAR(34)&amp;","&amp;CHAR(34)&amp;"genres"&amp;CHAR(34)&amp;":"&amp;CHAR(34)&amp;J195&amp;CHAR(34)&amp;","&amp;CHAR(34)&amp;"duration"&amp;CHAR(34)&amp;":"&amp;CHAR(34)&amp;F195&amp;CHAR(34)&amp;","&amp;CHAR(34)&amp;"spotId"&amp;CHAR(34)&amp;":"&amp;CHAR(34)&amp;A195&amp;CHAR(34)&amp;","&amp;CHAR(34)&amp;"Items"&amp;CHAR(34)&amp;":"&amp;AB195&amp;"},"</f>
        <v>{"couname":"","img":"0","pty":"","artist":"","genres":"","duration":"","spotId":"","Items":["-SADNE-","-SLOWSS-","OTHR","OTHR","XT_OffAnimals"]},</v>
      </c>
      <c r="AA195" s="5" t="s">
        <v>5</v>
      </c>
      <c r="AB195" s="3" t="str">
        <f t="shared" ref="AB195:AB258" si="21" xml:space="preserve"> "[" &amp; _xlfn.TEXTJOIN(",",TRUE,CHAR(34) &amp; X195&amp; CHAR(34), CHAR(34) &amp; Y195 &amp; CHAR(34),  CHAR(34) &amp; AF195 &amp; CHAR(34), CHAR(34) &amp;AG195 &amp; CHAR(34), CHAR(34) &amp; AA195 &amp; CHAR(34)) &amp; "]"</f>
        <v>["-SADNE-","-SLOWSS-","OTHR","OTHR","XT_OffAnimals"]</v>
      </c>
      <c r="AC195" s="3">
        <f>_xlfn.XLOOKUP(A195,Album!A:A,Album!J:J)</f>
        <v>0</v>
      </c>
      <c r="AD195" s="3">
        <f>_xlfn.XLOOKUP(D195,Artists!A:A,Artists!B:B)</f>
        <v>0</v>
      </c>
      <c r="AE195" s="3">
        <f>_xlfn.XLOOKUP(D195,Artists!A:A,Artists!C:C)</f>
        <v>0</v>
      </c>
      <c r="AF195" s="3" t="str">
        <f t="shared" ref="AF195:AF258" si="22">IF(ISNUMBER(SEARCH("female", AD195)), "GIRL", IF(ISNUMBER(SEARCH("male", AD195)), "DUDE", "OTHR"))</f>
        <v>OTHR</v>
      </c>
      <c r="AG195" s="3" t="str">
        <f t="shared" ref="AG195:AG258" si="23">IF(ISNUMBER(SEARCH("band", AD195)), "BAND", IF(ISNUMBER(SEARCH("solo", AD195)), "SOLO", "OTHR"))</f>
        <v>OTHR</v>
      </c>
    </row>
    <row r="196" spans="24:33" x14ac:dyDescent="0.3">
      <c r="X196" s="3" t="str">
        <f t="shared" si="18"/>
        <v>-SADNE-</v>
      </c>
      <c r="Y196" s="3" t="str">
        <f t="shared" si="19"/>
        <v>-SLOWSS-</v>
      </c>
      <c r="Z196" s="4" t="str">
        <f t="shared" si="20"/>
        <v>{"couname":"","img":"0","pty":"","artist":"","genres":"","duration":"","spotId":"","Items":["-SADNE-","-SLOWSS-","OTHR","OTHR","XT_OffAnimals"]},</v>
      </c>
      <c r="AA196" s="5" t="s">
        <v>5</v>
      </c>
      <c r="AB196" s="3" t="str">
        <f t="shared" si="21"/>
        <v>["-SADNE-","-SLOWSS-","OTHR","OTHR","XT_OffAnimals"]</v>
      </c>
      <c r="AC196" s="3">
        <f>_xlfn.XLOOKUP(A196,Album!A:A,Album!J:J)</f>
        <v>0</v>
      </c>
      <c r="AD196" s="3">
        <f>_xlfn.XLOOKUP(D196,Artists!A:A,Artists!B:B)</f>
        <v>0</v>
      </c>
      <c r="AE196" s="3">
        <f>_xlfn.XLOOKUP(D196,Artists!A:A,Artists!C:C)</f>
        <v>0</v>
      </c>
      <c r="AF196" s="3" t="str">
        <f t="shared" si="22"/>
        <v>OTHR</v>
      </c>
      <c r="AG196" s="3" t="str">
        <f t="shared" si="23"/>
        <v>OTHR</v>
      </c>
    </row>
    <row r="197" spans="24:33" x14ac:dyDescent="0.3">
      <c r="X197" s="3" t="str">
        <f t="shared" si="18"/>
        <v>-SADNE-</v>
      </c>
      <c r="Y197" s="3" t="str">
        <f t="shared" si="19"/>
        <v>-SLOWSS-</v>
      </c>
      <c r="Z197" s="4" t="str">
        <f t="shared" si="20"/>
        <v>{"couname":"","img":"0","pty":"","artist":"","genres":"","duration":"","spotId":"","Items":["-SADNE-","-SLOWSS-","OTHR","OTHR","XT_OffAnimals"]},</v>
      </c>
      <c r="AA197" s="5" t="s">
        <v>5</v>
      </c>
      <c r="AB197" s="3" t="str">
        <f t="shared" si="21"/>
        <v>["-SADNE-","-SLOWSS-","OTHR","OTHR","XT_OffAnimals"]</v>
      </c>
      <c r="AC197" s="3">
        <f>_xlfn.XLOOKUP(A197,Album!A:A,Album!J:J)</f>
        <v>0</v>
      </c>
      <c r="AD197" s="3">
        <f>_xlfn.XLOOKUP(D197,Artists!A:A,Artists!B:B)</f>
        <v>0</v>
      </c>
      <c r="AE197" s="3">
        <f>_xlfn.XLOOKUP(D197,Artists!A:A,Artists!C:C)</f>
        <v>0</v>
      </c>
      <c r="AF197" s="3" t="str">
        <f t="shared" si="22"/>
        <v>OTHR</v>
      </c>
      <c r="AG197" s="3" t="str">
        <f t="shared" si="23"/>
        <v>OTHR</v>
      </c>
    </row>
    <row r="198" spans="24:33" x14ac:dyDescent="0.3">
      <c r="X198" s="3" t="str">
        <f t="shared" si="18"/>
        <v>-SADNE-</v>
      </c>
      <c r="Y198" s="3" t="str">
        <f t="shared" si="19"/>
        <v>-SLOWSS-</v>
      </c>
      <c r="Z198" s="4" t="str">
        <f t="shared" si="20"/>
        <v>{"couname":"","img":"0","pty":"","artist":"","genres":"","duration":"","spotId":"","Items":["-SADNE-","-SLOWSS-","OTHR","OTHR","XT_OffAnimals"]},</v>
      </c>
      <c r="AA198" s="5" t="s">
        <v>5</v>
      </c>
      <c r="AB198" s="3" t="str">
        <f t="shared" si="21"/>
        <v>["-SADNE-","-SLOWSS-","OTHR","OTHR","XT_OffAnimals"]</v>
      </c>
      <c r="AC198" s="3">
        <f>_xlfn.XLOOKUP(A198,Album!A:A,Album!J:J)</f>
        <v>0</v>
      </c>
      <c r="AD198" s="3">
        <f>_xlfn.XLOOKUP(D198,Artists!A:A,Artists!B:B)</f>
        <v>0</v>
      </c>
      <c r="AE198" s="3">
        <f>_xlfn.XLOOKUP(D198,Artists!A:A,Artists!C:C)</f>
        <v>0</v>
      </c>
      <c r="AF198" s="3" t="str">
        <f t="shared" si="22"/>
        <v>OTHR</v>
      </c>
      <c r="AG198" s="3" t="str">
        <f t="shared" si="23"/>
        <v>OTHR</v>
      </c>
    </row>
    <row r="199" spans="24:33" x14ac:dyDescent="0.3">
      <c r="X199" s="3" t="str">
        <f t="shared" si="18"/>
        <v>-SADNE-</v>
      </c>
      <c r="Y199" s="3" t="str">
        <f t="shared" si="19"/>
        <v>-SLOWSS-</v>
      </c>
      <c r="Z199" s="4" t="str">
        <f t="shared" si="20"/>
        <v>{"couname":"","img":"0","pty":"","artist":"","genres":"","duration":"","spotId":"","Items":["-SADNE-","-SLOWSS-","OTHR","OTHR","XT_OffAnimals"]},</v>
      </c>
      <c r="AA199" s="5" t="s">
        <v>5</v>
      </c>
      <c r="AB199" s="3" t="str">
        <f t="shared" si="21"/>
        <v>["-SADNE-","-SLOWSS-","OTHR","OTHR","XT_OffAnimals"]</v>
      </c>
      <c r="AC199" s="3">
        <f>_xlfn.XLOOKUP(A199,Album!A:A,Album!J:J)</f>
        <v>0</v>
      </c>
      <c r="AD199" s="3">
        <f>_xlfn.XLOOKUP(D199,Artists!A:A,Artists!B:B)</f>
        <v>0</v>
      </c>
      <c r="AE199" s="3">
        <f>_xlfn.XLOOKUP(D199,Artists!A:A,Artists!C:C)</f>
        <v>0</v>
      </c>
      <c r="AF199" s="3" t="str">
        <f t="shared" si="22"/>
        <v>OTHR</v>
      </c>
      <c r="AG199" s="3" t="str">
        <f t="shared" si="23"/>
        <v>OTHR</v>
      </c>
    </row>
    <row r="200" spans="24:33" x14ac:dyDescent="0.3">
      <c r="X200" s="3" t="str">
        <f t="shared" si="18"/>
        <v>-SADNE-</v>
      </c>
      <c r="Y200" s="3" t="str">
        <f t="shared" si="19"/>
        <v>-SLOWSS-</v>
      </c>
      <c r="Z200" s="4" t="str">
        <f t="shared" si="20"/>
        <v>{"couname":"","img":"0","pty":"","artist":"","genres":"","duration":"","spotId":"","Items":["-SADNE-","-SLOWSS-","OTHR","OTHR","XT_OffAnimals"]},</v>
      </c>
      <c r="AA200" s="5" t="s">
        <v>5</v>
      </c>
      <c r="AB200" s="3" t="str">
        <f t="shared" si="21"/>
        <v>["-SADNE-","-SLOWSS-","OTHR","OTHR","XT_OffAnimals"]</v>
      </c>
      <c r="AC200" s="3">
        <f>_xlfn.XLOOKUP(A200,Album!A:A,Album!J:J)</f>
        <v>0</v>
      </c>
      <c r="AD200" s="3">
        <f>_xlfn.XLOOKUP(D200,Artists!A:A,Artists!B:B)</f>
        <v>0</v>
      </c>
      <c r="AE200" s="3">
        <f>_xlfn.XLOOKUP(D200,Artists!A:A,Artists!C:C)</f>
        <v>0</v>
      </c>
      <c r="AF200" s="3" t="str">
        <f t="shared" si="22"/>
        <v>OTHR</v>
      </c>
      <c r="AG200" s="3" t="str">
        <f t="shared" si="23"/>
        <v>OTHR</v>
      </c>
    </row>
    <row r="201" spans="24:33" x14ac:dyDescent="0.3">
      <c r="X201" s="3" t="str">
        <f t="shared" si="18"/>
        <v>-SADNE-</v>
      </c>
      <c r="Y201" s="3" t="str">
        <f t="shared" si="19"/>
        <v>-SLOWSS-</v>
      </c>
      <c r="Z201" s="4" t="str">
        <f t="shared" si="20"/>
        <v>{"couname":"","img":"0","pty":"","artist":"","genres":"","duration":"","spotId":"","Items":["-SADNE-","-SLOWSS-","OTHR","OTHR","XT_OffAnimals"]},</v>
      </c>
      <c r="AA201" s="5" t="s">
        <v>5</v>
      </c>
      <c r="AB201" s="3" t="str">
        <f t="shared" si="21"/>
        <v>["-SADNE-","-SLOWSS-","OTHR","OTHR","XT_OffAnimals"]</v>
      </c>
      <c r="AC201" s="3">
        <f>_xlfn.XLOOKUP(A201,Album!A:A,Album!J:J)</f>
        <v>0</v>
      </c>
      <c r="AD201" s="3">
        <f>_xlfn.XLOOKUP(D201,Artists!A:A,Artists!B:B)</f>
        <v>0</v>
      </c>
      <c r="AE201" s="3">
        <f>_xlfn.XLOOKUP(D201,Artists!A:A,Artists!C:C)</f>
        <v>0</v>
      </c>
      <c r="AF201" s="3" t="str">
        <f t="shared" si="22"/>
        <v>OTHR</v>
      </c>
      <c r="AG201" s="3" t="str">
        <f t="shared" si="23"/>
        <v>OTHR</v>
      </c>
    </row>
    <row r="202" spans="24:33" x14ac:dyDescent="0.3">
      <c r="X202" s="3" t="str">
        <f t="shared" si="18"/>
        <v>-SADNE-</v>
      </c>
      <c r="Y202" s="3" t="str">
        <f t="shared" si="19"/>
        <v>-SLOWSS-</v>
      </c>
      <c r="Z202" s="4" t="str">
        <f t="shared" si="20"/>
        <v>{"couname":"","img":"0","pty":"","artist":"","genres":"","duration":"","spotId":"","Items":["-SADNE-","-SLOWSS-","OTHR","OTHR","XT_OffAnimals"]},</v>
      </c>
      <c r="AA202" s="5" t="s">
        <v>5</v>
      </c>
      <c r="AB202" s="3" t="str">
        <f t="shared" si="21"/>
        <v>["-SADNE-","-SLOWSS-","OTHR","OTHR","XT_OffAnimals"]</v>
      </c>
      <c r="AC202" s="3">
        <f>_xlfn.XLOOKUP(A202,Album!A:A,Album!J:J)</f>
        <v>0</v>
      </c>
      <c r="AD202" s="3">
        <f>_xlfn.XLOOKUP(D202,Artists!A:A,Artists!B:B)</f>
        <v>0</v>
      </c>
      <c r="AE202" s="3">
        <f>_xlfn.XLOOKUP(D202,Artists!A:A,Artists!C:C)</f>
        <v>0</v>
      </c>
      <c r="AF202" s="3" t="str">
        <f t="shared" si="22"/>
        <v>OTHR</v>
      </c>
      <c r="AG202" s="3" t="str">
        <f t="shared" si="23"/>
        <v>OTHR</v>
      </c>
    </row>
    <row r="203" spans="24:33" x14ac:dyDescent="0.3">
      <c r="X203" s="3" t="str">
        <f t="shared" si="18"/>
        <v>-SADNE-</v>
      </c>
      <c r="Y203" s="3" t="str">
        <f t="shared" si="19"/>
        <v>-SLOWSS-</v>
      </c>
      <c r="Z203" s="4" t="str">
        <f t="shared" si="20"/>
        <v>{"couname":"","img":"0","pty":"","artist":"","genres":"","duration":"","spotId":"","Items":["-SADNE-","-SLOWSS-","OTHR","OTHR","XT_OffAnimals"]},</v>
      </c>
      <c r="AA203" s="5" t="s">
        <v>5</v>
      </c>
      <c r="AB203" s="3" t="str">
        <f t="shared" si="21"/>
        <v>["-SADNE-","-SLOWSS-","OTHR","OTHR","XT_OffAnimals"]</v>
      </c>
      <c r="AC203" s="3">
        <f>_xlfn.XLOOKUP(A203,Album!A:A,Album!J:J)</f>
        <v>0</v>
      </c>
      <c r="AD203" s="3">
        <f>_xlfn.XLOOKUP(D203,Artists!A:A,Artists!B:B)</f>
        <v>0</v>
      </c>
      <c r="AE203" s="3">
        <f>_xlfn.XLOOKUP(D203,Artists!A:A,Artists!C:C)</f>
        <v>0</v>
      </c>
      <c r="AF203" s="3" t="str">
        <f t="shared" si="22"/>
        <v>OTHR</v>
      </c>
      <c r="AG203" s="3" t="str">
        <f t="shared" si="23"/>
        <v>OTHR</v>
      </c>
    </row>
    <row r="204" spans="24:33" x14ac:dyDescent="0.3">
      <c r="X204" s="3" t="str">
        <f t="shared" si="18"/>
        <v>-SADNE-</v>
      </c>
      <c r="Y204" s="3" t="str">
        <f t="shared" si="19"/>
        <v>-SLOWSS-</v>
      </c>
      <c r="Z204" s="4" t="str">
        <f t="shared" si="20"/>
        <v>{"couname":"","img":"0","pty":"","artist":"","genres":"","duration":"","spotId":"","Items":["-SADNE-","-SLOWSS-","OTHR","OTHR","XT_OffAnimals"]},</v>
      </c>
      <c r="AA204" s="5" t="s">
        <v>5</v>
      </c>
      <c r="AB204" s="3" t="str">
        <f t="shared" si="21"/>
        <v>["-SADNE-","-SLOWSS-","OTHR","OTHR","XT_OffAnimals"]</v>
      </c>
      <c r="AC204" s="3">
        <f>_xlfn.XLOOKUP(A204,Album!A:A,Album!J:J)</f>
        <v>0</v>
      </c>
      <c r="AD204" s="3">
        <f>_xlfn.XLOOKUP(D204,Artists!A:A,Artists!B:B)</f>
        <v>0</v>
      </c>
      <c r="AE204" s="3">
        <f>_xlfn.XLOOKUP(D204,Artists!A:A,Artists!C:C)</f>
        <v>0</v>
      </c>
      <c r="AF204" s="3" t="str">
        <f t="shared" si="22"/>
        <v>OTHR</v>
      </c>
      <c r="AG204" s="3" t="str">
        <f t="shared" si="23"/>
        <v>OTHR</v>
      </c>
    </row>
    <row r="205" spans="24:33" x14ac:dyDescent="0.3">
      <c r="X205" s="3" t="str">
        <f t="shared" si="18"/>
        <v>-SADNE-</v>
      </c>
      <c r="Y205" s="3" t="str">
        <f t="shared" si="19"/>
        <v>-SLOWSS-</v>
      </c>
      <c r="Z205" s="4" t="str">
        <f t="shared" si="20"/>
        <v>{"couname":"","img":"0","pty":"","artist":"","genres":"","duration":"","spotId":"","Items":["-SADNE-","-SLOWSS-","OTHR","OTHR","XT_OffAnimals"]},</v>
      </c>
      <c r="AA205" s="5" t="s">
        <v>5</v>
      </c>
      <c r="AB205" s="3" t="str">
        <f t="shared" si="21"/>
        <v>["-SADNE-","-SLOWSS-","OTHR","OTHR","XT_OffAnimals"]</v>
      </c>
      <c r="AC205" s="3">
        <f>_xlfn.XLOOKUP(A205,Album!A:A,Album!J:J)</f>
        <v>0</v>
      </c>
      <c r="AD205" s="3">
        <f>_xlfn.XLOOKUP(D205,Artists!A:A,Artists!B:B)</f>
        <v>0</v>
      </c>
      <c r="AE205" s="3">
        <f>_xlfn.XLOOKUP(D205,Artists!A:A,Artists!C:C)</f>
        <v>0</v>
      </c>
      <c r="AF205" s="3" t="str">
        <f t="shared" si="22"/>
        <v>OTHR</v>
      </c>
      <c r="AG205" s="3" t="str">
        <f t="shared" si="23"/>
        <v>OTHR</v>
      </c>
    </row>
    <row r="206" spans="24:33" x14ac:dyDescent="0.3">
      <c r="X206" s="3" t="str">
        <f t="shared" si="18"/>
        <v>-SADNE-</v>
      </c>
      <c r="Y206" s="3" t="str">
        <f t="shared" si="19"/>
        <v>-SLOWSS-</v>
      </c>
      <c r="Z206" s="4" t="str">
        <f t="shared" si="20"/>
        <v>{"couname":"","img":"0","pty":"","artist":"","genres":"","duration":"","spotId":"","Items":["-SADNE-","-SLOWSS-","OTHR","OTHR","XT_OffAnimals"]},</v>
      </c>
      <c r="AA206" s="5" t="s">
        <v>5</v>
      </c>
      <c r="AB206" s="3" t="str">
        <f t="shared" si="21"/>
        <v>["-SADNE-","-SLOWSS-","OTHR","OTHR","XT_OffAnimals"]</v>
      </c>
      <c r="AC206" s="3">
        <f>_xlfn.XLOOKUP(A206,Album!A:A,Album!J:J)</f>
        <v>0</v>
      </c>
      <c r="AD206" s="3">
        <f>_xlfn.XLOOKUP(D206,Artists!A:A,Artists!B:B)</f>
        <v>0</v>
      </c>
      <c r="AE206" s="3">
        <f>_xlfn.XLOOKUP(D206,Artists!A:A,Artists!C:C)</f>
        <v>0</v>
      </c>
      <c r="AF206" s="3" t="str">
        <f t="shared" si="22"/>
        <v>OTHR</v>
      </c>
      <c r="AG206" s="3" t="str">
        <f t="shared" si="23"/>
        <v>OTHR</v>
      </c>
    </row>
    <row r="207" spans="24:33" x14ac:dyDescent="0.3">
      <c r="X207" s="3" t="str">
        <f t="shared" si="18"/>
        <v>-SADNE-</v>
      </c>
      <c r="Y207" s="3" t="str">
        <f t="shared" si="19"/>
        <v>-SLOWSS-</v>
      </c>
      <c r="Z207" s="4" t="str">
        <f t="shared" si="20"/>
        <v>{"couname":"","img":"0","pty":"","artist":"","genres":"","duration":"","spotId":"","Items":["-SADNE-","-SLOWSS-","OTHR","OTHR","XT_OffAnimals"]},</v>
      </c>
      <c r="AA207" s="5" t="s">
        <v>5</v>
      </c>
      <c r="AB207" s="3" t="str">
        <f t="shared" si="21"/>
        <v>["-SADNE-","-SLOWSS-","OTHR","OTHR","XT_OffAnimals"]</v>
      </c>
      <c r="AC207" s="3">
        <f>_xlfn.XLOOKUP(A207,Album!A:A,Album!J:J)</f>
        <v>0</v>
      </c>
      <c r="AD207" s="3">
        <f>_xlfn.XLOOKUP(D207,Artists!A:A,Artists!B:B)</f>
        <v>0</v>
      </c>
      <c r="AE207" s="3">
        <f>_xlfn.XLOOKUP(D207,Artists!A:A,Artists!C:C)</f>
        <v>0</v>
      </c>
      <c r="AF207" s="3" t="str">
        <f t="shared" si="22"/>
        <v>OTHR</v>
      </c>
      <c r="AG207" s="3" t="str">
        <f t="shared" si="23"/>
        <v>OTHR</v>
      </c>
    </row>
    <row r="208" spans="24:33" x14ac:dyDescent="0.3">
      <c r="X208" s="3" t="str">
        <f t="shared" si="18"/>
        <v>-SADNE-</v>
      </c>
      <c r="Y208" s="3" t="str">
        <f t="shared" si="19"/>
        <v>-SLOWSS-</v>
      </c>
      <c r="Z208" s="4" t="str">
        <f t="shared" si="20"/>
        <v>{"couname":"","img":"0","pty":"","artist":"","genres":"","duration":"","spotId":"","Items":["-SADNE-","-SLOWSS-","OTHR","OTHR","XT_OffAnimals"]},</v>
      </c>
      <c r="AA208" s="5" t="s">
        <v>5</v>
      </c>
      <c r="AB208" s="3" t="str">
        <f t="shared" si="21"/>
        <v>["-SADNE-","-SLOWSS-","OTHR","OTHR","XT_OffAnimals"]</v>
      </c>
      <c r="AC208" s="3">
        <f>_xlfn.XLOOKUP(A208,Album!A:A,Album!J:J)</f>
        <v>0</v>
      </c>
      <c r="AD208" s="3">
        <f>_xlfn.XLOOKUP(D208,Artists!A:A,Artists!B:B)</f>
        <v>0</v>
      </c>
      <c r="AE208" s="3">
        <f>_xlfn.XLOOKUP(D208,Artists!A:A,Artists!C:C)</f>
        <v>0</v>
      </c>
      <c r="AF208" s="3" t="str">
        <f t="shared" si="22"/>
        <v>OTHR</v>
      </c>
      <c r="AG208" s="3" t="str">
        <f t="shared" si="23"/>
        <v>OTHR</v>
      </c>
    </row>
    <row r="209" spans="24:33" x14ac:dyDescent="0.3">
      <c r="X209" s="3" t="str">
        <f t="shared" si="18"/>
        <v>-SADNE-</v>
      </c>
      <c r="Y209" s="3" t="str">
        <f t="shared" si="19"/>
        <v>-SLOWSS-</v>
      </c>
      <c r="Z209" s="4" t="str">
        <f t="shared" si="20"/>
        <v>{"couname":"","img":"0","pty":"","artist":"","genres":"","duration":"","spotId":"","Items":["-SADNE-","-SLOWSS-","OTHR","OTHR","XT_OffAnimals"]},</v>
      </c>
      <c r="AA209" s="5" t="s">
        <v>5</v>
      </c>
      <c r="AB209" s="3" t="str">
        <f t="shared" si="21"/>
        <v>["-SADNE-","-SLOWSS-","OTHR","OTHR","XT_OffAnimals"]</v>
      </c>
      <c r="AC209" s="3">
        <f>_xlfn.XLOOKUP(A209,Album!A:A,Album!J:J)</f>
        <v>0</v>
      </c>
      <c r="AD209" s="3">
        <f>_xlfn.XLOOKUP(D209,Artists!A:A,Artists!B:B)</f>
        <v>0</v>
      </c>
      <c r="AE209" s="3">
        <f>_xlfn.XLOOKUP(D209,Artists!A:A,Artists!C:C)</f>
        <v>0</v>
      </c>
      <c r="AF209" s="3" t="str">
        <f t="shared" si="22"/>
        <v>OTHR</v>
      </c>
      <c r="AG209" s="3" t="str">
        <f t="shared" si="23"/>
        <v>OTHR</v>
      </c>
    </row>
    <row r="210" spans="24:33" x14ac:dyDescent="0.3">
      <c r="X210" s="3" t="str">
        <f t="shared" si="18"/>
        <v>-SADNE-</v>
      </c>
      <c r="Y210" s="3" t="str">
        <f t="shared" si="19"/>
        <v>-SLOWSS-</v>
      </c>
      <c r="Z210" s="4" t="str">
        <f t="shared" si="20"/>
        <v>{"couname":"","img":"0","pty":"","artist":"","genres":"","duration":"","spotId":"","Items":["-SADNE-","-SLOWSS-","OTHR","OTHR","XT_OffAnimals"]},</v>
      </c>
      <c r="AA210" s="5" t="s">
        <v>5</v>
      </c>
      <c r="AB210" s="3" t="str">
        <f t="shared" si="21"/>
        <v>["-SADNE-","-SLOWSS-","OTHR","OTHR","XT_OffAnimals"]</v>
      </c>
      <c r="AC210" s="3">
        <f>_xlfn.XLOOKUP(A210,Album!A:A,Album!J:J)</f>
        <v>0</v>
      </c>
      <c r="AD210" s="3">
        <f>_xlfn.XLOOKUP(D210,Artists!A:A,Artists!B:B)</f>
        <v>0</v>
      </c>
      <c r="AE210" s="3">
        <f>_xlfn.XLOOKUP(D210,Artists!A:A,Artists!C:C)</f>
        <v>0</v>
      </c>
      <c r="AF210" s="3" t="str">
        <f t="shared" si="22"/>
        <v>OTHR</v>
      </c>
      <c r="AG210" s="3" t="str">
        <f t="shared" si="23"/>
        <v>OTHR</v>
      </c>
    </row>
    <row r="211" spans="24:33" x14ac:dyDescent="0.3">
      <c r="X211" s="3" t="str">
        <f t="shared" si="18"/>
        <v>-SADNE-</v>
      </c>
      <c r="Y211" s="3" t="str">
        <f t="shared" si="19"/>
        <v>-SLOWSS-</v>
      </c>
      <c r="Z211" s="4" t="str">
        <f t="shared" si="20"/>
        <v>{"couname":"","img":"0","pty":"","artist":"","genres":"","duration":"","spotId":"","Items":["-SADNE-","-SLOWSS-","OTHR","OTHR","XT_OffAnimals"]},</v>
      </c>
      <c r="AA211" s="5" t="s">
        <v>5</v>
      </c>
      <c r="AB211" s="3" t="str">
        <f t="shared" si="21"/>
        <v>["-SADNE-","-SLOWSS-","OTHR","OTHR","XT_OffAnimals"]</v>
      </c>
      <c r="AC211" s="3">
        <f>_xlfn.XLOOKUP(A211,Album!A:A,Album!J:J)</f>
        <v>0</v>
      </c>
      <c r="AD211" s="3">
        <f>_xlfn.XLOOKUP(D211,Artists!A:A,Artists!B:B)</f>
        <v>0</v>
      </c>
      <c r="AE211" s="3">
        <f>_xlfn.XLOOKUP(D211,Artists!A:A,Artists!C:C)</f>
        <v>0</v>
      </c>
      <c r="AF211" s="3" t="str">
        <f t="shared" si="22"/>
        <v>OTHR</v>
      </c>
      <c r="AG211" s="3" t="str">
        <f t="shared" si="23"/>
        <v>OTHR</v>
      </c>
    </row>
    <row r="212" spans="24:33" x14ac:dyDescent="0.3">
      <c r="X212" s="3" t="str">
        <f t="shared" si="18"/>
        <v>-SADNE-</v>
      </c>
      <c r="Y212" s="3" t="str">
        <f t="shared" si="19"/>
        <v>-SLOWSS-</v>
      </c>
      <c r="Z212" s="4" t="str">
        <f t="shared" si="20"/>
        <v>{"couname":"","img":"0","pty":"","artist":"","genres":"","duration":"","spotId":"","Items":["-SADNE-","-SLOWSS-","OTHR","OTHR","XT_OffAnimals"]},</v>
      </c>
      <c r="AA212" s="5" t="s">
        <v>5</v>
      </c>
      <c r="AB212" s="3" t="str">
        <f t="shared" si="21"/>
        <v>["-SADNE-","-SLOWSS-","OTHR","OTHR","XT_OffAnimals"]</v>
      </c>
      <c r="AC212" s="3">
        <f>_xlfn.XLOOKUP(A212,Album!A:A,Album!J:J)</f>
        <v>0</v>
      </c>
      <c r="AD212" s="3">
        <f>_xlfn.XLOOKUP(D212,Artists!A:A,Artists!B:B)</f>
        <v>0</v>
      </c>
      <c r="AE212" s="3">
        <f>_xlfn.XLOOKUP(D212,Artists!A:A,Artists!C:C)</f>
        <v>0</v>
      </c>
      <c r="AF212" s="3" t="str">
        <f t="shared" si="22"/>
        <v>OTHR</v>
      </c>
      <c r="AG212" s="3" t="str">
        <f t="shared" si="23"/>
        <v>OTHR</v>
      </c>
    </row>
    <row r="213" spans="24:33" x14ac:dyDescent="0.3">
      <c r="X213" s="3" t="str">
        <f t="shared" si="18"/>
        <v>-SADNE-</v>
      </c>
      <c r="Y213" s="3" t="str">
        <f t="shared" si="19"/>
        <v>-SLOWSS-</v>
      </c>
      <c r="Z213" s="4" t="str">
        <f t="shared" si="20"/>
        <v>{"couname":"","img":"0","pty":"","artist":"","genres":"","duration":"","spotId":"","Items":["-SADNE-","-SLOWSS-","OTHR","OTHR","XT_OffAnimals"]},</v>
      </c>
      <c r="AA213" s="5" t="s">
        <v>5</v>
      </c>
      <c r="AB213" s="3" t="str">
        <f t="shared" si="21"/>
        <v>["-SADNE-","-SLOWSS-","OTHR","OTHR","XT_OffAnimals"]</v>
      </c>
      <c r="AC213" s="3">
        <f>_xlfn.XLOOKUP(A213,Album!A:A,Album!J:J)</f>
        <v>0</v>
      </c>
      <c r="AD213" s="3">
        <f>_xlfn.XLOOKUP(D213,Artists!A:A,Artists!B:B)</f>
        <v>0</v>
      </c>
      <c r="AE213" s="3">
        <f>_xlfn.XLOOKUP(D213,Artists!A:A,Artists!C:C)</f>
        <v>0</v>
      </c>
      <c r="AF213" s="3" t="str">
        <f t="shared" si="22"/>
        <v>OTHR</v>
      </c>
      <c r="AG213" s="3" t="str">
        <f t="shared" si="23"/>
        <v>OTHR</v>
      </c>
    </row>
    <row r="214" spans="24:33" x14ac:dyDescent="0.3">
      <c r="X214" s="3" t="str">
        <f t="shared" si="18"/>
        <v>-SADNE-</v>
      </c>
      <c r="Y214" s="3" t="str">
        <f t="shared" si="19"/>
        <v>-SLOWSS-</v>
      </c>
      <c r="Z214" s="4" t="str">
        <f t="shared" si="20"/>
        <v>{"couname":"","img":"0","pty":"","artist":"","genres":"","duration":"","spotId":"","Items":["-SADNE-","-SLOWSS-","OTHR","OTHR","XT_OffAnimals"]},</v>
      </c>
      <c r="AA214" s="5" t="s">
        <v>5</v>
      </c>
      <c r="AB214" s="3" t="str">
        <f t="shared" si="21"/>
        <v>["-SADNE-","-SLOWSS-","OTHR","OTHR","XT_OffAnimals"]</v>
      </c>
      <c r="AC214" s="3">
        <f>_xlfn.XLOOKUP(A214,Album!A:A,Album!J:J)</f>
        <v>0</v>
      </c>
      <c r="AD214" s="3">
        <f>_xlfn.XLOOKUP(D214,Artists!A:A,Artists!B:B)</f>
        <v>0</v>
      </c>
      <c r="AE214" s="3">
        <f>_xlfn.XLOOKUP(D214,Artists!A:A,Artists!C:C)</f>
        <v>0</v>
      </c>
      <c r="AF214" s="3" t="str">
        <f t="shared" si="22"/>
        <v>OTHR</v>
      </c>
      <c r="AG214" s="3" t="str">
        <f t="shared" si="23"/>
        <v>OTHR</v>
      </c>
    </row>
    <row r="215" spans="24:33" x14ac:dyDescent="0.3">
      <c r="X215" s="3" t="str">
        <f t="shared" si="18"/>
        <v>-SADNE-</v>
      </c>
      <c r="Y215" s="3" t="str">
        <f t="shared" si="19"/>
        <v>-SLOWSS-</v>
      </c>
      <c r="Z215" s="4" t="str">
        <f t="shared" si="20"/>
        <v>{"couname":"","img":"0","pty":"","artist":"","genres":"","duration":"","spotId":"","Items":["-SADNE-","-SLOWSS-","OTHR","OTHR","XT_OffAnimals"]},</v>
      </c>
      <c r="AA215" s="5" t="s">
        <v>5</v>
      </c>
      <c r="AB215" s="3" t="str">
        <f t="shared" si="21"/>
        <v>["-SADNE-","-SLOWSS-","OTHR","OTHR","XT_OffAnimals"]</v>
      </c>
      <c r="AC215" s="3">
        <f>_xlfn.XLOOKUP(A215,Album!A:A,Album!J:J)</f>
        <v>0</v>
      </c>
      <c r="AD215" s="3">
        <f>_xlfn.XLOOKUP(D215,Artists!A:A,Artists!B:B)</f>
        <v>0</v>
      </c>
      <c r="AE215" s="3">
        <f>_xlfn.XLOOKUP(D215,Artists!A:A,Artists!C:C)</f>
        <v>0</v>
      </c>
      <c r="AF215" s="3" t="str">
        <f t="shared" si="22"/>
        <v>OTHR</v>
      </c>
      <c r="AG215" s="3" t="str">
        <f t="shared" si="23"/>
        <v>OTHR</v>
      </c>
    </row>
    <row r="216" spans="24:33" x14ac:dyDescent="0.3">
      <c r="X216" s="3" t="str">
        <f t="shared" si="18"/>
        <v>-SADNE-</v>
      </c>
      <c r="Y216" s="3" t="str">
        <f t="shared" si="19"/>
        <v>-SLOWSS-</v>
      </c>
      <c r="Z216" s="4" t="str">
        <f t="shared" si="20"/>
        <v>{"couname":"","img":"0","pty":"","artist":"","genres":"","duration":"","spotId":"","Items":["-SADNE-","-SLOWSS-","OTHR","OTHR","XT_OffAnimals"]},</v>
      </c>
      <c r="AA216" s="5" t="s">
        <v>5</v>
      </c>
      <c r="AB216" s="3" t="str">
        <f t="shared" si="21"/>
        <v>["-SADNE-","-SLOWSS-","OTHR","OTHR","XT_OffAnimals"]</v>
      </c>
      <c r="AC216" s="3">
        <f>_xlfn.XLOOKUP(A216,Album!A:A,Album!J:J)</f>
        <v>0</v>
      </c>
      <c r="AD216" s="3">
        <f>_xlfn.XLOOKUP(D216,Artists!A:A,Artists!B:B)</f>
        <v>0</v>
      </c>
      <c r="AE216" s="3">
        <f>_xlfn.XLOOKUP(D216,Artists!A:A,Artists!C:C)</f>
        <v>0</v>
      </c>
      <c r="AF216" s="3" t="str">
        <f t="shared" si="22"/>
        <v>OTHR</v>
      </c>
      <c r="AG216" s="3" t="str">
        <f t="shared" si="23"/>
        <v>OTHR</v>
      </c>
    </row>
    <row r="217" spans="24:33" x14ac:dyDescent="0.3">
      <c r="X217" s="3" t="str">
        <f t="shared" si="18"/>
        <v>-SADNE-</v>
      </c>
      <c r="Y217" s="3" t="str">
        <f t="shared" si="19"/>
        <v>-SLOWSS-</v>
      </c>
      <c r="Z217" s="4" t="str">
        <f t="shared" si="20"/>
        <v>{"couname":"","img":"0","pty":"","artist":"","genres":"","duration":"","spotId":"","Items":["-SADNE-","-SLOWSS-","OTHR","OTHR","XT_OffAnimals"]},</v>
      </c>
      <c r="AA217" s="5" t="s">
        <v>5</v>
      </c>
      <c r="AB217" s="3" t="str">
        <f t="shared" si="21"/>
        <v>["-SADNE-","-SLOWSS-","OTHR","OTHR","XT_OffAnimals"]</v>
      </c>
      <c r="AC217" s="3">
        <f>_xlfn.XLOOKUP(A217,Album!A:A,Album!J:J)</f>
        <v>0</v>
      </c>
      <c r="AD217" s="3">
        <f>_xlfn.XLOOKUP(D217,Artists!A:A,Artists!B:B)</f>
        <v>0</v>
      </c>
      <c r="AE217" s="3">
        <f>_xlfn.XLOOKUP(D217,Artists!A:A,Artists!C:C)</f>
        <v>0</v>
      </c>
      <c r="AF217" s="3" t="str">
        <f t="shared" si="22"/>
        <v>OTHR</v>
      </c>
      <c r="AG217" s="3" t="str">
        <f t="shared" si="23"/>
        <v>OTHR</v>
      </c>
    </row>
    <row r="218" spans="24:33" x14ac:dyDescent="0.3">
      <c r="X218" s="3" t="str">
        <f t="shared" si="18"/>
        <v>-SADNE-</v>
      </c>
      <c r="Y218" s="3" t="str">
        <f t="shared" si="19"/>
        <v>-SLOWSS-</v>
      </c>
      <c r="Z218" s="4" t="str">
        <f t="shared" si="20"/>
        <v>{"couname":"","img":"0","pty":"","artist":"","genres":"","duration":"","spotId":"","Items":["-SADNE-","-SLOWSS-","OTHR","OTHR","XT_OffAnimals"]},</v>
      </c>
      <c r="AA218" s="5" t="s">
        <v>5</v>
      </c>
      <c r="AB218" s="3" t="str">
        <f t="shared" si="21"/>
        <v>["-SADNE-","-SLOWSS-","OTHR","OTHR","XT_OffAnimals"]</v>
      </c>
      <c r="AC218" s="3">
        <f>_xlfn.XLOOKUP(A218,Album!A:A,Album!J:J)</f>
        <v>0</v>
      </c>
      <c r="AD218" s="3">
        <f>_xlfn.XLOOKUP(D218,Artists!A:A,Artists!B:B)</f>
        <v>0</v>
      </c>
      <c r="AE218" s="3">
        <f>_xlfn.XLOOKUP(D218,Artists!A:A,Artists!C:C)</f>
        <v>0</v>
      </c>
      <c r="AF218" s="3" t="str">
        <f t="shared" si="22"/>
        <v>OTHR</v>
      </c>
      <c r="AG218" s="3" t="str">
        <f t="shared" si="23"/>
        <v>OTHR</v>
      </c>
    </row>
    <row r="219" spans="24:33" x14ac:dyDescent="0.3">
      <c r="X219" s="3" t="str">
        <f t="shared" si="18"/>
        <v>-SADNE-</v>
      </c>
      <c r="Y219" s="3" t="str">
        <f t="shared" si="19"/>
        <v>-SLOWSS-</v>
      </c>
      <c r="Z219" s="4" t="str">
        <f t="shared" si="20"/>
        <v>{"couname":"","img":"0","pty":"","artist":"","genres":"","duration":"","spotId":"","Items":["-SADNE-","-SLOWSS-","OTHR","OTHR","XT_OffAnimals"]},</v>
      </c>
      <c r="AA219" s="5" t="s">
        <v>5</v>
      </c>
      <c r="AB219" s="3" t="str">
        <f t="shared" si="21"/>
        <v>["-SADNE-","-SLOWSS-","OTHR","OTHR","XT_OffAnimals"]</v>
      </c>
      <c r="AC219" s="3">
        <f>_xlfn.XLOOKUP(A219,Album!A:A,Album!J:J)</f>
        <v>0</v>
      </c>
      <c r="AD219" s="3">
        <f>_xlfn.XLOOKUP(D219,Artists!A:A,Artists!B:B)</f>
        <v>0</v>
      </c>
      <c r="AE219" s="3">
        <f>_xlfn.XLOOKUP(D219,Artists!A:A,Artists!C:C)</f>
        <v>0</v>
      </c>
      <c r="AF219" s="3" t="str">
        <f t="shared" si="22"/>
        <v>OTHR</v>
      </c>
      <c r="AG219" s="3" t="str">
        <f t="shared" si="23"/>
        <v>OTHR</v>
      </c>
    </row>
    <row r="220" spans="24:33" x14ac:dyDescent="0.3">
      <c r="X220" s="3" t="str">
        <f t="shared" si="18"/>
        <v>-SADNE-</v>
      </c>
      <c r="Y220" s="3" t="str">
        <f t="shared" si="19"/>
        <v>-SLOWSS-</v>
      </c>
      <c r="Z220" s="4" t="str">
        <f t="shared" si="20"/>
        <v>{"couname":"","img":"0","pty":"","artist":"","genres":"","duration":"","spotId":"","Items":["-SADNE-","-SLOWSS-","OTHR","OTHR","XT_OffAnimals"]},</v>
      </c>
      <c r="AA220" s="5" t="s">
        <v>5</v>
      </c>
      <c r="AB220" s="3" t="str">
        <f t="shared" si="21"/>
        <v>["-SADNE-","-SLOWSS-","OTHR","OTHR","XT_OffAnimals"]</v>
      </c>
      <c r="AC220" s="3">
        <f>_xlfn.XLOOKUP(A220,Album!A:A,Album!J:J)</f>
        <v>0</v>
      </c>
      <c r="AD220" s="3">
        <f>_xlfn.XLOOKUP(D220,Artists!A:A,Artists!B:B)</f>
        <v>0</v>
      </c>
      <c r="AE220" s="3">
        <f>_xlfn.XLOOKUP(D220,Artists!A:A,Artists!C:C)</f>
        <v>0</v>
      </c>
      <c r="AF220" s="3" t="str">
        <f t="shared" si="22"/>
        <v>OTHR</v>
      </c>
      <c r="AG220" s="3" t="str">
        <f t="shared" si="23"/>
        <v>OTHR</v>
      </c>
    </row>
    <row r="221" spans="24:33" x14ac:dyDescent="0.3">
      <c r="X221" s="3" t="str">
        <f t="shared" si="18"/>
        <v>-SADNE-</v>
      </c>
      <c r="Y221" s="3" t="str">
        <f t="shared" si="19"/>
        <v>-SLOWSS-</v>
      </c>
      <c r="Z221" s="4" t="str">
        <f t="shared" si="20"/>
        <v>{"couname":"","img":"0","pty":"","artist":"","genres":"","duration":"","spotId":"","Items":["-SADNE-","-SLOWSS-","OTHR","OTHR","XT_OffAnimals"]},</v>
      </c>
      <c r="AA221" s="5" t="s">
        <v>5</v>
      </c>
      <c r="AB221" s="3" t="str">
        <f t="shared" si="21"/>
        <v>["-SADNE-","-SLOWSS-","OTHR","OTHR","XT_OffAnimals"]</v>
      </c>
      <c r="AC221" s="3">
        <f>_xlfn.XLOOKUP(A221,Album!A:A,Album!J:J)</f>
        <v>0</v>
      </c>
      <c r="AD221" s="3">
        <f>_xlfn.XLOOKUP(D221,Artists!A:A,Artists!B:B)</f>
        <v>0</v>
      </c>
      <c r="AE221" s="3">
        <f>_xlfn.XLOOKUP(D221,Artists!A:A,Artists!C:C)</f>
        <v>0</v>
      </c>
      <c r="AF221" s="3" t="str">
        <f t="shared" si="22"/>
        <v>OTHR</v>
      </c>
      <c r="AG221" s="3" t="str">
        <f t="shared" si="23"/>
        <v>OTHR</v>
      </c>
    </row>
    <row r="222" spans="24:33" x14ac:dyDescent="0.3">
      <c r="X222" s="3" t="str">
        <f t="shared" si="18"/>
        <v>-SADNE-</v>
      </c>
      <c r="Y222" s="3" t="str">
        <f t="shared" si="19"/>
        <v>-SLOWSS-</v>
      </c>
      <c r="Z222" s="4" t="str">
        <f t="shared" si="20"/>
        <v>{"couname":"","img":"0","pty":"","artist":"","genres":"","duration":"","spotId":"","Items":["-SADNE-","-SLOWSS-","OTHR","OTHR","XT_OffAnimals"]},</v>
      </c>
      <c r="AA222" s="5" t="s">
        <v>5</v>
      </c>
      <c r="AB222" s="3" t="str">
        <f t="shared" si="21"/>
        <v>["-SADNE-","-SLOWSS-","OTHR","OTHR","XT_OffAnimals"]</v>
      </c>
      <c r="AC222" s="3">
        <f>_xlfn.XLOOKUP(A222,Album!A:A,Album!J:J)</f>
        <v>0</v>
      </c>
      <c r="AD222" s="3">
        <f>_xlfn.XLOOKUP(D222,Artists!A:A,Artists!B:B)</f>
        <v>0</v>
      </c>
      <c r="AE222" s="3">
        <f>_xlfn.XLOOKUP(D222,Artists!A:A,Artists!C:C)</f>
        <v>0</v>
      </c>
      <c r="AF222" s="3" t="str">
        <f t="shared" si="22"/>
        <v>OTHR</v>
      </c>
      <c r="AG222" s="3" t="str">
        <f t="shared" si="23"/>
        <v>OTHR</v>
      </c>
    </row>
    <row r="223" spans="24:33" x14ac:dyDescent="0.3">
      <c r="X223" s="3" t="str">
        <f t="shared" si="18"/>
        <v>-SADNE-</v>
      </c>
      <c r="Y223" s="3" t="str">
        <f t="shared" si="19"/>
        <v>-SLOWSS-</v>
      </c>
      <c r="Z223" s="4" t="str">
        <f t="shared" si="20"/>
        <v>{"couname":"","img":"0","pty":"","artist":"","genres":"","duration":"","spotId":"","Items":["-SADNE-","-SLOWSS-","OTHR","OTHR","XT_OffAnimals"]},</v>
      </c>
      <c r="AA223" s="5" t="s">
        <v>5</v>
      </c>
      <c r="AB223" s="3" t="str">
        <f t="shared" si="21"/>
        <v>["-SADNE-","-SLOWSS-","OTHR","OTHR","XT_OffAnimals"]</v>
      </c>
      <c r="AC223" s="3">
        <f>_xlfn.XLOOKUP(A223,Album!A:A,Album!J:J)</f>
        <v>0</v>
      </c>
      <c r="AD223" s="3">
        <f>_xlfn.XLOOKUP(D223,Artists!A:A,Artists!B:B)</f>
        <v>0</v>
      </c>
      <c r="AE223" s="3">
        <f>_xlfn.XLOOKUP(D223,Artists!A:A,Artists!C:C)</f>
        <v>0</v>
      </c>
      <c r="AF223" s="3" t="str">
        <f t="shared" si="22"/>
        <v>OTHR</v>
      </c>
      <c r="AG223" s="3" t="str">
        <f t="shared" si="23"/>
        <v>OTHR</v>
      </c>
    </row>
    <row r="224" spans="24:33" x14ac:dyDescent="0.3">
      <c r="X224" s="3" t="str">
        <f t="shared" si="18"/>
        <v>-SADNE-</v>
      </c>
      <c r="Y224" s="3" t="str">
        <f t="shared" si="19"/>
        <v>-SLOWSS-</v>
      </c>
      <c r="Z224" s="4" t="str">
        <f t="shared" si="20"/>
        <v>{"couname":"","img":"0","pty":"","artist":"","genres":"","duration":"","spotId":"","Items":["-SADNE-","-SLOWSS-","OTHR","OTHR","XT_OffAnimals"]},</v>
      </c>
      <c r="AA224" s="5" t="s">
        <v>5</v>
      </c>
      <c r="AB224" s="3" t="str">
        <f t="shared" si="21"/>
        <v>["-SADNE-","-SLOWSS-","OTHR","OTHR","XT_OffAnimals"]</v>
      </c>
      <c r="AC224" s="3">
        <f>_xlfn.XLOOKUP(A224,Album!A:A,Album!J:J)</f>
        <v>0</v>
      </c>
      <c r="AD224" s="3">
        <f>_xlfn.XLOOKUP(D224,Artists!A:A,Artists!B:B)</f>
        <v>0</v>
      </c>
      <c r="AE224" s="3">
        <f>_xlfn.XLOOKUP(D224,Artists!A:A,Artists!C:C)</f>
        <v>0</v>
      </c>
      <c r="AF224" s="3" t="str">
        <f t="shared" si="22"/>
        <v>OTHR</v>
      </c>
      <c r="AG224" s="3" t="str">
        <f t="shared" si="23"/>
        <v>OTHR</v>
      </c>
    </row>
    <row r="225" spans="24:33" x14ac:dyDescent="0.3">
      <c r="X225" s="3" t="str">
        <f t="shared" si="18"/>
        <v>-SADNE-</v>
      </c>
      <c r="Y225" s="3" t="str">
        <f t="shared" si="19"/>
        <v>-SLOWSS-</v>
      </c>
      <c r="Z225" s="4" t="str">
        <f t="shared" si="20"/>
        <v>{"couname":"","img":"0","pty":"","artist":"","genres":"","duration":"","spotId":"","Items":["-SADNE-","-SLOWSS-","OTHR","OTHR","XT_OffAnimals"]},</v>
      </c>
      <c r="AA225" s="5" t="s">
        <v>5</v>
      </c>
      <c r="AB225" s="3" t="str">
        <f t="shared" si="21"/>
        <v>["-SADNE-","-SLOWSS-","OTHR","OTHR","XT_OffAnimals"]</v>
      </c>
      <c r="AC225" s="3">
        <f>_xlfn.XLOOKUP(A225,Album!A:A,Album!J:J)</f>
        <v>0</v>
      </c>
      <c r="AD225" s="3">
        <f>_xlfn.XLOOKUP(D225,Artists!A:A,Artists!B:B)</f>
        <v>0</v>
      </c>
      <c r="AE225" s="3">
        <f>_xlfn.XLOOKUP(D225,Artists!A:A,Artists!C:C)</f>
        <v>0</v>
      </c>
      <c r="AF225" s="3" t="str">
        <f t="shared" si="22"/>
        <v>OTHR</v>
      </c>
      <c r="AG225" s="3" t="str">
        <f t="shared" si="23"/>
        <v>OTHR</v>
      </c>
    </row>
    <row r="226" spans="24:33" x14ac:dyDescent="0.3">
      <c r="X226" s="3" t="str">
        <f t="shared" si="18"/>
        <v>-SADNE-</v>
      </c>
      <c r="Y226" s="3" t="str">
        <f t="shared" si="19"/>
        <v>-SLOWSS-</v>
      </c>
      <c r="Z226" s="4" t="str">
        <f t="shared" si="20"/>
        <v>{"couname":"","img":"0","pty":"","artist":"","genres":"","duration":"","spotId":"","Items":["-SADNE-","-SLOWSS-","OTHR","OTHR","XT_OffAnimals"]},</v>
      </c>
      <c r="AA226" s="5" t="s">
        <v>5</v>
      </c>
      <c r="AB226" s="3" t="str">
        <f t="shared" si="21"/>
        <v>["-SADNE-","-SLOWSS-","OTHR","OTHR","XT_OffAnimals"]</v>
      </c>
      <c r="AC226" s="3">
        <f>_xlfn.XLOOKUP(A226,Album!A:A,Album!J:J)</f>
        <v>0</v>
      </c>
      <c r="AD226" s="3">
        <f>_xlfn.XLOOKUP(D226,Artists!A:A,Artists!B:B)</f>
        <v>0</v>
      </c>
      <c r="AE226" s="3">
        <f>_xlfn.XLOOKUP(D226,Artists!A:A,Artists!C:C)</f>
        <v>0</v>
      </c>
      <c r="AF226" s="3" t="str">
        <f t="shared" si="22"/>
        <v>OTHR</v>
      </c>
      <c r="AG226" s="3" t="str">
        <f t="shared" si="23"/>
        <v>OTHR</v>
      </c>
    </row>
    <row r="227" spans="24:33" x14ac:dyDescent="0.3">
      <c r="X227" s="3" t="str">
        <f t="shared" si="18"/>
        <v>-SADNE-</v>
      </c>
      <c r="Y227" s="3" t="str">
        <f t="shared" si="19"/>
        <v>-SLOWSS-</v>
      </c>
      <c r="Z227" s="4" t="str">
        <f t="shared" si="20"/>
        <v>{"couname":"","img":"0","pty":"","artist":"","genres":"","duration":"","spotId":"","Items":["-SADNE-","-SLOWSS-","OTHR","OTHR","XT_OffAnimals"]},</v>
      </c>
      <c r="AA227" s="5" t="s">
        <v>5</v>
      </c>
      <c r="AB227" s="3" t="str">
        <f t="shared" si="21"/>
        <v>["-SADNE-","-SLOWSS-","OTHR","OTHR","XT_OffAnimals"]</v>
      </c>
      <c r="AC227" s="3">
        <f>_xlfn.XLOOKUP(A227,Album!A:A,Album!J:J)</f>
        <v>0</v>
      </c>
      <c r="AD227" s="3">
        <f>_xlfn.XLOOKUP(D227,Artists!A:A,Artists!B:B)</f>
        <v>0</v>
      </c>
      <c r="AE227" s="3">
        <f>_xlfn.XLOOKUP(D227,Artists!A:A,Artists!C:C)</f>
        <v>0</v>
      </c>
      <c r="AF227" s="3" t="str">
        <f t="shared" si="22"/>
        <v>OTHR</v>
      </c>
      <c r="AG227" s="3" t="str">
        <f t="shared" si="23"/>
        <v>OTHR</v>
      </c>
    </row>
    <row r="228" spans="24:33" x14ac:dyDescent="0.3">
      <c r="X228" s="3" t="str">
        <f t="shared" si="18"/>
        <v>-SADNE-</v>
      </c>
      <c r="Y228" s="3" t="str">
        <f t="shared" si="19"/>
        <v>-SLOWSS-</v>
      </c>
      <c r="Z228" s="4" t="str">
        <f t="shared" si="20"/>
        <v>{"couname":"","img":"0","pty":"","artist":"","genres":"","duration":"","spotId":"","Items":["-SADNE-","-SLOWSS-","OTHR","OTHR","XT_OffAnimals"]},</v>
      </c>
      <c r="AA228" s="5" t="s">
        <v>5</v>
      </c>
      <c r="AB228" s="3" t="str">
        <f t="shared" si="21"/>
        <v>["-SADNE-","-SLOWSS-","OTHR","OTHR","XT_OffAnimals"]</v>
      </c>
      <c r="AC228" s="3">
        <f>_xlfn.XLOOKUP(A228,Album!A:A,Album!J:J)</f>
        <v>0</v>
      </c>
      <c r="AD228" s="3">
        <f>_xlfn.XLOOKUP(D228,Artists!A:A,Artists!B:B)</f>
        <v>0</v>
      </c>
      <c r="AE228" s="3">
        <f>_xlfn.XLOOKUP(D228,Artists!A:A,Artists!C:C)</f>
        <v>0</v>
      </c>
      <c r="AF228" s="3" t="str">
        <f t="shared" si="22"/>
        <v>OTHR</v>
      </c>
      <c r="AG228" s="3" t="str">
        <f t="shared" si="23"/>
        <v>OTHR</v>
      </c>
    </row>
    <row r="229" spans="24:33" x14ac:dyDescent="0.3">
      <c r="X229" s="3" t="str">
        <f t="shared" si="18"/>
        <v>-SADNE-</v>
      </c>
      <c r="Y229" s="3" t="str">
        <f t="shared" si="19"/>
        <v>-SLOWSS-</v>
      </c>
      <c r="Z229" s="4" t="str">
        <f t="shared" si="20"/>
        <v>{"couname":"","img":"0","pty":"","artist":"","genres":"","duration":"","spotId":"","Items":["-SADNE-","-SLOWSS-","OTHR","OTHR","XT_OffAnimals"]},</v>
      </c>
      <c r="AA229" s="5" t="s">
        <v>5</v>
      </c>
      <c r="AB229" s="3" t="str">
        <f t="shared" si="21"/>
        <v>["-SADNE-","-SLOWSS-","OTHR","OTHR","XT_OffAnimals"]</v>
      </c>
      <c r="AC229" s="3">
        <f>_xlfn.XLOOKUP(A229,Album!A:A,Album!J:J)</f>
        <v>0</v>
      </c>
      <c r="AD229" s="3">
        <f>_xlfn.XLOOKUP(D229,Artists!A:A,Artists!B:B)</f>
        <v>0</v>
      </c>
      <c r="AE229" s="3">
        <f>_xlfn.XLOOKUP(D229,Artists!A:A,Artists!C:C)</f>
        <v>0</v>
      </c>
      <c r="AF229" s="3" t="str">
        <f t="shared" si="22"/>
        <v>OTHR</v>
      </c>
      <c r="AG229" s="3" t="str">
        <f t="shared" si="23"/>
        <v>OTHR</v>
      </c>
    </row>
    <row r="230" spans="24:33" x14ac:dyDescent="0.3">
      <c r="X230" s="3" t="str">
        <f t="shared" si="18"/>
        <v>-SADNE-</v>
      </c>
      <c r="Y230" s="3" t="str">
        <f t="shared" si="19"/>
        <v>-SLOWSS-</v>
      </c>
      <c r="Z230" s="4" t="str">
        <f t="shared" si="20"/>
        <v>{"couname":"","img":"0","pty":"","artist":"","genres":"","duration":"","spotId":"","Items":["-SADNE-","-SLOWSS-","OTHR","OTHR","XT_OffAnimals"]},</v>
      </c>
      <c r="AA230" s="5" t="s">
        <v>5</v>
      </c>
      <c r="AB230" s="3" t="str">
        <f t="shared" si="21"/>
        <v>["-SADNE-","-SLOWSS-","OTHR","OTHR","XT_OffAnimals"]</v>
      </c>
      <c r="AC230" s="3">
        <f>_xlfn.XLOOKUP(A230,Album!A:A,Album!J:J)</f>
        <v>0</v>
      </c>
      <c r="AD230" s="3">
        <f>_xlfn.XLOOKUP(D230,Artists!A:A,Artists!B:B)</f>
        <v>0</v>
      </c>
      <c r="AE230" s="3">
        <f>_xlfn.XLOOKUP(D230,Artists!A:A,Artists!C:C)</f>
        <v>0</v>
      </c>
      <c r="AF230" s="3" t="str">
        <f t="shared" si="22"/>
        <v>OTHR</v>
      </c>
      <c r="AG230" s="3" t="str">
        <f t="shared" si="23"/>
        <v>OTHR</v>
      </c>
    </row>
    <row r="231" spans="24:33" x14ac:dyDescent="0.3">
      <c r="X231" s="3" t="str">
        <f t="shared" si="18"/>
        <v>-SADNE-</v>
      </c>
      <c r="Y231" s="3" t="str">
        <f t="shared" si="19"/>
        <v>-SLOWSS-</v>
      </c>
      <c r="Z231" s="4" t="str">
        <f t="shared" si="20"/>
        <v>{"couname":"","img":"0","pty":"","artist":"","genres":"","duration":"","spotId":"","Items":["-SADNE-","-SLOWSS-","OTHR","OTHR","XT_OffAnimals"]},</v>
      </c>
      <c r="AA231" s="5" t="s">
        <v>5</v>
      </c>
      <c r="AB231" s="3" t="str">
        <f t="shared" si="21"/>
        <v>["-SADNE-","-SLOWSS-","OTHR","OTHR","XT_OffAnimals"]</v>
      </c>
      <c r="AC231" s="3">
        <f>_xlfn.XLOOKUP(A231,Album!A:A,Album!J:J)</f>
        <v>0</v>
      </c>
      <c r="AD231" s="3">
        <f>_xlfn.XLOOKUP(D231,Artists!A:A,Artists!B:B)</f>
        <v>0</v>
      </c>
      <c r="AE231" s="3">
        <f>_xlfn.XLOOKUP(D231,Artists!A:A,Artists!C:C)</f>
        <v>0</v>
      </c>
      <c r="AF231" s="3" t="str">
        <f t="shared" si="22"/>
        <v>OTHR</v>
      </c>
      <c r="AG231" s="3" t="str">
        <f t="shared" si="23"/>
        <v>OTHR</v>
      </c>
    </row>
    <row r="232" spans="24:33" x14ac:dyDescent="0.3">
      <c r="X232" s="3" t="str">
        <f t="shared" si="18"/>
        <v>-SADNE-</v>
      </c>
      <c r="Y232" s="3" t="str">
        <f t="shared" si="19"/>
        <v>-SLOWSS-</v>
      </c>
      <c r="Z232" s="4" t="str">
        <f t="shared" si="20"/>
        <v>{"couname":"","img":"0","pty":"","artist":"","genres":"","duration":"","spotId":"","Items":["-SADNE-","-SLOWSS-","OTHR","OTHR","XT_OffAnimals"]},</v>
      </c>
      <c r="AA232" s="5" t="s">
        <v>5</v>
      </c>
      <c r="AB232" s="3" t="str">
        <f t="shared" si="21"/>
        <v>["-SADNE-","-SLOWSS-","OTHR","OTHR","XT_OffAnimals"]</v>
      </c>
      <c r="AC232" s="3">
        <f>_xlfn.XLOOKUP(A232,Album!A:A,Album!J:J)</f>
        <v>0</v>
      </c>
      <c r="AD232" s="3">
        <f>_xlfn.XLOOKUP(D232,Artists!A:A,Artists!B:B)</f>
        <v>0</v>
      </c>
      <c r="AE232" s="3">
        <f>_xlfn.XLOOKUP(D232,Artists!A:A,Artists!C:C)</f>
        <v>0</v>
      </c>
      <c r="AF232" s="3" t="str">
        <f t="shared" si="22"/>
        <v>OTHR</v>
      </c>
      <c r="AG232" s="3" t="str">
        <f t="shared" si="23"/>
        <v>OTHR</v>
      </c>
    </row>
    <row r="233" spans="24:33" x14ac:dyDescent="0.3">
      <c r="X233" s="3" t="str">
        <f t="shared" si="18"/>
        <v>-SADNE-</v>
      </c>
      <c r="Y233" s="3" t="str">
        <f t="shared" si="19"/>
        <v>-SLOWSS-</v>
      </c>
      <c r="Z233" s="4" t="str">
        <f t="shared" si="20"/>
        <v>{"couname":"","img":"0","pty":"","artist":"","genres":"","duration":"","spotId":"","Items":["-SADNE-","-SLOWSS-","OTHR","OTHR","XT_OffAnimals"]},</v>
      </c>
      <c r="AA233" s="5" t="s">
        <v>5</v>
      </c>
      <c r="AB233" s="3" t="str">
        <f t="shared" si="21"/>
        <v>["-SADNE-","-SLOWSS-","OTHR","OTHR","XT_OffAnimals"]</v>
      </c>
      <c r="AC233" s="3">
        <f>_xlfn.XLOOKUP(A233,Album!A:A,Album!J:J)</f>
        <v>0</v>
      </c>
      <c r="AD233" s="3">
        <f>_xlfn.XLOOKUP(D233,Artists!A:A,Artists!B:B)</f>
        <v>0</v>
      </c>
      <c r="AE233" s="3">
        <f>_xlfn.XLOOKUP(D233,Artists!A:A,Artists!C:C)</f>
        <v>0</v>
      </c>
      <c r="AF233" s="3" t="str">
        <f t="shared" si="22"/>
        <v>OTHR</v>
      </c>
      <c r="AG233" s="3" t="str">
        <f t="shared" si="23"/>
        <v>OTHR</v>
      </c>
    </row>
    <row r="234" spans="24:33" x14ac:dyDescent="0.3">
      <c r="X234" s="3" t="str">
        <f t="shared" si="18"/>
        <v>-SADNE-</v>
      </c>
      <c r="Y234" s="3" t="str">
        <f t="shared" si="19"/>
        <v>-SLOWSS-</v>
      </c>
      <c r="Z234" s="4" t="str">
        <f t="shared" si="20"/>
        <v>{"couname":"","img":"0","pty":"","artist":"","genres":"","duration":"","spotId":"","Items":["-SADNE-","-SLOWSS-","OTHR","OTHR","XT_OffAnimals"]},</v>
      </c>
      <c r="AA234" s="5" t="s">
        <v>5</v>
      </c>
      <c r="AB234" s="3" t="str">
        <f t="shared" si="21"/>
        <v>["-SADNE-","-SLOWSS-","OTHR","OTHR","XT_OffAnimals"]</v>
      </c>
      <c r="AC234" s="3">
        <f>_xlfn.XLOOKUP(A234,Album!A:A,Album!J:J)</f>
        <v>0</v>
      </c>
      <c r="AD234" s="3">
        <f>_xlfn.XLOOKUP(D234,Artists!A:A,Artists!B:B)</f>
        <v>0</v>
      </c>
      <c r="AE234" s="3">
        <f>_xlfn.XLOOKUP(D234,Artists!A:A,Artists!C:C)</f>
        <v>0</v>
      </c>
      <c r="AF234" s="3" t="str">
        <f t="shared" si="22"/>
        <v>OTHR</v>
      </c>
      <c r="AG234" s="3" t="str">
        <f t="shared" si="23"/>
        <v>OTHR</v>
      </c>
    </row>
    <row r="235" spans="24:33" x14ac:dyDescent="0.3">
      <c r="X235" s="3" t="str">
        <f t="shared" si="18"/>
        <v>-SADNE-</v>
      </c>
      <c r="Y235" s="3" t="str">
        <f t="shared" si="19"/>
        <v>-SLOWSS-</v>
      </c>
      <c r="Z235" s="4" t="str">
        <f t="shared" si="20"/>
        <v>{"couname":"","img":"0","pty":"","artist":"","genres":"","duration":"","spotId":"","Items":["-SADNE-","-SLOWSS-","OTHR","OTHR","XT_OffAnimals"]},</v>
      </c>
      <c r="AA235" s="5" t="s">
        <v>5</v>
      </c>
      <c r="AB235" s="3" t="str">
        <f t="shared" si="21"/>
        <v>["-SADNE-","-SLOWSS-","OTHR","OTHR","XT_OffAnimals"]</v>
      </c>
      <c r="AC235" s="3">
        <f>_xlfn.XLOOKUP(A235,Album!A:A,Album!J:J)</f>
        <v>0</v>
      </c>
      <c r="AD235" s="3">
        <f>_xlfn.XLOOKUP(D235,Artists!A:A,Artists!B:B)</f>
        <v>0</v>
      </c>
      <c r="AE235" s="3">
        <f>_xlfn.XLOOKUP(D235,Artists!A:A,Artists!C:C)</f>
        <v>0</v>
      </c>
      <c r="AF235" s="3" t="str">
        <f t="shared" si="22"/>
        <v>OTHR</v>
      </c>
      <c r="AG235" s="3" t="str">
        <f t="shared" si="23"/>
        <v>OTHR</v>
      </c>
    </row>
    <row r="236" spans="24:33" x14ac:dyDescent="0.3">
      <c r="X236" s="3" t="str">
        <f t="shared" si="18"/>
        <v>-SADNE-</v>
      </c>
      <c r="Y236" s="3" t="str">
        <f t="shared" si="19"/>
        <v>-SLOWSS-</v>
      </c>
      <c r="Z236" s="4" t="str">
        <f t="shared" si="20"/>
        <v>{"couname":"","img":"0","pty":"","artist":"","genres":"","duration":"","spotId":"","Items":["-SADNE-","-SLOWSS-","OTHR","OTHR","XT_OffAnimals"]},</v>
      </c>
      <c r="AA236" s="5" t="s">
        <v>5</v>
      </c>
      <c r="AB236" s="3" t="str">
        <f t="shared" si="21"/>
        <v>["-SADNE-","-SLOWSS-","OTHR","OTHR","XT_OffAnimals"]</v>
      </c>
      <c r="AC236" s="3">
        <f>_xlfn.XLOOKUP(A236,Album!A:A,Album!J:J)</f>
        <v>0</v>
      </c>
      <c r="AD236" s="3">
        <f>_xlfn.XLOOKUP(D236,Artists!A:A,Artists!B:B)</f>
        <v>0</v>
      </c>
      <c r="AE236" s="3">
        <f>_xlfn.XLOOKUP(D236,Artists!A:A,Artists!C:C)</f>
        <v>0</v>
      </c>
      <c r="AF236" s="3" t="str">
        <f t="shared" si="22"/>
        <v>OTHR</v>
      </c>
      <c r="AG236" s="3" t="str">
        <f t="shared" si="23"/>
        <v>OTHR</v>
      </c>
    </row>
    <row r="237" spans="24:33" x14ac:dyDescent="0.3">
      <c r="X237" s="3" t="str">
        <f t="shared" si="18"/>
        <v>-SADNE-</v>
      </c>
      <c r="Y237" s="3" t="str">
        <f t="shared" si="19"/>
        <v>-SLOWSS-</v>
      </c>
      <c r="Z237" s="4" t="str">
        <f t="shared" si="20"/>
        <v>{"couname":"","img":"0","pty":"","artist":"","genres":"","duration":"","spotId":"","Items":["-SADNE-","-SLOWSS-","OTHR","OTHR","XT_OffAnimals"]},</v>
      </c>
      <c r="AA237" s="5" t="s">
        <v>5</v>
      </c>
      <c r="AB237" s="3" t="str">
        <f t="shared" si="21"/>
        <v>["-SADNE-","-SLOWSS-","OTHR","OTHR","XT_OffAnimals"]</v>
      </c>
      <c r="AC237" s="3">
        <f>_xlfn.XLOOKUP(A237,Album!A:A,Album!J:J)</f>
        <v>0</v>
      </c>
      <c r="AD237" s="3">
        <f>_xlfn.XLOOKUP(D237,Artists!A:A,Artists!B:B)</f>
        <v>0</v>
      </c>
      <c r="AE237" s="3">
        <f>_xlfn.XLOOKUP(D237,Artists!A:A,Artists!C:C)</f>
        <v>0</v>
      </c>
      <c r="AF237" s="3" t="str">
        <f t="shared" si="22"/>
        <v>OTHR</v>
      </c>
      <c r="AG237" s="3" t="str">
        <f t="shared" si="23"/>
        <v>OTHR</v>
      </c>
    </row>
    <row r="238" spans="24:33" x14ac:dyDescent="0.3">
      <c r="X238" s="3" t="str">
        <f t="shared" si="18"/>
        <v>-SADNE-</v>
      </c>
      <c r="Y238" s="3" t="str">
        <f t="shared" si="19"/>
        <v>-SLOWSS-</v>
      </c>
      <c r="Z238" s="4" t="str">
        <f t="shared" si="20"/>
        <v>{"couname":"","img":"0","pty":"","artist":"","genres":"","duration":"","spotId":"","Items":["-SADNE-","-SLOWSS-","OTHR","OTHR","XT_OffAnimals"]},</v>
      </c>
      <c r="AA238" s="5" t="s">
        <v>5</v>
      </c>
      <c r="AB238" s="3" t="str">
        <f t="shared" si="21"/>
        <v>["-SADNE-","-SLOWSS-","OTHR","OTHR","XT_OffAnimals"]</v>
      </c>
      <c r="AC238" s="3">
        <f>_xlfn.XLOOKUP(A238,Album!A:A,Album!J:J)</f>
        <v>0</v>
      </c>
      <c r="AD238" s="3">
        <f>_xlfn.XLOOKUP(D238,Artists!A:A,Artists!B:B)</f>
        <v>0</v>
      </c>
      <c r="AE238" s="3">
        <f>_xlfn.XLOOKUP(D238,Artists!A:A,Artists!C:C)</f>
        <v>0</v>
      </c>
      <c r="AF238" s="3" t="str">
        <f t="shared" si="22"/>
        <v>OTHR</v>
      </c>
      <c r="AG238" s="3" t="str">
        <f t="shared" si="23"/>
        <v>OTHR</v>
      </c>
    </row>
    <row r="239" spans="24:33" x14ac:dyDescent="0.3">
      <c r="X239" s="3" t="str">
        <f t="shared" si="18"/>
        <v>-SADNE-</v>
      </c>
      <c r="Y239" s="3" t="str">
        <f t="shared" si="19"/>
        <v>-SLOWSS-</v>
      </c>
      <c r="Z239" s="4" t="str">
        <f t="shared" si="20"/>
        <v>{"couname":"","img":"0","pty":"","artist":"","genres":"","duration":"","spotId":"","Items":["-SADNE-","-SLOWSS-","OTHR","OTHR","XT_OffAnimals"]},</v>
      </c>
      <c r="AA239" s="5" t="s">
        <v>5</v>
      </c>
      <c r="AB239" s="3" t="str">
        <f t="shared" si="21"/>
        <v>["-SADNE-","-SLOWSS-","OTHR","OTHR","XT_OffAnimals"]</v>
      </c>
      <c r="AC239" s="3">
        <f>_xlfn.XLOOKUP(A239,Album!A:A,Album!J:J)</f>
        <v>0</v>
      </c>
      <c r="AD239" s="3">
        <f>_xlfn.XLOOKUP(D239,Artists!A:A,Artists!B:B)</f>
        <v>0</v>
      </c>
      <c r="AE239" s="3">
        <f>_xlfn.XLOOKUP(D239,Artists!A:A,Artists!C:C)</f>
        <v>0</v>
      </c>
      <c r="AF239" s="3" t="str">
        <f t="shared" si="22"/>
        <v>OTHR</v>
      </c>
      <c r="AG239" s="3" t="str">
        <f t="shared" si="23"/>
        <v>OTHR</v>
      </c>
    </row>
    <row r="240" spans="24:33" x14ac:dyDescent="0.3">
      <c r="X240" s="3" t="str">
        <f t="shared" si="18"/>
        <v>-SADNE-</v>
      </c>
      <c r="Y240" s="3" t="str">
        <f t="shared" si="19"/>
        <v>-SLOWSS-</v>
      </c>
      <c r="Z240" s="4" t="str">
        <f t="shared" si="20"/>
        <v>{"couname":"","img":"0","pty":"","artist":"","genres":"","duration":"","spotId":"","Items":["-SADNE-","-SLOWSS-","OTHR","OTHR","XT_OffAnimals"]},</v>
      </c>
      <c r="AA240" s="5" t="s">
        <v>5</v>
      </c>
      <c r="AB240" s="3" t="str">
        <f t="shared" si="21"/>
        <v>["-SADNE-","-SLOWSS-","OTHR","OTHR","XT_OffAnimals"]</v>
      </c>
      <c r="AC240" s="3">
        <f>_xlfn.XLOOKUP(A240,Album!A:A,Album!J:J)</f>
        <v>0</v>
      </c>
      <c r="AD240" s="3">
        <f>_xlfn.XLOOKUP(D240,Artists!A:A,Artists!B:B)</f>
        <v>0</v>
      </c>
      <c r="AE240" s="3">
        <f>_xlfn.XLOOKUP(D240,Artists!A:A,Artists!C:C)</f>
        <v>0</v>
      </c>
      <c r="AF240" s="3" t="str">
        <f t="shared" si="22"/>
        <v>OTHR</v>
      </c>
      <c r="AG240" s="3" t="str">
        <f t="shared" si="23"/>
        <v>OTHR</v>
      </c>
    </row>
    <row r="241" spans="24:33" x14ac:dyDescent="0.3">
      <c r="X241" s="3" t="str">
        <f t="shared" si="18"/>
        <v>-SADNE-</v>
      </c>
      <c r="Y241" s="3" t="str">
        <f t="shared" si="19"/>
        <v>-SLOWSS-</v>
      </c>
      <c r="Z241" s="4" t="str">
        <f t="shared" si="20"/>
        <v>{"couname":"","img":"0","pty":"","artist":"","genres":"","duration":"","spotId":"","Items":["-SADNE-","-SLOWSS-","OTHR","OTHR","XT_OffAnimals"]},</v>
      </c>
      <c r="AA241" s="5" t="s">
        <v>5</v>
      </c>
      <c r="AB241" s="3" t="str">
        <f t="shared" si="21"/>
        <v>["-SADNE-","-SLOWSS-","OTHR","OTHR","XT_OffAnimals"]</v>
      </c>
      <c r="AC241" s="3">
        <f>_xlfn.XLOOKUP(A241,Album!A:A,Album!J:J)</f>
        <v>0</v>
      </c>
      <c r="AD241" s="3">
        <f>_xlfn.XLOOKUP(D241,Artists!A:A,Artists!B:B)</f>
        <v>0</v>
      </c>
      <c r="AE241" s="3">
        <f>_xlfn.XLOOKUP(D241,Artists!A:A,Artists!C:C)</f>
        <v>0</v>
      </c>
      <c r="AF241" s="3" t="str">
        <f t="shared" si="22"/>
        <v>OTHR</v>
      </c>
      <c r="AG241" s="3" t="str">
        <f t="shared" si="23"/>
        <v>OTHR</v>
      </c>
    </row>
    <row r="242" spans="24:33" x14ac:dyDescent="0.3">
      <c r="X242" s="3" t="str">
        <f t="shared" si="18"/>
        <v>-SADNE-</v>
      </c>
      <c r="Y242" s="3" t="str">
        <f t="shared" si="19"/>
        <v>-SLOWSS-</v>
      </c>
      <c r="Z242" s="4" t="str">
        <f t="shared" si="20"/>
        <v>{"couname":"","img":"0","pty":"","artist":"","genres":"","duration":"","spotId":"","Items":["-SADNE-","-SLOWSS-","OTHR","OTHR","XT_OffAnimals"]},</v>
      </c>
      <c r="AA242" s="5" t="s">
        <v>5</v>
      </c>
      <c r="AB242" s="3" t="str">
        <f t="shared" si="21"/>
        <v>["-SADNE-","-SLOWSS-","OTHR","OTHR","XT_OffAnimals"]</v>
      </c>
      <c r="AC242" s="3">
        <f>_xlfn.XLOOKUP(A242,Album!A:A,Album!J:J)</f>
        <v>0</v>
      </c>
      <c r="AD242" s="3">
        <f>_xlfn.XLOOKUP(D242,Artists!A:A,Artists!B:B)</f>
        <v>0</v>
      </c>
      <c r="AE242" s="3">
        <f>_xlfn.XLOOKUP(D242,Artists!A:A,Artists!C:C)</f>
        <v>0</v>
      </c>
      <c r="AF242" s="3" t="str">
        <f t="shared" si="22"/>
        <v>OTHR</v>
      </c>
      <c r="AG242" s="3" t="str">
        <f t="shared" si="23"/>
        <v>OTHR</v>
      </c>
    </row>
    <row r="243" spans="24:33" x14ac:dyDescent="0.3">
      <c r="X243" s="3" t="str">
        <f t="shared" si="18"/>
        <v>-SADNE-</v>
      </c>
      <c r="Y243" s="3" t="str">
        <f t="shared" si="19"/>
        <v>-SLOWSS-</v>
      </c>
      <c r="Z243" s="4" t="str">
        <f t="shared" si="20"/>
        <v>{"couname":"","img":"0","pty":"","artist":"","genres":"","duration":"","spotId":"","Items":["-SADNE-","-SLOWSS-","OTHR","OTHR","XT_OffAnimals"]},</v>
      </c>
      <c r="AA243" s="5" t="s">
        <v>5</v>
      </c>
      <c r="AB243" s="3" t="str">
        <f t="shared" si="21"/>
        <v>["-SADNE-","-SLOWSS-","OTHR","OTHR","XT_OffAnimals"]</v>
      </c>
      <c r="AC243" s="3">
        <f>_xlfn.XLOOKUP(A243,Album!A:A,Album!J:J)</f>
        <v>0</v>
      </c>
      <c r="AD243" s="3">
        <f>_xlfn.XLOOKUP(D243,Artists!A:A,Artists!B:B)</f>
        <v>0</v>
      </c>
      <c r="AE243" s="3">
        <f>_xlfn.XLOOKUP(D243,Artists!A:A,Artists!C:C)</f>
        <v>0</v>
      </c>
      <c r="AF243" s="3" t="str">
        <f t="shared" si="22"/>
        <v>OTHR</v>
      </c>
      <c r="AG243" s="3" t="str">
        <f t="shared" si="23"/>
        <v>OTHR</v>
      </c>
    </row>
    <row r="244" spans="24:33" x14ac:dyDescent="0.3">
      <c r="X244" s="3" t="str">
        <f t="shared" si="18"/>
        <v>-SADNE-</v>
      </c>
      <c r="Y244" s="3" t="str">
        <f t="shared" si="19"/>
        <v>-SLOWSS-</v>
      </c>
      <c r="Z244" s="4" t="str">
        <f t="shared" si="20"/>
        <v>{"couname":"","img":"0","pty":"","artist":"","genres":"","duration":"","spotId":"","Items":["-SADNE-","-SLOWSS-","OTHR","OTHR","XT_OffAnimals"]},</v>
      </c>
      <c r="AA244" s="5" t="s">
        <v>5</v>
      </c>
      <c r="AB244" s="3" t="str">
        <f t="shared" si="21"/>
        <v>["-SADNE-","-SLOWSS-","OTHR","OTHR","XT_OffAnimals"]</v>
      </c>
      <c r="AC244" s="3">
        <f>_xlfn.XLOOKUP(A244,Album!A:A,Album!J:J)</f>
        <v>0</v>
      </c>
      <c r="AD244" s="3">
        <f>_xlfn.XLOOKUP(D244,Artists!A:A,Artists!B:B)</f>
        <v>0</v>
      </c>
      <c r="AE244" s="3">
        <f>_xlfn.XLOOKUP(D244,Artists!A:A,Artists!C:C)</f>
        <v>0</v>
      </c>
      <c r="AF244" s="3" t="str">
        <f t="shared" si="22"/>
        <v>OTHR</v>
      </c>
      <c r="AG244" s="3" t="str">
        <f t="shared" si="23"/>
        <v>OTHR</v>
      </c>
    </row>
    <row r="245" spans="24:33" x14ac:dyDescent="0.3">
      <c r="X245" s="3" t="str">
        <f t="shared" si="18"/>
        <v>-SADNE-</v>
      </c>
      <c r="Y245" s="3" t="str">
        <f t="shared" si="19"/>
        <v>-SLOWSS-</v>
      </c>
      <c r="Z245" s="4" t="str">
        <f t="shared" si="20"/>
        <v>{"couname":"","img":"0","pty":"","artist":"","genres":"","duration":"","spotId":"","Items":["-SADNE-","-SLOWSS-","OTHR","OTHR","XT_OffAnimals"]},</v>
      </c>
      <c r="AA245" s="5" t="s">
        <v>5</v>
      </c>
      <c r="AB245" s="3" t="str">
        <f t="shared" si="21"/>
        <v>["-SADNE-","-SLOWSS-","OTHR","OTHR","XT_OffAnimals"]</v>
      </c>
      <c r="AC245" s="3">
        <f>_xlfn.XLOOKUP(A245,Album!A:A,Album!J:J)</f>
        <v>0</v>
      </c>
      <c r="AD245" s="3">
        <f>_xlfn.XLOOKUP(D245,Artists!A:A,Artists!B:B)</f>
        <v>0</v>
      </c>
      <c r="AE245" s="3">
        <f>_xlfn.XLOOKUP(D245,Artists!A:A,Artists!C:C)</f>
        <v>0</v>
      </c>
      <c r="AF245" s="3" t="str">
        <f t="shared" si="22"/>
        <v>OTHR</v>
      </c>
      <c r="AG245" s="3" t="str">
        <f t="shared" si="23"/>
        <v>OTHR</v>
      </c>
    </row>
    <row r="246" spans="24:33" x14ac:dyDescent="0.3">
      <c r="X246" s="3" t="str">
        <f t="shared" si="18"/>
        <v>-SADNE-</v>
      </c>
      <c r="Y246" s="3" t="str">
        <f t="shared" si="19"/>
        <v>-SLOWSS-</v>
      </c>
      <c r="Z246" s="4" t="str">
        <f t="shared" si="20"/>
        <v>{"couname":"","img":"0","pty":"","artist":"","genres":"","duration":"","spotId":"","Items":["-SADNE-","-SLOWSS-","OTHR","OTHR","XT_OffAnimals"]},</v>
      </c>
      <c r="AA246" s="5" t="s">
        <v>5</v>
      </c>
      <c r="AB246" s="3" t="str">
        <f t="shared" si="21"/>
        <v>["-SADNE-","-SLOWSS-","OTHR","OTHR","XT_OffAnimals"]</v>
      </c>
      <c r="AC246" s="3">
        <f>_xlfn.XLOOKUP(A246,Album!A:A,Album!J:J)</f>
        <v>0</v>
      </c>
      <c r="AD246" s="3">
        <f>_xlfn.XLOOKUP(D246,Artists!A:A,Artists!B:B)</f>
        <v>0</v>
      </c>
      <c r="AE246" s="3">
        <f>_xlfn.XLOOKUP(D246,Artists!A:A,Artists!C:C)</f>
        <v>0</v>
      </c>
      <c r="AF246" s="3" t="str">
        <f t="shared" si="22"/>
        <v>OTHR</v>
      </c>
      <c r="AG246" s="3" t="str">
        <f t="shared" si="23"/>
        <v>OTHR</v>
      </c>
    </row>
    <row r="247" spans="24:33" x14ac:dyDescent="0.3">
      <c r="X247" s="3" t="str">
        <f t="shared" si="18"/>
        <v>-SADNE-</v>
      </c>
      <c r="Y247" s="3" t="str">
        <f t="shared" si="19"/>
        <v>-SLOWSS-</v>
      </c>
      <c r="Z247" s="4" t="str">
        <f t="shared" si="20"/>
        <v>{"couname":"","img":"0","pty":"","artist":"","genres":"","duration":"","spotId":"","Items":["-SADNE-","-SLOWSS-","OTHR","OTHR","XT_OffAnimals"]},</v>
      </c>
      <c r="AA247" s="5" t="s">
        <v>5</v>
      </c>
      <c r="AB247" s="3" t="str">
        <f t="shared" si="21"/>
        <v>["-SADNE-","-SLOWSS-","OTHR","OTHR","XT_OffAnimals"]</v>
      </c>
      <c r="AC247" s="3">
        <f>_xlfn.XLOOKUP(A247,Album!A:A,Album!J:J)</f>
        <v>0</v>
      </c>
      <c r="AD247" s="3">
        <f>_xlfn.XLOOKUP(D247,Artists!A:A,Artists!B:B)</f>
        <v>0</v>
      </c>
      <c r="AE247" s="3">
        <f>_xlfn.XLOOKUP(D247,Artists!A:A,Artists!C:C)</f>
        <v>0</v>
      </c>
      <c r="AF247" s="3" t="str">
        <f t="shared" si="22"/>
        <v>OTHR</v>
      </c>
      <c r="AG247" s="3" t="str">
        <f t="shared" si="23"/>
        <v>OTHR</v>
      </c>
    </row>
    <row r="248" spans="24:33" x14ac:dyDescent="0.3">
      <c r="X248" s="3" t="str">
        <f t="shared" si="18"/>
        <v>-SADNE-</v>
      </c>
      <c r="Y248" s="3" t="str">
        <f t="shared" si="19"/>
        <v>-SLOWSS-</v>
      </c>
      <c r="Z248" s="4" t="str">
        <f t="shared" si="20"/>
        <v>{"couname":"","img":"0","pty":"","artist":"","genres":"","duration":"","spotId":"","Items":["-SADNE-","-SLOWSS-","OTHR","OTHR","XT_OffAnimals"]},</v>
      </c>
      <c r="AA248" s="5" t="s">
        <v>5</v>
      </c>
      <c r="AB248" s="3" t="str">
        <f t="shared" si="21"/>
        <v>["-SADNE-","-SLOWSS-","OTHR","OTHR","XT_OffAnimals"]</v>
      </c>
      <c r="AC248" s="3">
        <f>_xlfn.XLOOKUP(A248,Album!A:A,Album!J:J)</f>
        <v>0</v>
      </c>
      <c r="AD248" s="3">
        <f>_xlfn.XLOOKUP(D248,Artists!A:A,Artists!B:B)</f>
        <v>0</v>
      </c>
      <c r="AE248" s="3">
        <f>_xlfn.XLOOKUP(D248,Artists!A:A,Artists!C:C)</f>
        <v>0</v>
      </c>
      <c r="AF248" s="3" t="str">
        <f t="shared" si="22"/>
        <v>OTHR</v>
      </c>
      <c r="AG248" s="3" t="str">
        <f t="shared" si="23"/>
        <v>OTHR</v>
      </c>
    </row>
    <row r="249" spans="24:33" x14ac:dyDescent="0.3">
      <c r="X249" s="3" t="str">
        <f t="shared" si="18"/>
        <v>-SADNE-</v>
      </c>
      <c r="Y249" s="3" t="str">
        <f t="shared" si="19"/>
        <v>-SLOWSS-</v>
      </c>
      <c r="Z249" s="4" t="str">
        <f t="shared" si="20"/>
        <v>{"couname":"","img":"0","pty":"","artist":"","genres":"","duration":"","spotId":"","Items":["-SADNE-","-SLOWSS-","OTHR","OTHR","XT_OffAnimals"]},</v>
      </c>
      <c r="AA249" s="5" t="s">
        <v>5</v>
      </c>
      <c r="AB249" s="3" t="str">
        <f t="shared" si="21"/>
        <v>["-SADNE-","-SLOWSS-","OTHR","OTHR","XT_OffAnimals"]</v>
      </c>
      <c r="AC249" s="3">
        <f>_xlfn.XLOOKUP(A249,Album!A:A,Album!J:J)</f>
        <v>0</v>
      </c>
      <c r="AD249" s="3">
        <f>_xlfn.XLOOKUP(D249,Artists!A:A,Artists!B:B)</f>
        <v>0</v>
      </c>
      <c r="AE249" s="3">
        <f>_xlfn.XLOOKUP(D249,Artists!A:A,Artists!C:C)</f>
        <v>0</v>
      </c>
      <c r="AF249" s="3" t="str">
        <f t="shared" si="22"/>
        <v>OTHR</v>
      </c>
      <c r="AG249" s="3" t="str">
        <f t="shared" si="23"/>
        <v>OTHR</v>
      </c>
    </row>
    <row r="250" spans="24:33" x14ac:dyDescent="0.3">
      <c r="X250" s="3" t="str">
        <f t="shared" si="18"/>
        <v>-SADNE-</v>
      </c>
      <c r="Y250" s="3" t="str">
        <f t="shared" si="19"/>
        <v>-SLOWSS-</v>
      </c>
      <c r="Z250" s="4" t="str">
        <f t="shared" si="20"/>
        <v>{"couname":"","img":"0","pty":"","artist":"","genres":"","duration":"","spotId":"","Items":["-SADNE-","-SLOWSS-","OTHR","OTHR","XT_OffAnimals"]},</v>
      </c>
      <c r="AA250" s="5" t="s">
        <v>5</v>
      </c>
      <c r="AB250" s="3" t="str">
        <f t="shared" si="21"/>
        <v>["-SADNE-","-SLOWSS-","OTHR","OTHR","XT_OffAnimals"]</v>
      </c>
      <c r="AC250" s="3">
        <f>_xlfn.XLOOKUP(A250,Album!A:A,Album!J:J)</f>
        <v>0</v>
      </c>
      <c r="AD250" s="3">
        <f>_xlfn.XLOOKUP(D250,Artists!A:A,Artists!B:B)</f>
        <v>0</v>
      </c>
      <c r="AE250" s="3">
        <f>_xlfn.XLOOKUP(D250,Artists!A:A,Artists!C:C)</f>
        <v>0</v>
      </c>
      <c r="AF250" s="3" t="str">
        <f t="shared" si="22"/>
        <v>OTHR</v>
      </c>
      <c r="AG250" s="3" t="str">
        <f t="shared" si="23"/>
        <v>OTHR</v>
      </c>
    </row>
    <row r="251" spans="24:33" x14ac:dyDescent="0.3">
      <c r="X251" s="3" t="str">
        <f t="shared" si="18"/>
        <v>-SADNE-</v>
      </c>
      <c r="Y251" s="3" t="str">
        <f t="shared" si="19"/>
        <v>-SLOWSS-</v>
      </c>
      <c r="Z251" s="4" t="str">
        <f t="shared" si="20"/>
        <v>{"couname":"","img":"0","pty":"","artist":"","genres":"","duration":"","spotId":"","Items":["-SADNE-","-SLOWSS-","OTHR","OTHR","XT_OffAnimals"]},</v>
      </c>
      <c r="AA251" s="5" t="s">
        <v>5</v>
      </c>
      <c r="AB251" s="3" t="str">
        <f t="shared" si="21"/>
        <v>["-SADNE-","-SLOWSS-","OTHR","OTHR","XT_OffAnimals"]</v>
      </c>
      <c r="AC251" s="3">
        <f>_xlfn.XLOOKUP(A251,Album!A:A,Album!J:J)</f>
        <v>0</v>
      </c>
      <c r="AD251" s="3">
        <f>_xlfn.XLOOKUP(D251,Artists!A:A,Artists!B:B)</f>
        <v>0</v>
      </c>
      <c r="AE251" s="3">
        <f>_xlfn.XLOOKUP(D251,Artists!A:A,Artists!C:C)</f>
        <v>0</v>
      </c>
      <c r="AF251" s="3" t="str">
        <f t="shared" si="22"/>
        <v>OTHR</v>
      </c>
      <c r="AG251" s="3" t="str">
        <f t="shared" si="23"/>
        <v>OTHR</v>
      </c>
    </row>
    <row r="252" spans="24:33" x14ac:dyDescent="0.3">
      <c r="X252" s="3" t="str">
        <f t="shared" si="18"/>
        <v>-SADNE-</v>
      </c>
      <c r="Y252" s="3" t="str">
        <f t="shared" si="19"/>
        <v>-SLOWSS-</v>
      </c>
      <c r="Z252" s="4" t="str">
        <f t="shared" si="20"/>
        <v>{"couname":"","img":"0","pty":"","artist":"","genres":"","duration":"","spotId":"","Items":["-SADNE-","-SLOWSS-","OTHR","OTHR","XT_OffAnimals"]},</v>
      </c>
      <c r="AA252" s="5" t="s">
        <v>5</v>
      </c>
      <c r="AB252" s="3" t="str">
        <f t="shared" si="21"/>
        <v>["-SADNE-","-SLOWSS-","OTHR","OTHR","XT_OffAnimals"]</v>
      </c>
      <c r="AC252" s="3">
        <f>_xlfn.XLOOKUP(A252,Album!A:A,Album!J:J)</f>
        <v>0</v>
      </c>
      <c r="AD252" s="3">
        <f>_xlfn.XLOOKUP(D252,Artists!A:A,Artists!B:B)</f>
        <v>0</v>
      </c>
      <c r="AE252" s="3">
        <f>_xlfn.XLOOKUP(D252,Artists!A:A,Artists!C:C)</f>
        <v>0</v>
      </c>
      <c r="AF252" s="3" t="str">
        <f t="shared" si="22"/>
        <v>OTHR</v>
      </c>
      <c r="AG252" s="3" t="str">
        <f t="shared" si="23"/>
        <v>OTHR</v>
      </c>
    </row>
    <row r="253" spans="24:33" x14ac:dyDescent="0.3">
      <c r="X253" s="3" t="str">
        <f t="shared" si="18"/>
        <v>-SADNE-</v>
      </c>
      <c r="Y253" s="3" t="str">
        <f t="shared" si="19"/>
        <v>-SLOWSS-</v>
      </c>
      <c r="Z253" s="4" t="str">
        <f t="shared" si="20"/>
        <v>{"couname":"","img":"0","pty":"","artist":"","genres":"","duration":"","spotId":"","Items":["-SADNE-","-SLOWSS-","OTHR","OTHR","XT_OffAnimals"]},</v>
      </c>
      <c r="AA253" s="5" t="s">
        <v>5</v>
      </c>
      <c r="AB253" s="3" t="str">
        <f t="shared" si="21"/>
        <v>["-SADNE-","-SLOWSS-","OTHR","OTHR","XT_OffAnimals"]</v>
      </c>
      <c r="AC253" s="3">
        <f>_xlfn.XLOOKUP(A253,Album!A:A,Album!J:J)</f>
        <v>0</v>
      </c>
      <c r="AD253" s="3">
        <f>_xlfn.XLOOKUP(D253,Artists!A:A,Artists!B:B)</f>
        <v>0</v>
      </c>
      <c r="AE253" s="3">
        <f>_xlfn.XLOOKUP(D253,Artists!A:A,Artists!C:C)</f>
        <v>0</v>
      </c>
      <c r="AF253" s="3" t="str">
        <f t="shared" si="22"/>
        <v>OTHR</v>
      </c>
      <c r="AG253" s="3" t="str">
        <f t="shared" si="23"/>
        <v>OTHR</v>
      </c>
    </row>
    <row r="254" spans="24:33" x14ac:dyDescent="0.3">
      <c r="X254" s="3" t="str">
        <f t="shared" si="18"/>
        <v>-SADNE-</v>
      </c>
      <c r="Y254" s="3" t="str">
        <f t="shared" si="19"/>
        <v>-SLOWSS-</v>
      </c>
      <c r="Z254" s="4" t="str">
        <f t="shared" si="20"/>
        <v>{"couname":"","img":"0","pty":"","artist":"","genres":"","duration":"","spotId":"","Items":["-SADNE-","-SLOWSS-","OTHR","OTHR","XT_OffAnimals"]},</v>
      </c>
      <c r="AA254" s="5" t="s">
        <v>5</v>
      </c>
      <c r="AB254" s="3" t="str">
        <f t="shared" si="21"/>
        <v>["-SADNE-","-SLOWSS-","OTHR","OTHR","XT_OffAnimals"]</v>
      </c>
      <c r="AC254" s="3">
        <f>_xlfn.XLOOKUP(A254,Album!A:A,Album!J:J)</f>
        <v>0</v>
      </c>
      <c r="AD254" s="3">
        <f>_xlfn.XLOOKUP(D254,Artists!A:A,Artists!B:B)</f>
        <v>0</v>
      </c>
      <c r="AE254" s="3">
        <f>_xlfn.XLOOKUP(D254,Artists!A:A,Artists!C:C)</f>
        <v>0</v>
      </c>
      <c r="AF254" s="3" t="str">
        <f t="shared" si="22"/>
        <v>OTHR</v>
      </c>
      <c r="AG254" s="3" t="str">
        <f t="shared" si="23"/>
        <v>OTHR</v>
      </c>
    </row>
    <row r="255" spans="24:33" x14ac:dyDescent="0.3">
      <c r="X255" s="3" t="str">
        <f t="shared" si="18"/>
        <v>-SADNE-</v>
      </c>
      <c r="Y255" s="3" t="str">
        <f t="shared" si="19"/>
        <v>-SLOWSS-</v>
      </c>
      <c r="Z255" s="4" t="str">
        <f t="shared" si="20"/>
        <v>{"couname":"","img":"0","pty":"","artist":"","genres":"","duration":"","spotId":"","Items":["-SADNE-","-SLOWSS-","OTHR","OTHR","XT_OffAnimals"]},</v>
      </c>
      <c r="AA255" s="5" t="s">
        <v>5</v>
      </c>
      <c r="AB255" s="3" t="str">
        <f t="shared" si="21"/>
        <v>["-SADNE-","-SLOWSS-","OTHR","OTHR","XT_OffAnimals"]</v>
      </c>
      <c r="AC255" s="3">
        <f>_xlfn.XLOOKUP(A255,Album!A:A,Album!J:J)</f>
        <v>0</v>
      </c>
      <c r="AD255" s="3">
        <f>_xlfn.XLOOKUP(D255,Artists!A:A,Artists!B:B)</f>
        <v>0</v>
      </c>
      <c r="AE255" s="3">
        <f>_xlfn.XLOOKUP(D255,Artists!A:A,Artists!C:C)</f>
        <v>0</v>
      </c>
      <c r="AF255" s="3" t="str">
        <f t="shared" si="22"/>
        <v>OTHR</v>
      </c>
      <c r="AG255" s="3" t="str">
        <f t="shared" si="23"/>
        <v>OTHR</v>
      </c>
    </row>
    <row r="256" spans="24:33" x14ac:dyDescent="0.3">
      <c r="X256" s="3" t="str">
        <f t="shared" si="18"/>
        <v>-SADNE-</v>
      </c>
      <c r="Y256" s="3" t="str">
        <f t="shared" si="19"/>
        <v>-SLOWSS-</v>
      </c>
      <c r="Z256" s="4" t="str">
        <f t="shared" si="20"/>
        <v>{"couname":"","img":"0","pty":"","artist":"","genres":"","duration":"","spotId":"","Items":["-SADNE-","-SLOWSS-","OTHR","OTHR","XT_OffAnimals"]},</v>
      </c>
      <c r="AA256" s="5" t="s">
        <v>5</v>
      </c>
      <c r="AB256" s="3" t="str">
        <f t="shared" si="21"/>
        <v>["-SADNE-","-SLOWSS-","OTHR","OTHR","XT_OffAnimals"]</v>
      </c>
      <c r="AC256" s="3">
        <f>_xlfn.XLOOKUP(A256,Album!A:A,Album!J:J)</f>
        <v>0</v>
      </c>
      <c r="AD256" s="3">
        <f>_xlfn.XLOOKUP(D256,Artists!A:A,Artists!B:B)</f>
        <v>0</v>
      </c>
      <c r="AE256" s="3">
        <f>_xlfn.XLOOKUP(D256,Artists!A:A,Artists!C:C)</f>
        <v>0</v>
      </c>
      <c r="AF256" s="3" t="str">
        <f t="shared" si="22"/>
        <v>OTHR</v>
      </c>
      <c r="AG256" s="3" t="str">
        <f t="shared" si="23"/>
        <v>OTHR</v>
      </c>
    </row>
    <row r="257" spans="24:33" x14ac:dyDescent="0.3">
      <c r="X257" s="3" t="str">
        <f t="shared" si="18"/>
        <v>-SADNE-</v>
      </c>
      <c r="Y257" s="3" t="str">
        <f t="shared" si="19"/>
        <v>-SLOWSS-</v>
      </c>
      <c r="Z257" s="4" t="str">
        <f t="shared" si="20"/>
        <v>{"couname":"","img":"0","pty":"","artist":"","genres":"","duration":"","spotId":"","Items":["-SADNE-","-SLOWSS-","OTHR","OTHR","XT_OffAnimals"]},</v>
      </c>
      <c r="AA257" s="5" t="s">
        <v>5</v>
      </c>
      <c r="AB257" s="3" t="str">
        <f t="shared" si="21"/>
        <v>["-SADNE-","-SLOWSS-","OTHR","OTHR","XT_OffAnimals"]</v>
      </c>
      <c r="AC257" s="3">
        <f>_xlfn.XLOOKUP(A257,Album!A:A,Album!J:J)</f>
        <v>0</v>
      </c>
      <c r="AD257" s="3">
        <f>_xlfn.XLOOKUP(D257,Artists!A:A,Artists!B:B)</f>
        <v>0</v>
      </c>
      <c r="AE257" s="3">
        <f>_xlfn.XLOOKUP(D257,Artists!A:A,Artists!C:C)</f>
        <v>0</v>
      </c>
      <c r="AF257" s="3" t="str">
        <f t="shared" si="22"/>
        <v>OTHR</v>
      </c>
      <c r="AG257" s="3" t="str">
        <f t="shared" si="23"/>
        <v>OTHR</v>
      </c>
    </row>
    <row r="258" spans="24:33" x14ac:dyDescent="0.3">
      <c r="X258" s="3" t="str">
        <f t="shared" ref="X258:X321" si="24">IF(OR(U258&lt;0.301, AND(U258&lt;0.4, P258=0)), "-SADNE-", "-HAPPY-")</f>
        <v>-SADNE-</v>
      </c>
      <c r="Y258" s="3" t="str">
        <f t="shared" ref="Y258:Y321" si="25">IF(OR(AND(L258&lt;0.5,M258&lt;0.5),AND(L258&lt;0.45,V258&lt;100),AND(M258&lt;0.45,V258&lt;100),AND(U258&lt;0.39,V258&lt;100)),"-SLOWSS-","-ENERGY-")</f>
        <v>-SLOWSS-</v>
      </c>
      <c r="Z258" s="4" t="str">
        <f t="shared" si="20"/>
        <v>{"couname":"","img":"0","pty":"","artist":"","genres":"","duration":"","spotId":"","Items":["-SADNE-","-SLOWSS-","OTHR","OTHR","XT_OffAnimals"]},</v>
      </c>
      <c r="AA258" s="5" t="s">
        <v>5</v>
      </c>
      <c r="AB258" s="3" t="str">
        <f t="shared" si="21"/>
        <v>["-SADNE-","-SLOWSS-","OTHR","OTHR","XT_OffAnimals"]</v>
      </c>
      <c r="AC258" s="3">
        <f>_xlfn.XLOOKUP(A258,Album!A:A,Album!J:J)</f>
        <v>0</v>
      </c>
      <c r="AD258" s="3">
        <f>_xlfn.XLOOKUP(D258,Artists!A:A,Artists!B:B)</f>
        <v>0</v>
      </c>
      <c r="AE258" s="3">
        <f>_xlfn.XLOOKUP(D258,Artists!A:A,Artists!C:C)</f>
        <v>0</v>
      </c>
      <c r="AF258" s="3" t="str">
        <f t="shared" si="22"/>
        <v>OTHR</v>
      </c>
      <c r="AG258" s="3" t="str">
        <f t="shared" si="23"/>
        <v>OTHR</v>
      </c>
    </row>
    <row r="259" spans="24:33" x14ac:dyDescent="0.3">
      <c r="X259" s="3" t="str">
        <f t="shared" si="24"/>
        <v>-SADNE-</v>
      </c>
      <c r="Y259" s="3" t="str">
        <f t="shared" si="25"/>
        <v>-SLOWSS-</v>
      </c>
      <c r="Z259" s="4" t="str">
        <f t="shared" ref="Z259:Z322" si="26">"{"&amp;CHAR(34)&amp;"couname"&amp;CHAR(34)&amp;":"&amp;CHAR(34)&amp;B259&amp;CHAR(34)&amp;","&amp;CHAR(34)&amp;"img"&amp;CHAR(34)&amp;":"&amp;CHAR(34)&amp;AC259&amp;CHAR(34)&amp;","&amp;CHAR(34)&amp;"pty"&amp;CHAR(34)&amp;":"&amp;CHAR(34)&amp;G259&amp;CHAR(34)&amp;","&amp;CHAR(34)&amp;"artist"&amp;CHAR(34)&amp;":"&amp;CHAR(34)&amp;D259&amp;CHAR(34)&amp;","&amp;CHAR(34)&amp;"genres"&amp;CHAR(34)&amp;":"&amp;CHAR(34)&amp;J259&amp;CHAR(34)&amp;","&amp;CHAR(34)&amp;"duration"&amp;CHAR(34)&amp;":"&amp;CHAR(34)&amp;F259&amp;CHAR(34)&amp;","&amp;CHAR(34)&amp;"spotId"&amp;CHAR(34)&amp;":"&amp;CHAR(34)&amp;A259&amp;CHAR(34)&amp;","&amp;CHAR(34)&amp;"Items"&amp;CHAR(34)&amp;":"&amp;AB259&amp;"},"</f>
        <v>{"couname":"","img":"0","pty":"","artist":"","genres":"","duration":"","spotId":"","Items":["-SADNE-","-SLOWSS-","OTHR","OTHR","XT_OffAnimals"]},</v>
      </c>
      <c r="AA259" s="5" t="s">
        <v>5</v>
      </c>
      <c r="AB259" s="3" t="str">
        <f t="shared" ref="AB259:AB322" si="27" xml:space="preserve"> "[" &amp; _xlfn.TEXTJOIN(",",TRUE,CHAR(34) &amp; X259&amp; CHAR(34), CHAR(34) &amp; Y259 &amp; CHAR(34),  CHAR(34) &amp; AF259 &amp; CHAR(34), CHAR(34) &amp;AG259 &amp; CHAR(34), CHAR(34) &amp; AA259 &amp; CHAR(34)) &amp; "]"</f>
        <v>["-SADNE-","-SLOWSS-","OTHR","OTHR","XT_OffAnimals"]</v>
      </c>
      <c r="AC259" s="3">
        <f>_xlfn.XLOOKUP(A259,Album!A:A,Album!J:J)</f>
        <v>0</v>
      </c>
      <c r="AD259" s="3">
        <f>_xlfn.XLOOKUP(D259,Artists!A:A,Artists!B:B)</f>
        <v>0</v>
      </c>
      <c r="AE259" s="3">
        <f>_xlfn.XLOOKUP(D259,Artists!A:A,Artists!C:C)</f>
        <v>0</v>
      </c>
      <c r="AF259" s="3" t="str">
        <f t="shared" ref="AF259:AF322" si="28">IF(ISNUMBER(SEARCH("female", AD259)), "GIRL", IF(ISNUMBER(SEARCH("male", AD259)), "DUDE", "OTHR"))</f>
        <v>OTHR</v>
      </c>
      <c r="AG259" s="3" t="str">
        <f t="shared" ref="AG259:AG322" si="29">IF(ISNUMBER(SEARCH("band", AD259)), "BAND", IF(ISNUMBER(SEARCH("solo", AD259)), "SOLO", "OTHR"))</f>
        <v>OTHR</v>
      </c>
    </row>
    <row r="260" spans="24:33" x14ac:dyDescent="0.3">
      <c r="X260" s="3" t="str">
        <f t="shared" si="24"/>
        <v>-SADNE-</v>
      </c>
      <c r="Y260" s="3" t="str">
        <f t="shared" si="25"/>
        <v>-SLOWSS-</v>
      </c>
      <c r="Z260" s="4" t="str">
        <f t="shared" si="26"/>
        <v>{"couname":"","img":"0","pty":"","artist":"","genres":"","duration":"","spotId":"","Items":["-SADNE-","-SLOWSS-","OTHR","OTHR","XT_OffAnimals"]},</v>
      </c>
      <c r="AA260" s="5" t="s">
        <v>5</v>
      </c>
      <c r="AB260" s="3" t="str">
        <f t="shared" si="27"/>
        <v>["-SADNE-","-SLOWSS-","OTHR","OTHR","XT_OffAnimals"]</v>
      </c>
      <c r="AC260" s="3">
        <f>_xlfn.XLOOKUP(A260,Album!A:A,Album!J:J)</f>
        <v>0</v>
      </c>
      <c r="AD260" s="3">
        <f>_xlfn.XLOOKUP(D260,Artists!A:A,Artists!B:B)</f>
        <v>0</v>
      </c>
      <c r="AE260" s="3">
        <f>_xlfn.XLOOKUP(D260,Artists!A:A,Artists!C:C)</f>
        <v>0</v>
      </c>
      <c r="AF260" s="3" t="str">
        <f t="shared" si="28"/>
        <v>OTHR</v>
      </c>
      <c r="AG260" s="3" t="str">
        <f t="shared" si="29"/>
        <v>OTHR</v>
      </c>
    </row>
    <row r="261" spans="24:33" x14ac:dyDescent="0.3">
      <c r="X261" s="3" t="str">
        <f t="shared" si="24"/>
        <v>-SADNE-</v>
      </c>
      <c r="Y261" s="3" t="str">
        <f t="shared" si="25"/>
        <v>-SLOWSS-</v>
      </c>
      <c r="Z261" s="4" t="str">
        <f t="shared" si="26"/>
        <v>{"couname":"","img":"0","pty":"","artist":"","genres":"","duration":"","spotId":"","Items":["-SADNE-","-SLOWSS-","OTHR","OTHR","XT_OffAnimals"]},</v>
      </c>
      <c r="AA261" s="5" t="s">
        <v>5</v>
      </c>
      <c r="AB261" s="3" t="str">
        <f t="shared" si="27"/>
        <v>["-SADNE-","-SLOWSS-","OTHR","OTHR","XT_OffAnimals"]</v>
      </c>
      <c r="AC261" s="3">
        <f>_xlfn.XLOOKUP(A261,Album!A:A,Album!J:J)</f>
        <v>0</v>
      </c>
      <c r="AD261" s="3">
        <f>_xlfn.XLOOKUP(D261,Artists!A:A,Artists!B:B)</f>
        <v>0</v>
      </c>
      <c r="AE261" s="3">
        <f>_xlfn.XLOOKUP(D261,Artists!A:A,Artists!C:C)</f>
        <v>0</v>
      </c>
      <c r="AF261" s="3" t="str">
        <f t="shared" si="28"/>
        <v>OTHR</v>
      </c>
      <c r="AG261" s="3" t="str">
        <f t="shared" si="29"/>
        <v>OTHR</v>
      </c>
    </row>
    <row r="262" spans="24:33" x14ac:dyDescent="0.3">
      <c r="X262" s="3" t="str">
        <f t="shared" si="24"/>
        <v>-SADNE-</v>
      </c>
      <c r="Y262" s="3" t="str">
        <f t="shared" si="25"/>
        <v>-SLOWSS-</v>
      </c>
      <c r="Z262" s="4" t="str">
        <f t="shared" si="26"/>
        <v>{"couname":"","img":"0","pty":"","artist":"","genres":"","duration":"","spotId":"","Items":["-SADNE-","-SLOWSS-","OTHR","OTHR","XT_OffAnimals"]},</v>
      </c>
      <c r="AA262" s="5" t="s">
        <v>5</v>
      </c>
      <c r="AB262" s="3" t="str">
        <f t="shared" si="27"/>
        <v>["-SADNE-","-SLOWSS-","OTHR","OTHR","XT_OffAnimals"]</v>
      </c>
      <c r="AC262" s="3">
        <f>_xlfn.XLOOKUP(A262,Album!A:A,Album!J:J)</f>
        <v>0</v>
      </c>
      <c r="AD262" s="3">
        <f>_xlfn.XLOOKUP(D262,Artists!A:A,Artists!B:B)</f>
        <v>0</v>
      </c>
      <c r="AE262" s="3">
        <f>_xlfn.XLOOKUP(D262,Artists!A:A,Artists!C:C)</f>
        <v>0</v>
      </c>
      <c r="AF262" s="3" t="str">
        <f t="shared" si="28"/>
        <v>OTHR</v>
      </c>
      <c r="AG262" s="3" t="str">
        <f t="shared" si="29"/>
        <v>OTHR</v>
      </c>
    </row>
    <row r="263" spans="24:33" x14ac:dyDescent="0.3">
      <c r="X263" s="3" t="str">
        <f t="shared" si="24"/>
        <v>-SADNE-</v>
      </c>
      <c r="Y263" s="3" t="str">
        <f t="shared" si="25"/>
        <v>-SLOWSS-</v>
      </c>
      <c r="Z263" s="4" t="str">
        <f t="shared" si="26"/>
        <v>{"couname":"","img":"0","pty":"","artist":"","genres":"","duration":"","spotId":"","Items":["-SADNE-","-SLOWSS-","OTHR","OTHR","XT_OffAnimals"]},</v>
      </c>
      <c r="AA263" s="5" t="s">
        <v>5</v>
      </c>
      <c r="AB263" s="3" t="str">
        <f t="shared" si="27"/>
        <v>["-SADNE-","-SLOWSS-","OTHR","OTHR","XT_OffAnimals"]</v>
      </c>
      <c r="AC263" s="3">
        <f>_xlfn.XLOOKUP(A263,Album!A:A,Album!J:J)</f>
        <v>0</v>
      </c>
      <c r="AD263" s="3">
        <f>_xlfn.XLOOKUP(D263,Artists!A:A,Artists!B:B)</f>
        <v>0</v>
      </c>
      <c r="AE263" s="3">
        <f>_xlfn.XLOOKUP(D263,Artists!A:A,Artists!C:C)</f>
        <v>0</v>
      </c>
      <c r="AF263" s="3" t="str">
        <f t="shared" si="28"/>
        <v>OTHR</v>
      </c>
      <c r="AG263" s="3" t="str">
        <f t="shared" si="29"/>
        <v>OTHR</v>
      </c>
    </row>
    <row r="264" spans="24:33" x14ac:dyDescent="0.3">
      <c r="X264" s="3" t="str">
        <f t="shared" si="24"/>
        <v>-SADNE-</v>
      </c>
      <c r="Y264" s="3" t="str">
        <f t="shared" si="25"/>
        <v>-SLOWSS-</v>
      </c>
      <c r="Z264" s="4" t="str">
        <f t="shared" si="26"/>
        <v>{"couname":"","img":"0","pty":"","artist":"","genres":"","duration":"","spotId":"","Items":["-SADNE-","-SLOWSS-","OTHR","OTHR","XT_OffAnimals"]},</v>
      </c>
      <c r="AA264" s="5" t="s">
        <v>5</v>
      </c>
      <c r="AB264" s="3" t="str">
        <f t="shared" si="27"/>
        <v>["-SADNE-","-SLOWSS-","OTHR","OTHR","XT_OffAnimals"]</v>
      </c>
      <c r="AC264" s="3">
        <f>_xlfn.XLOOKUP(A264,Album!A:A,Album!J:J)</f>
        <v>0</v>
      </c>
      <c r="AD264" s="3">
        <f>_xlfn.XLOOKUP(D264,Artists!A:A,Artists!B:B)</f>
        <v>0</v>
      </c>
      <c r="AE264" s="3">
        <f>_xlfn.XLOOKUP(D264,Artists!A:A,Artists!C:C)</f>
        <v>0</v>
      </c>
      <c r="AF264" s="3" t="str">
        <f t="shared" si="28"/>
        <v>OTHR</v>
      </c>
      <c r="AG264" s="3" t="str">
        <f t="shared" si="29"/>
        <v>OTHR</v>
      </c>
    </row>
    <row r="265" spans="24:33" x14ac:dyDescent="0.3">
      <c r="X265" s="3" t="str">
        <f t="shared" si="24"/>
        <v>-SADNE-</v>
      </c>
      <c r="Y265" s="3" t="str">
        <f t="shared" si="25"/>
        <v>-SLOWSS-</v>
      </c>
      <c r="Z265" s="4" t="str">
        <f t="shared" si="26"/>
        <v>{"couname":"","img":"0","pty":"","artist":"","genres":"","duration":"","spotId":"","Items":["-SADNE-","-SLOWSS-","OTHR","OTHR","XT_OffAnimals"]},</v>
      </c>
      <c r="AA265" s="5" t="s">
        <v>5</v>
      </c>
      <c r="AB265" s="3" t="str">
        <f t="shared" si="27"/>
        <v>["-SADNE-","-SLOWSS-","OTHR","OTHR","XT_OffAnimals"]</v>
      </c>
      <c r="AC265" s="3">
        <f>_xlfn.XLOOKUP(A265,Album!A:A,Album!J:J)</f>
        <v>0</v>
      </c>
      <c r="AD265" s="3">
        <f>_xlfn.XLOOKUP(D265,Artists!A:A,Artists!B:B)</f>
        <v>0</v>
      </c>
      <c r="AE265" s="3">
        <f>_xlfn.XLOOKUP(D265,Artists!A:A,Artists!C:C)</f>
        <v>0</v>
      </c>
      <c r="AF265" s="3" t="str">
        <f t="shared" si="28"/>
        <v>OTHR</v>
      </c>
      <c r="AG265" s="3" t="str">
        <f t="shared" si="29"/>
        <v>OTHR</v>
      </c>
    </row>
    <row r="266" spans="24:33" x14ac:dyDescent="0.3">
      <c r="X266" s="3" t="str">
        <f t="shared" si="24"/>
        <v>-SADNE-</v>
      </c>
      <c r="Y266" s="3" t="str">
        <f t="shared" si="25"/>
        <v>-SLOWSS-</v>
      </c>
      <c r="Z266" s="4" t="str">
        <f t="shared" si="26"/>
        <v>{"couname":"","img":"0","pty":"","artist":"","genres":"","duration":"","spotId":"","Items":["-SADNE-","-SLOWSS-","OTHR","OTHR","XT_OffAnimals"]},</v>
      </c>
      <c r="AA266" s="5" t="s">
        <v>5</v>
      </c>
      <c r="AB266" s="3" t="str">
        <f t="shared" si="27"/>
        <v>["-SADNE-","-SLOWSS-","OTHR","OTHR","XT_OffAnimals"]</v>
      </c>
      <c r="AC266" s="3">
        <f>_xlfn.XLOOKUP(A266,Album!A:A,Album!J:J)</f>
        <v>0</v>
      </c>
      <c r="AD266" s="3">
        <f>_xlfn.XLOOKUP(D266,Artists!A:A,Artists!B:B)</f>
        <v>0</v>
      </c>
      <c r="AE266" s="3">
        <f>_xlfn.XLOOKUP(D266,Artists!A:A,Artists!C:C)</f>
        <v>0</v>
      </c>
      <c r="AF266" s="3" t="str">
        <f t="shared" si="28"/>
        <v>OTHR</v>
      </c>
      <c r="AG266" s="3" t="str">
        <f t="shared" si="29"/>
        <v>OTHR</v>
      </c>
    </row>
    <row r="267" spans="24:33" x14ac:dyDescent="0.3">
      <c r="X267" s="3" t="str">
        <f t="shared" si="24"/>
        <v>-SADNE-</v>
      </c>
      <c r="Y267" s="3" t="str">
        <f t="shared" si="25"/>
        <v>-SLOWSS-</v>
      </c>
      <c r="Z267" s="4" t="str">
        <f t="shared" si="26"/>
        <v>{"couname":"","img":"0","pty":"","artist":"","genres":"","duration":"","spotId":"","Items":["-SADNE-","-SLOWSS-","OTHR","OTHR","XT_OffAnimals"]},</v>
      </c>
      <c r="AA267" s="5" t="s">
        <v>5</v>
      </c>
      <c r="AB267" s="3" t="str">
        <f t="shared" si="27"/>
        <v>["-SADNE-","-SLOWSS-","OTHR","OTHR","XT_OffAnimals"]</v>
      </c>
      <c r="AC267" s="3">
        <f>_xlfn.XLOOKUP(A267,Album!A:A,Album!J:J)</f>
        <v>0</v>
      </c>
      <c r="AD267" s="3">
        <f>_xlfn.XLOOKUP(D267,Artists!A:A,Artists!B:B)</f>
        <v>0</v>
      </c>
      <c r="AE267" s="3">
        <f>_xlfn.XLOOKUP(D267,Artists!A:A,Artists!C:C)</f>
        <v>0</v>
      </c>
      <c r="AF267" s="3" t="str">
        <f t="shared" si="28"/>
        <v>OTHR</v>
      </c>
      <c r="AG267" s="3" t="str">
        <f t="shared" si="29"/>
        <v>OTHR</v>
      </c>
    </row>
    <row r="268" spans="24:33" x14ac:dyDescent="0.3">
      <c r="X268" s="3" t="str">
        <f t="shared" si="24"/>
        <v>-SADNE-</v>
      </c>
      <c r="Y268" s="3" t="str">
        <f t="shared" si="25"/>
        <v>-SLOWSS-</v>
      </c>
      <c r="Z268" s="4" t="str">
        <f t="shared" si="26"/>
        <v>{"couname":"","img":"0","pty":"","artist":"","genres":"","duration":"","spotId":"","Items":["-SADNE-","-SLOWSS-","OTHR","OTHR","XT_OffAnimals"]},</v>
      </c>
      <c r="AA268" s="5" t="s">
        <v>5</v>
      </c>
      <c r="AB268" s="3" t="str">
        <f t="shared" si="27"/>
        <v>["-SADNE-","-SLOWSS-","OTHR","OTHR","XT_OffAnimals"]</v>
      </c>
      <c r="AC268" s="3">
        <f>_xlfn.XLOOKUP(A268,Album!A:A,Album!J:J)</f>
        <v>0</v>
      </c>
      <c r="AD268" s="3">
        <f>_xlfn.XLOOKUP(D268,Artists!A:A,Artists!B:B)</f>
        <v>0</v>
      </c>
      <c r="AE268" s="3">
        <f>_xlfn.XLOOKUP(D268,Artists!A:A,Artists!C:C)</f>
        <v>0</v>
      </c>
      <c r="AF268" s="3" t="str">
        <f t="shared" si="28"/>
        <v>OTHR</v>
      </c>
      <c r="AG268" s="3" t="str">
        <f t="shared" si="29"/>
        <v>OTHR</v>
      </c>
    </row>
    <row r="269" spans="24:33" x14ac:dyDescent="0.3">
      <c r="X269" s="3" t="str">
        <f t="shared" si="24"/>
        <v>-SADNE-</v>
      </c>
      <c r="Y269" s="3" t="str">
        <f t="shared" si="25"/>
        <v>-SLOWSS-</v>
      </c>
      <c r="Z269" s="4" t="str">
        <f t="shared" si="26"/>
        <v>{"couname":"","img":"0","pty":"","artist":"","genres":"","duration":"","spotId":"","Items":["-SADNE-","-SLOWSS-","OTHR","OTHR","XT_OffAnimals"]},</v>
      </c>
      <c r="AA269" s="5" t="s">
        <v>5</v>
      </c>
      <c r="AB269" s="3" t="str">
        <f t="shared" si="27"/>
        <v>["-SADNE-","-SLOWSS-","OTHR","OTHR","XT_OffAnimals"]</v>
      </c>
      <c r="AC269" s="3">
        <f>_xlfn.XLOOKUP(A269,Album!A:A,Album!J:J)</f>
        <v>0</v>
      </c>
      <c r="AD269" s="3">
        <f>_xlfn.XLOOKUP(D269,Artists!A:A,Artists!B:B)</f>
        <v>0</v>
      </c>
      <c r="AE269" s="3">
        <f>_xlfn.XLOOKUP(D269,Artists!A:A,Artists!C:C)</f>
        <v>0</v>
      </c>
      <c r="AF269" s="3" t="str">
        <f t="shared" si="28"/>
        <v>OTHR</v>
      </c>
      <c r="AG269" s="3" t="str">
        <f t="shared" si="29"/>
        <v>OTHR</v>
      </c>
    </row>
    <row r="270" spans="24:33" x14ac:dyDescent="0.3">
      <c r="X270" s="3" t="str">
        <f t="shared" si="24"/>
        <v>-SADNE-</v>
      </c>
      <c r="Y270" s="3" t="str">
        <f t="shared" si="25"/>
        <v>-SLOWSS-</v>
      </c>
      <c r="Z270" s="4" t="str">
        <f t="shared" si="26"/>
        <v>{"couname":"","img":"0","pty":"","artist":"","genres":"","duration":"","spotId":"","Items":["-SADNE-","-SLOWSS-","OTHR","OTHR","XT_OffAnimals"]},</v>
      </c>
      <c r="AA270" s="5" t="s">
        <v>5</v>
      </c>
      <c r="AB270" s="3" t="str">
        <f t="shared" si="27"/>
        <v>["-SADNE-","-SLOWSS-","OTHR","OTHR","XT_OffAnimals"]</v>
      </c>
      <c r="AC270" s="3">
        <f>_xlfn.XLOOKUP(A270,Album!A:A,Album!J:J)</f>
        <v>0</v>
      </c>
      <c r="AD270" s="3">
        <f>_xlfn.XLOOKUP(D270,Artists!A:A,Artists!B:B)</f>
        <v>0</v>
      </c>
      <c r="AE270" s="3">
        <f>_xlfn.XLOOKUP(D270,Artists!A:A,Artists!C:C)</f>
        <v>0</v>
      </c>
      <c r="AF270" s="3" t="str">
        <f t="shared" si="28"/>
        <v>OTHR</v>
      </c>
      <c r="AG270" s="3" t="str">
        <f t="shared" si="29"/>
        <v>OTHR</v>
      </c>
    </row>
    <row r="271" spans="24:33" x14ac:dyDescent="0.3">
      <c r="X271" s="3" t="str">
        <f t="shared" si="24"/>
        <v>-SADNE-</v>
      </c>
      <c r="Y271" s="3" t="str">
        <f t="shared" si="25"/>
        <v>-SLOWSS-</v>
      </c>
      <c r="Z271" s="4" t="str">
        <f t="shared" si="26"/>
        <v>{"couname":"","img":"0","pty":"","artist":"","genres":"","duration":"","spotId":"","Items":["-SADNE-","-SLOWSS-","OTHR","OTHR","XT_OffAnimals"]},</v>
      </c>
      <c r="AA271" s="5" t="s">
        <v>5</v>
      </c>
      <c r="AB271" s="3" t="str">
        <f t="shared" si="27"/>
        <v>["-SADNE-","-SLOWSS-","OTHR","OTHR","XT_OffAnimals"]</v>
      </c>
      <c r="AC271" s="3">
        <f>_xlfn.XLOOKUP(A271,Album!A:A,Album!J:J)</f>
        <v>0</v>
      </c>
      <c r="AD271" s="3">
        <f>_xlfn.XLOOKUP(D271,Artists!A:A,Artists!B:B)</f>
        <v>0</v>
      </c>
      <c r="AE271" s="3">
        <f>_xlfn.XLOOKUP(D271,Artists!A:A,Artists!C:C)</f>
        <v>0</v>
      </c>
      <c r="AF271" s="3" t="str">
        <f t="shared" si="28"/>
        <v>OTHR</v>
      </c>
      <c r="AG271" s="3" t="str">
        <f t="shared" si="29"/>
        <v>OTHR</v>
      </c>
    </row>
    <row r="272" spans="24:33" x14ac:dyDescent="0.3">
      <c r="X272" s="3" t="str">
        <f t="shared" si="24"/>
        <v>-SADNE-</v>
      </c>
      <c r="Y272" s="3" t="str">
        <f t="shared" si="25"/>
        <v>-SLOWSS-</v>
      </c>
      <c r="Z272" s="4" t="str">
        <f t="shared" si="26"/>
        <v>{"couname":"","img":"0","pty":"","artist":"","genres":"","duration":"","spotId":"","Items":["-SADNE-","-SLOWSS-","OTHR","OTHR","XT_OffAnimals"]},</v>
      </c>
      <c r="AA272" s="5" t="s">
        <v>5</v>
      </c>
      <c r="AB272" s="3" t="str">
        <f t="shared" si="27"/>
        <v>["-SADNE-","-SLOWSS-","OTHR","OTHR","XT_OffAnimals"]</v>
      </c>
      <c r="AC272" s="3">
        <f>_xlfn.XLOOKUP(A272,Album!A:A,Album!J:J)</f>
        <v>0</v>
      </c>
      <c r="AD272" s="3">
        <f>_xlfn.XLOOKUP(D272,Artists!A:A,Artists!B:B)</f>
        <v>0</v>
      </c>
      <c r="AE272" s="3">
        <f>_xlfn.XLOOKUP(D272,Artists!A:A,Artists!C:C)</f>
        <v>0</v>
      </c>
      <c r="AF272" s="3" t="str">
        <f t="shared" si="28"/>
        <v>OTHR</v>
      </c>
      <c r="AG272" s="3" t="str">
        <f t="shared" si="29"/>
        <v>OTHR</v>
      </c>
    </row>
    <row r="273" spans="24:33" x14ac:dyDescent="0.3">
      <c r="X273" s="3" t="str">
        <f t="shared" si="24"/>
        <v>-SADNE-</v>
      </c>
      <c r="Y273" s="3" t="str">
        <f t="shared" si="25"/>
        <v>-SLOWSS-</v>
      </c>
      <c r="Z273" s="4" t="str">
        <f t="shared" si="26"/>
        <v>{"couname":"","img":"0","pty":"","artist":"","genres":"","duration":"","spotId":"","Items":["-SADNE-","-SLOWSS-","OTHR","OTHR","XT_OffAnimals"]},</v>
      </c>
      <c r="AA273" s="5" t="s">
        <v>5</v>
      </c>
      <c r="AB273" s="3" t="str">
        <f t="shared" si="27"/>
        <v>["-SADNE-","-SLOWSS-","OTHR","OTHR","XT_OffAnimals"]</v>
      </c>
      <c r="AC273" s="3">
        <f>_xlfn.XLOOKUP(A273,Album!A:A,Album!J:J)</f>
        <v>0</v>
      </c>
      <c r="AD273" s="3">
        <f>_xlfn.XLOOKUP(D273,Artists!A:A,Artists!B:B)</f>
        <v>0</v>
      </c>
      <c r="AE273" s="3">
        <f>_xlfn.XLOOKUP(D273,Artists!A:A,Artists!C:C)</f>
        <v>0</v>
      </c>
      <c r="AF273" s="3" t="str">
        <f t="shared" si="28"/>
        <v>OTHR</v>
      </c>
      <c r="AG273" s="3" t="str">
        <f t="shared" si="29"/>
        <v>OTHR</v>
      </c>
    </row>
    <row r="274" spans="24:33" x14ac:dyDescent="0.3">
      <c r="X274" s="3" t="str">
        <f t="shared" si="24"/>
        <v>-SADNE-</v>
      </c>
      <c r="Y274" s="3" t="str">
        <f t="shared" si="25"/>
        <v>-SLOWSS-</v>
      </c>
      <c r="Z274" s="4" t="str">
        <f t="shared" si="26"/>
        <v>{"couname":"","img":"0","pty":"","artist":"","genres":"","duration":"","spotId":"","Items":["-SADNE-","-SLOWSS-","OTHR","OTHR","XT_OffAnimals"]},</v>
      </c>
      <c r="AA274" s="5" t="s">
        <v>5</v>
      </c>
      <c r="AB274" s="3" t="str">
        <f t="shared" si="27"/>
        <v>["-SADNE-","-SLOWSS-","OTHR","OTHR","XT_OffAnimals"]</v>
      </c>
      <c r="AC274" s="3">
        <f>_xlfn.XLOOKUP(A274,Album!A:A,Album!J:J)</f>
        <v>0</v>
      </c>
      <c r="AD274" s="3">
        <f>_xlfn.XLOOKUP(D274,Artists!A:A,Artists!B:B)</f>
        <v>0</v>
      </c>
      <c r="AE274" s="3">
        <f>_xlfn.XLOOKUP(D274,Artists!A:A,Artists!C:C)</f>
        <v>0</v>
      </c>
      <c r="AF274" s="3" t="str">
        <f t="shared" si="28"/>
        <v>OTHR</v>
      </c>
      <c r="AG274" s="3" t="str">
        <f t="shared" si="29"/>
        <v>OTHR</v>
      </c>
    </row>
    <row r="275" spans="24:33" x14ac:dyDescent="0.3">
      <c r="X275" s="3" t="str">
        <f t="shared" si="24"/>
        <v>-SADNE-</v>
      </c>
      <c r="Y275" s="3" t="str">
        <f t="shared" si="25"/>
        <v>-SLOWSS-</v>
      </c>
      <c r="Z275" s="4" t="str">
        <f t="shared" si="26"/>
        <v>{"couname":"","img":"0","pty":"","artist":"","genres":"","duration":"","spotId":"","Items":["-SADNE-","-SLOWSS-","OTHR","OTHR","XT_OffAnimals"]},</v>
      </c>
      <c r="AA275" s="5" t="s">
        <v>5</v>
      </c>
      <c r="AB275" s="3" t="str">
        <f t="shared" si="27"/>
        <v>["-SADNE-","-SLOWSS-","OTHR","OTHR","XT_OffAnimals"]</v>
      </c>
      <c r="AC275" s="3">
        <f>_xlfn.XLOOKUP(A275,Album!A:A,Album!J:J)</f>
        <v>0</v>
      </c>
      <c r="AD275" s="3">
        <f>_xlfn.XLOOKUP(D275,Artists!A:A,Artists!B:B)</f>
        <v>0</v>
      </c>
      <c r="AE275" s="3">
        <f>_xlfn.XLOOKUP(D275,Artists!A:A,Artists!C:C)</f>
        <v>0</v>
      </c>
      <c r="AF275" s="3" t="str">
        <f t="shared" si="28"/>
        <v>OTHR</v>
      </c>
      <c r="AG275" s="3" t="str">
        <f t="shared" si="29"/>
        <v>OTHR</v>
      </c>
    </row>
    <row r="276" spans="24:33" x14ac:dyDescent="0.3">
      <c r="X276" s="3" t="str">
        <f t="shared" si="24"/>
        <v>-SADNE-</v>
      </c>
      <c r="Y276" s="3" t="str">
        <f t="shared" si="25"/>
        <v>-SLOWSS-</v>
      </c>
      <c r="Z276" s="4" t="str">
        <f t="shared" si="26"/>
        <v>{"couname":"","img":"0","pty":"","artist":"","genres":"","duration":"","spotId":"","Items":["-SADNE-","-SLOWSS-","OTHR","OTHR","XT_OffAnimals"]},</v>
      </c>
      <c r="AA276" s="5" t="s">
        <v>5</v>
      </c>
      <c r="AB276" s="3" t="str">
        <f t="shared" si="27"/>
        <v>["-SADNE-","-SLOWSS-","OTHR","OTHR","XT_OffAnimals"]</v>
      </c>
      <c r="AC276" s="3">
        <f>_xlfn.XLOOKUP(A276,Album!A:A,Album!J:J)</f>
        <v>0</v>
      </c>
      <c r="AD276" s="3">
        <f>_xlfn.XLOOKUP(D276,Artists!A:A,Artists!B:B)</f>
        <v>0</v>
      </c>
      <c r="AE276" s="3">
        <f>_xlfn.XLOOKUP(D276,Artists!A:A,Artists!C:C)</f>
        <v>0</v>
      </c>
      <c r="AF276" s="3" t="str">
        <f t="shared" si="28"/>
        <v>OTHR</v>
      </c>
      <c r="AG276" s="3" t="str">
        <f t="shared" si="29"/>
        <v>OTHR</v>
      </c>
    </row>
    <row r="277" spans="24:33" x14ac:dyDescent="0.3">
      <c r="X277" s="3" t="str">
        <f t="shared" si="24"/>
        <v>-SADNE-</v>
      </c>
      <c r="Y277" s="3" t="str">
        <f t="shared" si="25"/>
        <v>-SLOWSS-</v>
      </c>
      <c r="Z277" s="4" t="str">
        <f t="shared" si="26"/>
        <v>{"couname":"","img":"0","pty":"","artist":"","genres":"","duration":"","spotId":"","Items":["-SADNE-","-SLOWSS-","OTHR","OTHR","XT_OffAnimals"]},</v>
      </c>
      <c r="AA277" s="5" t="s">
        <v>5</v>
      </c>
      <c r="AB277" s="3" t="str">
        <f t="shared" si="27"/>
        <v>["-SADNE-","-SLOWSS-","OTHR","OTHR","XT_OffAnimals"]</v>
      </c>
      <c r="AC277" s="3">
        <f>_xlfn.XLOOKUP(A277,Album!A:A,Album!J:J)</f>
        <v>0</v>
      </c>
      <c r="AD277" s="3">
        <f>_xlfn.XLOOKUP(D277,Artists!A:A,Artists!B:B)</f>
        <v>0</v>
      </c>
      <c r="AE277" s="3">
        <f>_xlfn.XLOOKUP(D277,Artists!A:A,Artists!C:C)</f>
        <v>0</v>
      </c>
      <c r="AF277" s="3" t="str">
        <f t="shared" si="28"/>
        <v>OTHR</v>
      </c>
      <c r="AG277" s="3" t="str">
        <f t="shared" si="29"/>
        <v>OTHR</v>
      </c>
    </row>
    <row r="278" spans="24:33" x14ac:dyDescent="0.3">
      <c r="X278" s="3" t="str">
        <f t="shared" si="24"/>
        <v>-SADNE-</v>
      </c>
      <c r="Y278" s="3" t="str">
        <f t="shared" si="25"/>
        <v>-SLOWSS-</v>
      </c>
      <c r="Z278" s="4" t="str">
        <f t="shared" si="26"/>
        <v>{"couname":"","img":"0","pty":"","artist":"","genres":"","duration":"","spotId":"","Items":["-SADNE-","-SLOWSS-","OTHR","OTHR","XT_OffAnimals"]},</v>
      </c>
      <c r="AA278" s="5" t="s">
        <v>5</v>
      </c>
      <c r="AB278" s="3" t="str">
        <f t="shared" si="27"/>
        <v>["-SADNE-","-SLOWSS-","OTHR","OTHR","XT_OffAnimals"]</v>
      </c>
      <c r="AC278" s="3">
        <f>_xlfn.XLOOKUP(A278,Album!A:A,Album!J:J)</f>
        <v>0</v>
      </c>
      <c r="AD278" s="3">
        <f>_xlfn.XLOOKUP(D278,Artists!A:A,Artists!B:B)</f>
        <v>0</v>
      </c>
      <c r="AE278" s="3">
        <f>_xlfn.XLOOKUP(D278,Artists!A:A,Artists!C:C)</f>
        <v>0</v>
      </c>
      <c r="AF278" s="3" t="str">
        <f t="shared" si="28"/>
        <v>OTHR</v>
      </c>
      <c r="AG278" s="3" t="str">
        <f t="shared" si="29"/>
        <v>OTHR</v>
      </c>
    </row>
    <row r="279" spans="24:33" x14ac:dyDescent="0.3">
      <c r="X279" s="3" t="str">
        <f t="shared" si="24"/>
        <v>-SADNE-</v>
      </c>
      <c r="Y279" s="3" t="str">
        <f t="shared" si="25"/>
        <v>-SLOWSS-</v>
      </c>
      <c r="Z279" s="4" t="str">
        <f t="shared" si="26"/>
        <v>{"couname":"","img":"0","pty":"","artist":"","genres":"","duration":"","spotId":"","Items":["-SADNE-","-SLOWSS-","OTHR","OTHR","XT_OffAnimals"]},</v>
      </c>
      <c r="AA279" s="5" t="s">
        <v>5</v>
      </c>
      <c r="AB279" s="3" t="str">
        <f t="shared" si="27"/>
        <v>["-SADNE-","-SLOWSS-","OTHR","OTHR","XT_OffAnimals"]</v>
      </c>
      <c r="AC279" s="3">
        <f>_xlfn.XLOOKUP(A279,Album!A:A,Album!J:J)</f>
        <v>0</v>
      </c>
      <c r="AD279" s="3">
        <f>_xlfn.XLOOKUP(D279,Artists!A:A,Artists!B:B)</f>
        <v>0</v>
      </c>
      <c r="AE279" s="3">
        <f>_xlfn.XLOOKUP(D279,Artists!A:A,Artists!C:C)</f>
        <v>0</v>
      </c>
      <c r="AF279" s="3" t="str">
        <f t="shared" si="28"/>
        <v>OTHR</v>
      </c>
      <c r="AG279" s="3" t="str">
        <f t="shared" si="29"/>
        <v>OTHR</v>
      </c>
    </row>
    <row r="280" spans="24:33" x14ac:dyDescent="0.3">
      <c r="X280" s="3" t="str">
        <f t="shared" si="24"/>
        <v>-SADNE-</v>
      </c>
      <c r="Y280" s="3" t="str">
        <f t="shared" si="25"/>
        <v>-SLOWSS-</v>
      </c>
      <c r="Z280" s="4" t="str">
        <f t="shared" si="26"/>
        <v>{"couname":"","img":"0","pty":"","artist":"","genres":"","duration":"","spotId":"","Items":["-SADNE-","-SLOWSS-","OTHR","OTHR","XT_OffAnimals"]},</v>
      </c>
      <c r="AA280" s="5" t="s">
        <v>5</v>
      </c>
      <c r="AB280" s="3" t="str">
        <f t="shared" si="27"/>
        <v>["-SADNE-","-SLOWSS-","OTHR","OTHR","XT_OffAnimals"]</v>
      </c>
      <c r="AC280" s="3">
        <f>_xlfn.XLOOKUP(A280,Album!A:A,Album!J:J)</f>
        <v>0</v>
      </c>
      <c r="AD280" s="3">
        <f>_xlfn.XLOOKUP(D280,Artists!A:A,Artists!B:B)</f>
        <v>0</v>
      </c>
      <c r="AE280" s="3">
        <f>_xlfn.XLOOKUP(D280,Artists!A:A,Artists!C:C)</f>
        <v>0</v>
      </c>
      <c r="AF280" s="3" t="str">
        <f t="shared" si="28"/>
        <v>OTHR</v>
      </c>
      <c r="AG280" s="3" t="str">
        <f t="shared" si="29"/>
        <v>OTHR</v>
      </c>
    </row>
    <row r="281" spans="24:33" x14ac:dyDescent="0.3">
      <c r="X281" s="3" t="str">
        <f t="shared" si="24"/>
        <v>-SADNE-</v>
      </c>
      <c r="Y281" s="3" t="str">
        <f t="shared" si="25"/>
        <v>-SLOWSS-</v>
      </c>
      <c r="Z281" s="4" t="str">
        <f t="shared" si="26"/>
        <v>{"couname":"","img":"0","pty":"","artist":"","genres":"","duration":"","spotId":"","Items":["-SADNE-","-SLOWSS-","OTHR","OTHR","XT_OffAnimals"]},</v>
      </c>
      <c r="AA281" s="5" t="s">
        <v>5</v>
      </c>
      <c r="AB281" s="3" t="str">
        <f t="shared" si="27"/>
        <v>["-SADNE-","-SLOWSS-","OTHR","OTHR","XT_OffAnimals"]</v>
      </c>
      <c r="AC281" s="3">
        <f>_xlfn.XLOOKUP(A281,Album!A:A,Album!J:J)</f>
        <v>0</v>
      </c>
      <c r="AD281" s="3">
        <f>_xlfn.XLOOKUP(D281,Artists!A:A,Artists!B:B)</f>
        <v>0</v>
      </c>
      <c r="AE281" s="3">
        <f>_xlfn.XLOOKUP(D281,Artists!A:A,Artists!C:C)</f>
        <v>0</v>
      </c>
      <c r="AF281" s="3" t="str">
        <f t="shared" si="28"/>
        <v>OTHR</v>
      </c>
      <c r="AG281" s="3" t="str">
        <f t="shared" si="29"/>
        <v>OTHR</v>
      </c>
    </row>
    <row r="282" spans="24:33" x14ac:dyDescent="0.3">
      <c r="X282" s="3" t="str">
        <f t="shared" si="24"/>
        <v>-SADNE-</v>
      </c>
      <c r="Y282" s="3" t="str">
        <f t="shared" si="25"/>
        <v>-SLOWSS-</v>
      </c>
      <c r="Z282" s="4" t="str">
        <f t="shared" si="26"/>
        <v>{"couname":"","img":"0","pty":"","artist":"","genres":"","duration":"","spotId":"","Items":["-SADNE-","-SLOWSS-","OTHR","OTHR","XT_OffAnimals"]},</v>
      </c>
      <c r="AA282" s="5" t="s">
        <v>5</v>
      </c>
      <c r="AB282" s="3" t="str">
        <f t="shared" si="27"/>
        <v>["-SADNE-","-SLOWSS-","OTHR","OTHR","XT_OffAnimals"]</v>
      </c>
      <c r="AC282" s="3">
        <f>_xlfn.XLOOKUP(A282,Album!A:A,Album!J:J)</f>
        <v>0</v>
      </c>
      <c r="AD282" s="3">
        <f>_xlfn.XLOOKUP(D282,Artists!A:A,Artists!B:B)</f>
        <v>0</v>
      </c>
      <c r="AE282" s="3">
        <f>_xlfn.XLOOKUP(D282,Artists!A:A,Artists!C:C)</f>
        <v>0</v>
      </c>
      <c r="AF282" s="3" t="str">
        <f t="shared" si="28"/>
        <v>OTHR</v>
      </c>
      <c r="AG282" s="3" t="str">
        <f t="shared" si="29"/>
        <v>OTHR</v>
      </c>
    </row>
    <row r="283" spans="24:33" x14ac:dyDescent="0.3">
      <c r="X283" s="3" t="str">
        <f t="shared" si="24"/>
        <v>-SADNE-</v>
      </c>
      <c r="Y283" s="3" t="str">
        <f t="shared" si="25"/>
        <v>-SLOWSS-</v>
      </c>
      <c r="Z283" s="4" t="str">
        <f t="shared" si="26"/>
        <v>{"couname":"","img":"0","pty":"","artist":"","genres":"","duration":"","spotId":"","Items":["-SADNE-","-SLOWSS-","OTHR","OTHR","XT_OffAnimals"]},</v>
      </c>
      <c r="AA283" s="5" t="s">
        <v>5</v>
      </c>
      <c r="AB283" s="3" t="str">
        <f t="shared" si="27"/>
        <v>["-SADNE-","-SLOWSS-","OTHR","OTHR","XT_OffAnimals"]</v>
      </c>
      <c r="AC283" s="3">
        <f>_xlfn.XLOOKUP(A283,Album!A:A,Album!J:J)</f>
        <v>0</v>
      </c>
      <c r="AD283" s="3">
        <f>_xlfn.XLOOKUP(D283,Artists!A:A,Artists!B:B)</f>
        <v>0</v>
      </c>
      <c r="AE283" s="3">
        <f>_xlfn.XLOOKUP(D283,Artists!A:A,Artists!C:C)</f>
        <v>0</v>
      </c>
      <c r="AF283" s="3" t="str">
        <f t="shared" si="28"/>
        <v>OTHR</v>
      </c>
      <c r="AG283" s="3" t="str">
        <f t="shared" si="29"/>
        <v>OTHR</v>
      </c>
    </row>
    <row r="284" spans="24:33" x14ac:dyDescent="0.3">
      <c r="X284" s="3" t="str">
        <f t="shared" si="24"/>
        <v>-SADNE-</v>
      </c>
      <c r="Y284" s="3" t="str">
        <f t="shared" si="25"/>
        <v>-SLOWSS-</v>
      </c>
      <c r="Z284" s="4" t="str">
        <f t="shared" si="26"/>
        <v>{"couname":"","img":"0","pty":"","artist":"","genres":"","duration":"","spotId":"","Items":["-SADNE-","-SLOWSS-","OTHR","OTHR","XT_OffAnimals"]},</v>
      </c>
      <c r="AA284" s="5" t="s">
        <v>5</v>
      </c>
      <c r="AB284" s="3" t="str">
        <f t="shared" si="27"/>
        <v>["-SADNE-","-SLOWSS-","OTHR","OTHR","XT_OffAnimals"]</v>
      </c>
      <c r="AC284" s="3">
        <f>_xlfn.XLOOKUP(A284,Album!A:A,Album!J:J)</f>
        <v>0</v>
      </c>
      <c r="AD284" s="3">
        <f>_xlfn.XLOOKUP(D284,Artists!A:A,Artists!B:B)</f>
        <v>0</v>
      </c>
      <c r="AE284" s="3">
        <f>_xlfn.XLOOKUP(D284,Artists!A:A,Artists!C:C)</f>
        <v>0</v>
      </c>
      <c r="AF284" s="3" t="str">
        <f t="shared" si="28"/>
        <v>OTHR</v>
      </c>
      <c r="AG284" s="3" t="str">
        <f t="shared" si="29"/>
        <v>OTHR</v>
      </c>
    </row>
    <row r="285" spans="24:33" x14ac:dyDescent="0.3">
      <c r="X285" s="3" t="str">
        <f t="shared" si="24"/>
        <v>-SADNE-</v>
      </c>
      <c r="Y285" s="3" t="str">
        <f t="shared" si="25"/>
        <v>-SLOWSS-</v>
      </c>
      <c r="Z285" s="4" t="str">
        <f t="shared" si="26"/>
        <v>{"couname":"","img":"0","pty":"","artist":"","genres":"","duration":"","spotId":"","Items":["-SADNE-","-SLOWSS-","OTHR","OTHR","XT_OffAnimals"]},</v>
      </c>
      <c r="AA285" s="5" t="s">
        <v>5</v>
      </c>
      <c r="AB285" s="3" t="str">
        <f t="shared" si="27"/>
        <v>["-SADNE-","-SLOWSS-","OTHR","OTHR","XT_OffAnimals"]</v>
      </c>
      <c r="AC285" s="3">
        <f>_xlfn.XLOOKUP(A285,Album!A:A,Album!J:J)</f>
        <v>0</v>
      </c>
      <c r="AD285" s="3">
        <f>_xlfn.XLOOKUP(D285,Artists!A:A,Artists!B:B)</f>
        <v>0</v>
      </c>
      <c r="AE285" s="3">
        <f>_xlfn.XLOOKUP(D285,Artists!A:A,Artists!C:C)</f>
        <v>0</v>
      </c>
      <c r="AF285" s="3" t="str">
        <f t="shared" si="28"/>
        <v>OTHR</v>
      </c>
      <c r="AG285" s="3" t="str">
        <f t="shared" si="29"/>
        <v>OTHR</v>
      </c>
    </row>
    <row r="286" spans="24:33" x14ac:dyDescent="0.3">
      <c r="X286" s="3" t="str">
        <f t="shared" si="24"/>
        <v>-SADNE-</v>
      </c>
      <c r="Y286" s="3" t="str">
        <f t="shared" si="25"/>
        <v>-SLOWSS-</v>
      </c>
      <c r="Z286" s="4" t="str">
        <f t="shared" si="26"/>
        <v>{"couname":"","img":"0","pty":"","artist":"","genres":"","duration":"","spotId":"","Items":["-SADNE-","-SLOWSS-","OTHR","OTHR","XT_OffAnimals"]},</v>
      </c>
      <c r="AA286" s="5" t="s">
        <v>5</v>
      </c>
      <c r="AB286" s="3" t="str">
        <f t="shared" si="27"/>
        <v>["-SADNE-","-SLOWSS-","OTHR","OTHR","XT_OffAnimals"]</v>
      </c>
      <c r="AC286" s="3">
        <f>_xlfn.XLOOKUP(A286,Album!A:A,Album!J:J)</f>
        <v>0</v>
      </c>
      <c r="AD286" s="3">
        <f>_xlfn.XLOOKUP(D286,Artists!A:A,Artists!B:B)</f>
        <v>0</v>
      </c>
      <c r="AE286" s="3">
        <f>_xlfn.XLOOKUP(D286,Artists!A:A,Artists!C:C)</f>
        <v>0</v>
      </c>
      <c r="AF286" s="3" t="str">
        <f t="shared" si="28"/>
        <v>OTHR</v>
      </c>
      <c r="AG286" s="3" t="str">
        <f t="shared" si="29"/>
        <v>OTHR</v>
      </c>
    </row>
    <row r="287" spans="24:33" x14ac:dyDescent="0.3">
      <c r="X287" s="3" t="str">
        <f t="shared" si="24"/>
        <v>-SADNE-</v>
      </c>
      <c r="Y287" s="3" t="str">
        <f t="shared" si="25"/>
        <v>-SLOWSS-</v>
      </c>
      <c r="Z287" s="4" t="str">
        <f t="shared" si="26"/>
        <v>{"couname":"","img":"0","pty":"","artist":"","genres":"","duration":"","spotId":"","Items":["-SADNE-","-SLOWSS-","OTHR","OTHR","XT_OffAnimals"]},</v>
      </c>
      <c r="AA287" s="5" t="s">
        <v>5</v>
      </c>
      <c r="AB287" s="3" t="str">
        <f t="shared" si="27"/>
        <v>["-SADNE-","-SLOWSS-","OTHR","OTHR","XT_OffAnimals"]</v>
      </c>
      <c r="AC287" s="3">
        <f>_xlfn.XLOOKUP(A287,Album!A:A,Album!J:J)</f>
        <v>0</v>
      </c>
      <c r="AD287" s="3">
        <f>_xlfn.XLOOKUP(D287,Artists!A:A,Artists!B:B)</f>
        <v>0</v>
      </c>
      <c r="AE287" s="3">
        <f>_xlfn.XLOOKUP(D287,Artists!A:A,Artists!C:C)</f>
        <v>0</v>
      </c>
      <c r="AF287" s="3" t="str">
        <f t="shared" si="28"/>
        <v>OTHR</v>
      </c>
      <c r="AG287" s="3" t="str">
        <f t="shared" si="29"/>
        <v>OTHR</v>
      </c>
    </row>
    <row r="288" spans="24:33" x14ac:dyDescent="0.3">
      <c r="X288" s="3" t="str">
        <f t="shared" si="24"/>
        <v>-SADNE-</v>
      </c>
      <c r="Y288" s="3" t="str">
        <f t="shared" si="25"/>
        <v>-SLOWSS-</v>
      </c>
      <c r="Z288" s="4" t="str">
        <f t="shared" si="26"/>
        <v>{"couname":"","img":"0","pty":"","artist":"","genres":"","duration":"","spotId":"","Items":["-SADNE-","-SLOWSS-","OTHR","OTHR","XT_OffAnimals"]},</v>
      </c>
      <c r="AA288" s="5" t="s">
        <v>5</v>
      </c>
      <c r="AB288" s="3" t="str">
        <f t="shared" si="27"/>
        <v>["-SADNE-","-SLOWSS-","OTHR","OTHR","XT_OffAnimals"]</v>
      </c>
      <c r="AC288" s="3">
        <f>_xlfn.XLOOKUP(A288,Album!A:A,Album!J:J)</f>
        <v>0</v>
      </c>
      <c r="AD288" s="3">
        <f>_xlfn.XLOOKUP(D288,Artists!A:A,Artists!B:B)</f>
        <v>0</v>
      </c>
      <c r="AE288" s="3">
        <f>_xlfn.XLOOKUP(D288,Artists!A:A,Artists!C:C)</f>
        <v>0</v>
      </c>
      <c r="AF288" s="3" t="str">
        <f t="shared" si="28"/>
        <v>OTHR</v>
      </c>
      <c r="AG288" s="3" t="str">
        <f t="shared" si="29"/>
        <v>OTHR</v>
      </c>
    </row>
    <row r="289" spans="24:33" x14ac:dyDescent="0.3">
      <c r="X289" s="3" t="str">
        <f t="shared" si="24"/>
        <v>-SADNE-</v>
      </c>
      <c r="Y289" s="3" t="str">
        <f t="shared" si="25"/>
        <v>-SLOWSS-</v>
      </c>
      <c r="Z289" s="4" t="str">
        <f t="shared" si="26"/>
        <v>{"couname":"","img":"0","pty":"","artist":"","genres":"","duration":"","spotId":"","Items":["-SADNE-","-SLOWSS-","OTHR","OTHR","XT_OffAnimals"]},</v>
      </c>
      <c r="AA289" s="5" t="s">
        <v>5</v>
      </c>
      <c r="AB289" s="3" t="str">
        <f t="shared" si="27"/>
        <v>["-SADNE-","-SLOWSS-","OTHR","OTHR","XT_OffAnimals"]</v>
      </c>
      <c r="AC289" s="3">
        <f>_xlfn.XLOOKUP(A289,Album!A:A,Album!J:J)</f>
        <v>0</v>
      </c>
      <c r="AD289" s="3">
        <f>_xlfn.XLOOKUP(D289,Artists!A:A,Artists!B:B)</f>
        <v>0</v>
      </c>
      <c r="AE289" s="3">
        <f>_xlfn.XLOOKUP(D289,Artists!A:A,Artists!C:C)</f>
        <v>0</v>
      </c>
      <c r="AF289" s="3" t="str">
        <f t="shared" si="28"/>
        <v>OTHR</v>
      </c>
      <c r="AG289" s="3" t="str">
        <f t="shared" si="29"/>
        <v>OTHR</v>
      </c>
    </row>
    <row r="290" spans="24:33" x14ac:dyDescent="0.3">
      <c r="X290" s="3" t="str">
        <f t="shared" si="24"/>
        <v>-SADNE-</v>
      </c>
      <c r="Y290" s="3" t="str">
        <f t="shared" si="25"/>
        <v>-SLOWSS-</v>
      </c>
      <c r="Z290" s="4" t="str">
        <f t="shared" si="26"/>
        <v>{"couname":"","img":"0","pty":"","artist":"","genres":"","duration":"","spotId":"","Items":["-SADNE-","-SLOWSS-","OTHR","OTHR","XT_OffAnimals"]},</v>
      </c>
      <c r="AA290" s="5" t="s">
        <v>5</v>
      </c>
      <c r="AB290" s="3" t="str">
        <f t="shared" si="27"/>
        <v>["-SADNE-","-SLOWSS-","OTHR","OTHR","XT_OffAnimals"]</v>
      </c>
      <c r="AC290" s="3">
        <f>_xlfn.XLOOKUP(A290,Album!A:A,Album!J:J)</f>
        <v>0</v>
      </c>
      <c r="AD290" s="3">
        <f>_xlfn.XLOOKUP(D290,Artists!A:A,Artists!B:B)</f>
        <v>0</v>
      </c>
      <c r="AE290" s="3">
        <f>_xlfn.XLOOKUP(D290,Artists!A:A,Artists!C:C)</f>
        <v>0</v>
      </c>
      <c r="AF290" s="3" t="str">
        <f t="shared" si="28"/>
        <v>OTHR</v>
      </c>
      <c r="AG290" s="3" t="str">
        <f t="shared" si="29"/>
        <v>OTHR</v>
      </c>
    </row>
    <row r="291" spans="24:33" x14ac:dyDescent="0.3">
      <c r="X291" s="3" t="str">
        <f t="shared" si="24"/>
        <v>-SADNE-</v>
      </c>
      <c r="Y291" s="3" t="str">
        <f t="shared" si="25"/>
        <v>-SLOWSS-</v>
      </c>
      <c r="Z291" s="4" t="str">
        <f t="shared" si="26"/>
        <v>{"couname":"","img":"0","pty":"","artist":"","genres":"","duration":"","spotId":"","Items":["-SADNE-","-SLOWSS-","OTHR","OTHR","XT_OffAnimals"]},</v>
      </c>
      <c r="AA291" s="5" t="s">
        <v>5</v>
      </c>
      <c r="AB291" s="3" t="str">
        <f t="shared" si="27"/>
        <v>["-SADNE-","-SLOWSS-","OTHR","OTHR","XT_OffAnimals"]</v>
      </c>
      <c r="AC291" s="3">
        <f>_xlfn.XLOOKUP(A291,Album!A:A,Album!J:J)</f>
        <v>0</v>
      </c>
      <c r="AD291" s="3">
        <f>_xlfn.XLOOKUP(D291,Artists!A:A,Artists!B:B)</f>
        <v>0</v>
      </c>
      <c r="AE291" s="3">
        <f>_xlfn.XLOOKUP(D291,Artists!A:A,Artists!C:C)</f>
        <v>0</v>
      </c>
      <c r="AF291" s="3" t="str">
        <f t="shared" si="28"/>
        <v>OTHR</v>
      </c>
      <c r="AG291" s="3" t="str">
        <f t="shared" si="29"/>
        <v>OTHR</v>
      </c>
    </row>
    <row r="292" spans="24:33" x14ac:dyDescent="0.3">
      <c r="X292" s="3" t="str">
        <f t="shared" si="24"/>
        <v>-SADNE-</v>
      </c>
      <c r="Y292" s="3" t="str">
        <f t="shared" si="25"/>
        <v>-SLOWSS-</v>
      </c>
      <c r="Z292" s="4" t="str">
        <f t="shared" si="26"/>
        <v>{"couname":"","img":"0","pty":"","artist":"","genres":"","duration":"","spotId":"","Items":["-SADNE-","-SLOWSS-","OTHR","OTHR","XT_OffAnimals"]},</v>
      </c>
      <c r="AA292" s="5" t="s">
        <v>5</v>
      </c>
      <c r="AB292" s="3" t="str">
        <f t="shared" si="27"/>
        <v>["-SADNE-","-SLOWSS-","OTHR","OTHR","XT_OffAnimals"]</v>
      </c>
      <c r="AC292" s="3">
        <f>_xlfn.XLOOKUP(A292,Album!A:A,Album!J:J)</f>
        <v>0</v>
      </c>
      <c r="AD292" s="3">
        <f>_xlfn.XLOOKUP(D292,Artists!A:A,Artists!B:B)</f>
        <v>0</v>
      </c>
      <c r="AE292" s="3">
        <f>_xlfn.XLOOKUP(D292,Artists!A:A,Artists!C:C)</f>
        <v>0</v>
      </c>
      <c r="AF292" s="3" t="str">
        <f t="shared" si="28"/>
        <v>OTHR</v>
      </c>
      <c r="AG292" s="3" t="str">
        <f t="shared" si="29"/>
        <v>OTHR</v>
      </c>
    </row>
    <row r="293" spans="24:33" x14ac:dyDescent="0.3">
      <c r="X293" s="3" t="str">
        <f t="shared" si="24"/>
        <v>-SADNE-</v>
      </c>
      <c r="Y293" s="3" t="str">
        <f t="shared" si="25"/>
        <v>-SLOWSS-</v>
      </c>
      <c r="Z293" s="4" t="str">
        <f t="shared" si="26"/>
        <v>{"couname":"","img":"0","pty":"","artist":"","genres":"","duration":"","spotId":"","Items":["-SADNE-","-SLOWSS-","OTHR","OTHR","XT_OffAnimals"]},</v>
      </c>
      <c r="AA293" s="5" t="s">
        <v>5</v>
      </c>
      <c r="AB293" s="3" t="str">
        <f t="shared" si="27"/>
        <v>["-SADNE-","-SLOWSS-","OTHR","OTHR","XT_OffAnimals"]</v>
      </c>
      <c r="AC293" s="3">
        <f>_xlfn.XLOOKUP(A293,Album!A:A,Album!J:J)</f>
        <v>0</v>
      </c>
      <c r="AD293" s="3">
        <f>_xlfn.XLOOKUP(D293,Artists!A:A,Artists!B:B)</f>
        <v>0</v>
      </c>
      <c r="AE293" s="3">
        <f>_xlfn.XLOOKUP(D293,Artists!A:A,Artists!C:C)</f>
        <v>0</v>
      </c>
      <c r="AF293" s="3" t="str">
        <f t="shared" si="28"/>
        <v>OTHR</v>
      </c>
      <c r="AG293" s="3" t="str">
        <f t="shared" si="29"/>
        <v>OTHR</v>
      </c>
    </row>
    <row r="294" spans="24:33" x14ac:dyDescent="0.3">
      <c r="X294" s="3" t="str">
        <f t="shared" si="24"/>
        <v>-SADNE-</v>
      </c>
      <c r="Y294" s="3" t="str">
        <f t="shared" si="25"/>
        <v>-SLOWSS-</v>
      </c>
      <c r="Z294" s="4" t="str">
        <f t="shared" si="26"/>
        <v>{"couname":"","img":"0","pty":"","artist":"","genres":"","duration":"","spotId":"","Items":["-SADNE-","-SLOWSS-","OTHR","OTHR","XT_OffAnimals"]},</v>
      </c>
      <c r="AA294" s="5" t="s">
        <v>5</v>
      </c>
      <c r="AB294" s="3" t="str">
        <f t="shared" si="27"/>
        <v>["-SADNE-","-SLOWSS-","OTHR","OTHR","XT_OffAnimals"]</v>
      </c>
      <c r="AC294" s="3">
        <f>_xlfn.XLOOKUP(A294,Album!A:A,Album!J:J)</f>
        <v>0</v>
      </c>
      <c r="AD294" s="3">
        <f>_xlfn.XLOOKUP(D294,Artists!A:A,Artists!B:B)</f>
        <v>0</v>
      </c>
      <c r="AE294" s="3">
        <f>_xlfn.XLOOKUP(D294,Artists!A:A,Artists!C:C)</f>
        <v>0</v>
      </c>
      <c r="AF294" s="3" t="str">
        <f t="shared" si="28"/>
        <v>OTHR</v>
      </c>
      <c r="AG294" s="3" t="str">
        <f t="shared" si="29"/>
        <v>OTHR</v>
      </c>
    </row>
    <row r="295" spans="24:33" x14ac:dyDescent="0.3">
      <c r="X295" s="3" t="str">
        <f t="shared" si="24"/>
        <v>-SADNE-</v>
      </c>
      <c r="Y295" s="3" t="str">
        <f t="shared" si="25"/>
        <v>-SLOWSS-</v>
      </c>
      <c r="Z295" s="4" t="str">
        <f t="shared" si="26"/>
        <v>{"couname":"","img":"0","pty":"","artist":"","genres":"","duration":"","spotId":"","Items":["-SADNE-","-SLOWSS-","OTHR","OTHR","XT_OffAnimals"]},</v>
      </c>
      <c r="AA295" s="5" t="s">
        <v>5</v>
      </c>
      <c r="AB295" s="3" t="str">
        <f t="shared" si="27"/>
        <v>["-SADNE-","-SLOWSS-","OTHR","OTHR","XT_OffAnimals"]</v>
      </c>
      <c r="AC295" s="3">
        <f>_xlfn.XLOOKUP(A295,Album!A:A,Album!J:J)</f>
        <v>0</v>
      </c>
      <c r="AD295" s="3">
        <f>_xlfn.XLOOKUP(D295,Artists!A:A,Artists!B:B)</f>
        <v>0</v>
      </c>
      <c r="AE295" s="3">
        <f>_xlfn.XLOOKUP(D295,Artists!A:A,Artists!C:C)</f>
        <v>0</v>
      </c>
      <c r="AF295" s="3" t="str">
        <f t="shared" si="28"/>
        <v>OTHR</v>
      </c>
      <c r="AG295" s="3" t="str">
        <f t="shared" si="29"/>
        <v>OTHR</v>
      </c>
    </row>
    <row r="296" spans="24:33" x14ac:dyDescent="0.3">
      <c r="X296" s="3" t="str">
        <f t="shared" si="24"/>
        <v>-SADNE-</v>
      </c>
      <c r="Y296" s="3" t="str">
        <f t="shared" si="25"/>
        <v>-SLOWSS-</v>
      </c>
      <c r="Z296" s="4" t="str">
        <f t="shared" si="26"/>
        <v>{"couname":"","img":"0","pty":"","artist":"","genres":"","duration":"","spotId":"","Items":["-SADNE-","-SLOWSS-","OTHR","OTHR","XT_OffAnimals"]},</v>
      </c>
      <c r="AA296" s="5" t="s">
        <v>5</v>
      </c>
      <c r="AB296" s="3" t="str">
        <f t="shared" si="27"/>
        <v>["-SADNE-","-SLOWSS-","OTHR","OTHR","XT_OffAnimals"]</v>
      </c>
      <c r="AC296" s="3">
        <f>_xlfn.XLOOKUP(A296,Album!A:A,Album!J:J)</f>
        <v>0</v>
      </c>
      <c r="AD296" s="3">
        <f>_xlfn.XLOOKUP(D296,Artists!A:A,Artists!B:B)</f>
        <v>0</v>
      </c>
      <c r="AE296" s="3">
        <f>_xlfn.XLOOKUP(D296,Artists!A:A,Artists!C:C)</f>
        <v>0</v>
      </c>
      <c r="AF296" s="3" t="str">
        <f t="shared" si="28"/>
        <v>OTHR</v>
      </c>
      <c r="AG296" s="3" t="str">
        <f t="shared" si="29"/>
        <v>OTHR</v>
      </c>
    </row>
    <row r="297" spans="24:33" x14ac:dyDescent="0.3">
      <c r="X297" s="3" t="str">
        <f t="shared" si="24"/>
        <v>-SADNE-</v>
      </c>
      <c r="Y297" s="3" t="str">
        <f t="shared" si="25"/>
        <v>-SLOWSS-</v>
      </c>
      <c r="Z297" s="4" t="str">
        <f t="shared" si="26"/>
        <v>{"couname":"","img":"0","pty":"","artist":"","genres":"","duration":"","spotId":"","Items":["-SADNE-","-SLOWSS-","OTHR","OTHR","XT_OffAnimals"]},</v>
      </c>
      <c r="AA297" s="5" t="s">
        <v>5</v>
      </c>
      <c r="AB297" s="3" t="str">
        <f t="shared" si="27"/>
        <v>["-SADNE-","-SLOWSS-","OTHR","OTHR","XT_OffAnimals"]</v>
      </c>
      <c r="AC297" s="3">
        <f>_xlfn.XLOOKUP(A297,Album!A:A,Album!J:J)</f>
        <v>0</v>
      </c>
      <c r="AD297" s="3">
        <f>_xlfn.XLOOKUP(D297,Artists!A:A,Artists!B:B)</f>
        <v>0</v>
      </c>
      <c r="AE297" s="3">
        <f>_xlfn.XLOOKUP(D297,Artists!A:A,Artists!C:C)</f>
        <v>0</v>
      </c>
      <c r="AF297" s="3" t="str">
        <f t="shared" si="28"/>
        <v>OTHR</v>
      </c>
      <c r="AG297" s="3" t="str">
        <f t="shared" si="29"/>
        <v>OTHR</v>
      </c>
    </row>
    <row r="298" spans="24:33" x14ac:dyDescent="0.3">
      <c r="X298" s="3" t="str">
        <f t="shared" si="24"/>
        <v>-SADNE-</v>
      </c>
      <c r="Y298" s="3" t="str">
        <f t="shared" si="25"/>
        <v>-SLOWSS-</v>
      </c>
      <c r="Z298" s="4" t="str">
        <f t="shared" si="26"/>
        <v>{"couname":"","img":"0","pty":"","artist":"","genres":"","duration":"","spotId":"","Items":["-SADNE-","-SLOWSS-","OTHR","OTHR","XT_OffAnimals"]},</v>
      </c>
      <c r="AA298" s="5" t="s">
        <v>5</v>
      </c>
      <c r="AB298" s="3" t="str">
        <f t="shared" si="27"/>
        <v>["-SADNE-","-SLOWSS-","OTHR","OTHR","XT_OffAnimals"]</v>
      </c>
      <c r="AC298" s="3">
        <f>_xlfn.XLOOKUP(A298,Album!A:A,Album!J:J)</f>
        <v>0</v>
      </c>
      <c r="AD298" s="3">
        <f>_xlfn.XLOOKUP(D298,Artists!A:A,Artists!B:B)</f>
        <v>0</v>
      </c>
      <c r="AE298" s="3">
        <f>_xlfn.XLOOKUP(D298,Artists!A:A,Artists!C:C)</f>
        <v>0</v>
      </c>
      <c r="AF298" s="3" t="str">
        <f t="shared" si="28"/>
        <v>OTHR</v>
      </c>
      <c r="AG298" s="3" t="str">
        <f t="shared" si="29"/>
        <v>OTHR</v>
      </c>
    </row>
    <row r="299" spans="24:33" x14ac:dyDescent="0.3">
      <c r="X299" s="3" t="str">
        <f t="shared" si="24"/>
        <v>-SADNE-</v>
      </c>
      <c r="Y299" s="3" t="str">
        <f t="shared" si="25"/>
        <v>-SLOWSS-</v>
      </c>
      <c r="Z299" s="4" t="str">
        <f t="shared" si="26"/>
        <v>{"couname":"","img":"0","pty":"","artist":"","genres":"","duration":"","spotId":"","Items":["-SADNE-","-SLOWSS-","OTHR","OTHR","XT_OffAnimals"]},</v>
      </c>
      <c r="AA299" s="5" t="s">
        <v>5</v>
      </c>
      <c r="AB299" s="3" t="str">
        <f t="shared" si="27"/>
        <v>["-SADNE-","-SLOWSS-","OTHR","OTHR","XT_OffAnimals"]</v>
      </c>
      <c r="AC299" s="3">
        <f>_xlfn.XLOOKUP(A299,Album!A:A,Album!J:J)</f>
        <v>0</v>
      </c>
      <c r="AD299" s="3">
        <f>_xlfn.XLOOKUP(D299,Artists!A:A,Artists!B:B)</f>
        <v>0</v>
      </c>
      <c r="AE299" s="3">
        <f>_xlfn.XLOOKUP(D299,Artists!A:A,Artists!C:C)</f>
        <v>0</v>
      </c>
      <c r="AF299" s="3" t="str">
        <f t="shared" si="28"/>
        <v>OTHR</v>
      </c>
      <c r="AG299" s="3" t="str">
        <f t="shared" si="29"/>
        <v>OTHR</v>
      </c>
    </row>
    <row r="300" spans="24:33" x14ac:dyDescent="0.3">
      <c r="X300" s="3" t="str">
        <f t="shared" si="24"/>
        <v>-SADNE-</v>
      </c>
      <c r="Y300" s="3" t="str">
        <f t="shared" si="25"/>
        <v>-SLOWSS-</v>
      </c>
      <c r="Z300" s="4" t="str">
        <f t="shared" si="26"/>
        <v>{"couname":"","img":"0","pty":"","artist":"","genres":"","duration":"","spotId":"","Items":["-SADNE-","-SLOWSS-","OTHR","OTHR","XT_OffAnimals"]},</v>
      </c>
      <c r="AA300" s="5" t="s">
        <v>5</v>
      </c>
      <c r="AB300" s="3" t="str">
        <f t="shared" si="27"/>
        <v>["-SADNE-","-SLOWSS-","OTHR","OTHR","XT_OffAnimals"]</v>
      </c>
      <c r="AC300" s="3">
        <f>_xlfn.XLOOKUP(A300,Album!A:A,Album!J:J)</f>
        <v>0</v>
      </c>
      <c r="AD300" s="3">
        <f>_xlfn.XLOOKUP(D300,Artists!A:A,Artists!B:B)</f>
        <v>0</v>
      </c>
      <c r="AE300" s="3">
        <f>_xlfn.XLOOKUP(D300,Artists!A:A,Artists!C:C)</f>
        <v>0</v>
      </c>
      <c r="AF300" s="3" t="str">
        <f t="shared" si="28"/>
        <v>OTHR</v>
      </c>
      <c r="AG300" s="3" t="str">
        <f t="shared" si="29"/>
        <v>OTHR</v>
      </c>
    </row>
    <row r="301" spans="24:33" x14ac:dyDescent="0.3">
      <c r="X301" s="3" t="str">
        <f t="shared" si="24"/>
        <v>-SADNE-</v>
      </c>
      <c r="Y301" s="3" t="str">
        <f t="shared" si="25"/>
        <v>-SLOWSS-</v>
      </c>
      <c r="Z301" s="4" t="str">
        <f t="shared" si="26"/>
        <v>{"couname":"","img":"0","pty":"","artist":"","genres":"","duration":"","spotId":"","Items":["-SADNE-","-SLOWSS-","OTHR","OTHR","XT_OffAnimals"]},</v>
      </c>
      <c r="AA301" s="5" t="s">
        <v>5</v>
      </c>
      <c r="AB301" s="3" t="str">
        <f t="shared" si="27"/>
        <v>["-SADNE-","-SLOWSS-","OTHR","OTHR","XT_OffAnimals"]</v>
      </c>
      <c r="AC301" s="3">
        <f>_xlfn.XLOOKUP(A301,Album!A:A,Album!J:J)</f>
        <v>0</v>
      </c>
      <c r="AD301" s="3">
        <f>_xlfn.XLOOKUP(D301,Artists!A:A,Artists!B:B)</f>
        <v>0</v>
      </c>
      <c r="AE301" s="3">
        <f>_xlfn.XLOOKUP(D301,Artists!A:A,Artists!C:C)</f>
        <v>0</v>
      </c>
      <c r="AF301" s="3" t="str">
        <f t="shared" si="28"/>
        <v>OTHR</v>
      </c>
      <c r="AG301" s="3" t="str">
        <f t="shared" si="29"/>
        <v>OTHR</v>
      </c>
    </row>
    <row r="302" spans="24:33" x14ac:dyDescent="0.3">
      <c r="X302" s="3" t="str">
        <f t="shared" si="24"/>
        <v>-SADNE-</v>
      </c>
      <c r="Y302" s="3" t="str">
        <f t="shared" si="25"/>
        <v>-SLOWSS-</v>
      </c>
      <c r="Z302" s="4" t="str">
        <f t="shared" si="26"/>
        <v>{"couname":"","img":"0","pty":"","artist":"","genres":"","duration":"","spotId":"","Items":["-SADNE-","-SLOWSS-","OTHR","OTHR","XT_OffAnimals"]},</v>
      </c>
      <c r="AA302" s="5" t="s">
        <v>5</v>
      </c>
      <c r="AB302" s="3" t="str">
        <f t="shared" si="27"/>
        <v>["-SADNE-","-SLOWSS-","OTHR","OTHR","XT_OffAnimals"]</v>
      </c>
      <c r="AC302" s="3">
        <f>_xlfn.XLOOKUP(A302,Album!A:A,Album!J:J)</f>
        <v>0</v>
      </c>
      <c r="AD302" s="3">
        <f>_xlfn.XLOOKUP(D302,Artists!A:A,Artists!B:B)</f>
        <v>0</v>
      </c>
      <c r="AE302" s="3">
        <f>_xlfn.XLOOKUP(D302,Artists!A:A,Artists!C:C)</f>
        <v>0</v>
      </c>
      <c r="AF302" s="3" t="str">
        <f t="shared" si="28"/>
        <v>OTHR</v>
      </c>
      <c r="AG302" s="3" t="str">
        <f t="shared" si="29"/>
        <v>OTHR</v>
      </c>
    </row>
    <row r="303" spans="24:33" x14ac:dyDescent="0.3">
      <c r="X303" s="3" t="str">
        <f t="shared" si="24"/>
        <v>-SADNE-</v>
      </c>
      <c r="Y303" s="3" t="str">
        <f t="shared" si="25"/>
        <v>-SLOWSS-</v>
      </c>
      <c r="Z303" s="4" t="str">
        <f t="shared" si="26"/>
        <v>{"couname":"","img":"0","pty":"","artist":"","genres":"","duration":"","spotId":"","Items":["-SADNE-","-SLOWSS-","OTHR","OTHR","XT_OffAnimals"]},</v>
      </c>
      <c r="AA303" s="5" t="s">
        <v>5</v>
      </c>
      <c r="AB303" s="3" t="str">
        <f t="shared" si="27"/>
        <v>["-SADNE-","-SLOWSS-","OTHR","OTHR","XT_OffAnimals"]</v>
      </c>
      <c r="AC303" s="3">
        <f>_xlfn.XLOOKUP(A303,Album!A:A,Album!J:J)</f>
        <v>0</v>
      </c>
      <c r="AD303" s="3">
        <f>_xlfn.XLOOKUP(D303,Artists!A:A,Artists!B:B)</f>
        <v>0</v>
      </c>
      <c r="AE303" s="3">
        <f>_xlfn.XLOOKUP(D303,Artists!A:A,Artists!C:C)</f>
        <v>0</v>
      </c>
      <c r="AF303" s="3" t="str">
        <f t="shared" si="28"/>
        <v>OTHR</v>
      </c>
      <c r="AG303" s="3" t="str">
        <f t="shared" si="29"/>
        <v>OTHR</v>
      </c>
    </row>
    <row r="304" spans="24:33" x14ac:dyDescent="0.3">
      <c r="X304" s="3" t="str">
        <f t="shared" si="24"/>
        <v>-SADNE-</v>
      </c>
      <c r="Y304" s="3" t="str">
        <f t="shared" si="25"/>
        <v>-SLOWSS-</v>
      </c>
      <c r="Z304" s="4" t="str">
        <f t="shared" si="26"/>
        <v>{"couname":"","img":"0","pty":"","artist":"","genres":"","duration":"","spotId":"","Items":["-SADNE-","-SLOWSS-","OTHR","OTHR","XT_OffAnimals"]},</v>
      </c>
      <c r="AA304" s="5" t="s">
        <v>5</v>
      </c>
      <c r="AB304" s="3" t="str">
        <f t="shared" si="27"/>
        <v>["-SADNE-","-SLOWSS-","OTHR","OTHR","XT_OffAnimals"]</v>
      </c>
      <c r="AC304" s="3">
        <f>_xlfn.XLOOKUP(A304,Album!A:A,Album!J:J)</f>
        <v>0</v>
      </c>
      <c r="AD304" s="3">
        <f>_xlfn.XLOOKUP(D304,Artists!A:A,Artists!B:B)</f>
        <v>0</v>
      </c>
      <c r="AE304" s="3">
        <f>_xlfn.XLOOKUP(D304,Artists!A:A,Artists!C:C)</f>
        <v>0</v>
      </c>
      <c r="AF304" s="3" t="str">
        <f t="shared" si="28"/>
        <v>OTHR</v>
      </c>
      <c r="AG304" s="3" t="str">
        <f t="shared" si="29"/>
        <v>OTHR</v>
      </c>
    </row>
    <row r="305" spans="24:33" x14ac:dyDescent="0.3">
      <c r="X305" s="3" t="str">
        <f t="shared" si="24"/>
        <v>-SADNE-</v>
      </c>
      <c r="Y305" s="3" t="str">
        <f t="shared" si="25"/>
        <v>-SLOWSS-</v>
      </c>
      <c r="Z305" s="4" t="str">
        <f t="shared" si="26"/>
        <v>{"couname":"","img":"0","pty":"","artist":"","genres":"","duration":"","spotId":"","Items":["-SADNE-","-SLOWSS-","OTHR","OTHR","XT_OffAnimals"]},</v>
      </c>
      <c r="AA305" s="5" t="s">
        <v>5</v>
      </c>
      <c r="AB305" s="3" t="str">
        <f t="shared" si="27"/>
        <v>["-SADNE-","-SLOWSS-","OTHR","OTHR","XT_OffAnimals"]</v>
      </c>
      <c r="AC305" s="3">
        <f>_xlfn.XLOOKUP(A305,Album!A:A,Album!J:J)</f>
        <v>0</v>
      </c>
      <c r="AD305" s="3">
        <f>_xlfn.XLOOKUP(D305,Artists!A:A,Artists!B:B)</f>
        <v>0</v>
      </c>
      <c r="AE305" s="3">
        <f>_xlfn.XLOOKUP(D305,Artists!A:A,Artists!C:C)</f>
        <v>0</v>
      </c>
      <c r="AF305" s="3" t="str">
        <f t="shared" si="28"/>
        <v>OTHR</v>
      </c>
      <c r="AG305" s="3" t="str">
        <f t="shared" si="29"/>
        <v>OTHR</v>
      </c>
    </row>
    <row r="306" spans="24:33" x14ac:dyDescent="0.3">
      <c r="X306" s="3" t="str">
        <f t="shared" si="24"/>
        <v>-SADNE-</v>
      </c>
      <c r="Y306" s="3" t="str">
        <f t="shared" si="25"/>
        <v>-SLOWSS-</v>
      </c>
      <c r="Z306" s="4" t="str">
        <f t="shared" si="26"/>
        <v>{"couname":"","img":"0","pty":"","artist":"","genres":"","duration":"","spotId":"","Items":["-SADNE-","-SLOWSS-","OTHR","OTHR","XT_OffAnimals"]},</v>
      </c>
      <c r="AA306" s="5" t="s">
        <v>5</v>
      </c>
      <c r="AB306" s="3" t="str">
        <f t="shared" si="27"/>
        <v>["-SADNE-","-SLOWSS-","OTHR","OTHR","XT_OffAnimals"]</v>
      </c>
      <c r="AC306" s="3">
        <f>_xlfn.XLOOKUP(A306,Album!A:A,Album!J:J)</f>
        <v>0</v>
      </c>
      <c r="AD306" s="3">
        <f>_xlfn.XLOOKUP(D306,Artists!A:A,Artists!B:B)</f>
        <v>0</v>
      </c>
      <c r="AE306" s="3">
        <f>_xlfn.XLOOKUP(D306,Artists!A:A,Artists!C:C)</f>
        <v>0</v>
      </c>
      <c r="AF306" s="3" t="str">
        <f t="shared" si="28"/>
        <v>OTHR</v>
      </c>
      <c r="AG306" s="3" t="str">
        <f t="shared" si="29"/>
        <v>OTHR</v>
      </c>
    </row>
    <row r="307" spans="24:33" x14ac:dyDescent="0.3">
      <c r="X307" s="3" t="str">
        <f t="shared" si="24"/>
        <v>-SADNE-</v>
      </c>
      <c r="Y307" s="3" t="str">
        <f t="shared" si="25"/>
        <v>-SLOWSS-</v>
      </c>
      <c r="Z307" s="4" t="str">
        <f t="shared" si="26"/>
        <v>{"couname":"","img":"0","pty":"","artist":"","genres":"","duration":"","spotId":"","Items":["-SADNE-","-SLOWSS-","OTHR","OTHR","XT_OffAnimals"]},</v>
      </c>
      <c r="AA307" s="5" t="s">
        <v>5</v>
      </c>
      <c r="AB307" s="3" t="str">
        <f t="shared" si="27"/>
        <v>["-SADNE-","-SLOWSS-","OTHR","OTHR","XT_OffAnimals"]</v>
      </c>
      <c r="AC307" s="3">
        <f>_xlfn.XLOOKUP(A307,Album!A:A,Album!J:J)</f>
        <v>0</v>
      </c>
      <c r="AD307" s="3">
        <f>_xlfn.XLOOKUP(D307,Artists!A:A,Artists!B:B)</f>
        <v>0</v>
      </c>
      <c r="AE307" s="3">
        <f>_xlfn.XLOOKUP(D307,Artists!A:A,Artists!C:C)</f>
        <v>0</v>
      </c>
      <c r="AF307" s="3" t="str">
        <f t="shared" si="28"/>
        <v>OTHR</v>
      </c>
      <c r="AG307" s="3" t="str">
        <f t="shared" si="29"/>
        <v>OTHR</v>
      </c>
    </row>
    <row r="308" spans="24:33" x14ac:dyDescent="0.3">
      <c r="X308" s="3" t="str">
        <f t="shared" si="24"/>
        <v>-SADNE-</v>
      </c>
      <c r="Y308" s="3" t="str">
        <f t="shared" si="25"/>
        <v>-SLOWSS-</v>
      </c>
      <c r="Z308" s="4" t="str">
        <f t="shared" si="26"/>
        <v>{"couname":"","img":"0","pty":"","artist":"","genres":"","duration":"","spotId":"","Items":["-SADNE-","-SLOWSS-","OTHR","OTHR","XT_OffAnimals"]},</v>
      </c>
      <c r="AA308" s="5" t="s">
        <v>5</v>
      </c>
      <c r="AB308" s="3" t="str">
        <f t="shared" si="27"/>
        <v>["-SADNE-","-SLOWSS-","OTHR","OTHR","XT_OffAnimals"]</v>
      </c>
      <c r="AC308" s="3">
        <f>_xlfn.XLOOKUP(A308,Album!A:A,Album!J:J)</f>
        <v>0</v>
      </c>
      <c r="AD308" s="3">
        <f>_xlfn.XLOOKUP(D308,Artists!A:A,Artists!B:B)</f>
        <v>0</v>
      </c>
      <c r="AE308" s="3">
        <f>_xlfn.XLOOKUP(D308,Artists!A:A,Artists!C:C)</f>
        <v>0</v>
      </c>
      <c r="AF308" s="3" t="str">
        <f t="shared" si="28"/>
        <v>OTHR</v>
      </c>
      <c r="AG308" s="3" t="str">
        <f t="shared" si="29"/>
        <v>OTHR</v>
      </c>
    </row>
    <row r="309" spans="24:33" x14ac:dyDescent="0.3">
      <c r="X309" s="3" t="str">
        <f t="shared" si="24"/>
        <v>-SADNE-</v>
      </c>
      <c r="Y309" s="3" t="str">
        <f t="shared" si="25"/>
        <v>-SLOWSS-</v>
      </c>
      <c r="Z309" s="4" t="str">
        <f t="shared" si="26"/>
        <v>{"couname":"","img":"0","pty":"","artist":"","genres":"","duration":"","spotId":"","Items":["-SADNE-","-SLOWSS-","OTHR","OTHR","XT_OffAnimals"]},</v>
      </c>
      <c r="AA309" s="5" t="s">
        <v>5</v>
      </c>
      <c r="AB309" s="3" t="str">
        <f t="shared" si="27"/>
        <v>["-SADNE-","-SLOWSS-","OTHR","OTHR","XT_OffAnimals"]</v>
      </c>
      <c r="AC309" s="3">
        <f>_xlfn.XLOOKUP(A309,Album!A:A,Album!J:J)</f>
        <v>0</v>
      </c>
      <c r="AD309" s="3">
        <f>_xlfn.XLOOKUP(D309,Artists!A:A,Artists!B:B)</f>
        <v>0</v>
      </c>
      <c r="AE309" s="3">
        <f>_xlfn.XLOOKUP(D309,Artists!A:A,Artists!C:C)</f>
        <v>0</v>
      </c>
      <c r="AF309" s="3" t="str">
        <f t="shared" si="28"/>
        <v>OTHR</v>
      </c>
      <c r="AG309" s="3" t="str">
        <f t="shared" si="29"/>
        <v>OTHR</v>
      </c>
    </row>
    <row r="310" spans="24:33" x14ac:dyDescent="0.3">
      <c r="X310" s="3" t="str">
        <f t="shared" si="24"/>
        <v>-SADNE-</v>
      </c>
      <c r="Y310" s="3" t="str">
        <f t="shared" si="25"/>
        <v>-SLOWSS-</v>
      </c>
      <c r="Z310" s="4" t="str">
        <f t="shared" si="26"/>
        <v>{"couname":"","img":"0","pty":"","artist":"","genres":"","duration":"","spotId":"","Items":["-SADNE-","-SLOWSS-","OTHR","OTHR","XT_OffAnimals"]},</v>
      </c>
      <c r="AA310" s="5" t="s">
        <v>5</v>
      </c>
      <c r="AB310" s="3" t="str">
        <f t="shared" si="27"/>
        <v>["-SADNE-","-SLOWSS-","OTHR","OTHR","XT_OffAnimals"]</v>
      </c>
      <c r="AC310" s="3">
        <f>_xlfn.XLOOKUP(A310,Album!A:A,Album!J:J)</f>
        <v>0</v>
      </c>
      <c r="AD310" s="3">
        <f>_xlfn.XLOOKUP(D310,Artists!A:A,Artists!B:B)</f>
        <v>0</v>
      </c>
      <c r="AE310" s="3">
        <f>_xlfn.XLOOKUP(D310,Artists!A:A,Artists!C:C)</f>
        <v>0</v>
      </c>
      <c r="AF310" s="3" t="str">
        <f t="shared" si="28"/>
        <v>OTHR</v>
      </c>
      <c r="AG310" s="3" t="str">
        <f t="shared" si="29"/>
        <v>OTHR</v>
      </c>
    </row>
    <row r="311" spans="24:33" x14ac:dyDescent="0.3">
      <c r="X311" s="3" t="str">
        <f t="shared" si="24"/>
        <v>-SADNE-</v>
      </c>
      <c r="Y311" s="3" t="str">
        <f t="shared" si="25"/>
        <v>-SLOWSS-</v>
      </c>
      <c r="Z311" s="4" t="str">
        <f t="shared" si="26"/>
        <v>{"couname":"","img":"0","pty":"","artist":"","genres":"","duration":"","spotId":"","Items":["-SADNE-","-SLOWSS-","OTHR","OTHR","XT_OffAnimals"]},</v>
      </c>
      <c r="AA311" s="5" t="s">
        <v>5</v>
      </c>
      <c r="AB311" s="3" t="str">
        <f t="shared" si="27"/>
        <v>["-SADNE-","-SLOWSS-","OTHR","OTHR","XT_OffAnimals"]</v>
      </c>
      <c r="AC311" s="3">
        <f>_xlfn.XLOOKUP(A311,Album!A:A,Album!J:J)</f>
        <v>0</v>
      </c>
      <c r="AD311" s="3">
        <f>_xlfn.XLOOKUP(D311,Artists!A:A,Artists!B:B)</f>
        <v>0</v>
      </c>
      <c r="AE311" s="3">
        <f>_xlfn.XLOOKUP(D311,Artists!A:A,Artists!C:C)</f>
        <v>0</v>
      </c>
      <c r="AF311" s="3" t="str">
        <f t="shared" si="28"/>
        <v>OTHR</v>
      </c>
      <c r="AG311" s="3" t="str">
        <f t="shared" si="29"/>
        <v>OTHR</v>
      </c>
    </row>
    <row r="312" spans="24:33" x14ac:dyDescent="0.3">
      <c r="X312" s="3" t="str">
        <f t="shared" si="24"/>
        <v>-SADNE-</v>
      </c>
      <c r="Y312" s="3" t="str">
        <f t="shared" si="25"/>
        <v>-SLOWSS-</v>
      </c>
      <c r="Z312" s="4" t="str">
        <f t="shared" si="26"/>
        <v>{"couname":"","img":"0","pty":"","artist":"","genres":"","duration":"","spotId":"","Items":["-SADNE-","-SLOWSS-","OTHR","OTHR","XT_OffAnimals"]},</v>
      </c>
      <c r="AA312" s="5" t="s">
        <v>5</v>
      </c>
      <c r="AB312" s="3" t="str">
        <f t="shared" si="27"/>
        <v>["-SADNE-","-SLOWSS-","OTHR","OTHR","XT_OffAnimals"]</v>
      </c>
      <c r="AC312" s="3">
        <f>_xlfn.XLOOKUP(A312,Album!A:A,Album!J:J)</f>
        <v>0</v>
      </c>
      <c r="AD312" s="3">
        <f>_xlfn.XLOOKUP(D312,Artists!A:A,Artists!B:B)</f>
        <v>0</v>
      </c>
      <c r="AE312" s="3">
        <f>_xlfn.XLOOKUP(D312,Artists!A:A,Artists!C:C)</f>
        <v>0</v>
      </c>
      <c r="AF312" s="3" t="str">
        <f t="shared" si="28"/>
        <v>OTHR</v>
      </c>
      <c r="AG312" s="3" t="str">
        <f t="shared" si="29"/>
        <v>OTHR</v>
      </c>
    </row>
    <row r="313" spans="24:33" x14ac:dyDescent="0.3">
      <c r="X313" s="3" t="str">
        <f t="shared" si="24"/>
        <v>-SADNE-</v>
      </c>
      <c r="Y313" s="3" t="str">
        <f t="shared" si="25"/>
        <v>-SLOWSS-</v>
      </c>
      <c r="Z313" s="4" t="str">
        <f t="shared" si="26"/>
        <v>{"couname":"","img":"0","pty":"","artist":"","genres":"","duration":"","spotId":"","Items":["-SADNE-","-SLOWSS-","OTHR","OTHR","XT_OffAnimals"]},</v>
      </c>
      <c r="AA313" s="5" t="s">
        <v>5</v>
      </c>
      <c r="AB313" s="3" t="str">
        <f t="shared" si="27"/>
        <v>["-SADNE-","-SLOWSS-","OTHR","OTHR","XT_OffAnimals"]</v>
      </c>
      <c r="AC313" s="3">
        <f>_xlfn.XLOOKUP(A313,Album!A:A,Album!J:J)</f>
        <v>0</v>
      </c>
      <c r="AD313" s="3">
        <f>_xlfn.XLOOKUP(D313,Artists!A:A,Artists!B:B)</f>
        <v>0</v>
      </c>
      <c r="AE313" s="3">
        <f>_xlfn.XLOOKUP(D313,Artists!A:A,Artists!C:C)</f>
        <v>0</v>
      </c>
      <c r="AF313" s="3" t="str">
        <f t="shared" si="28"/>
        <v>OTHR</v>
      </c>
      <c r="AG313" s="3" t="str">
        <f t="shared" si="29"/>
        <v>OTHR</v>
      </c>
    </row>
    <row r="314" spans="24:33" x14ac:dyDescent="0.3">
      <c r="X314" s="3" t="str">
        <f t="shared" si="24"/>
        <v>-SADNE-</v>
      </c>
      <c r="Y314" s="3" t="str">
        <f t="shared" si="25"/>
        <v>-SLOWSS-</v>
      </c>
      <c r="Z314" s="4" t="str">
        <f t="shared" si="26"/>
        <v>{"couname":"","img":"0","pty":"","artist":"","genres":"","duration":"","spotId":"","Items":["-SADNE-","-SLOWSS-","OTHR","OTHR","XT_OffAnimals"]},</v>
      </c>
      <c r="AA314" s="5" t="s">
        <v>5</v>
      </c>
      <c r="AB314" s="3" t="str">
        <f t="shared" si="27"/>
        <v>["-SADNE-","-SLOWSS-","OTHR","OTHR","XT_OffAnimals"]</v>
      </c>
      <c r="AC314" s="3">
        <f>_xlfn.XLOOKUP(A314,Album!A:A,Album!J:J)</f>
        <v>0</v>
      </c>
      <c r="AD314" s="3">
        <f>_xlfn.XLOOKUP(D314,Artists!A:A,Artists!B:B)</f>
        <v>0</v>
      </c>
      <c r="AE314" s="3">
        <f>_xlfn.XLOOKUP(D314,Artists!A:A,Artists!C:C)</f>
        <v>0</v>
      </c>
      <c r="AF314" s="3" t="str">
        <f t="shared" si="28"/>
        <v>OTHR</v>
      </c>
      <c r="AG314" s="3" t="str">
        <f t="shared" si="29"/>
        <v>OTHR</v>
      </c>
    </row>
    <row r="315" spans="24:33" x14ac:dyDescent="0.3">
      <c r="X315" s="3" t="str">
        <f t="shared" si="24"/>
        <v>-SADNE-</v>
      </c>
      <c r="Y315" s="3" t="str">
        <f t="shared" si="25"/>
        <v>-SLOWSS-</v>
      </c>
      <c r="Z315" s="4" t="str">
        <f t="shared" si="26"/>
        <v>{"couname":"","img":"0","pty":"","artist":"","genres":"","duration":"","spotId":"","Items":["-SADNE-","-SLOWSS-","OTHR","OTHR","XT_OffAnimals"]},</v>
      </c>
      <c r="AA315" s="5" t="s">
        <v>5</v>
      </c>
      <c r="AB315" s="3" t="str">
        <f t="shared" si="27"/>
        <v>["-SADNE-","-SLOWSS-","OTHR","OTHR","XT_OffAnimals"]</v>
      </c>
      <c r="AC315" s="3">
        <f>_xlfn.XLOOKUP(A315,Album!A:A,Album!J:J)</f>
        <v>0</v>
      </c>
      <c r="AD315" s="3">
        <f>_xlfn.XLOOKUP(D315,Artists!A:A,Artists!B:B)</f>
        <v>0</v>
      </c>
      <c r="AE315" s="3">
        <f>_xlfn.XLOOKUP(D315,Artists!A:A,Artists!C:C)</f>
        <v>0</v>
      </c>
      <c r="AF315" s="3" t="str">
        <f t="shared" si="28"/>
        <v>OTHR</v>
      </c>
      <c r="AG315" s="3" t="str">
        <f t="shared" si="29"/>
        <v>OTHR</v>
      </c>
    </row>
    <row r="316" spans="24:33" x14ac:dyDescent="0.3">
      <c r="X316" s="3" t="str">
        <f t="shared" si="24"/>
        <v>-SADNE-</v>
      </c>
      <c r="Y316" s="3" t="str">
        <f t="shared" si="25"/>
        <v>-SLOWSS-</v>
      </c>
      <c r="Z316" s="4" t="str">
        <f t="shared" si="26"/>
        <v>{"couname":"","img":"0","pty":"","artist":"","genres":"","duration":"","spotId":"","Items":["-SADNE-","-SLOWSS-","OTHR","OTHR","XT_OffAnimals"]},</v>
      </c>
      <c r="AA316" s="5" t="s">
        <v>5</v>
      </c>
      <c r="AB316" s="3" t="str">
        <f t="shared" si="27"/>
        <v>["-SADNE-","-SLOWSS-","OTHR","OTHR","XT_OffAnimals"]</v>
      </c>
      <c r="AC316" s="3">
        <f>_xlfn.XLOOKUP(A316,Album!A:A,Album!J:J)</f>
        <v>0</v>
      </c>
      <c r="AD316" s="3">
        <f>_xlfn.XLOOKUP(D316,Artists!A:A,Artists!B:B)</f>
        <v>0</v>
      </c>
      <c r="AE316" s="3">
        <f>_xlfn.XLOOKUP(D316,Artists!A:A,Artists!C:C)</f>
        <v>0</v>
      </c>
      <c r="AF316" s="3" t="str">
        <f t="shared" si="28"/>
        <v>OTHR</v>
      </c>
      <c r="AG316" s="3" t="str">
        <f t="shared" si="29"/>
        <v>OTHR</v>
      </c>
    </row>
    <row r="317" spans="24:33" x14ac:dyDescent="0.3">
      <c r="X317" s="3" t="str">
        <f t="shared" si="24"/>
        <v>-SADNE-</v>
      </c>
      <c r="Y317" s="3" t="str">
        <f t="shared" si="25"/>
        <v>-SLOWSS-</v>
      </c>
      <c r="Z317" s="4" t="str">
        <f t="shared" si="26"/>
        <v>{"couname":"","img":"0","pty":"","artist":"","genres":"","duration":"","spotId":"","Items":["-SADNE-","-SLOWSS-","OTHR","OTHR","XT_OffAnimals"]},</v>
      </c>
      <c r="AA317" s="5" t="s">
        <v>5</v>
      </c>
      <c r="AB317" s="3" t="str">
        <f t="shared" si="27"/>
        <v>["-SADNE-","-SLOWSS-","OTHR","OTHR","XT_OffAnimals"]</v>
      </c>
      <c r="AC317" s="3">
        <f>_xlfn.XLOOKUP(A317,Album!A:A,Album!J:J)</f>
        <v>0</v>
      </c>
      <c r="AD317" s="3">
        <f>_xlfn.XLOOKUP(D317,Artists!A:A,Artists!B:B)</f>
        <v>0</v>
      </c>
      <c r="AE317" s="3">
        <f>_xlfn.XLOOKUP(D317,Artists!A:A,Artists!C:C)</f>
        <v>0</v>
      </c>
      <c r="AF317" s="3" t="str">
        <f t="shared" si="28"/>
        <v>OTHR</v>
      </c>
      <c r="AG317" s="3" t="str">
        <f t="shared" si="29"/>
        <v>OTHR</v>
      </c>
    </row>
    <row r="318" spans="24:33" x14ac:dyDescent="0.3">
      <c r="X318" s="3" t="str">
        <f t="shared" si="24"/>
        <v>-SADNE-</v>
      </c>
      <c r="Y318" s="3" t="str">
        <f t="shared" si="25"/>
        <v>-SLOWSS-</v>
      </c>
      <c r="Z318" s="4" t="str">
        <f t="shared" si="26"/>
        <v>{"couname":"","img":"0","pty":"","artist":"","genres":"","duration":"","spotId":"","Items":["-SADNE-","-SLOWSS-","OTHR","OTHR","XT_OffAnimals"]},</v>
      </c>
      <c r="AA318" s="5" t="s">
        <v>5</v>
      </c>
      <c r="AB318" s="3" t="str">
        <f t="shared" si="27"/>
        <v>["-SADNE-","-SLOWSS-","OTHR","OTHR","XT_OffAnimals"]</v>
      </c>
      <c r="AC318" s="3">
        <f>_xlfn.XLOOKUP(A318,Album!A:A,Album!J:J)</f>
        <v>0</v>
      </c>
      <c r="AD318" s="3">
        <f>_xlfn.XLOOKUP(D318,Artists!A:A,Artists!B:B)</f>
        <v>0</v>
      </c>
      <c r="AE318" s="3">
        <f>_xlfn.XLOOKUP(D318,Artists!A:A,Artists!C:C)</f>
        <v>0</v>
      </c>
      <c r="AF318" s="3" t="str">
        <f t="shared" si="28"/>
        <v>OTHR</v>
      </c>
      <c r="AG318" s="3" t="str">
        <f t="shared" si="29"/>
        <v>OTHR</v>
      </c>
    </row>
    <row r="319" spans="24:33" x14ac:dyDescent="0.3">
      <c r="X319" s="3" t="str">
        <f t="shared" si="24"/>
        <v>-SADNE-</v>
      </c>
      <c r="Y319" s="3" t="str">
        <f t="shared" si="25"/>
        <v>-SLOWSS-</v>
      </c>
      <c r="Z319" s="4" t="str">
        <f t="shared" si="26"/>
        <v>{"couname":"","img":"0","pty":"","artist":"","genres":"","duration":"","spotId":"","Items":["-SADNE-","-SLOWSS-","OTHR","OTHR","XT_OffAnimals"]},</v>
      </c>
      <c r="AA319" s="5" t="s">
        <v>5</v>
      </c>
      <c r="AB319" s="3" t="str">
        <f t="shared" si="27"/>
        <v>["-SADNE-","-SLOWSS-","OTHR","OTHR","XT_OffAnimals"]</v>
      </c>
      <c r="AC319" s="3">
        <f>_xlfn.XLOOKUP(A319,Album!A:A,Album!J:J)</f>
        <v>0</v>
      </c>
      <c r="AD319" s="3">
        <f>_xlfn.XLOOKUP(D319,Artists!A:A,Artists!B:B)</f>
        <v>0</v>
      </c>
      <c r="AE319" s="3">
        <f>_xlfn.XLOOKUP(D319,Artists!A:A,Artists!C:C)</f>
        <v>0</v>
      </c>
      <c r="AF319" s="3" t="str">
        <f t="shared" si="28"/>
        <v>OTHR</v>
      </c>
      <c r="AG319" s="3" t="str">
        <f t="shared" si="29"/>
        <v>OTHR</v>
      </c>
    </row>
    <row r="320" spans="24:33" x14ac:dyDescent="0.3">
      <c r="X320" s="3" t="str">
        <f t="shared" si="24"/>
        <v>-SADNE-</v>
      </c>
      <c r="Y320" s="3" t="str">
        <f t="shared" si="25"/>
        <v>-SLOWSS-</v>
      </c>
      <c r="Z320" s="4" t="str">
        <f t="shared" si="26"/>
        <v>{"couname":"","img":"0","pty":"","artist":"","genres":"","duration":"","spotId":"","Items":["-SADNE-","-SLOWSS-","OTHR","OTHR","XT_OffAnimals"]},</v>
      </c>
      <c r="AA320" s="5" t="s">
        <v>5</v>
      </c>
      <c r="AB320" s="3" t="str">
        <f t="shared" si="27"/>
        <v>["-SADNE-","-SLOWSS-","OTHR","OTHR","XT_OffAnimals"]</v>
      </c>
      <c r="AC320" s="3">
        <f>_xlfn.XLOOKUP(A320,Album!A:A,Album!J:J)</f>
        <v>0</v>
      </c>
      <c r="AD320" s="3">
        <f>_xlfn.XLOOKUP(D320,Artists!A:A,Artists!B:B)</f>
        <v>0</v>
      </c>
      <c r="AE320" s="3">
        <f>_xlfn.XLOOKUP(D320,Artists!A:A,Artists!C:C)</f>
        <v>0</v>
      </c>
      <c r="AF320" s="3" t="str">
        <f t="shared" si="28"/>
        <v>OTHR</v>
      </c>
      <c r="AG320" s="3" t="str">
        <f t="shared" si="29"/>
        <v>OTHR</v>
      </c>
    </row>
    <row r="321" spans="24:33" x14ac:dyDescent="0.3">
      <c r="X321" s="3" t="str">
        <f t="shared" si="24"/>
        <v>-SADNE-</v>
      </c>
      <c r="Y321" s="3" t="str">
        <f t="shared" si="25"/>
        <v>-SLOWSS-</v>
      </c>
      <c r="Z321" s="4" t="str">
        <f t="shared" si="26"/>
        <v>{"couname":"","img":"0","pty":"","artist":"","genres":"","duration":"","spotId":"","Items":["-SADNE-","-SLOWSS-","OTHR","OTHR","XT_OffAnimals"]},</v>
      </c>
      <c r="AA321" s="5" t="s">
        <v>5</v>
      </c>
      <c r="AB321" s="3" t="str">
        <f t="shared" si="27"/>
        <v>["-SADNE-","-SLOWSS-","OTHR","OTHR","XT_OffAnimals"]</v>
      </c>
      <c r="AC321" s="3">
        <f>_xlfn.XLOOKUP(A321,Album!A:A,Album!J:J)</f>
        <v>0</v>
      </c>
      <c r="AD321" s="3">
        <f>_xlfn.XLOOKUP(D321,Artists!A:A,Artists!B:B)</f>
        <v>0</v>
      </c>
      <c r="AE321" s="3">
        <f>_xlfn.XLOOKUP(D321,Artists!A:A,Artists!C:C)</f>
        <v>0</v>
      </c>
      <c r="AF321" s="3" t="str">
        <f t="shared" si="28"/>
        <v>OTHR</v>
      </c>
      <c r="AG321" s="3" t="str">
        <f t="shared" si="29"/>
        <v>OTHR</v>
      </c>
    </row>
    <row r="322" spans="24:33" x14ac:dyDescent="0.3">
      <c r="X322" s="3" t="str">
        <f t="shared" ref="X322:X385" si="30">IF(OR(U322&lt;0.301, AND(U322&lt;0.4, P322=0)), "-SADNE-", "-HAPPY-")</f>
        <v>-SADNE-</v>
      </c>
      <c r="Y322" s="3" t="str">
        <f t="shared" ref="Y322:Y385" si="31">IF(OR(AND(L322&lt;0.5,M322&lt;0.5),AND(L322&lt;0.45,V322&lt;100),AND(M322&lt;0.45,V322&lt;100),AND(U322&lt;0.39,V322&lt;100)),"-SLOWSS-","-ENERGY-")</f>
        <v>-SLOWSS-</v>
      </c>
      <c r="Z322" s="4" t="str">
        <f t="shared" si="26"/>
        <v>{"couname":"","img":"0","pty":"","artist":"","genres":"","duration":"","spotId":"","Items":["-SADNE-","-SLOWSS-","OTHR","OTHR","XT_OffAnimals"]},</v>
      </c>
      <c r="AA322" s="5" t="s">
        <v>5</v>
      </c>
      <c r="AB322" s="3" t="str">
        <f t="shared" si="27"/>
        <v>["-SADNE-","-SLOWSS-","OTHR","OTHR","XT_OffAnimals"]</v>
      </c>
      <c r="AC322" s="3">
        <f>_xlfn.XLOOKUP(A322,Album!A:A,Album!J:J)</f>
        <v>0</v>
      </c>
      <c r="AD322" s="3">
        <f>_xlfn.XLOOKUP(D322,Artists!A:A,Artists!B:B)</f>
        <v>0</v>
      </c>
      <c r="AE322" s="3">
        <f>_xlfn.XLOOKUP(D322,Artists!A:A,Artists!C:C)</f>
        <v>0</v>
      </c>
      <c r="AF322" s="3" t="str">
        <f t="shared" si="28"/>
        <v>OTHR</v>
      </c>
      <c r="AG322" s="3" t="str">
        <f t="shared" si="29"/>
        <v>OTHR</v>
      </c>
    </row>
    <row r="323" spans="24:33" x14ac:dyDescent="0.3">
      <c r="X323" s="3" t="str">
        <f t="shared" si="30"/>
        <v>-SADNE-</v>
      </c>
      <c r="Y323" s="3" t="str">
        <f t="shared" si="31"/>
        <v>-SLOWSS-</v>
      </c>
      <c r="Z323" s="4" t="str">
        <f t="shared" ref="Z323:Z386" si="32">"{"&amp;CHAR(34)&amp;"couname"&amp;CHAR(34)&amp;":"&amp;CHAR(34)&amp;B323&amp;CHAR(34)&amp;","&amp;CHAR(34)&amp;"img"&amp;CHAR(34)&amp;":"&amp;CHAR(34)&amp;AC323&amp;CHAR(34)&amp;","&amp;CHAR(34)&amp;"pty"&amp;CHAR(34)&amp;":"&amp;CHAR(34)&amp;G323&amp;CHAR(34)&amp;","&amp;CHAR(34)&amp;"artist"&amp;CHAR(34)&amp;":"&amp;CHAR(34)&amp;D323&amp;CHAR(34)&amp;","&amp;CHAR(34)&amp;"genres"&amp;CHAR(34)&amp;":"&amp;CHAR(34)&amp;J323&amp;CHAR(34)&amp;","&amp;CHAR(34)&amp;"duration"&amp;CHAR(34)&amp;":"&amp;CHAR(34)&amp;F323&amp;CHAR(34)&amp;","&amp;CHAR(34)&amp;"spotId"&amp;CHAR(34)&amp;":"&amp;CHAR(34)&amp;A323&amp;CHAR(34)&amp;","&amp;CHAR(34)&amp;"Items"&amp;CHAR(34)&amp;":"&amp;AB323&amp;"},"</f>
        <v>{"couname":"","img":"0","pty":"","artist":"","genres":"","duration":"","spotId":"","Items":["-SADNE-","-SLOWSS-","OTHR","OTHR","XT_OffAnimals"]},</v>
      </c>
      <c r="AA323" s="5" t="s">
        <v>5</v>
      </c>
      <c r="AB323" s="3" t="str">
        <f t="shared" ref="AB323:AB386" si="33" xml:space="preserve"> "[" &amp; _xlfn.TEXTJOIN(",",TRUE,CHAR(34) &amp; X323&amp; CHAR(34), CHAR(34) &amp; Y323 &amp; CHAR(34),  CHAR(34) &amp; AF323 &amp; CHAR(34), CHAR(34) &amp;AG323 &amp; CHAR(34), CHAR(34) &amp; AA323 &amp; CHAR(34)) &amp; "]"</f>
        <v>["-SADNE-","-SLOWSS-","OTHR","OTHR","XT_OffAnimals"]</v>
      </c>
      <c r="AC323" s="3">
        <f>_xlfn.XLOOKUP(A323,Album!A:A,Album!J:J)</f>
        <v>0</v>
      </c>
      <c r="AD323" s="3">
        <f>_xlfn.XLOOKUP(D323,Artists!A:A,Artists!B:B)</f>
        <v>0</v>
      </c>
      <c r="AE323" s="3">
        <f>_xlfn.XLOOKUP(D323,Artists!A:A,Artists!C:C)</f>
        <v>0</v>
      </c>
      <c r="AF323" s="3" t="str">
        <f t="shared" ref="AF323:AF386" si="34">IF(ISNUMBER(SEARCH("female", AD323)), "GIRL", IF(ISNUMBER(SEARCH("male", AD323)), "DUDE", "OTHR"))</f>
        <v>OTHR</v>
      </c>
      <c r="AG323" s="3" t="str">
        <f t="shared" ref="AG323:AG386" si="35">IF(ISNUMBER(SEARCH("band", AD323)), "BAND", IF(ISNUMBER(SEARCH("solo", AD323)), "SOLO", "OTHR"))</f>
        <v>OTHR</v>
      </c>
    </row>
    <row r="324" spans="24:33" x14ac:dyDescent="0.3">
      <c r="X324" s="3" t="str">
        <f t="shared" si="30"/>
        <v>-SADNE-</v>
      </c>
      <c r="Y324" s="3" t="str">
        <f t="shared" si="31"/>
        <v>-SLOWSS-</v>
      </c>
      <c r="Z324" s="4" t="str">
        <f t="shared" si="32"/>
        <v>{"couname":"","img":"0","pty":"","artist":"","genres":"","duration":"","spotId":"","Items":["-SADNE-","-SLOWSS-","OTHR","OTHR","XT_OffAnimals"]},</v>
      </c>
      <c r="AA324" s="5" t="s">
        <v>5</v>
      </c>
      <c r="AB324" s="3" t="str">
        <f t="shared" si="33"/>
        <v>["-SADNE-","-SLOWSS-","OTHR","OTHR","XT_OffAnimals"]</v>
      </c>
      <c r="AC324" s="3">
        <f>_xlfn.XLOOKUP(A324,Album!A:A,Album!J:J)</f>
        <v>0</v>
      </c>
      <c r="AD324" s="3">
        <f>_xlfn.XLOOKUP(D324,Artists!A:A,Artists!B:B)</f>
        <v>0</v>
      </c>
      <c r="AE324" s="3">
        <f>_xlfn.XLOOKUP(D324,Artists!A:A,Artists!C:C)</f>
        <v>0</v>
      </c>
      <c r="AF324" s="3" t="str">
        <f t="shared" si="34"/>
        <v>OTHR</v>
      </c>
      <c r="AG324" s="3" t="str">
        <f t="shared" si="35"/>
        <v>OTHR</v>
      </c>
    </row>
    <row r="325" spans="24:33" x14ac:dyDescent="0.3">
      <c r="X325" s="3" t="str">
        <f t="shared" si="30"/>
        <v>-SADNE-</v>
      </c>
      <c r="Y325" s="3" t="str">
        <f t="shared" si="31"/>
        <v>-SLOWSS-</v>
      </c>
      <c r="Z325" s="4" t="str">
        <f t="shared" si="32"/>
        <v>{"couname":"","img":"0","pty":"","artist":"","genres":"","duration":"","spotId":"","Items":["-SADNE-","-SLOWSS-","OTHR","OTHR","XT_OffAnimals"]},</v>
      </c>
      <c r="AA325" s="5" t="s">
        <v>5</v>
      </c>
      <c r="AB325" s="3" t="str">
        <f t="shared" si="33"/>
        <v>["-SADNE-","-SLOWSS-","OTHR","OTHR","XT_OffAnimals"]</v>
      </c>
      <c r="AC325" s="3">
        <f>_xlfn.XLOOKUP(A325,Album!A:A,Album!J:J)</f>
        <v>0</v>
      </c>
      <c r="AD325" s="3">
        <f>_xlfn.XLOOKUP(D325,Artists!A:A,Artists!B:B)</f>
        <v>0</v>
      </c>
      <c r="AE325" s="3">
        <f>_xlfn.XLOOKUP(D325,Artists!A:A,Artists!C:C)</f>
        <v>0</v>
      </c>
      <c r="AF325" s="3" t="str">
        <f t="shared" si="34"/>
        <v>OTHR</v>
      </c>
      <c r="AG325" s="3" t="str">
        <f t="shared" si="35"/>
        <v>OTHR</v>
      </c>
    </row>
    <row r="326" spans="24:33" x14ac:dyDescent="0.3">
      <c r="X326" s="3" t="str">
        <f t="shared" si="30"/>
        <v>-SADNE-</v>
      </c>
      <c r="Y326" s="3" t="str">
        <f t="shared" si="31"/>
        <v>-SLOWSS-</v>
      </c>
      <c r="Z326" s="4" t="str">
        <f t="shared" si="32"/>
        <v>{"couname":"","img":"0","pty":"","artist":"","genres":"","duration":"","spotId":"","Items":["-SADNE-","-SLOWSS-","OTHR","OTHR","XT_OffAnimals"]},</v>
      </c>
      <c r="AA326" s="5" t="s">
        <v>5</v>
      </c>
      <c r="AB326" s="3" t="str">
        <f t="shared" si="33"/>
        <v>["-SADNE-","-SLOWSS-","OTHR","OTHR","XT_OffAnimals"]</v>
      </c>
      <c r="AC326" s="3">
        <f>_xlfn.XLOOKUP(A326,Album!A:A,Album!J:J)</f>
        <v>0</v>
      </c>
      <c r="AD326" s="3">
        <f>_xlfn.XLOOKUP(D326,Artists!A:A,Artists!B:B)</f>
        <v>0</v>
      </c>
      <c r="AE326" s="3">
        <f>_xlfn.XLOOKUP(D326,Artists!A:A,Artists!C:C)</f>
        <v>0</v>
      </c>
      <c r="AF326" s="3" t="str">
        <f t="shared" si="34"/>
        <v>OTHR</v>
      </c>
      <c r="AG326" s="3" t="str">
        <f t="shared" si="35"/>
        <v>OTHR</v>
      </c>
    </row>
    <row r="327" spans="24:33" x14ac:dyDescent="0.3">
      <c r="X327" s="3" t="str">
        <f t="shared" si="30"/>
        <v>-SADNE-</v>
      </c>
      <c r="Y327" s="3" t="str">
        <f t="shared" si="31"/>
        <v>-SLOWSS-</v>
      </c>
      <c r="Z327" s="4" t="str">
        <f t="shared" si="32"/>
        <v>{"couname":"","img":"0","pty":"","artist":"","genres":"","duration":"","spotId":"","Items":["-SADNE-","-SLOWSS-","OTHR","OTHR","XT_OffAnimals"]},</v>
      </c>
      <c r="AA327" s="5" t="s">
        <v>5</v>
      </c>
      <c r="AB327" s="3" t="str">
        <f t="shared" si="33"/>
        <v>["-SADNE-","-SLOWSS-","OTHR","OTHR","XT_OffAnimals"]</v>
      </c>
      <c r="AC327" s="3">
        <f>_xlfn.XLOOKUP(A327,Album!A:A,Album!J:J)</f>
        <v>0</v>
      </c>
      <c r="AD327" s="3">
        <f>_xlfn.XLOOKUP(D327,Artists!A:A,Artists!B:B)</f>
        <v>0</v>
      </c>
      <c r="AE327" s="3">
        <f>_xlfn.XLOOKUP(D327,Artists!A:A,Artists!C:C)</f>
        <v>0</v>
      </c>
      <c r="AF327" s="3" t="str">
        <f t="shared" si="34"/>
        <v>OTHR</v>
      </c>
      <c r="AG327" s="3" t="str">
        <f t="shared" si="35"/>
        <v>OTHR</v>
      </c>
    </row>
    <row r="328" spans="24:33" x14ac:dyDescent="0.3">
      <c r="X328" s="3" t="str">
        <f t="shared" si="30"/>
        <v>-SADNE-</v>
      </c>
      <c r="Y328" s="3" t="str">
        <f t="shared" si="31"/>
        <v>-SLOWSS-</v>
      </c>
      <c r="Z328" s="4" t="str">
        <f t="shared" si="32"/>
        <v>{"couname":"","img":"0","pty":"","artist":"","genres":"","duration":"","spotId":"","Items":["-SADNE-","-SLOWSS-","OTHR","OTHR","XT_OffAnimals"]},</v>
      </c>
      <c r="AA328" s="5" t="s">
        <v>5</v>
      </c>
      <c r="AB328" s="3" t="str">
        <f t="shared" si="33"/>
        <v>["-SADNE-","-SLOWSS-","OTHR","OTHR","XT_OffAnimals"]</v>
      </c>
      <c r="AC328" s="3">
        <f>_xlfn.XLOOKUP(A328,Album!A:A,Album!J:J)</f>
        <v>0</v>
      </c>
      <c r="AD328" s="3">
        <f>_xlfn.XLOOKUP(D328,Artists!A:A,Artists!B:B)</f>
        <v>0</v>
      </c>
      <c r="AE328" s="3">
        <f>_xlfn.XLOOKUP(D328,Artists!A:A,Artists!C:C)</f>
        <v>0</v>
      </c>
      <c r="AF328" s="3" t="str">
        <f t="shared" si="34"/>
        <v>OTHR</v>
      </c>
      <c r="AG328" s="3" t="str">
        <f t="shared" si="35"/>
        <v>OTHR</v>
      </c>
    </row>
    <row r="329" spans="24:33" x14ac:dyDescent="0.3">
      <c r="X329" s="3" t="str">
        <f t="shared" si="30"/>
        <v>-SADNE-</v>
      </c>
      <c r="Y329" s="3" t="str">
        <f t="shared" si="31"/>
        <v>-SLOWSS-</v>
      </c>
      <c r="Z329" s="4" t="str">
        <f t="shared" si="32"/>
        <v>{"couname":"","img":"0","pty":"","artist":"","genres":"","duration":"","spotId":"","Items":["-SADNE-","-SLOWSS-","OTHR","OTHR","XT_OffAnimals"]},</v>
      </c>
      <c r="AA329" s="5" t="s">
        <v>5</v>
      </c>
      <c r="AB329" s="3" t="str">
        <f t="shared" si="33"/>
        <v>["-SADNE-","-SLOWSS-","OTHR","OTHR","XT_OffAnimals"]</v>
      </c>
      <c r="AC329" s="3">
        <f>_xlfn.XLOOKUP(A329,Album!A:A,Album!J:J)</f>
        <v>0</v>
      </c>
      <c r="AD329" s="3">
        <f>_xlfn.XLOOKUP(D329,Artists!A:A,Artists!B:B)</f>
        <v>0</v>
      </c>
      <c r="AE329" s="3">
        <f>_xlfn.XLOOKUP(D329,Artists!A:A,Artists!C:C)</f>
        <v>0</v>
      </c>
      <c r="AF329" s="3" t="str">
        <f t="shared" si="34"/>
        <v>OTHR</v>
      </c>
      <c r="AG329" s="3" t="str">
        <f t="shared" si="35"/>
        <v>OTHR</v>
      </c>
    </row>
    <row r="330" spans="24:33" x14ac:dyDescent="0.3">
      <c r="X330" s="3" t="str">
        <f t="shared" si="30"/>
        <v>-SADNE-</v>
      </c>
      <c r="Y330" s="3" t="str">
        <f t="shared" si="31"/>
        <v>-SLOWSS-</v>
      </c>
      <c r="Z330" s="4" t="str">
        <f t="shared" si="32"/>
        <v>{"couname":"","img":"0","pty":"","artist":"","genres":"","duration":"","spotId":"","Items":["-SADNE-","-SLOWSS-","OTHR","OTHR","XT_OffAnimals"]},</v>
      </c>
      <c r="AA330" s="5" t="s">
        <v>5</v>
      </c>
      <c r="AB330" s="3" t="str">
        <f t="shared" si="33"/>
        <v>["-SADNE-","-SLOWSS-","OTHR","OTHR","XT_OffAnimals"]</v>
      </c>
      <c r="AC330" s="3">
        <f>_xlfn.XLOOKUP(A330,Album!A:A,Album!J:J)</f>
        <v>0</v>
      </c>
      <c r="AD330" s="3">
        <f>_xlfn.XLOOKUP(D330,Artists!A:A,Artists!B:B)</f>
        <v>0</v>
      </c>
      <c r="AE330" s="3">
        <f>_xlfn.XLOOKUP(D330,Artists!A:A,Artists!C:C)</f>
        <v>0</v>
      </c>
      <c r="AF330" s="3" t="str">
        <f t="shared" si="34"/>
        <v>OTHR</v>
      </c>
      <c r="AG330" s="3" t="str">
        <f t="shared" si="35"/>
        <v>OTHR</v>
      </c>
    </row>
    <row r="331" spans="24:33" x14ac:dyDescent="0.3">
      <c r="X331" s="3" t="str">
        <f t="shared" si="30"/>
        <v>-SADNE-</v>
      </c>
      <c r="Y331" s="3" t="str">
        <f t="shared" si="31"/>
        <v>-SLOWSS-</v>
      </c>
      <c r="Z331" s="4" t="str">
        <f t="shared" si="32"/>
        <v>{"couname":"","img":"0","pty":"","artist":"","genres":"","duration":"","spotId":"","Items":["-SADNE-","-SLOWSS-","OTHR","OTHR","XT_OffAnimals"]},</v>
      </c>
      <c r="AA331" s="5" t="s">
        <v>5</v>
      </c>
      <c r="AB331" s="3" t="str">
        <f t="shared" si="33"/>
        <v>["-SADNE-","-SLOWSS-","OTHR","OTHR","XT_OffAnimals"]</v>
      </c>
      <c r="AC331" s="3">
        <f>_xlfn.XLOOKUP(A331,Album!A:A,Album!J:J)</f>
        <v>0</v>
      </c>
      <c r="AD331" s="3">
        <f>_xlfn.XLOOKUP(D331,Artists!A:A,Artists!B:B)</f>
        <v>0</v>
      </c>
      <c r="AE331" s="3">
        <f>_xlfn.XLOOKUP(D331,Artists!A:A,Artists!C:C)</f>
        <v>0</v>
      </c>
      <c r="AF331" s="3" t="str">
        <f t="shared" si="34"/>
        <v>OTHR</v>
      </c>
      <c r="AG331" s="3" t="str">
        <f t="shared" si="35"/>
        <v>OTHR</v>
      </c>
    </row>
    <row r="332" spans="24:33" x14ac:dyDescent="0.3">
      <c r="X332" s="3" t="str">
        <f t="shared" si="30"/>
        <v>-SADNE-</v>
      </c>
      <c r="Y332" s="3" t="str">
        <f t="shared" si="31"/>
        <v>-SLOWSS-</v>
      </c>
      <c r="Z332" s="4" t="str">
        <f t="shared" si="32"/>
        <v>{"couname":"","img":"0","pty":"","artist":"","genres":"","duration":"","spotId":"","Items":["-SADNE-","-SLOWSS-","OTHR","OTHR","XT_OffAnimals"]},</v>
      </c>
      <c r="AA332" s="5" t="s">
        <v>5</v>
      </c>
      <c r="AB332" s="3" t="str">
        <f t="shared" si="33"/>
        <v>["-SADNE-","-SLOWSS-","OTHR","OTHR","XT_OffAnimals"]</v>
      </c>
      <c r="AC332" s="3">
        <f>_xlfn.XLOOKUP(A332,Album!A:A,Album!J:J)</f>
        <v>0</v>
      </c>
      <c r="AD332" s="3">
        <f>_xlfn.XLOOKUP(D332,Artists!A:A,Artists!B:B)</f>
        <v>0</v>
      </c>
      <c r="AE332" s="3">
        <f>_xlfn.XLOOKUP(D332,Artists!A:A,Artists!C:C)</f>
        <v>0</v>
      </c>
      <c r="AF332" s="3" t="str">
        <f t="shared" si="34"/>
        <v>OTHR</v>
      </c>
      <c r="AG332" s="3" t="str">
        <f t="shared" si="35"/>
        <v>OTHR</v>
      </c>
    </row>
    <row r="333" spans="24:33" x14ac:dyDescent="0.3">
      <c r="X333" s="3" t="str">
        <f t="shared" si="30"/>
        <v>-SADNE-</v>
      </c>
      <c r="Y333" s="3" t="str">
        <f t="shared" si="31"/>
        <v>-SLOWSS-</v>
      </c>
      <c r="Z333" s="4" t="str">
        <f t="shared" si="32"/>
        <v>{"couname":"","img":"0","pty":"","artist":"","genres":"","duration":"","spotId":"","Items":["-SADNE-","-SLOWSS-","OTHR","OTHR","XT_OffAnimals"]},</v>
      </c>
      <c r="AA333" s="5" t="s">
        <v>5</v>
      </c>
      <c r="AB333" s="3" t="str">
        <f t="shared" si="33"/>
        <v>["-SADNE-","-SLOWSS-","OTHR","OTHR","XT_OffAnimals"]</v>
      </c>
      <c r="AC333" s="3">
        <f>_xlfn.XLOOKUP(A333,Album!A:A,Album!J:J)</f>
        <v>0</v>
      </c>
      <c r="AD333" s="3">
        <f>_xlfn.XLOOKUP(D333,Artists!A:A,Artists!B:B)</f>
        <v>0</v>
      </c>
      <c r="AE333" s="3">
        <f>_xlfn.XLOOKUP(D333,Artists!A:A,Artists!C:C)</f>
        <v>0</v>
      </c>
      <c r="AF333" s="3" t="str">
        <f t="shared" si="34"/>
        <v>OTHR</v>
      </c>
      <c r="AG333" s="3" t="str">
        <f t="shared" si="35"/>
        <v>OTHR</v>
      </c>
    </row>
    <row r="334" spans="24:33" x14ac:dyDescent="0.3">
      <c r="X334" s="3" t="str">
        <f t="shared" si="30"/>
        <v>-SADNE-</v>
      </c>
      <c r="Y334" s="3" t="str">
        <f t="shared" si="31"/>
        <v>-SLOWSS-</v>
      </c>
      <c r="Z334" s="4" t="str">
        <f t="shared" si="32"/>
        <v>{"couname":"","img":"0","pty":"","artist":"","genres":"","duration":"","spotId":"","Items":["-SADNE-","-SLOWSS-","OTHR","OTHR","XT_OffAnimals"]},</v>
      </c>
      <c r="AA334" s="5" t="s">
        <v>5</v>
      </c>
      <c r="AB334" s="3" t="str">
        <f t="shared" si="33"/>
        <v>["-SADNE-","-SLOWSS-","OTHR","OTHR","XT_OffAnimals"]</v>
      </c>
      <c r="AC334" s="3">
        <f>_xlfn.XLOOKUP(A334,Album!A:A,Album!J:J)</f>
        <v>0</v>
      </c>
      <c r="AD334" s="3">
        <f>_xlfn.XLOOKUP(D334,Artists!A:A,Artists!B:B)</f>
        <v>0</v>
      </c>
      <c r="AE334" s="3">
        <f>_xlfn.XLOOKUP(D334,Artists!A:A,Artists!C:C)</f>
        <v>0</v>
      </c>
      <c r="AF334" s="3" t="str">
        <f t="shared" si="34"/>
        <v>OTHR</v>
      </c>
      <c r="AG334" s="3" t="str">
        <f t="shared" si="35"/>
        <v>OTHR</v>
      </c>
    </row>
    <row r="335" spans="24:33" x14ac:dyDescent="0.3">
      <c r="X335" s="3" t="str">
        <f t="shared" si="30"/>
        <v>-SADNE-</v>
      </c>
      <c r="Y335" s="3" t="str">
        <f t="shared" si="31"/>
        <v>-SLOWSS-</v>
      </c>
      <c r="Z335" s="4" t="str">
        <f t="shared" si="32"/>
        <v>{"couname":"","img":"0","pty":"","artist":"","genres":"","duration":"","spotId":"","Items":["-SADNE-","-SLOWSS-","OTHR","OTHR","XT_OffAnimals"]},</v>
      </c>
      <c r="AA335" s="5" t="s">
        <v>5</v>
      </c>
      <c r="AB335" s="3" t="str">
        <f t="shared" si="33"/>
        <v>["-SADNE-","-SLOWSS-","OTHR","OTHR","XT_OffAnimals"]</v>
      </c>
      <c r="AC335" s="3">
        <f>_xlfn.XLOOKUP(A335,Album!A:A,Album!J:J)</f>
        <v>0</v>
      </c>
      <c r="AD335" s="3">
        <f>_xlfn.XLOOKUP(D335,Artists!A:A,Artists!B:B)</f>
        <v>0</v>
      </c>
      <c r="AE335" s="3">
        <f>_xlfn.XLOOKUP(D335,Artists!A:A,Artists!C:C)</f>
        <v>0</v>
      </c>
      <c r="AF335" s="3" t="str">
        <f t="shared" si="34"/>
        <v>OTHR</v>
      </c>
      <c r="AG335" s="3" t="str">
        <f t="shared" si="35"/>
        <v>OTHR</v>
      </c>
    </row>
    <row r="336" spans="24:33" x14ac:dyDescent="0.3">
      <c r="X336" s="3" t="str">
        <f t="shared" si="30"/>
        <v>-SADNE-</v>
      </c>
      <c r="Y336" s="3" t="str">
        <f t="shared" si="31"/>
        <v>-SLOWSS-</v>
      </c>
      <c r="Z336" s="4" t="str">
        <f t="shared" si="32"/>
        <v>{"couname":"","img":"0","pty":"","artist":"","genres":"","duration":"","spotId":"","Items":["-SADNE-","-SLOWSS-","OTHR","OTHR","XT_OffAnimals"]},</v>
      </c>
      <c r="AA336" s="5" t="s">
        <v>5</v>
      </c>
      <c r="AB336" s="3" t="str">
        <f t="shared" si="33"/>
        <v>["-SADNE-","-SLOWSS-","OTHR","OTHR","XT_OffAnimals"]</v>
      </c>
      <c r="AC336" s="3">
        <f>_xlfn.XLOOKUP(A336,Album!A:A,Album!J:J)</f>
        <v>0</v>
      </c>
      <c r="AD336" s="3">
        <f>_xlfn.XLOOKUP(D336,Artists!A:A,Artists!B:B)</f>
        <v>0</v>
      </c>
      <c r="AE336" s="3">
        <f>_xlfn.XLOOKUP(D336,Artists!A:A,Artists!C:C)</f>
        <v>0</v>
      </c>
      <c r="AF336" s="3" t="str">
        <f t="shared" si="34"/>
        <v>OTHR</v>
      </c>
      <c r="AG336" s="3" t="str">
        <f t="shared" si="35"/>
        <v>OTHR</v>
      </c>
    </row>
    <row r="337" spans="24:33" x14ac:dyDescent="0.3">
      <c r="X337" s="3" t="str">
        <f t="shared" si="30"/>
        <v>-SADNE-</v>
      </c>
      <c r="Y337" s="3" t="str">
        <f t="shared" si="31"/>
        <v>-SLOWSS-</v>
      </c>
      <c r="Z337" s="4" t="str">
        <f t="shared" si="32"/>
        <v>{"couname":"","img":"0","pty":"","artist":"","genres":"","duration":"","spotId":"","Items":["-SADNE-","-SLOWSS-","OTHR","OTHR","XT_OffAnimals"]},</v>
      </c>
      <c r="AA337" s="5" t="s">
        <v>5</v>
      </c>
      <c r="AB337" s="3" t="str">
        <f t="shared" si="33"/>
        <v>["-SADNE-","-SLOWSS-","OTHR","OTHR","XT_OffAnimals"]</v>
      </c>
      <c r="AC337" s="3">
        <f>_xlfn.XLOOKUP(A337,Album!A:A,Album!J:J)</f>
        <v>0</v>
      </c>
      <c r="AD337" s="3">
        <f>_xlfn.XLOOKUP(D337,Artists!A:A,Artists!B:B)</f>
        <v>0</v>
      </c>
      <c r="AE337" s="3">
        <f>_xlfn.XLOOKUP(D337,Artists!A:A,Artists!C:C)</f>
        <v>0</v>
      </c>
      <c r="AF337" s="3" t="str">
        <f t="shared" si="34"/>
        <v>OTHR</v>
      </c>
      <c r="AG337" s="3" t="str">
        <f t="shared" si="35"/>
        <v>OTHR</v>
      </c>
    </row>
    <row r="338" spans="24:33" x14ac:dyDescent="0.3">
      <c r="X338" s="3" t="str">
        <f t="shared" si="30"/>
        <v>-SADNE-</v>
      </c>
      <c r="Y338" s="3" t="str">
        <f t="shared" si="31"/>
        <v>-SLOWSS-</v>
      </c>
      <c r="Z338" s="4" t="str">
        <f t="shared" si="32"/>
        <v>{"couname":"","img":"0","pty":"","artist":"","genres":"","duration":"","spotId":"","Items":["-SADNE-","-SLOWSS-","OTHR","OTHR","XT_OffAnimals"]},</v>
      </c>
      <c r="AA338" s="5" t="s">
        <v>5</v>
      </c>
      <c r="AB338" s="3" t="str">
        <f t="shared" si="33"/>
        <v>["-SADNE-","-SLOWSS-","OTHR","OTHR","XT_OffAnimals"]</v>
      </c>
      <c r="AC338" s="3">
        <f>_xlfn.XLOOKUP(A338,Album!A:A,Album!J:J)</f>
        <v>0</v>
      </c>
      <c r="AD338" s="3">
        <f>_xlfn.XLOOKUP(D338,Artists!A:A,Artists!B:B)</f>
        <v>0</v>
      </c>
      <c r="AE338" s="3">
        <f>_xlfn.XLOOKUP(D338,Artists!A:A,Artists!C:C)</f>
        <v>0</v>
      </c>
      <c r="AF338" s="3" t="str">
        <f t="shared" si="34"/>
        <v>OTHR</v>
      </c>
      <c r="AG338" s="3" t="str">
        <f t="shared" si="35"/>
        <v>OTHR</v>
      </c>
    </row>
    <row r="339" spans="24:33" x14ac:dyDescent="0.3">
      <c r="X339" s="3" t="str">
        <f t="shared" si="30"/>
        <v>-SADNE-</v>
      </c>
      <c r="Y339" s="3" t="str">
        <f t="shared" si="31"/>
        <v>-SLOWSS-</v>
      </c>
      <c r="Z339" s="4" t="str">
        <f t="shared" si="32"/>
        <v>{"couname":"","img":"0","pty":"","artist":"","genres":"","duration":"","spotId":"","Items":["-SADNE-","-SLOWSS-","OTHR","OTHR","XT_OffAnimals"]},</v>
      </c>
      <c r="AA339" s="5" t="s">
        <v>5</v>
      </c>
      <c r="AB339" s="3" t="str">
        <f t="shared" si="33"/>
        <v>["-SADNE-","-SLOWSS-","OTHR","OTHR","XT_OffAnimals"]</v>
      </c>
      <c r="AC339" s="3">
        <f>_xlfn.XLOOKUP(A339,Album!A:A,Album!J:J)</f>
        <v>0</v>
      </c>
      <c r="AD339" s="3">
        <f>_xlfn.XLOOKUP(D339,Artists!A:A,Artists!B:B)</f>
        <v>0</v>
      </c>
      <c r="AE339" s="3">
        <f>_xlfn.XLOOKUP(D339,Artists!A:A,Artists!C:C)</f>
        <v>0</v>
      </c>
      <c r="AF339" s="3" t="str">
        <f t="shared" si="34"/>
        <v>OTHR</v>
      </c>
      <c r="AG339" s="3" t="str">
        <f t="shared" si="35"/>
        <v>OTHR</v>
      </c>
    </row>
    <row r="340" spans="24:33" x14ac:dyDescent="0.3">
      <c r="X340" s="3" t="str">
        <f t="shared" si="30"/>
        <v>-SADNE-</v>
      </c>
      <c r="Y340" s="3" t="str">
        <f t="shared" si="31"/>
        <v>-SLOWSS-</v>
      </c>
      <c r="Z340" s="4" t="str">
        <f t="shared" si="32"/>
        <v>{"couname":"","img":"0","pty":"","artist":"","genres":"","duration":"","spotId":"","Items":["-SADNE-","-SLOWSS-","OTHR","OTHR","XT_OffAnimals"]},</v>
      </c>
      <c r="AA340" s="5" t="s">
        <v>5</v>
      </c>
      <c r="AB340" s="3" t="str">
        <f t="shared" si="33"/>
        <v>["-SADNE-","-SLOWSS-","OTHR","OTHR","XT_OffAnimals"]</v>
      </c>
      <c r="AC340" s="3">
        <f>_xlfn.XLOOKUP(A340,Album!A:A,Album!J:J)</f>
        <v>0</v>
      </c>
      <c r="AD340" s="3">
        <f>_xlfn.XLOOKUP(D340,Artists!A:A,Artists!B:B)</f>
        <v>0</v>
      </c>
      <c r="AE340" s="3">
        <f>_xlfn.XLOOKUP(D340,Artists!A:A,Artists!C:C)</f>
        <v>0</v>
      </c>
      <c r="AF340" s="3" t="str">
        <f t="shared" si="34"/>
        <v>OTHR</v>
      </c>
      <c r="AG340" s="3" t="str">
        <f t="shared" si="35"/>
        <v>OTHR</v>
      </c>
    </row>
    <row r="341" spans="24:33" x14ac:dyDescent="0.3">
      <c r="X341" s="3" t="str">
        <f t="shared" si="30"/>
        <v>-SADNE-</v>
      </c>
      <c r="Y341" s="3" t="str">
        <f t="shared" si="31"/>
        <v>-SLOWSS-</v>
      </c>
      <c r="Z341" s="4" t="str">
        <f t="shared" si="32"/>
        <v>{"couname":"","img":"0","pty":"","artist":"","genres":"","duration":"","spotId":"","Items":["-SADNE-","-SLOWSS-","OTHR","OTHR","XT_OffAnimals"]},</v>
      </c>
      <c r="AA341" s="5" t="s">
        <v>5</v>
      </c>
      <c r="AB341" s="3" t="str">
        <f t="shared" si="33"/>
        <v>["-SADNE-","-SLOWSS-","OTHR","OTHR","XT_OffAnimals"]</v>
      </c>
      <c r="AC341" s="3">
        <f>_xlfn.XLOOKUP(A341,Album!A:A,Album!J:J)</f>
        <v>0</v>
      </c>
      <c r="AD341" s="3">
        <f>_xlfn.XLOOKUP(D341,Artists!A:A,Artists!B:B)</f>
        <v>0</v>
      </c>
      <c r="AE341" s="3">
        <f>_xlfn.XLOOKUP(D341,Artists!A:A,Artists!C:C)</f>
        <v>0</v>
      </c>
      <c r="AF341" s="3" t="str">
        <f t="shared" si="34"/>
        <v>OTHR</v>
      </c>
      <c r="AG341" s="3" t="str">
        <f t="shared" si="35"/>
        <v>OTHR</v>
      </c>
    </row>
    <row r="342" spans="24:33" x14ac:dyDescent="0.3">
      <c r="X342" s="3" t="str">
        <f t="shared" si="30"/>
        <v>-SADNE-</v>
      </c>
      <c r="Y342" s="3" t="str">
        <f t="shared" si="31"/>
        <v>-SLOWSS-</v>
      </c>
      <c r="Z342" s="4" t="str">
        <f t="shared" si="32"/>
        <v>{"couname":"","img":"0","pty":"","artist":"","genres":"","duration":"","spotId":"","Items":["-SADNE-","-SLOWSS-","OTHR","OTHR","XT_OffAnimals"]},</v>
      </c>
      <c r="AA342" s="5" t="s">
        <v>5</v>
      </c>
      <c r="AB342" s="3" t="str">
        <f t="shared" si="33"/>
        <v>["-SADNE-","-SLOWSS-","OTHR","OTHR","XT_OffAnimals"]</v>
      </c>
      <c r="AC342" s="3">
        <f>_xlfn.XLOOKUP(A342,Album!A:A,Album!J:J)</f>
        <v>0</v>
      </c>
      <c r="AD342" s="3">
        <f>_xlfn.XLOOKUP(D342,Artists!A:A,Artists!B:B)</f>
        <v>0</v>
      </c>
      <c r="AE342" s="3">
        <f>_xlfn.XLOOKUP(D342,Artists!A:A,Artists!C:C)</f>
        <v>0</v>
      </c>
      <c r="AF342" s="3" t="str">
        <f t="shared" si="34"/>
        <v>OTHR</v>
      </c>
      <c r="AG342" s="3" t="str">
        <f t="shared" si="35"/>
        <v>OTHR</v>
      </c>
    </row>
    <row r="343" spans="24:33" x14ac:dyDescent="0.3">
      <c r="X343" s="3" t="str">
        <f t="shared" si="30"/>
        <v>-SADNE-</v>
      </c>
      <c r="Y343" s="3" t="str">
        <f t="shared" si="31"/>
        <v>-SLOWSS-</v>
      </c>
      <c r="Z343" s="4" t="str">
        <f t="shared" si="32"/>
        <v>{"couname":"","img":"0","pty":"","artist":"","genres":"","duration":"","spotId":"","Items":["-SADNE-","-SLOWSS-","OTHR","OTHR","XT_OffAnimals"]},</v>
      </c>
      <c r="AA343" s="5" t="s">
        <v>5</v>
      </c>
      <c r="AB343" s="3" t="str">
        <f t="shared" si="33"/>
        <v>["-SADNE-","-SLOWSS-","OTHR","OTHR","XT_OffAnimals"]</v>
      </c>
      <c r="AC343" s="3">
        <f>_xlfn.XLOOKUP(A343,Album!A:A,Album!J:J)</f>
        <v>0</v>
      </c>
      <c r="AD343" s="3">
        <f>_xlfn.XLOOKUP(D343,Artists!A:A,Artists!B:B)</f>
        <v>0</v>
      </c>
      <c r="AE343" s="3">
        <f>_xlfn.XLOOKUP(D343,Artists!A:A,Artists!C:C)</f>
        <v>0</v>
      </c>
      <c r="AF343" s="3" t="str">
        <f t="shared" si="34"/>
        <v>OTHR</v>
      </c>
      <c r="AG343" s="3" t="str">
        <f t="shared" si="35"/>
        <v>OTHR</v>
      </c>
    </row>
    <row r="344" spans="24:33" x14ac:dyDescent="0.3">
      <c r="X344" s="3" t="str">
        <f t="shared" si="30"/>
        <v>-SADNE-</v>
      </c>
      <c r="Y344" s="3" t="str">
        <f t="shared" si="31"/>
        <v>-SLOWSS-</v>
      </c>
      <c r="Z344" s="4" t="str">
        <f t="shared" si="32"/>
        <v>{"couname":"","img":"0","pty":"","artist":"","genres":"","duration":"","spotId":"","Items":["-SADNE-","-SLOWSS-","OTHR","OTHR","XT_OffAnimals"]},</v>
      </c>
      <c r="AA344" s="5" t="s">
        <v>5</v>
      </c>
      <c r="AB344" s="3" t="str">
        <f t="shared" si="33"/>
        <v>["-SADNE-","-SLOWSS-","OTHR","OTHR","XT_OffAnimals"]</v>
      </c>
      <c r="AC344" s="3">
        <f>_xlfn.XLOOKUP(A344,Album!A:A,Album!J:J)</f>
        <v>0</v>
      </c>
      <c r="AD344" s="3">
        <f>_xlfn.XLOOKUP(D344,Artists!A:A,Artists!B:B)</f>
        <v>0</v>
      </c>
      <c r="AE344" s="3">
        <f>_xlfn.XLOOKUP(D344,Artists!A:A,Artists!C:C)</f>
        <v>0</v>
      </c>
      <c r="AF344" s="3" t="str">
        <f t="shared" si="34"/>
        <v>OTHR</v>
      </c>
      <c r="AG344" s="3" t="str">
        <f t="shared" si="35"/>
        <v>OTHR</v>
      </c>
    </row>
    <row r="345" spans="24:33" x14ac:dyDescent="0.3">
      <c r="X345" s="3" t="str">
        <f t="shared" si="30"/>
        <v>-SADNE-</v>
      </c>
      <c r="Y345" s="3" t="str">
        <f t="shared" si="31"/>
        <v>-SLOWSS-</v>
      </c>
      <c r="Z345" s="4" t="str">
        <f t="shared" si="32"/>
        <v>{"couname":"","img":"0","pty":"","artist":"","genres":"","duration":"","spotId":"","Items":["-SADNE-","-SLOWSS-","OTHR","OTHR","XT_OffAnimals"]},</v>
      </c>
      <c r="AA345" s="5" t="s">
        <v>5</v>
      </c>
      <c r="AB345" s="3" t="str">
        <f t="shared" si="33"/>
        <v>["-SADNE-","-SLOWSS-","OTHR","OTHR","XT_OffAnimals"]</v>
      </c>
      <c r="AC345" s="3">
        <f>_xlfn.XLOOKUP(A345,Album!A:A,Album!J:J)</f>
        <v>0</v>
      </c>
      <c r="AD345" s="3">
        <f>_xlfn.XLOOKUP(D345,Artists!A:A,Artists!B:B)</f>
        <v>0</v>
      </c>
      <c r="AE345" s="3">
        <f>_xlfn.XLOOKUP(D345,Artists!A:A,Artists!C:C)</f>
        <v>0</v>
      </c>
      <c r="AF345" s="3" t="str">
        <f t="shared" si="34"/>
        <v>OTHR</v>
      </c>
      <c r="AG345" s="3" t="str">
        <f t="shared" si="35"/>
        <v>OTHR</v>
      </c>
    </row>
    <row r="346" spans="24:33" x14ac:dyDescent="0.3">
      <c r="X346" s="3" t="str">
        <f t="shared" si="30"/>
        <v>-SADNE-</v>
      </c>
      <c r="Y346" s="3" t="str">
        <f t="shared" si="31"/>
        <v>-SLOWSS-</v>
      </c>
      <c r="Z346" s="4" t="str">
        <f t="shared" si="32"/>
        <v>{"couname":"","img":"0","pty":"","artist":"","genres":"","duration":"","spotId":"","Items":["-SADNE-","-SLOWSS-","OTHR","OTHR","XT_OffAnimals"]},</v>
      </c>
      <c r="AA346" s="5" t="s">
        <v>5</v>
      </c>
      <c r="AB346" s="3" t="str">
        <f t="shared" si="33"/>
        <v>["-SADNE-","-SLOWSS-","OTHR","OTHR","XT_OffAnimals"]</v>
      </c>
      <c r="AC346" s="3">
        <f>_xlfn.XLOOKUP(A346,Album!A:A,Album!J:J)</f>
        <v>0</v>
      </c>
      <c r="AD346" s="3">
        <f>_xlfn.XLOOKUP(D346,Artists!A:A,Artists!B:B)</f>
        <v>0</v>
      </c>
      <c r="AE346" s="3">
        <f>_xlfn.XLOOKUP(D346,Artists!A:A,Artists!C:C)</f>
        <v>0</v>
      </c>
      <c r="AF346" s="3" t="str">
        <f t="shared" si="34"/>
        <v>OTHR</v>
      </c>
      <c r="AG346" s="3" t="str">
        <f t="shared" si="35"/>
        <v>OTHR</v>
      </c>
    </row>
    <row r="347" spans="24:33" x14ac:dyDescent="0.3">
      <c r="X347" s="3" t="str">
        <f t="shared" si="30"/>
        <v>-SADNE-</v>
      </c>
      <c r="Y347" s="3" t="str">
        <f t="shared" si="31"/>
        <v>-SLOWSS-</v>
      </c>
      <c r="Z347" s="4" t="str">
        <f t="shared" si="32"/>
        <v>{"couname":"","img":"0","pty":"","artist":"","genres":"","duration":"","spotId":"","Items":["-SADNE-","-SLOWSS-","OTHR","OTHR","XT_OffAnimals"]},</v>
      </c>
      <c r="AA347" s="5" t="s">
        <v>5</v>
      </c>
      <c r="AB347" s="3" t="str">
        <f t="shared" si="33"/>
        <v>["-SADNE-","-SLOWSS-","OTHR","OTHR","XT_OffAnimals"]</v>
      </c>
      <c r="AC347" s="3">
        <f>_xlfn.XLOOKUP(A347,Album!A:A,Album!J:J)</f>
        <v>0</v>
      </c>
      <c r="AD347" s="3">
        <f>_xlfn.XLOOKUP(D347,Artists!A:A,Artists!B:B)</f>
        <v>0</v>
      </c>
      <c r="AE347" s="3">
        <f>_xlfn.XLOOKUP(D347,Artists!A:A,Artists!C:C)</f>
        <v>0</v>
      </c>
      <c r="AF347" s="3" t="str">
        <f t="shared" si="34"/>
        <v>OTHR</v>
      </c>
      <c r="AG347" s="3" t="str">
        <f t="shared" si="35"/>
        <v>OTHR</v>
      </c>
    </row>
    <row r="348" spans="24:33" x14ac:dyDescent="0.3">
      <c r="X348" s="3" t="str">
        <f t="shared" si="30"/>
        <v>-SADNE-</v>
      </c>
      <c r="Y348" s="3" t="str">
        <f t="shared" si="31"/>
        <v>-SLOWSS-</v>
      </c>
      <c r="Z348" s="4" t="str">
        <f t="shared" si="32"/>
        <v>{"couname":"","img":"0","pty":"","artist":"","genres":"","duration":"","spotId":"","Items":["-SADNE-","-SLOWSS-","OTHR","OTHR","XT_OffAnimals"]},</v>
      </c>
      <c r="AA348" s="5" t="s">
        <v>5</v>
      </c>
      <c r="AB348" s="3" t="str">
        <f t="shared" si="33"/>
        <v>["-SADNE-","-SLOWSS-","OTHR","OTHR","XT_OffAnimals"]</v>
      </c>
      <c r="AC348" s="3">
        <f>_xlfn.XLOOKUP(A348,Album!A:A,Album!J:J)</f>
        <v>0</v>
      </c>
      <c r="AD348" s="3">
        <f>_xlfn.XLOOKUP(D348,Artists!A:A,Artists!B:B)</f>
        <v>0</v>
      </c>
      <c r="AE348" s="3">
        <f>_xlfn.XLOOKUP(D348,Artists!A:A,Artists!C:C)</f>
        <v>0</v>
      </c>
      <c r="AF348" s="3" t="str">
        <f t="shared" si="34"/>
        <v>OTHR</v>
      </c>
      <c r="AG348" s="3" t="str">
        <f t="shared" si="35"/>
        <v>OTHR</v>
      </c>
    </row>
    <row r="349" spans="24:33" x14ac:dyDescent="0.3">
      <c r="X349" s="3" t="str">
        <f t="shared" si="30"/>
        <v>-SADNE-</v>
      </c>
      <c r="Y349" s="3" t="str">
        <f t="shared" si="31"/>
        <v>-SLOWSS-</v>
      </c>
      <c r="Z349" s="4" t="str">
        <f t="shared" si="32"/>
        <v>{"couname":"","img":"0","pty":"","artist":"","genres":"","duration":"","spotId":"","Items":["-SADNE-","-SLOWSS-","OTHR","OTHR","XT_OffAnimals"]},</v>
      </c>
      <c r="AA349" s="5" t="s">
        <v>5</v>
      </c>
      <c r="AB349" s="3" t="str">
        <f t="shared" si="33"/>
        <v>["-SADNE-","-SLOWSS-","OTHR","OTHR","XT_OffAnimals"]</v>
      </c>
      <c r="AC349" s="3">
        <f>_xlfn.XLOOKUP(A349,Album!A:A,Album!J:J)</f>
        <v>0</v>
      </c>
      <c r="AD349" s="3">
        <f>_xlfn.XLOOKUP(D349,Artists!A:A,Artists!B:B)</f>
        <v>0</v>
      </c>
      <c r="AE349" s="3">
        <f>_xlfn.XLOOKUP(D349,Artists!A:A,Artists!C:C)</f>
        <v>0</v>
      </c>
      <c r="AF349" s="3" t="str">
        <f t="shared" si="34"/>
        <v>OTHR</v>
      </c>
      <c r="AG349" s="3" t="str">
        <f t="shared" si="35"/>
        <v>OTHR</v>
      </c>
    </row>
    <row r="350" spans="24:33" x14ac:dyDescent="0.3">
      <c r="X350" s="3" t="str">
        <f t="shared" si="30"/>
        <v>-SADNE-</v>
      </c>
      <c r="Y350" s="3" t="str">
        <f t="shared" si="31"/>
        <v>-SLOWSS-</v>
      </c>
      <c r="Z350" s="4" t="str">
        <f t="shared" si="32"/>
        <v>{"couname":"","img":"0","pty":"","artist":"","genres":"","duration":"","spotId":"","Items":["-SADNE-","-SLOWSS-","OTHR","OTHR","XT_OffAnimals"]},</v>
      </c>
      <c r="AA350" s="5" t="s">
        <v>5</v>
      </c>
      <c r="AB350" s="3" t="str">
        <f t="shared" si="33"/>
        <v>["-SADNE-","-SLOWSS-","OTHR","OTHR","XT_OffAnimals"]</v>
      </c>
      <c r="AC350" s="3">
        <f>_xlfn.XLOOKUP(A350,Album!A:A,Album!J:J)</f>
        <v>0</v>
      </c>
      <c r="AD350" s="3">
        <f>_xlfn.XLOOKUP(D350,Artists!A:A,Artists!B:B)</f>
        <v>0</v>
      </c>
      <c r="AE350" s="3">
        <f>_xlfn.XLOOKUP(D350,Artists!A:A,Artists!C:C)</f>
        <v>0</v>
      </c>
      <c r="AF350" s="3" t="str">
        <f t="shared" si="34"/>
        <v>OTHR</v>
      </c>
      <c r="AG350" s="3" t="str">
        <f t="shared" si="35"/>
        <v>OTHR</v>
      </c>
    </row>
    <row r="351" spans="24:33" x14ac:dyDescent="0.3">
      <c r="X351" s="3" t="str">
        <f t="shared" si="30"/>
        <v>-SADNE-</v>
      </c>
      <c r="Y351" s="3" t="str">
        <f t="shared" si="31"/>
        <v>-SLOWSS-</v>
      </c>
      <c r="Z351" s="4" t="str">
        <f t="shared" si="32"/>
        <v>{"couname":"","img":"0","pty":"","artist":"","genres":"","duration":"","spotId":"","Items":["-SADNE-","-SLOWSS-","OTHR","OTHR","XT_OffAnimals"]},</v>
      </c>
      <c r="AA351" s="5" t="s">
        <v>5</v>
      </c>
      <c r="AB351" s="3" t="str">
        <f t="shared" si="33"/>
        <v>["-SADNE-","-SLOWSS-","OTHR","OTHR","XT_OffAnimals"]</v>
      </c>
      <c r="AC351" s="3">
        <f>_xlfn.XLOOKUP(A351,Album!A:A,Album!J:J)</f>
        <v>0</v>
      </c>
      <c r="AD351" s="3">
        <f>_xlfn.XLOOKUP(D351,Artists!A:A,Artists!B:B)</f>
        <v>0</v>
      </c>
      <c r="AE351" s="3">
        <f>_xlfn.XLOOKUP(D351,Artists!A:A,Artists!C:C)</f>
        <v>0</v>
      </c>
      <c r="AF351" s="3" t="str">
        <f t="shared" si="34"/>
        <v>OTHR</v>
      </c>
      <c r="AG351" s="3" t="str">
        <f t="shared" si="35"/>
        <v>OTHR</v>
      </c>
    </row>
    <row r="352" spans="24:33" x14ac:dyDescent="0.3">
      <c r="X352" s="3" t="str">
        <f t="shared" si="30"/>
        <v>-SADNE-</v>
      </c>
      <c r="Y352" s="3" t="str">
        <f t="shared" si="31"/>
        <v>-SLOWSS-</v>
      </c>
      <c r="Z352" s="4" t="str">
        <f t="shared" si="32"/>
        <v>{"couname":"","img":"0","pty":"","artist":"","genres":"","duration":"","spotId":"","Items":["-SADNE-","-SLOWSS-","OTHR","OTHR","XT_OffAnimals"]},</v>
      </c>
      <c r="AA352" s="5" t="s">
        <v>5</v>
      </c>
      <c r="AB352" s="3" t="str">
        <f t="shared" si="33"/>
        <v>["-SADNE-","-SLOWSS-","OTHR","OTHR","XT_OffAnimals"]</v>
      </c>
      <c r="AC352" s="3">
        <f>_xlfn.XLOOKUP(A352,Album!A:A,Album!J:J)</f>
        <v>0</v>
      </c>
      <c r="AD352" s="3">
        <f>_xlfn.XLOOKUP(D352,Artists!A:A,Artists!B:B)</f>
        <v>0</v>
      </c>
      <c r="AE352" s="3">
        <f>_xlfn.XLOOKUP(D352,Artists!A:A,Artists!C:C)</f>
        <v>0</v>
      </c>
      <c r="AF352" s="3" t="str">
        <f t="shared" si="34"/>
        <v>OTHR</v>
      </c>
      <c r="AG352" s="3" t="str">
        <f t="shared" si="35"/>
        <v>OTHR</v>
      </c>
    </row>
    <row r="353" spans="24:33" x14ac:dyDescent="0.3">
      <c r="X353" s="3" t="str">
        <f t="shared" si="30"/>
        <v>-SADNE-</v>
      </c>
      <c r="Y353" s="3" t="str">
        <f t="shared" si="31"/>
        <v>-SLOWSS-</v>
      </c>
      <c r="Z353" s="4" t="str">
        <f t="shared" si="32"/>
        <v>{"couname":"","img":"0","pty":"","artist":"","genres":"","duration":"","spotId":"","Items":["-SADNE-","-SLOWSS-","OTHR","OTHR","XT_OffAnimals"]},</v>
      </c>
      <c r="AA353" s="5" t="s">
        <v>5</v>
      </c>
      <c r="AB353" s="3" t="str">
        <f t="shared" si="33"/>
        <v>["-SADNE-","-SLOWSS-","OTHR","OTHR","XT_OffAnimals"]</v>
      </c>
      <c r="AC353" s="3">
        <f>_xlfn.XLOOKUP(A353,Album!A:A,Album!J:J)</f>
        <v>0</v>
      </c>
      <c r="AD353" s="3">
        <f>_xlfn.XLOOKUP(D353,Artists!A:A,Artists!B:B)</f>
        <v>0</v>
      </c>
      <c r="AE353" s="3">
        <f>_xlfn.XLOOKUP(D353,Artists!A:A,Artists!C:C)</f>
        <v>0</v>
      </c>
      <c r="AF353" s="3" t="str">
        <f t="shared" si="34"/>
        <v>OTHR</v>
      </c>
      <c r="AG353" s="3" t="str">
        <f t="shared" si="35"/>
        <v>OTHR</v>
      </c>
    </row>
    <row r="354" spans="24:33" x14ac:dyDescent="0.3">
      <c r="X354" s="3" t="str">
        <f t="shared" si="30"/>
        <v>-SADNE-</v>
      </c>
      <c r="Y354" s="3" t="str">
        <f t="shared" si="31"/>
        <v>-SLOWSS-</v>
      </c>
      <c r="Z354" s="4" t="str">
        <f t="shared" si="32"/>
        <v>{"couname":"","img":"0","pty":"","artist":"","genres":"","duration":"","spotId":"","Items":["-SADNE-","-SLOWSS-","OTHR","OTHR","XT_OffAnimals"]},</v>
      </c>
      <c r="AA354" s="5" t="s">
        <v>5</v>
      </c>
      <c r="AB354" s="3" t="str">
        <f t="shared" si="33"/>
        <v>["-SADNE-","-SLOWSS-","OTHR","OTHR","XT_OffAnimals"]</v>
      </c>
      <c r="AC354" s="3">
        <f>_xlfn.XLOOKUP(A354,Album!A:A,Album!J:J)</f>
        <v>0</v>
      </c>
      <c r="AD354" s="3">
        <f>_xlfn.XLOOKUP(D354,Artists!A:A,Artists!B:B)</f>
        <v>0</v>
      </c>
      <c r="AE354" s="3">
        <f>_xlfn.XLOOKUP(D354,Artists!A:A,Artists!C:C)</f>
        <v>0</v>
      </c>
      <c r="AF354" s="3" t="str">
        <f t="shared" si="34"/>
        <v>OTHR</v>
      </c>
      <c r="AG354" s="3" t="str">
        <f t="shared" si="35"/>
        <v>OTHR</v>
      </c>
    </row>
    <row r="355" spans="24:33" x14ac:dyDescent="0.3">
      <c r="X355" s="3" t="str">
        <f t="shared" si="30"/>
        <v>-SADNE-</v>
      </c>
      <c r="Y355" s="3" t="str">
        <f t="shared" si="31"/>
        <v>-SLOWSS-</v>
      </c>
      <c r="Z355" s="4" t="str">
        <f t="shared" si="32"/>
        <v>{"couname":"","img":"0","pty":"","artist":"","genres":"","duration":"","spotId":"","Items":["-SADNE-","-SLOWSS-","OTHR","OTHR","XT_OffAnimals"]},</v>
      </c>
      <c r="AA355" s="5" t="s">
        <v>5</v>
      </c>
      <c r="AB355" s="3" t="str">
        <f t="shared" si="33"/>
        <v>["-SADNE-","-SLOWSS-","OTHR","OTHR","XT_OffAnimals"]</v>
      </c>
      <c r="AC355" s="3">
        <f>_xlfn.XLOOKUP(A355,Album!A:A,Album!J:J)</f>
        <v>0</v>
      </c>
      <c r="AD355" s="3">
        <f>_xlfn.XLOOKUP(D355,Artists!A:A,Artists!B:B)</f>
        <v>0</v>
      </c>
      <c r="AE355" s="3">
        <f>_xlfn.XLOOKUP(D355,Artists!A:A,Artists!C:C)</f>
        <v>0</v>
      </c>
      <c r="AF355" s="3" t="str">
        <f t="shared" si="34"/>
        <v>OTHR</v>
      </c>
      <c r="AG355" s="3" t="str">
        <f t="shared" si="35"/>
        <v>OTHR</v>
      </c>
    </row>
    <row r="356" spans="24:33" x14ac:dyDescent="0.3">
      <c r="X356" s="3" t="str">
        <f t="shared" si="30"/>
        <v>-SADNE-</v>
      </c>
      <c r="Y356" s="3" t="str">
        <f t="shared" si="31"/>
        <v>-SLOWSS-</v>
      </c>
      <c r="Z356" s="4" t="str">
        <f t="shared" si="32"/>
        <v>{"couname":"","img":"0","pty":"","artist":"","genres":"","duration":"","spotId":"","Items":["-SADNE-","-SLOWSS-","OTHR","OTHR","XT_OffAnimals"]},</v>
      </c>
      <c r="AA356" s="5" t="s">
        <v>5</v>
      </c>
      <c r="AB356" s="3" t="str">
        <f t="shared" si="33"/>
        <v>["-SADNE-","-SLOWSS-","OTHR","OTHR","XT_OffAnimals"]</v>
      </c>
      <c r="AC356" s="3">
        <f>_xlfn.XLOOKUP(A356,Album!A:A,Album!J:J)</f>
        <v>0</v>
      </c>
      <c r="AD356" s="3">
        <f>_xlfn.XLOOKUP(D356,Artists!A:A,Artists!B:B)</f>
        <v>0</v>
      </c>
      <c r="AE356" s="3">
        <f>_xlfn.XLOOKUP(D356,Artists!A:A,Artists!C:C)</f>
        <v>0</v>
      </c>
      <c r="AF356" s="3" t="str">
        <f t="shared" si="34"/>
        <v>OTHR</v>
      </c>
      <c r="AG356" s="3" t="str">
        <f t="shared" si="35"/>
        <v>OTHR</v>
      </c>
    </row>
    <row r="357" spans="24:33" x14ac:dyDescent="0.3">
      <c r="X357" s="3" t="str">
        <f t="shared" si="30"/>
        <v>-SADNE-</v>
      </c>
      <c r="Y357" s="3" t="str">
        <f t="shared" si="31"/>
        <v>-SLOWSS-</v>
      </c>
      <c r="Z357" s="4" t="str">
        <f t="shared" si="32"/>
        <v>{"couname":"","img":"0","pty":"","artist":"","genres":"","duration":"","spotId":"","Items":["-SADNE-","-SLOWSS-","OTHR","OTHR","XT_OffAnimals"]},</v>
      </c>
      <c r="AA357" s="5" t="s">
        <v>5</v>
      </c>
      <c r="AB357" s="3" t="str">
        <f t="shared" si="33"/>
        <v>["-SADNE-","-SLOWSS-","OTHR","OTHR","XT_OffAnimals"]</v>
      </c>
      <c r="AC357" s="3">
        <f>_xlfn.XLOOKUP(A357,Album!A:A,Album!J:J)</f>
        <v>0</v>
      </c>
      <c r="AD357" s="3">
        <f>_xlfn.XLOOKUP(D357,Artists!A:A,Artists!B:B)</f>
        <v>0</v>
      </c>
      <c r="AE357" s="3">
        <f>_xlfn.XLOOKUP(D357,Artists!A:A,Artists!C:C)</f>
        <v>0</v>
      </c>
      <c r="AF357" s="3" t="str">
        <f t="shared" si="34"/>
        <v>OTHR</v>
      </c>
      <c r="AG357" s="3" t="str">
        <f t="shared" si="35"/>
        <v>OTHR</v>
      </c>
    </row>
    <row r="358" spans="24:33" x14ac:dyDescent="0.3">
      <c r="X358" s="3" t="str">
        <f t="shared" si="30"/>
        <v>-SADNE-</v>
      </c>
      <c r="Y358" s="3" t="str">
        <f t="shared" si="31"/>
        <v>-SLOWSS-</v>
      </c>
      <c r="Z358" s="4" t="str">
        <f t="shared" si="32"/>
        <v>{"couname":"","img":"0","pty":"","artist":"","genres":"","duration":"","spotId":"","Items":["-SADNE-","-SLOWSS-","OTHR","OTHR","XT_OffAnimals"]},</v>
      </c>
      <c r="AA358" s="5" t="s">
        <v>5</v>
      </c>
      <c r="AB358" s="3" t="str">
        <f t="shared" si="33"/>
        <v>["-SADNE-","-SLOWSS-","OTHR","OTHR","XT_OffAnimals"]</v>
      </c>
      <c r="AC358" s="3">
        <f>_xlfn.XLOOKUP(A358,Album!A:A,Album!J:J)</f>
        <v>0</v>
      </c>
      <c r="AD358" s="3">
        <f>_xlfn.XLOOKUP(D358,Artists!A:A,Artists!B:B)</f>
        <v>0</v>
      </c>
      <c r="AE358" s="3">
        <f>_xlfn.XLOOKUP(D358,Artists!A:A,Artists!C:C)</f>
        <v>0</v>
      </c>
      <c r="AF358" s="3" t="str">
        <f t="shared" si="34"/>
        <v>OTHR</v>
      </c>
      <c r="AG358" s="3" t="str">
        <f t="shared" si="35"/>
        <v>OTHR</v>
      </c>
    </row>
    <row r="359" spans="24:33" x14ac:dyDescent="0.3">
      <c r="X359" s="3" t="str">
        <f t="shared" si="30"/>
        <v>-SADNE-</v>
      </c>
      <c r="Y359" s="3" t="str">
        <f t="shared" si="31"/>
        <v>-SLOWSS-</v>
      </c>
      <c r="Z359" s="4" t="str">
        <f t="shared" si="32"/>
        <v>{"couname":"","img":"0","pty":"","artist":"","genres":"","duration":"","spotId":"","Items":["-SADNE-","-SLOWSS-","OTHR","OTHR","XT_OffAnimals"]},</v>
      </c>
      <c r="AA359" s="5" t="s">
        <v>5</v>
      </c>
      <c r="AB359" s="3" t="str">
        <f t="shared" si="33"/>
        <v>["-SADNE-","-SLOWSS-","OTHR","OTHR","XT_OffAnimals"]</v>
      </c>
      <c r="AC359" s="3">
        <f>_xlfn.XLOOKUP(A359,Album!A:A,Album!J:J)</f>
        <v>0</v>
      </c>
      <c r="AD359" s="3">
        <f>_xlfn.XLOOKUP(D359,Artists!A:A,Artists!B:B)</f>
        <v>0</v>
      </c>
      <c r="AE359" s="3">
        <f>_xlfn.XLOOKUP(D359,Artists!A:A,Artists!C:C)</f>
        <v>0</v>
      </c>
      <c r="AF359" s="3" t="str">
        <f t="shared" si="34"/>
        <v>OTHR</v>
      </c>
      <c r="AG359" s="3" t="str">
        <f t="shared" si="35"/>
        <v>OTHR</v>
      </c>
    </row>
    <row r="360" spans="24:33" x14ac:dyDescent="0.3">
      <c r="X360" s="3" t="str">
        <f t="shared" si="30"/>
        <v>-SADNE-</v>
      </c>
      <c r="Y360" s="3" t="str">
        <f t="shared" si="31"/>
        <v>-SLOWSS-</v>
      </c>
      <c r="Z360" s="4" t="str">
        <f t="shared" si="32"/>
        <v>{"couname":"","img":"0","pty":"","artist":"","genres":"","duration":"","spotId":"","Items":["-SADNE-","-SLOWSS-","OTHR","OTHR","XT_OffAnimals"]},</v>
      </c>
      <c r="AA360" s="5" t="s">
        <v>5</v>
      </c>
      <c r="AB360" s="3" t="str">
        <f t="shared" si="33"/>
        <v>["-SADNE-","-SLOWSS-","OTHR","OTHR","XT_OffAnimals"]</v>
      </c>
      <c r="AC360" s="3">
        <f>_xlfn.XLOOKUP(A360,Album!A:A,Album!J:J)</f>
        <v>0</v>
      </c>
      <c r="AD360" s="3">
        <f>_xlfn.XLOOKUP(D360,Artists!A:A,Artists!B:B)</f>
        <v>0</v>
      </c>
      <c r="AE360" s="3">
        <f>_xlfn.XLOOKUP(D360,Artists!A:A,Artists!C:C)</f>
        <v>0</v>
      </c>
      <c r="AF360" s="3" t="str">
        <f t="shared" si="34"/>
        <v>OTHR</v>
      </c>
      <c r="AG360" s="3" t="str">
        <f t="shared" si="35"/>
        <v>OTHR</v>
      </c>
    </row>
    <row r="361" spans="24:33" x14ac:dyDescent="0.3">
      <c r="X361" s="3" t="str">
        <f t="shared" si="30"/>
        <v>-SADNE-</v>
      </c>
      <c r="Y361" s="3" t="str">
        <f t="shared" si="31"/>
        <v>-SLOWSS-</v>
      </c>
      <c r="Z361" s="4" t="str">
        <f t="shared" si="32"/>
        <v>{"couname":"","img":"0","pty":"","artist":"","genres":"","duration":"","spotId":"","Items":["-SADNE-","-SLOWSS-","OTHR","OTHR","XT_OffAnimals"]},</v>
      </c>
      <c r="AA361" s="5" t="s">
        <v>5</v>
      </c>
      <c r="AB361" s="3" t="str">
        <f t="shared" si="33"/>
        <v>["-SADNE-","-SLOWSS-","OTHR","OTHR","XT_OffAnimals"]</v>
      </c>
      <c r="AC361" s="3">
        <f>_xlfn.XLOOKUP(A361,Album!A:A,Album!J:J)</f>
        <v>0</v>
      </c>
      <c r="AD361" s="3">
        <f>_xlfn.XLOOKUP(D361,Artists!A:A,Artists!B:B)</f>
        <v>0</v>
      </c>
      <c r="AE361" s="3">
        <f>_xlfn.XLOOKUP(D361,Artists!A:A,Artists!C:C)</f>
        <v>0</v>
      </c>
      <c r="AF361" s="3" t="str">
        <f t="shared" si="34"/>
        <v>OTHR</v>
      </c>
      <c r="AG361" s="3" t="str">
        <f t="shared" si="35"/>
        <v>OTHR</v>
      </c>
    </row>
    <row r="362" spans="24:33" x14ac:dyDescent="0.3">
      <c r="X362" s="3" t="str">
        <f t="shared" si="30"/>
        <v>-SADNE-</v>
      </c>
      <c r="Y362" s="3" t="str">
        <f t="shared" si="31"/>
        <v>-SLOWSS-</v>
      </c>
      <c r="Z362" s="4" t="str">
        <f t="shared" si="32"/>
        <v>{"couname":"","img":"0","pty":"","artist":"","genres":"","duration":"","spotId":"","Items":["-SADNE-","-SLOWSS-","OTHR","OTHR","XT_OffAnimals"]},</v>
      </c>
      <c r="AA362" s="5" t="s">
        <v>5</v>
      </c>
      <c r="AB362" s="3" t="str">
        <f t="shared" si="33"/>
        <v>["-SADNE-","-SLOWSS-","OTHR","OTHR","XT_OffAnimals"]</v>
      </c>
      <c r="AC362" s="3">
        <f>_xlfn.XLOOKUP(A362,Album!A:A,Album!J:J)</f>
        <v>0</v>
      </c>
      <c r="AD362" s="3">
        <f>_xlfn.XLOOKUP(D362,Artists!A:A,Artists!B:B)</f>
        <v>0</v>
      </c>
      <c r="AE362" s="3">
        <f>_xlfn.XLOOKUP(D362,Artists!A:A,Artists!C:C)</f>
        <v>0</v>
      </c>
      <c r="AF362" s="3" t="str">
        <f t="shared" si="34"/>
        <v>OTHR</v>
      </c>
      <c r="AG362" s="3" t="str">
        <f t="shared" si="35"/>
        <v>OTHR</v>
      </c>
    </row>
    <row r="363" spans="24:33" x14ac:dyDescent="0.3">
      <c r="X363" s="3" t="str">
        <f t="shared" si="30"/>
        <v>-SADNE-</v>
      </c>
      <c r="Y363" s="3" t="str">
        <f t="shared" si="31"/>
        <v>-SLOWSS-</v>
      </c>
      <c r="Z363" s="4" t="str">
        <f t="shared" si="32"/>
        <v>{"couname":"","img":"0","pty":"","artist":"","genres":"","duration":"","spotId":"","Items":["-SADNE-","-SLOWSS-","OTHR","OTHR","XT_OffAnimals"]},</v>
      </c>
      <c r="AA363" s="5" t="s">
        <v>5</v>
      </c>
      <c r="AB363" s="3" t="str">
        <f t="shared" si="33"/>
        <v>["-SADNE-","-SLOWSS-","OTHR","OTHR","XT_OffAnimals"]</v>
      </c>
      <c r="AC363" s="3">
        <f>_xlfn.XLOOKUP(A363,Album!A:A,Album!J:J)</f>
        <v>0</v>
      </c>
      <c r="AD363" s="3">
        <f>_xlfn.XLOOKUP(D363,Artists!A:A,Artists!B:B)</f>
        <v>0</v>
      </c>
      <c r="AE363" s="3">
        <f>_xlfn.XLOOKUP(D363,Artists!A:A,Artists!C:C)</f>
        <v>0</v>
      </c>
      <c r="AF363" s="3" t="str">
        <f t="shared" si="34"/>
        <v>OTHR</v>
      </c>
      <c r="AG363" s="3" t="str">
        <f t="shared" si="35"/>
        <v>OTHR</v>
      </c>
    </row>
    <row r="364" spans="24:33" x14ac:dyDescent="0.3">
      <c r="X364" s="3" t="str">
        <f t="shared" si="30"/>
        <v>-SADNE-</v>
      </c>
      <c r="Y364" s="3" t="str">
        <f t="shared" si="31"/>
        <v>-SLOWSS-</v>
      </c>
      <c r="Z364" s="4" t="str">
        <f t="shared" si="32"/>
        <v>{"couname":"","img":"0","pty":"","artist":"","genres":"","duration":"","spotId":"","Items":["-SADNE-","-SLOWSS-","OTHR","OTHR","XT_OffAnimals"]},</v>
      </c>
      <c r="AA364" s="5" t="s">
        <v>5</v>
      </c>
      <c r="AB364" s="3" t="str">
        <f t="shared" si="33"/>
        <v>["-SADNE-","-SLOWSS-","OTHR","OTHR","XT_OffAnimals"]</v>
      </c>
      <c r="AC364" s="3">
        <f>_xlfn.XLOOKUP(A364,Album!A:A,Album!J:J)</f>
        <v>0</v>
      </c>
      <c r="AD364" s="3">
        <f>_xlfn.XLOOKUP(D364,Artists!A:A,Artists!B:B)</f>
        <v>0</v>
      </c>
      <c r="AE364" s="3">
        <f>_xlfn.XLOOKUP(D364,Artists!A:A,Artists!C:C)</f>
        <v>0</v>
      </c>
      <c r="AF364" s="3" t="str">
        <f t="shared" si="34"/>
        <v>OTHR</v>
      </c>
      <c r="AG364" s="3" t="str">
        <f t="shared" si="35"/>
        <v>OTHR</v>
      </c>
    </row>
    <row r="365" spans="24:33" x14ac:dyDescent="0.3">
      <c r="X365" s="3" t="str">
        <f t="shared" si="30"/>
        <v>-SADNE-</v>
      </c>
      <c r="Y365" s="3" t="str">
        <f t="shared" si="31"/>
        <v>-SLOWSS-</v>
      </c>
      <c r="Z365" s="4" t="str">
        <f t="shared" si="32"/>
        <v>{"couname":"","img":"0","pty":"","artist":"","genres":"","duration":"","spotId":"","Items":["-SADNE-","-SLOWSS-","OTHR","OTHR","XT_OffAnimals"]},</v>
      </c>
      <c r="AA365" s="5" t="s">
        <v>5</v>
      </c>
      <c r="AB365" s="3" t="str">
        <f t="shared" si="33"/>
        <v>["-SADNE-","-SLOWSS-","OTHR","OTHR","XT_OffAnimals"]</v>
      </c>
      <c r="AC365" s="3">
        <f>_xlfn.XLOOKUP(A365,Album!A:A,Album!J:J)</f>
        <v>0</v>
      </c>
      <c r="AD365" s="3">
        <f>_xlfn.XLOOKUP(D365,Artists!A:A,Artists!B:B)</f>
        <v>0</v>
      </c>
      <c r="AE365" s="3">
        <f>_xlfn.XLOOKUP(D365,Artists!A:A,Artists!C:C)</f>
        <v>0</v>
      </c>
      <c r="AF365" s="3" t="str">
        <f t="shared" si="34"/>
        <v>OTHR</v>
      </c>
      <c r="AG365" s="3" t="str">
        <f t="shared" si="35"/>
        <v>OTHR</v>
      </c>
    </row>
    <row r="366" spans="24:33" x14ac:dyDescent="0.3">
      <c r="X366" s="3" t="str">
        <f t="shared" si="30"/>
        <v>-SADNE-</v>
      </c>
      <c r="Y366" s="3" t="str">
        <f t="shared" si="31"/>
        <v>-SLOWSS-</v>
      </c>
      <c r="Z366" s="4" t="str">
        <f t="shared" si="32"/>
        <v>{"couname":"","img":"0","pty":"","artist":"","genres":"","duration":"","spotId":"","Items":["-SADNE-","-SLOWSS-","OTHR","OTHR","XT_OffAnimals"]},</v>
      </c>
      <c r="AA366" s="5" t="s">
        <v>5</v>
      </c>
      <c r="AB366" s="3" t="str">
        <f t="shared" si="33"/>
        <v>["-SADNE-","-SLOWSS-","OTHR","OTHR","XT_OffAnimals"]</v>
      </c>
      <c r="AC366" s="3">
        <f>_xlfn.XLOOKUP(A366,Album!A:A,Album!J:J)</f>
        <v>0</v>
      </c>
      <c r="AD366" s="3">
        <f>_xlfn.XLOOKUP(D366,Artists!A:A,Artists!B:B)</f>
        <v>0</v>
      </c>
      <c r="AE366" s="3">
        <f>_xlfn.XLOOKUP(D366,Artists!A:A,Artists!C:C)</f>
        <v>0</v>
      </c>
      <c r="AF366" s="3" t="str">
        <f t="shared" si="34"/>
        <v>OTHR</v>
      </c>
      <c r="AG366" s="3" t="str">
        <f t="shared" si="35"/>
        <v>OTHR</v>
      </c>
    </row>
    <row r="367" spans="24:33" x14ac:dyDescent="0.3">
      <c r="X367" s="3" t="str">
        <f t="shared" si="30"/>
        <v>-SADNE-</v>
      </c>
      <c r="Y367" s="3" t="str">
        <f t="shared" si="31"/>
        <v>-SLOWSS-</v>
      </c>
      <c r="Z367" s="4" t="str">
        <f t="shared" si="32"/>
        <v>{"couname":"","img":"0","pty":"","artist":"","genres":"","duration":"","spotId":"","Items":["-SADNE-","-SLOWSS-","OTHR","OTHR","XT_OffAnimals"]},</v>
      </c>
      <c r="AA367" s="5" t="s">
        <v>5</v>
      </c>
      <c r="AB367" s="3" t="str">
        <f t="shared" si="33"/>
        <v>["-SADNE-","-SLOWSS-","OTHR","OTHR","XT_OffAnimals"]</v>
      </c>
      <c r="AC367" s="3">
        <f>_xlfn.XLOOKUP(A367,Album!A:A,Album!J:J)</f>
        <v>0</v>
      </c>
      <c r="AD367" s="3">
        <f>_xlfn.XLOOKUP(D367,Artists!A:A,Artists!B:B)</f>
        <v>0</v>
      </c>
      <c r="AE367" s="3">
        <f>_xlfn.XLOOKUP(D367,Artists!A:A,Artists!C:C)</f>
        <v>0</v>
      </c>
      <c r="AF367" s="3" t="str">
        <f t="shared" si="34"/>
        <v>OTHR</v>
      </c>
      <c r="AG367" s="3" t="str">
        <f t="shared" si="35"/>
        <v>OTHR</v>
      </c>
    </row>
    <row r="368" spans="24:33" x14ac:dyDescent="0.3">
      <c r="X368" s="3" t="str">
        <f t="shared" si="30"/>
        <v>-SADNE-</v>
      </c>
      <c r="Y368" s="3" t="str">
        <f t="shared" si="31"/>
        <v>-SLOWSS-</v>
      </c>
      <c r="Z368" s="4" t="str">
        <f t="shared" si="32"/>
        <v>{"couname":"","img":"0","pty":"","artist":"","genres":"","duration":"","spotId":"","Items":["-SADNE-","-SLOWSS-","OTHR","OTHR","XT_OffAnimals"]},</v>
      </c>
      <c r="AA368" s="5" t="s">
        <v>5</v>
      </c>
      <c r="AB368" s="3" t="str">
        <f t="shared" si="33"/>
        <v>["-SADNE-","-SLOWSS-","OTHR","OTHR","XT_OffAnimals"]</v>
      </c>
      <c r="AC368" s="3">
        <f>_xlfn.XLOOKUP(A368,Album!A:A,Album!J:J)</f>
        <v>0</v>
      </c>
      <c r="AD368" s="3">
        <f>_xlfn.XLOOKUP(D368,Artists!A:A,Artists!B:B)</f>
        <v>0</v>
      </c>
      <c r="AE368" s="3">
        <f>_xlfn.XLOOKUP(D368,Artists!A:A,Artists!C:C)</f>
        <v>0</v>
      </c>
      <c r="AF368" s="3" t="str">
        <f t="shared" si="34"/>
        <v>OTHR</v>
      </c>
      <c r="AG368" s="3" t="str">
        <f t="shared" si="35"/>
        <v>OTHR</v>
      </c>
    </row>
    <row r="369" spans="24:33" x14ac:dyDescent="0.3">
      <c r="X369" s="3" t="str">
        <f t="shared" si="30"/>
        <v>-SADNE-</v>
      </c>
      <c r="Y369" s="3" t="str">
        <f t="shared" si="31"/>
        <v>-SLOWSS-</v>
      </c>
      <c r="Z369" s="4" t="str">
        <f t="shared" si="32"/>
        <v>{"couname":"","img":"0","pty":"","artist":"","genres":"","duration":"","spotId":"","Items":["-SADNE-","-SLOWSS-","OTHR","OTHR","XT_OffAnimals"]},</v>
      </c>
      <c r="AA369" s="5" t="s">
        <v>5</v>
      </c>
      <c r="AB369" s="3" t="str">
        <f t="shared" si="33"/>
        <v>["-SADNE-","-SLOWSS-","OTHR","OTHR","XT_OffAnimals"]</v>
      </c>
      <c r="AC369" s="3">
        <f>_xlfn.XLOOKUP(A369,Album!A:A,Album!J:J)</f>
        <v>0</v>
      </c>
      <c r="AD369" s="3">
        <f>_xlfn.XLOOKUP(D369,Artists!A:A,Artists!B:B)</f>
        <v>0</v>
      </c>
      <c r="AE369" s="3">
        <f>_xlfn.XLOOKUP(D369,Artists!A:A,Artists!C:C)</f>
        <v>0</v>
      </c>
      <c r="AF369" s="3" t="str">
        <f t="shared" si="34"/>
        <v>OTHR</v>
      </c>
      <c r="AG369" s="3" t="str">
        <f t="shared" si="35"/>
        <v>OTHR</v>
      </c>
    </row>
    <row r="370" spans="24:33" x14ac:dyDescent="0.3">
      <c r="X370" s="3" t="str">
        <f t="shared" si="30"/>
        <v>-SADNE-</v>
      </c>
      <c r="Y370" s="3" t="str">
        <f t="shared" si="31"/>
        <v>-SLOWSS-</v>
      </c>
      <c r="Z370" s="4" t="str">
        <f t="shared" si="32"/>
        <v>{"couname":"","img":"0","pty":"","artist":"","genres":"","duration":"","spotId":"","Items":["-SADNE-","-SLOWSS-","OTHR","OTHR","XT_OffAnimals"]},</v>
      </c>
      <c r="AA370" s="5" t="s">
        <v>5</v>
      </c>
      <c r="AB370" s="3" t="str">
        <f t="shared" si="33"/>
        <v>["-SADNE-","-SLOWSS-","OTHR","OTHR","XT_OffAnimals"]</v>
      </c>
      <c r="AC370" s="3">
        <f>_xlfn.XLOOKUP(A370,Album!A:A,Album!J:J)</f>
        <v>0</v>
      </c>
      <c r="AD370" s="3">
        <f>_xlfn.XLOOKUP(D370,Artists!A:A,Artists!B:B)</f>
        <v>0</v>
      </c>
      <c r="AE370" s="3">
        <f>_xlfn.XLOOKUP(D370,Artists!A:A,Artists!C:C)</f>
        <v>0</v>
      </c>
      <c r="AF370" s="3" t="str">
        <f t="shared" si="34"/>
        <v>OTHR</v>
      </c>
      <c r="AG370" s="3" t="str">
        <f t="shared" si="35"/>
        <v>OTHR</v>
      </c>
    </row>
    <row r="371" spans="24:33" x14ac:dyDescent="0.3">
      <c r="X371" s="3" t="str">
        <f t="shared" si="30"/>
        <v>-SADNE-</v>
      </c>
      <c r="Y371" s="3" t="str">
        <f t="shared" si="31"/>
        <v>-SLOWSS-</v>
      </c>
      <c r="Z371" s="4" t="str">
        <f t="shared" si="32"/>
        <v>{"couname":"","img":"0","pty":"","artist":"","genres":"","duration":"","spotId":"","Items":["-SADNE-","-SLOWSS-","OTHR","OTHR","XT_OffAnimals"]},</v>
      </c>
      <c r="AA371" s="5" t="s">
        <v>5</v>
      </c>
      <c r="AB371" s="3" t="str">
        <f t="shared" si="33"/>
        <v>["-SADNE-","-SLOWSS-","OTHR","OTHR","XT_OffAnimals"]</v>
      </c>
      <c r="AC371" s="3">
        <f>_xlfn.XLOOKUP(A371,Album!A:A,Album!J:J)</f>
        <v>0</v>
      </c>
      <c r="AD371" s="3">
        <f>_xlfn.XLOOKUP(D371,Artists!A:A,Artists!B:B)</f>
        <v>0</v>
      </c>
      <c r="AE371" s="3">
        <f>_xlfn.XLOOKUP(D371,Artists!A:A,Artists!C:C)</f>
        <v>0</v>
      </c>
      <c r="AF371" s="3" t="str">
        <f t="shared" si="34"/>
        <v>OTHR</v>
      </c>
      <c r="AG371" s="3" t="str">
        <f t="shared" si="35"/>
        <v>OTHR</v>
      </c>
    </row>
    <row r="372" spans="24:33" x14ac:dyDescent="0.3">
      <c r="X372" s="3" t="str">
        <f t="shared" si="30"/>
        <v>-SADNE-</v>
      </c>
      <c r="Y372" s="3" t="str">
        <f t="shared" si="31"/>
        <v>-SLOWSS-</v>
      </c>
      <c r="Z372" s="4" t="str">
        <f t="shared" si="32"/>
        <v>{"couname":"","img":"0","pty":"","artist":"","genres":"","duration":"","spotId":"","Items":["-SADNE-","-SLOWSS-","OTHR","OTHR","XT_OffAnimals"]},</v>
      </c>
      <c r="AA372" s="5" t="s">
        <v>5</v>
      </c>
      <c r="AB372" s="3" t="str">
        <f t="shared" si="33"/>
        <v>["-SADNE-","-SLOWSS-","OTHR","OTHR","XT_OffAnimals"]</v>
      </c>
      <c r="AC372" s="3">
        <f>_xlfn.XLOOKUP(A372,Album!A:A,Album!J:J)</f>
        <v>0</v>
      </c>
      <c r="AD372" s="3">
        <f>_xlfn.XLOOKUP(D372,Artists!A:A,Artists!B:B)</f>
        <v>0</v>
      </c>
      <c r="AE372" s="3">
        <f>_xlfn.XLOOKUP(D372,Artists!A:A,Artists!C:C)</f>
        <v>0</v>
      </c>
      <c r="AF372" s="3" t="str">
        <f t="shared" si="34"/>
        <v>OTHR</v>
      </c>
      <c r="AG372" s="3" t="str">
        <f t="shared" si="35"/>
        <v>OTHR</v>
      </c>
    </row>
    <row r="373" spans="24:33" x14ac:dyDescent="0.3">
      <c r="X373" s="3" t="str">
        <f t="shared" si="30"/>
        <v>-SADNE-</v>
      </c>
      <c r="Y373" s="3" t="str">
        <f t="shared" si="31"/>
        <v>-SLOWSS-</v>
      </c>
      <c r="Z373" s="4" t="str">
        <f t="shared" si="32"/>
        <v>{"couname":"","img":"0","pty":"","artist":"","genres":"","duration":"","spotId":"","Items":["-SADNE-","-SLOWSS-","OTHR","OTHR","XT_OffAnimals"]},</v>
      </c>
      <c r="AA373" s="5" t="s">
        <v>5</v>
      </c>
      <c r="AB373" s="3" t="str">
        <f t="shared" si="33"/>
        <v>["-SADNE-","-SLOWSS-","OTHR","OTHR","XT_OffAnimals"]</v>
      </c>
      <c r="AC373" s="3">
        <f>_xlfn.XLOOKUP(A373,Album!A:A,Album!J:J)</f>
        <v>0</v>
      </c>
      <c r="AD373" s="3">
        <f>_xlfn.XLOOKUP(D373,Artists!A:A,Artists!B:B)</f>
        <v>0</v>
      </c>
      <c r="AE373" s="3">
        <f>_xlfn.XLOOKUP(D373,Artists!A:A,Artists!C:C)</f>
        <v>0</v>
      </c>
      <c r="AF373" s="3" t="str">
        <f t="shared" si="34"/>
        <v>OTHR</v>
      </c>
      <c r="AG373" s="3" t="str">
        <f t="shared" si="35"/>
        <v>OTHR</v>
      </c>
    </row>
    <row r="374" spans="24:33" x14ac:dyDescent="0.3">
      <c r="X374" s="3" t="str">
        <f t="shared" si="30"/>
        <v>-SADNE-</v>
      </c>
      <c r="Y374" s="3" t="str">
        <f t="shared" si="31"/>
        <v>-SLOWSS-</v>
      </c>
      <c r="Z374" s="4" t="str">
        <f t="shared" si="32"/>
        <v>{"couname":"","img":"0","pty":"","artist":"","genres":"","duration":"","spotId":"","Items":["-SADNE-","-SLOWSS-","OTHR","OTHR","XT_OffAnimals"]},</v>
      </c>
      <c r="AA374" s="5" t="s">
        <v>5</v>
      </c>
      <c r="AB374" s="3" t="str">
        <f t="shared" si="33"/>
        <v>["-SADNE-","-SLOWSS-","OTHR","OTHR","XT_OffAnimals"]</v>
      </c>
      <c r="AC374" s="3">
        <f>_xlfn.XLOOKUP(A374,Album!A:A,Album!J:J)</f>
        <v>0</v>
      </c>
      <c r="AD374" s="3">
        <f>_xlfn.XLOOKUP(D374,Artists!A:A,Artists!B:B)</f>
        <v>0</v>
      </c>
      <c r="AE374" s="3">
        <f>_xlfn.XLOOKUP(D374,Artists!A:A,Artists!C:C)</f>
        <v>0</v>
      </c>
      <c r="AF374" s="3" t="str">
        <f t="shared" si="34"/>
        <v>OTHR</v>
      </c>
      <c r="AG374" s="3" t="str">
        <f t="shared" si="35"/>
        <v>OTHR</v>
      </c>
    </row>
    <row r="375" spans="24:33" x14ac:dyDescent="0.3">
      <c r="X375" s="3" t="str">
        <f t="shared" si="30"/>
        <v>-SADNE-</v>
      </c>
      <c r="Y375" s="3" t="str">
        <f t="shared" si="31"/>
        <v>-SLOWSS-</v>
      </c>
      <c r="Z375" s="4" t="str">
        <f t="shared" si="32"/>
        <v>{"couname":"","img":"0","pty":"","artist":"","genres":"","duration":"","spotId":"","Items":["-SADNE-","-SLOWSS-","OTHR","OTHR","XT_OffAnimals"]},</v>
      </c>
      <c r="AA375" s="5" t="s">
        <v>5</v>
      </c>
      <c r="AB375" s="3" t="str">
        <f t="shared" si="33"/>
        <v>["-SADNE-","-SLOWSS-","OTHR","OTHR","XT_OffAnimals"]</v>
      </c>
      <c r="AC375" s="3">
        <f>_xlfn.XLOOKUP(A375,Album!A:A,Album!J:J)</f>
        <v>0</v>
      </c>
      <c r="AD375" s="3">
        <f>_xlfn.XLOOKUP(D375,Artists!A:A,Artists!B:B)</f>
        <v>0</v>
      </c>
      <c r="AE375" s="3">
        <f>_xlfn.XLOOKUP(D375,Artists!A:A,Artists!C:C)</f>
        <v>0</v>
      </c>
      <c r="AF375" s="3" t="str">
        <f t="shared" si="34"/>
        <v>OTHR</v>
      </c>
      <c r="AG375" s="3" t="str">
        <f t="shared" si="35"/>
        <v>OTHR</v>
      </c>
    </row>
    <row r="376" spans="24:33" x14ac:dyDescent="0.3">
      <c r="X376" s="3" t="str">
        <f t="shared" si="30"/>
        <v>-SADNE-</v>
      </c>
      <c r="Y376" s="3" t="str">
        <f t="shared" si="31"/>
        <v>-SLOWSS-</v>
      </c>
      <c r="Z376" s="4" t="str">
        <f t="shared" si="32"/>
        <v>{"couname":"","img":"0","pty":"","artist":"","genres":"","duration":"","spotId":"","Items":["-SADNE-","-SLOWSS-","OTHR","OTHR","XT_OffAnimals"]},</v>
      </c>
      <c r="AA376" s="5" t="s">
        <v>5</v>
      </c>
      <c r="AB376" s="3" t="str">
        <f t="shared" si="33"/>
        <v>["-SADNE-","-SLOWSS-","OTHR","OTHR","XT_OffAnimals"]</v>
      </c>
      <c r="AC376" s="3">
        <f>_xlfn.XLOOKUP(A376,Album!A:A,Album!J:J)</f>
        <v>0</v>
      </c>
      <c r="AD376" s="3">
        <f>_xlfn.XLOOKUP(D376,Artists!A:A,Artists!B:B)</f>
        <v>0</v>
      </c>
      <c r="AE376" s="3">
        <f>_xlfn.XLOOKUP(D376,Artists!A:A,Artists!C:C)</f>
        <v>0</v>
      </c>
      <c r="AF376" s="3" t="str">
        <f t="shared" si="34"/>
        <v>OTHR</v>
      </c>
      <c r="AG376" s="3" t="str">
        <f t="shared" si="35"/>
        <v>OTHR</v>
      </c>
    </row>
    <row r="377" spans="24:33" x14ac:dyDescent="0.3">
      <c r="X377" s="3" t="str">
        <f t="shared" si="30"/>
        <v>-SADNE-</v>
      </c>
      <c r="Y377" s="3" t="str">
        <f t="shared" si="31"/>
        <v>-SLOWSS-</v>
      </c>
      <c r="Z377" s="4" t="str">
        <f t="shared" si="32"/>
        <v>{"couname":"","img":"0","pty":"","artist":"","genres":"","duration":"","spotId":"","Items":["-SADNE-","-SLOWSS-","OTHR","OTHR","XT_OffAnimals"]},</v>
      </c>
      <c r="AA377" s="5" t="s">
        <v>5</v>
      </c>
      <c r="AB377" s="3" t="str">
        <f t="shared" si="33"/>
        <v>["-SADNE-","-SLOWSS-","OTHR","OTHR","XT_OffAnimals"]</v>
      </c>
      <c r="AC377" s="3">
        <f>_xlfn.XLOOKUP(A377,Album!A:A,Album!J:J)</f>
        <v>0</v>
      </c>
      <c r="AD377" s="3">
        <f>_xlfn.XLOOKUP(D377,Artists!A:A,Artists!B:B)</f>
        <v>0</v>
      </c>
      <c r="AE377" s="3">
        <f>_xlfn.XLOOKUP(D377,Artists!A:A,Artists!C:C)</f>
        <v>0</v>
      </c>
      <c r="AF377" s="3" t="str">
        <f t="shared" si="34"/>
        <v>OTHR</v>
      </c>
      <c r="AG377" s="3" t="str">
        <f t="shared" si="35"/>
        <v>OTHR</v>
      </c>
    </row>
    <row r="378" spans="24:33" x14ac:dyDescent="0.3">
      <c r="X378" s="3" t="str">
        <f t="shared" si="30"/>
        <v>-SADNE-</v>
      </c>
      <c r="Y378" s="3" t="str">
        <f t="shared" si="31"/>
        <v>-SLOWSS-</v>
      </c>
      <c r="Z378" s="4" t="str">
        <f t="shared" si="32"/>
        <v>{"couname":"","img":"0","pty":"","artist":"","genres":"","duration":"","spotId":"","Items":["-SADNE-","-SLOWSS-","OTHR","OTHR","XT_OffAnimals"]},</v>
      </c>
      <c r="AA378" s="5" t="s">
        <v>5</v>
      </c>
      <c r="AB378" s="3" t="str">
        <f t="shared" si="33"/>
        <v>["-SADNE-","-SLOWSS-","OTHR","OTHR","XT_OffAnimals"]</v>
      </c>
      <c r="AC378" s="3">
        <f>_xlfn.XLOOKUP(A378,Album!A:A,Album!J:J)</f>
        <v>0</v>
      </c>
      <c r="AD378" s="3">
        <f>_xlfn.XLOOKUP(D378,Artists!A:A,Artists!B:B)</f>
        <v>0</v>
      </c>
      <c r="AE378" s="3">
        <f>_xlfn.XLOOKUP(D378,Artists!A:A,Artists!C:C)</f>
        <v>0</v>
      </c>
      <c r="AF378" s="3" t="str">
        <f t="shared" si="34"/>
        <v>OTHR</v>
      </c>
      <c r="AG378" s="3" t="str">
        <f t="shared" si="35"/>
        <v>OTHR</v>
      </c>
    </row>
    <row r="379" spans="24:33" x14ac:dyDescent="0.3">
      <c r="X379" s="3" t="str">
        <f t="shared" si="30"/>
        <v>-SADNE-</v>
      </c>
      <c r="Y379" s="3" t="str">
        <f t="shared" si="31"/>
        <v>-SLOWSS-</v>
      </c>
      <c r="Z379" s="4" t="str">
        <f t="shared" si="32"/>
        <v>{"couname":"","img":"0","pty":"","artist":"","genres":"","duration":"","spotId":"","Items":["-SADNE-","-SLOWSS-","OTHR","OTHR","XT_OffAnimals"]},</v>
      </c>
      <c r="AA379" s="5" t="s">
        <v>5</v>
      </c>
      <c r="AB379" s="3" t="str">
        <f t="shared" si="33"/>
        <v>["-SADNE-","-SLOWSS-","OTHR","OTHR","XT_OffAnimals"]</v>
      </c>
      <c r="AC379" s="3">
        <f>_xlfn.XLOOKUP(A379,Album!A:A,Album!J:J)</f>
        <v>0</v>
      </c>
      <c r="AD379" s="3">
        <f>_xlfn.XLOOKUP(D379,Artists!A:A,Artists!B:B)</f>
        <v>0</v>
      </c>
      <c r="AE379" s="3">
        <f>_xlfn.XLOOKUP(D379,Artists!A:A,Artists!C:C)</f>
        <v>0</v>
      </c>
      <c r="AF379" s="3" t="str">
        <f t="shared" si="34"/>
        <v>OTHR</v>
      </c>
      <c r="AG379" s="3" t="str">
        <f t="shared" si="35"/>
        <v>OTHR</v>
      </c>
    </row>
    <row r="380" spans="24:33" x14ac:dyDescent="0.3">
      <c r="X380" s="3" t="str">
        <f t="shared" si="30"/>
        <v>-SADNE-</v>
      </c>
      <c r="Y380" s="3" t="str">
        <f t="shared" si="31"/>
        <v>-SLOWSS-</v>
      </c>
      <c r="Z380" s="4" t="str">
        <f t="shared" si="32"/>
        <v>{"couname":"","img":"0","pty":"","artist":"","genres":"","duration":"","spotId":"","Items":["-SADNE-","-SLOWSS-","OTHR","OTHR","XT_OffAnimals"]},</v>
      </c>
      <c r="AA380" s="5" t="s">
        <v>5</v>
      </c>
      <c r="AB380" s="3" t="str">
        <f t="shared" si="33"/>
        <v>["-SADNE-","-SLOWSS-","OTHR","OTHR","XT_OffAnimals"]</v>
      </c>
      <c r="AC380" s="3">
        <f>_xlfn.XLOOKUP(A380,Album!A:A,Album!J:J)</f>
        <v>0</v>
      </c>
      <c r="AD380" s="3">
        <f>_xlfn.XLOOKUP(D380,Artists!A:A,Artists!B:B)</f>
        <v>0</v>
      </c>
      <c r="AE380" s="3">
        <f>_xlfn.XLOOKUP(D380,Artists!A:A,Artists!C:C)</f>
        <v>0</v>
      </c>
      <c r="AF380" s="3" t="str">
        <f t="shared" si="34"/>
        <v>OTHR</v>
      </c>
      <c r="AG380" s="3" t="str">
        <f t="shared" si="35"/>
        <v>OTHR</v>
      </c>
    </row>
    <row r="381" spans="24:33" x14ac:dyDescent="0.3">
      <c r="X381" s="3" t="str">
        <f t="shared" si="30"/>
        <v>-SADNE-</v>
      </c>
      <c r="Y381" s="3" t="str">
        <f t="shared" si="31"/>
        <v>-SLOWSS-</v>
      </c>
      <c r="Z381" s="4" t="str">
        <f t="shared" si="32"/>
        <v>{"couname":"","img":"0","pty":"","artist":"","genres":"","duration":"","spotId":"","Items":["-SADNE-","-SLOWSS-","OTHR","OTHR","XT_OffAnimals"]},</v>
      </c>
      <c r="AA381" s="5" t="s">
        <v>5</v>
      </c>
      <c r="AB381" s="3" t="str">
        <f t="shared" si="33"/>
        <v>["-SADNE-","-SLOWSS-","OTHR","OTHR","XT_OffAnimals"]</v>
      </c>
      <c r="AC381" s="3">
        <f>_xlfn.XLOOKUP(A381,Album!A:A,Album!J:J)</f>
        <v>0</v>
      </c>
      <c r="AD381" s="3">
        <f>_xlfn.XLOOKUP(D381,Artists!A:A,Artists!B:B)</f>
        <v>0</v>
      </c>
      <c r="AE381" s="3">
        <f>_xlfn.XLOOKUP(D381,Artists!A:A,Artists!C:C)</f>
        <v>0</v>
      </c>
      <c r="AF381" s="3" t="str">
        <f t="shared" si="34"/>
        <v>OTHR</v>
      </c>
      <c r="AG381" s="3" t="str">
        <f t="shared" si="35"/>
        <v>OTHR</v>
      </c>
    </row>
    <row r="382" spans="24:33" x14ac:dyDescent="0.3">
      <c r="X382" s="3" t="str">
        <f t="shared" si="30"/>
        <v>-SADNE-</v>
      </c>
      <c r="Y382" s="3" t="str">
        <f t="shared" si="31"/>
        <v>-SLOWSS-</v>
      </c>
      <c r="Z382" s="4" t="str">
        <f t="shared" si="32"/>
        <v>{"couname":"","img":"0","pty":"","artist":"","genres":"","duration":"","spotId":"","Items":["-SADNE-","-SLOWSS-","OTHR","OTHR","XT_OffAnimals"]},</v>
      </c>
      <c r="AA382" s="5" t="s">
        <v>5</v>
      </c>
      <c r="AB382" s="3" t="str">
        <f t="shared" si="33"/>
        <v>["-SADNE-","-SLOWSS-","OTHR","OTHR","XT_OffAnimals"]</v>
      </c>
      <c r="AC382" s="3">
        <f>_xlfn.XLOOKUP(A382,Album!A:A,Album!J:J)</f>
        <v>0</v>
      </c>
      <c r="AD382" s="3">
        <f>_xlfn.XLOOKUP(D382,Artists!A:A,Artists!B:B)</f>
        <v>0</v>
      </c>
      <c r="AE382" s="3">
        <f>_xlfn.XLOOKUP(D382,Artists!A:A,Artists!C:C)</f>
        <v>0</v>
      </c>
      <c r="AF382" s="3" t="str">
        <f t="shared" si="34"/>
        <v>OTHR</v>
      </c>
      <c r="AG382" s="3" t="str">
        <f t="shared" si="35"/>
        <v>OTHR</v>
      </c>
    </row>
    <row r="383" spans="24:33" x14ac:dyDescent="0.3">
      <c r="X383" s="3" t="str">
        <f t="shared" si="30"/>
        <v>-SADNE-</v>
      </c>
      <c r="Y383" s="3" t="str">
        <f t="shared" si="31"/>
        <v>-SLOWSS-</v>
      </c>
      <c r="Z383" s="4" t="str">
        <f t="shared" si="32"/>
        <v>{"couname":"","img":"0","pty":"","artist":"","genres":"","duration":"","spotId":"","Items":["-SADNE-","-SLOWSS-","OTHR","OTHR","XT_OffAnimals"]},</v>
      </c>
      <c r="AA383" s="5" t="s">
        <v>5</v>
      </c>
      <c r="AB383" s="3" t="str">
        <f t="shared" si="33"/>
        <v>["-SADNE-","-SLOWSS-","OTHR","OTHR","XT_OffAnimals"]</v>
      </c>
      <c r="AC383" s="3">
        <f>_xlfn.XLOOKUP(A383,Album!A:A,Album!J:J)</f>
        <v>0</v>
      </c>
      <c r="AD383" s="3">
        <f>_xlfn.XLOOKUP(D383,Artists!A:A,Artists!B:B)</f>
        <v>0</v>
      </c>
      <c r="AE383" s="3">
        <f>_xlfn.XLOOKUP(D383,Artists!A:A,Artists!C:C)</f>
        <v>0</v>
      </c>
      <c r="AF383" s="3" t="str">
        <f t="shared" si="34"/>
        <v>OTHR</v>
      </c>
      <c r="AG383" s="3" t="str">
        <f t="shared" si="35"/>
        <v>OTHR</v>
      </c>
    </row>
    <row r="384" spans="24:33" x14ac:dyDescent="0.3">
      <c r="X384" s="3" t="str">
        <f t="shared" si="30"/>
        <v>-SADNE-</v>
      </c>
      <c r="Y384" s="3" t="str">
        <f t="shared" si="31"/>
        <v>-SLOWSS-</v>
      </c>
      <c r="Z384" s="4" t="str">
        <f t="shared" si="32"/>
        <v>{"couname":"","img":"0","pty":"","artist":"","genres":"","duration":"","spotId":"","Items":["-SADNE-","-SLOWSS-","OTHR","OTHR","XT_OffAnimals"]},</v>
      </c>
      <c r="AA384" s="5" t="s">
        <v>5</v>
      </c>
      <c r="AB384" s="3" t="str">
        <f t="shared" si="33"/>
        <v>["-SADNE-","-SLOWSS-","OTHR","OTHR","XT_OffAnimals"]</v>
      </c>
      <c r="AC384" s="3">
        <f>_xlfn.XLOOKUP(A384,Album!A:A,Album!J:J)</f>
        <v>0</v>
      </c>
      <c r="AD384" s="3">
        <f>_xlfn.XLOOKUP(D384,Artists!A:A,Artists!B:B)</f>
        <v>0</v>
      </c>
      <c r="AE384" s="3">
        <f>_xlfn.XLOOKUP(D384,Artists!A:A,Artists!C:C)</f>
        <v>0</v>
      </c>
      <c r="AF384" s="3" t="str">
        <f t="shared" si="34"/>
        <v>OTHR</v>
      </c>
      <c r="AG384" s="3" t="str">
        <f t="shared" si="35"/>
        <v>OTHR</v>
      </c>
    </row>
    <row r="385" spans="24:33" x14ac:dyDescent="0.3">
      <c r="X385" s="3" t="str">
        <f t="shared" si="30"/>
        <v>-SADNE-</v>
      </c>
      <c r="Y385" s="3" t="str">
        <f t="shared" si="31"/>
        <v>-SLOWSS-</v>
      </c>
      <c r="Z385" s="4" t="str">
        <f t="shared" si="32"/>
        <v>{"couname":"","img":"0","pty":"","artist":"","genres":"","duration":"","spotId":"","Items":["-SADNE-","-SLOWSS-","OTHR","OTHR","XT_OffAnimals"]},</v>
      </c>
      <c r="AA385" s="5" t="s">
        <v>5</v>
      </c>
      <c r="AB385" s="3" t="str">
        <f t="shared" si="33"/>
        <v>["-SADNE-","-SLOWSS-","OTHR","OTHR","XT_OffAnimals"]</v>
      </c>
      <c r="AC385" s="3">
        <f>_xlfn.XLOOKUP(A385,Album!A:A,Album!J:J)</f>
        <v>0</v>
      </c>
      <c r="AD385" s="3">
        <f>_xlfn.XLOOKUP(D385,Artists!A:A,Artists!B:B)</f>
        <v>0</v>
      </c>
      <c r="AE385" s="3">
        <f>_xlfn.XLOOKUP(D385,Artists!A:A,Artists!C:C)</f>
        <v>0</v>
      </c>
      <c r="AF385" s="3" t="str">
        <f t="shared" si="34"/>
        <v>OTHR</v>
      </c>
      <c r="AG385" s="3" t="str">
        <f t="shared" si="35"/>
        <v>OTHR</v>
      </c>
    </row>
    <row r="386" spans="24:33" x14ac:dyDescent="0.3">
      <c r="X386" s="3" t="str">
        <f t="shared" ref="X386:X449" si="36">IF(OR(U386&lt;0.301, AND(U386&lt;0.4, P386=0)), "-SADNE-", "-HAPPY-")</f>
        <v>-SADNE-</v>
      </c>
      <c r="Y386" s="3" t="str">
        <f t="shared" ref="Y386:Y449" si="37">IF(OR(AND(L386&lt;0.5,M386&lt;0.5),AND(L386&lt;0.45,V386&lt;100),AND(M386&lt;0.45,V386&lt;100),AND(U386&lt;0.39,V386&lt;100)),"-SLOWSS-","-ENERGY-")</f>
        <v>-SLOWSS-</v>
      </c>
      <c r="Z386" s="4" t="str">
        <f t="shared" si="32"/>
        <v>{"couname":"","img":"0","pty":"","artist":"","genres":"","duration":"","spotId":"","Items":["-SADNE-","-SLOWSS-","OTHR","OTHR","XT_OffAnimals"]},</v>
      </c>
      <c r="AA386" s="5" t="s">
        <v>5</v>
      </c>
      <c r="AB386" s="3" t="str">
        <f t="shared" si="33"/>
        <v>["-SADNE-","-SLOWSS-","OTHR","OTHR","XT_OffAnimals"]</v>
      </c>
      <c r="AC386" s="3">
        <f>_xlfn.XLOOKUP(A386,Album!A:A,Album!J:J)</f>
        <v>0</v>
      </c>
      <c r="AD386" s="3">
        <f>_xlfn.XLOOKUP(D386,Artists!A:A,Artists!B:B)</f>
        <v>0</v>
      </c>
      <c r="AE386" s="3">
        <f>_xlfn.XLOOKUP(D386,Artists!A:A,Artists!C:C)</f>
        <v>0</v>
      </c>
      <c r="AF386" s="3" t="str">
        <f t="shared" si="34"/>
        <v>OTHR</v>
      </c>
      <c r="AG386" s="3" t="str">
        <f t="shared" si="35"/>
        <v>OTHR</v>
      </c>
    </row>
    <row r="387" spans="24:33" x14ac:dyDescent="0.3">
      <c r="X387" s="3" t="str">
        <f t="shared" si="36"/>
        <v>-SADNE-</v>
      </c>
      <c r="Y387" s="3" t="str">
        <f t="shared" si="37"/>
        <v>-SLOWSS-</v>
      </c>
      <c r="Z387" s="4" t="str">
        <f t="shared" ref="Z387:Z450" si="38">"{"&amp;CHAR(34)&amp;"couname"&amp;CHAR(34)&amp;":"&amp;CHAR(34)&amp;B387&amp;CHAR(34)&amp;","&amp;CHAR(34)&amp;"img"&amp;CHAR(34)&amp;":"&amp;CHAR(34)&amp;AC387&amp;CHAR(34)&amp;","&amp;CHAR(34)&amp;"pty"&amp;CHAR(34)&amp;":"&amp;CHAR(34)&amp;G387&amp;CHAR(34)&amp;","&amp;CHAR(34)&amp;"artist"&amp;CHAR(34)&amp;":"&amp;CHAR(34)&amp;D387&amp;CHAR(34)&amp;","&amp;CHAR(34)&amp;"genres"&amp;CHAR(34)&amp;":"&amp;CHAR(34)&amp;J387&amp;CHAR(34)&amp;","&amp;CHAR(34)&amp;"duration"&amp;CHAR(34)&amp;":"&amp;CHAR(34)&amp;F387&amp;CHAR(34)&amp;","&amp;CHAR(34)&amp;"spotId"&amp;CHAR(34)&amp;":"&amp;CHAR(34)&amp;A387&amp;CHAR(34)&amp;","&amp;CHAR(34)&amp;"Items"&amp;CHAR(34)&amp;":"&amp;AB387&amp;"},"</f>
        <v>{"couname":"","img":"0","pty":"","artist":"","genres":"","duration":"","spotId":"","Items":["-SADNE-","-SLOWSS-","OTHR","OTHR","XT_OffAnimals"]},</v>
      </c>
      <c r="AA387" s="5" t="s">
        <v>5</v>
      </c>
      <c r="AB387" s="3" t="str">
        <f t="shared" ref="AB387:AB450" si="39" xml:space="preserve"> "[" &amp; _xlfn.TEXTJOIN(",",TRUE,CHAR(34) &amp; X387&amp; CHAR(34), CHAR(34) &amp; Y387 &amp; CHAR(34),  CHAR(34) &amp; AF387 &amp; CHAR(34), CHAR(34) &amp;AG387 &amp; CHAR(34), CHAR(34) &amp; AA387 &amp; CHAR(34)) &amp; "]"</f>
        <v>["-SADNE-","-SLOWSS-","OTHR","OTHR","XT_OffAnimals"]</v>
      </c>
      <c r="AC387" s="3">
        <f>_xlfn.XLOOKUP(A387,Album!A:A,Album!J:J)</f>
        <v>0</v>
      </c>
      <c r="AD387" s="3">
        <f>_xlfn.XLOOKUP(D387,Artists!A:A,Artists!B:B)</f>
        <v>0</v>
      </c>
      <c r="AE387" s="3">
        <f>_xlfn.XLOOKUP(D387,Artists!A:A,Artists!C:C)</f>
        <v>0</v>
      </c>
      <c r="AF387" s="3" t="str">
        <f t="shared" ref="AF387:AF450" si="40">IF(ISNUMBER(SEARCH("female", AD387)), "GIRL", IF(ISNUMBER(SEARCH("male", AD387)), "DUDE", "OTHR"))</f>
        <v>OTHR</v>
      </c>
      <c r="AG387" s="3" t="str">
        <f t="shared" ref="AG387:AG450" si="41">IF(ISNUMBER(SEARCH("band", AD387)), "BAND", IF(ISNUMBER(SEARCH("solo", AD387)), "SOLO", "OTHR"))</f>
        <v>OTHR</v>
      </c>
    </row>
    <row r="388" spans="24:33" x14ac:dyDescent="0.3">
      <c r="X388" s="3" t="str">
        <f t="shared" si="36"/>
        <v>-SADNE-</v>
      </c>
      <c r="Y388" s="3" t="str">
        <f t="shared" si="37"/>
        <v>-SLOWSS-</v>
      </c>
      <c r="Z388" s="4" t="str">
        <f t="shared" si="38"/>
        <v>{"couname":"","img":"0","pty":"","artist":"","genres":"","duration":"","spotId":"","Items":["-SADNE-","-SLOWSS-","OTHR","OTHR","XT_OffAnimals"]},</v>
      </c>
      <c r="AA388" s="5" t="s">
        <v>5</v>
      </c>
      <c r="AB388" s="3" t="str">
        <f t="shared" si="39"/>
        <v>["-SADNE-","-SLOWSS-","OTHR","OTHR","XT_OffAnimals"]</v>
      </c>
      <c r="AC388" s="3">
        <f>_xlfn.XLOOKUP(A388,Album!A:A,Album!J:J)</f>
        <v>0</v>
      </c>
      <c r="AD388" s="3">
        <f>_xlfn.XLOOKUP(D388,Artists!A:A,Artists!B:B)</f>
        <v>0</v>
      </c>
      <c r="AE388" s="3">
        <f>_xlfn.XLOOKUP(D388,Artists!A:A,Artists!C:C)</f>
        <v>0</v>
      </c>
      <c r="AF388" s="3" t="str">
        <f t="shared" si="40"/>
        <v>OTHR</v>
      </c>
      <c r="AG388" s="3" t="str">
        <f t="shared" si="41"/>
        <v>OTHR</v>
      </c>
    </row>
    <row r="389" spans="24:33" x14ac:dyDescent="0.3">
      <c r="X389" s="3" t="str">
        <f t="shared" si="36"/>
        <v>-SADNE-</v>
      </c>
      <c r="Y389" s="3" t="str">
        <f t="shared" si="37"/>
        <v>-SLOWSS-</v>
      </c>
      <c r="Z389" s="4" t="str">
        <f t="shared" si="38"/>
        <v>{"couname":"","img":"0","pty":"","artist":"","genres":"","duration":"","spotId":"","Items":["-SADNE-","-SLOWSS-","OTHR","OTHR","XT_OffAnimals"]},</v>
      </c>
      <c r="AA389" s="5" t="s">
        <v>5</v>
      </c>
      <c r="AB389" s="3" t="str">
        <f t="shared" si="39"/>
        <v>["-SADNE-","-SLOWSS-","OTHR","OTHR","XT_OffAnimals"]</v>
      </c>
      <c r="AC389" s="3">
        <f>_xlfn.XLOOKUP(A389,Album!A:A,Album!J:J)</f>
        <v>0</v>
      </c>
      <c r="AD389" s="3">
        <f>_xlfn.XLOOKUP(D389,Artists!A:A,Artists!B:B)</f>
        <v>0</v>
      </c>
      <c r="AE389" s="3">
        <f>_xlfn.XLOOKUP(D389,Artists!A:A,Artists!C:C)</f>
        <v>0</v>
      </c>
      <c r="AF389" s="3" t="str">
        <f t="shared" si="40"/>
        <v>OTHR</v>
      </c>
      <c r="AG389" s="3" t="str">
        <f t="shared" si="41"/>
        <v>OTHR</v>
      </c>
    </row>
    <row r="390" spans="24:33" x14ac:dyDescent="0.3">
      <c r="X390" s="3" t="str">
        <f t="shared" si="36"/>
        <v>-SADNE-</v>
      </c>
      <c r="Y390" s="3" t="str">
        <f t="shared" si="37"/>
        <v>-SLOWSS-</v>
      </c>
      <c r="Z390" s="4" t="str">
        <f t="shared" si="38"/>
        <v>{"couname":"","img":"0","pty":"","artist":"","genres":"","duration":"","spotId":"","Items":["-SADNE-","-SLOWSS-","OTHR","OTHR","XT_OffAnimals"]},</v>
      </c>
      <c r="AA390" s="5" t="s">
        <v>5</v>
      </c>
      <c r="AB390" s="3" t="str">
        <f t="shared" si="39"/>
        <v>["-SADNE-","-SLOWSS-","OTHR","OTHR","XT_OffAnimals"]</v>
      </c>
      <c r="AC390" s="3">
        <f>_xlfn.XLOOKUP(A390,Album!A:A,Album!J:J)</f>
        <v>0</v>
      </c>
      <c r="AD390" s="3">
        <f>_xlfn.XLOOKUP(D390,Artists!A:A,Artists!B:B)</f>
        <v>0</v>
      </c>
      <c r="AE390" s="3">
        <f>_xlfn.XLOOKUP(D390,Artists!A:A,Artists!C:C)</f>
        <v>0</v>
      </c>
      <c r="AF390" s="3" t="str">
        <f t="shared" si="40"/>
        <v>OTHR</v>
      </c>
      <c r="AG390" s="3" t="str">
        <f t="shared" si="41"/>
        <v>OTHR</v>
      </c>
    </row>
    <row r="391" spans="24:33" x14ac:dyDescent="0.3">
      <c r="X391" s="3" t="str">
        <f t="shared" si="36"/>
        <v>-SADNE-</v>
      </c>
      <c r="Y391" s="3" t="str">
        <f t="shared" si="37"/>
        <v>-SLOWSS-</v>
      </c>
      <c r="Z391" s="4" t="str">
        <f t="shared" si="38"/>
        <v>{"couname":"","img":"0","pty":"","artist":"","genres":"","duration":"","spotId":"","Items":["-SADNE-","-SLOWSS-","OTHR","OTHR","XT_OffAnimals"]},</v>
      </c>
      <c r="AA391" s="5" t="s">
        <v>5</v>
      </c>
      <c r="AB391" s="3" t="str">
        <f t="shared" si="39"/>
        <v>["-SADNE-","-SLOWSS-","OTHR","OTHR","XT_OffAnimals"]</v>
      </c>
      <c r="AC391" s="3">
        <f>_xlfn.XLOOKUP(A391,Album!A:A,Album!J:J)</f>
        <v>0</v>
      </c>
      <c r="AD391" s="3">
        <f>_xlfn.XLOOKUP(D391,Artists!A:A,Artists!B:B)</f>
        <v>0</v>
      </c>
      <c r="AE391" s="3">
        <f>_xlfn.XLOOKUP(D391,Artists!A:A,Artists!C:C)</f>
        <v>0</v>
      </c>
      <c r="AF391" s="3" t="str">
        <f t="shared" si="40"/>
        <v>OTHR</v>
      </c>
      <c r="AG391" s="3" t="str">
        <f t="shared" si="41"/>
        <v>OTHR</v>
      </c>
    </row>
    <row r="392" spans="24:33" x14ac:dyDescent="0.3">
      <c r="X392" s="3" t="str">
        <f t="shared" si="36"/>
        <v>-SADNE-</v>
      </c>
      <c r="Y392" s="3" t="str">
        <f t="shared" si="37"/>
        <v>-SLOWSS-</v>
      </c>
      <c r="Z392" s="4" t="str">
        <f t="shared" si="38"/>
        <v>{"couname":"","img":"0","pty":"","artist":"","genres":"","duration":"","spotId":"","Items":["-SADNE-","-SLOWSS-","OTHR","OTHR","XT_OffAnimals"]},</v>
      </c>
      <c r="AA392" s="5" t="s">
        <v>5</v>
      </c>
      <c r="AB392" s="3" t="str">
        <f t="shared" si="39"/>
        <v>["-SADNE-","-SLOWSS-","OTHR","OTHR","XT_OffAnimals"]</v>
      </c>
      <c r="AC392" s="3">
        <f>_xlfn.XLOOKUP(A392,Album!A:A,Album!J:J)</f>
        <v>0</v>
      </c>
      <c r="AD392" s="3">
        <f>_xlfn.XLOOKUP(D392,Artists!A:A,Artists!B:B)</f>
        <v>0</v>
      </c>
      <c r="AE392" s="3">
        <f>_xlfn.XLOOKUP(D392,Artists!A:A,Artists!C:C)</f>
        <v>0</v>
      </c>
      <c r="AF392" s="3" t="str">
        <f t="shared" si="40"/>
        <v>OTHR</v>
      </c>
      <c r="AG392" s="3" t="str">
        <f t="shared" si="41"/>
        <v>OTHR</v>
      </c>
    </row>
    <row r="393" spans="24:33" x14ac:dyDescent="0.3">
      <c r="X393" s="3" t="str">
        <f t="shared" si="36"/>
        <v>-SADNE-</v>
      </c>
      <c r="Y393" s="3" t="str">
        <f t="shared" si="37"/>
        <v>-SLOWSS-</v>
      </c>
      <c r="Z393" s="4" t="str">
        <f t="shared" si="38"/>
        <v>{"couname":"","img":"0","pty":"","artist":"","genres":"","duration":"","spotId":"","Items":["-SADNE-","-SLOWSS-","OTHR","OTHR","XT_OffAnimals"]},</v>
      </c>
      <c r="AA393" s="5" t="s">
        <v>5</v>
      </c>
      <c r="AB393" s="3" t="str">
        <f t="shared" si="39"/>
        <v>["-SADNE-","-SLOWSS-","OTHR","OTHR","XT_OffAnimals"]</v>
      </c>
      <c r="AC393" s="3">
        <f>_xlfn.XLOOKUP(A393,Album!A:A,Album!J:J)</f>
        <v>0</v>
      </c>
      <c r="AD393" s="3">
        <f>_xlfn.XLOOKUP(D393,Artists!A:A,Artists!B:B)</f>
        <v>0</v>
      </c>
      <c r="AE393" s="3">
        <f>_xlfn.XLOOKUP(D393,Artists!A:A,Artists!C:C)</f>
        <v>0</v>
      </c>
      <c r="AF393" s="3" t="str">
        <f t="shared" si="40"/>
        <v>OTHR</v>
      </c>
      <c r="AG393" s="3" t="str">
        <f t="shared" si="41"/>
        <v>OTHR</v>
      </c>
    </row>
    <row r="394" spans="24:33" x14ac:dyDescent="0.3">
      <c r="X394" s="3" t="str">
        <f t="shared" si="36"/>
        <v>-SADNE-</v>
      </c>
      <c r="Y394" s="3" t="str">
        <f t="shared" si="37"/>
        <v>-SLOWSS-</v>
      </c>
      <c r="Z394" s="4" t="str">
        <f t="shared" si="38"/>
        <v>{"couname":"","img":"0","pty":"","artist":"","genres":"","duration":"","spotId":"","Items":["-SADNE-","-SLOWSS-","OTHR","OTHR","XT_OffAnimals"]},</v>
      </c>
      <c r="AA394" s="5" t="s">
        <v>5</v>
      </c>
      <c r="AB394" s="3" t="str">
        <f t="shared" si="39"/>
        <v>["-SADNE-","-SLOWSS-","OTHR","OTHR","XT_OffAnimals"]</v>
      </c>
      <c r="AC394" s="3">
        <f>_xlfn.XLOOKUP(A394,Album!A:A,Album!J:J)</f>
        <v>0</v>
      </c>
      <c r="AD394" s="3">
        <f>_xlfn.XLOOKUP(D394,Artists!A:A,Artists!B:B)</f>
        <v>0</v>
      </c>
      <c r="AE394" s="3">
        <f>_xlfn.XLOOKUP(D394,Artists!A:A,Artists!C:C)</f>
        <v>0</v>
      </c>
      <c r="AF394" s="3" t="str">
        <f t="shared" si="40"/>
        <v>OTHR</v>
      </c>
      <c r="AG394" s="3" t="str">
        <f t="shared" si="41"/>
        <v>OTHR</v>
      </c>
    </row>
    <row r="395" spans="24:33" x14ac:dyDescent="0.3">
      <c r="X395" s="3" t="str">
        <f t="shared" si="36"/>
        <v>-SADNE-</v>
      </c>
      <c r="Y395" s="3" t="str">
        <f t="shared" si="37"/>
        <v>-SLOWSS-</v>
      </c>
      <c r="Z395" s="4" t="str">
        <f t="shared" si="38"/>
        <v>{"couname":"","img":"0","pty":"","artist":"","genres":"","duration":"","spotId":"","Items":["-SADNE-","-SLOWSS-","OTHR","OTHR","XT_OffAnimals"]},</v>
      </c>
      <c r="AA395" s="5" t="s">
        <v>5</v>
      </c>
      <c r="AB395" s="3" t="str">
        <f t="shared" si="39"/>
        <v>["-SADNE-","-SLOWSS-","OTHR","OTHR","XT_OffAnimals"]</v>
      </c>
      <c r="AC395" s="3">
        <f>_xlfn.XLOOKUP(A395,Album!A:A,Album!J:J)</f>
        <v>0</v>
      </c>
      <c r="AD395" s="3">
        <f>_xlfn.XLOOKUP(D395,Artists!A:A,Artists!B:B)</f>
        <v>0</v>
      </c>
      <c r="AE395" s="3">
        <f>_xlfn.XLOOKUP(D395,Artists!A:A,Artists!C:C)</f>
        <v>0</v>
      </c>
      <c r="AF395" s="3" t="str">
        <f t="shared" si="40"/>
        <v>OTHR</v>
      </c>
      <c r="AG395" s="3" t="str">
        <f t="shared" si="41"/>
        <v>OTHR</v>
      </c>
    </row>
    <row r="396" spans="24:33" x14ac:dyDescent="0.3">
      <c r="X396" s="3" t="str">
        <f t="shared" si="36"/>
        <v>-SADNE-</v>
      </c>
      <c r="Y396" s="3" t="str">
        <f t="shared" si="37"/>
        <v>-SLOWSS-</v>
      </c>
      <c r="Z396" s="4" t="str">
        <f t="shared" si="38"/>
        <v>{"couname":"","img":"0","pty":"","artist":"","genres":"","duration":"","spotId":"","Items":["-SADNE-","-SLOWSS-","OTHR","OTHR","XT_OffAnimals"]},</v>
      </c>
      <c r="AA396" s="5" t="s">
        <v>5</v>
      </c>
      <c r="AB396" s="3" t="str">
        <f t="shared" si="39"/>
        <v>["-SADNE-","-SLOWSS-","OTHR","OTHR","XT_OffAnimals"]</v>
      </c>
      <c r="AC396" s="3">
        <f>_xlfn.XLOOKUP(A396,Album!A:A,Album!J:J)</f>
        <v>0</v>
      </c>
      <c r="AD396" s="3">
        <f>_xlfn.XLOOKUP(D396,Artists!A:A,Artists!B:B)</f>
        <v>0</v>
      </c>
      <c r="AE396" s="3">
        <f>_xlfn.XLOOKUP(D396,Artists!A:A,Artists!C:C)</f>
        <v>0</v>
      </c>
      <c r="AF396" s="3" t="str">
        <f t="shared" si="40"/>
        <v>OTHR</v>
      </c>
      <c r="AG396" s="3" t="str">
        <f t="shared" si="41"/>
        <v>OTHR</v>
      </c>
    </row>
    <row r="397" spans="24:33" x14ac:dyDescent="0.3">
      <c r="X397" s="3" t="str">
        <f t="shared" si="36"/>
        <v>-SADNE-</v>
      </c>
      <c r="Y397" s="3" t="str">
        <f t="shared" si="37"/>
        <v>-SLOWSS-</v>
      </c>
      <c r="Z397" s="4" t="str">
        <f t="shared" si="38"/>
        <v>{"couname":"","img":"0","pty":"","artist":"","genres":"","duration":"","spotId":"","Items":["-SADNE-","-SLOWSS-","OTHR","OTHR","XT_OffAnimals"]},</v>
      </c>
      <c r="AA397" s="5" t="s">
        <v>5</v>
      </c>
      <c r="AB397" s="3" t="str">
        <f t="shared" si="39"/>
        <v>["-SADNE-","-SLOWSS-","OTHR","OTHR","XT_OffAnimals"]</v>
      </c>
      <c r="AC397" s="3">
        <f>_xlfn.XLOOKUP(A397,Album!A:A,Album!J:J)</f>
        <v>0</v>
      </c>
      <c r="AD397" s="3">
        <f>_xlfn.XLOOKUP(D397,Artists!A:A,Artists!B:B)</f>
        <v>0</v>
      </c>
      <c r="AE397" s="3">
        <f>_xlfn.XLOOKUP(D397,Artists!A:A,Artists!C:C)</f>
        <v>0</v>
      </c>
      <c r="AF397" s="3" t="str">
        <f t="shared" si="40"/>
        <v>OTHR</v>
      </c>
      <c r="AG397" s="3" t="str">
        <f t="shared" si="41"/>
        <v>OTHR</v>
      </c>
    </row>
    <row r="398" spans="24:33" x14ac:dyDescent="0.3">
      <c r="X398" s="3" t="str">
        <f t="shared" si="36"/>
        <v>-SADNE-</v>
      </c>
      <c r="Y398" s="3" t="str">
        <f t="shared" si="37"/>
        <v>-SLOWSS-</v>
      </c>
      <c r="Z398" s="4" t="str">
        <f t="shared" si="38"/>
        <v>{"couname":"","img":"0","pty":"","artist":"","genres":"","duration":"","spotId":"","Items":["-SADNE-","-SLOWSS-","OTHR","OTHR","XT_OffAnimals"]},</v>
      </c>
      <c r="AA398" s="5" t="s">
        <v>5</v>
      </c>
      <c r="AB398" s="3" t="str">
        <f t="shared" si="39"/>
        <v>["-SADNE-","-SLOWSS-","OTHR","OTHR","XT_OffAnimals"]</v>
      </c>
      <c r="AC398" s="3">
        <f>_xlfn.XLOOKUP(A398,Album!A:A,Album!J:J)</f>
        <v>0</v>
      </c>
      <c r="AD398" s="3">
        <f>_xlfn.XLOOKUP(D398,Artists!A:A,Artists!B:B)</f>
        <v>0</v>
      </c>
      <c r="AE398" s="3">
        <f>_xlfn.XLOOKUP(D398,Artists!A:A,Artists!C:C)</f>
        <v>0</v>
      </c>
      <c r="AF398" s="3" t="str">
        <f t="shared" si="40"/>
        <v>OTHR</v>
      </c>
      <c r="AG398" s="3" t="str">
        <f t="shared" si="41"/>
        <v>OTHR</v>
      </c>
    </row>
    <row r="399" spans="24:33" x14ac:dyDescent="0.3">
      <c r="X399" s="3" t="str">
        <f t="shared" si="36"/>
        <v>-SADNE-</v>
      </c>
      <c r="Y399" s="3" t="str">
        <f t="shared" si="37"/>
        <v>-SLOWSS-</v>
      </c>
      <c r="Z399" s="4" t="str">
        <f t="shared" si="38"/>
        <v>{"couname":"","img":"0","pty":"","artist":"","genres":"","duration":"","spotId":"","Items":["-SADNE-","-SLOWSS-","OTHR","OTHR","XT_OffAnimals"]},</v>
      </c>
      <c r="AA399" s="5" t="s">
        <v>5</v>
      </c>
      <c r="AB399" s="3" t="str">
        <f t="shared" si="39"/>
        <v>["-SADNE-","-SLOWSS-","OTHR","OTHR","XT_OffAnimals"]</v>
      </c>
      <c r="AC399" s="3">
        <f>_xlfn.XLOOKUP(A399,Album!A:A,Album!J:J)</f>
        <v>0</v>
      </c>
      <c r="AD399" s="3">
        <f>_xlfn.XLOOKUP(D399,Artists!A:A,Artists!B:B)</f>
        <v>0</v>
      </c>
      <c r="AE399" s="3">
        <f>_xlfn.XLOOKUP(D399,Artists!A:A,Artists!C:C)</f>
        <v>0</v>
      </c>
      <c r="AF399" s="3" t="str">
        <f t="shared" si="40"/>
        <v>OTHR</v>
      </c>
      <c r="AG399" s="3" t="str">
        <f t="shared" si="41"/>
        <v>OTHR</v>
      </c>
    </row>
    <row r="400" spans="24:33" x14ac:dyDescent="0.3">
      <c r="X400" s="3" t="str">
        <f t="shared" si="36"/>
        <v>-SADNE-</v>
      </c>
      <c r="Y400" s="3" t="str">
        <f t="shared" si="37"/>
        <v>-SLOWSS-</v>
      </c>
      <c r="Z400" s="4" t="str">
        <f t="shared" si="38"/>
        <v>{"couname":"","img":"0","pty":"","artist":"","genres":"","duration":"","spotId":"","Items":["-SADNE-","-SLOWSS-","OTHR","OTHR","XT_OffAnimals"]},</v>
      </c>
      <c r="AA400" s="5" t="s">
        <v>5</v>
      </c>
      <c r="AB400" s="3" t="str">
        <f t="shared" si="39"/>
        <v>["-SADNE-","-SLOWSS-","OTHR","OTHR","XT_OffAnimals"]</v>
      </c>
      <c r="AC400" s="3">
        <f>_xlfn.XLOOKUP(A400,Album!A:A,Album!J:J)</f>
        <v>0</v>
      </c>
      <c r="AD400" s="3">
        <f>_xlfn.XLOOKUP(D400,Artists!A:A,Artists!B:B)</f>
        <v>0</v>
      </c>
      <c r="AE400" s="3">
        <f>_xlfn.XLOOKUP(D400,Artists!A:A,Artists!C:C)</f>
        <v>0</v>
      </c>
      <c r="AF400" s="3" t="str">
        <f t="shared" si="40"/>
        <v>OTHR</v>
      </c>
      <c r="AG400" s="3" t="str">
        <f t="shared" si="41"/>
        <v>OTHR</v>
      </c>
    </row>
    <row r="401" spans="24:33" x14ac:dyDescent="0.3">
      <c r="X401" s="3" t="str">
        <f t="shared" si="36"/>
        <v>-SADNE-</v>
      </c>
      <c r="Y401" s="3" t="str">
        <f t="shared" si="37"/>
        <v>-SLOWSS-</v>
      </c>
      <c r="Z401" s="4" t="str">
        <f t="shared" si="38"/>
        <v>{"couname":"","img":"0","pty":"","artist":"","genres":"","duration":"","spotId":"","Items":["-SADNE-","-SLOWSS-","OTHR","OTHR","XT_OffAnimals"]},</v>
      </c>
      <c r="AA401" s="5" t="s">
        <v>5</v>
      </c>
      <c r="AB401" s="3" t="str">
        <f t="shared" si="39"/>
        <v>["-SADNE-","-SLOWSS-","OTHR","OTHR","XT_OffAnimals"]</v>
      </c>
      <c r="AC401" s="3">
        <f>_xlfn.XLOOKUP(A401,Album!A:A,Album!J:J)</f>
        <v>0</v>
      </c>
      <c r="AD401" s="3">
        <f>_xlfn.XLOOKUP(D401,Artists!A:A,Artists!B:B)</f>
        <v>0</v>
      </c>
      <c r="AE401" s="3">
        <f>_xlfn.XLOOKUP(D401,Artists!A:A,Artists!C:C)</f>
        <v>0</v>
      </c>
      <c r="AF401" s="3" t="str">
        <f t="shared" si="40"/>
        <v>OTHR</v>
      </c>
      <c r="AG401" s="3" t="str">
        <f t="shared" si="41"/>
        <v>OTHR</v>
      </c>
    </row>
    <row r="402" spans="24:33" x14ac:dyDescent="0.3">
      <c r="X402" s="3" t="str">
        <f t="shared" si="36"/>
        <v>-SADNE-</v>
      </c>
      <c r="Y402" s="3" t="str">
        <f t="shared" si="37"/>
        <v>-SLOWSS-</v>
      </c>
      <c r="Z402" s="4" t="str">
        <f t="shared" si="38"/>
        <v>{"couname":"","img":"0","pty":"","artist":"","genres":"","duration":"","spotId":"","Items":["-SADNE-","-SLOWSS-","OTHR","OTHR","XT_OffAnimals"]},</v>
      </c>
      <c r="AA402" s="5" t="s">
        <v>5</v>
      </c>
      <c r="AB402" s="3" t="str">
        <f t="shared" si="39"/>
        <v>["-SADNE-","-SLOWSS-","OTHR","OTHR","XT_OffAnimals"]</v>
      </c>
      <c r="AC402" s="3">
        <f>_xlfn.XLOOKUP(A402,Album!A:A,Album!J:J)</f>
        <v>0</v>
      </c>
      <c r="AD402" s="3">
        <f>_xlfn.XLOOKUP(D402,Artists!A:A,Artists!B:B)</f>
        <v>0</v>
      </c>
      <c r="AE402" s="3">
        <f>_xlfn.XLOOKUP(D402,Artists!A:A,Artists!C:C)</f>
        <v>0</v>
      </c>
      <c r="AF402" s="3" t="str">
        <f t="shared" si="40"/>
        <v>OTHR</v>
      </c>
      <c r="AG402" s="3" t="str">
        <f t="shared" si="41"/>
        <v>OTHR</v>
      </c>
    </row>
    <row r="403" spans="24:33" x14ac:dyDescent="0.3">
      <c r="X403" s="3" t="str">
        <f t="shared" si="36"/>
        <v>-SADNE-</v>
      </c>
      <c r="Y403" s="3" t="str">
        <f t="shared" si="37"/>
        <v>-SLOWSS-</v>
      </c>
      <c r="Z403" s="4" t="str">
        <f t="shared" si="38"/>
        <v>{"couname":"","img":"0","pty":"","artist":"","genres":"","duration":"","spotId":"","Items":["-SADNE-","-SLOWSS-","OTHR","OTHR","XT_OffAnimals"]},</v>
      </c>
      <c r="AA403" s="5" t="s">
        <v>5</v>
      </c>
      <c r="AB403" s="3" t="str">
        <f t="shared" si="39"/>
        <v>["-SADNE-","-SLOWSS-","OTHR","OTHR","XT_OffAnimals"]</v>
      </c>
      <c r="AC403" s="3">
        <f>_xlfn.XLOOKUP(A403,Album!A:A,Album!J:J)</f>
        <v>0</v>
      </c>
      <c r="AD403" s="3">
        <f>_xlfn.XLOOKUP(D403,Artists!A:A,Artists!B:B)</f>
        <v>0</v>
      </c>
      <c r="AE403" s="3">
        <f>_xlfn.XLOOKUP(D403,Artists!A:A,Artists!C:C)</f>
        <v>0</v>
      </c>
      <c r="AF403" s="3" t="str">
        <f t="shared" si="40"/>
        <v>OTHR</v>
      </c>
      <c r="AG403" s="3" t="str">
        <f t="shared" si="41"/>
        <v>OTHR</v>
      </c>
    </row>
    <row r="404" spans="24:33" x14ac:dyDescent="0.3">
      <c r="X404" s="3" t="str">
        <f t="shared" si="36"/>
        <v>-SADNE-</v>
      </c>
      <c r="Y404" s="3" t="str">
        <f t="shared" si="37"/>
        <v>-SLOWSS-</v>
      </c>
      <c r="Z404" s="4" t="str">
        <f t="shared" si="38"/>
        <v>{"couname":"","img":"0","pty":"","artist":"","genres":"","duration":"","spotId":"","Items":["-SADNE-","-SLOWSS-","OTHR","OTHR","XT_OffAnimals"]},</v>
      </c>
      <c r="AA404" s="5" t="s">
        <v>5</v>
      </c>
      <c r="AB404" s="3" t="str">
        <f t="shared" si="39"/>
        <v>["-SADNE-","-SLOWSS-","OTHR","OTHR","XT_OffAnimals"]</v>
      </c>
      <c r="AC404" s="3">
        <f>_xlfn.XLOOKUP(A404,Album!A:A,Album!J:J)</f>
        <v>0</v>
      </c>
      <c r="AD404" s="3">
        <f>_xlfn.XLOOKUP(D404,Artists!A:A,Artists!B:B)</f>
        <v>0</v>
      </c>
      <c r="AE404" s="3">
        <f>_xlfn.XLOOKUP(D404,Artists!A:A,Artists!C:C)</f>
        <v>0</v>
      </c>
      <c r="AF404" s="3" t="str">
        <f t="shared" si="40"/>
        <v>OTHR</v>
      </c>
      <c r="AG404" s="3" t="str">
        <f t="shared" si="41"/>
        <v>OTHR</v>
      </c>
    </row>
    <row r="405" spans="24:33" x14ac:dyDescent="0.3">
      <c r="X405" s="3" t="str">
        <f t="shared" si="36"/>
        <v>-SADNE-</v>
      </c>
      <c r="Y405" s="3" t="str">
        <f t="shared" si="37"/>
        <v>-SLOWSS-</v>
      </c>
      <c r="Z405" s="4" t="str">
        <f t="shared" si="38"/>
        <v>{"couname":"","img":"0","pty":"","artist":"","genres":"","duration":"","spotId":"","Items":["-SADNE-","-SLOWSS-","OTHR","OTHR","XT_OffAnimals"]},</v>
      </c>
      <c r="AA405" s="5" t="s">
        <v>5</v>
      </c>
      <c r="AB405" s="3" t="str">
        <f t="shared" si="39"/>
        <v>["-SADNE-","-SLOWSS-","OTHR","OTHR","XT_OffAnimals"]</v>
      </c>
      <c r="AC405" s="3">
        <f>_xlfn.XLOOKUP(A405,Album!A:A,Album!J:J)</f>
        <v>0</v>
      </c>
      <c r="AD405" s="3">
        <f>_xlfn.XLOOKUP(D405,Artists!A:A,Artists!B:B)</f>
        <v>0</v>
      </c>
      <c r="AE405" s="3">
        <f>_xlfn.XLOOKUP(D405,Artists!A:A,Artists!C:C)</f>
        <v>0</v>
      </c>
      <c r="AF405" s="3" t="str">
        <f t="shared" si="40"/>
        <v>OTHR</v>
      </c>
      <c r="AG405" s="3" t="str">
        <f t="shared" si="41"/>
        <v>OTHR</v>
      </c>
    </row>
    <row r="406" spans="24:33" x14ac:dyDescent="0.3">
      <c r="X406" s="3" t="str">
        <f t="shared" si="36"/>
        <v>-SADNE-</v>
      </c>
      <c r="Y406" s="3" t="str">
        <f t="shared" si="37"/>
        <v>-SLOWSS-</v>
      </c>
      <c r="Z406" s="4" t="str">
        <f t="shared" si="38"/>
        <v>{"couname":"","img":"0","pty":"","artist":"","genres":"","duration":"","spotId":"","Items":["-SADNE-","-SLOWSS-","OTHR","OTHR","XT_OffAnimals"]},</v>
      </c>
      <c r="AA406" s="5" t="s">
        <v>5</v>
      </c>
      <c r="AB406" s="3" t="str">
        <f t="shared" si="39"/>
        <v>["-SADNE-","-SLOWSS-","OTHR","OTHR","XT_OffAnimals"]</v>
      </c>
      <c r="AC406" s="3">
        <f>_xlfn.XLOOKUP(A406,Album!A:A,Album!J:J)</f>
        <v>0</v>
      </c>
      <c r="AD406" s="3">
        <f>_xlfn.XLOOKUP(D406,Artists!A:A,Artists!B:B)</f>
        <v>0</v>
      </c>
      <c r="AE406" s="3">
        <f>_xlfn.XLOOKUP(D406,Artists!A:A,Artists!C:C)</f>
        <v>0</v>
      </c>
      <c r="AF406" s="3" t="str">
        <f t="shared" si="40"/>
        <v>OTHR</v>
      </c>
      <c r="AG406" s="3" t="str">
        <f t="shared" si="41"/>
        <v>OTHR</v>
      </c>
    </row>
    <row r="407" spans="24:33" x14ac:dyDescent="0.3">
      <c r="X407" s="3" t="str">
        <f t="shared" si="36"/>
        <v>-SADNE-</v>
      </c>
      <c r="Y407" s="3" t="str">
        <f t="shared" si="37"/>
        <v>-SLOWSS-</v>
      </c>
      <c r="Z407" s="4" t="str">
        <f t="shared" si="38"/>
        <v>{"couname":"","img":"0","pty":"","artist":"","genres":"","duration":"","spotId":"","Items":["-SADNE-","-SLOWSS-","OTHR","OTHR","XT_OffAnimals"]},</v>
      </c>
      <c r="AA407" s="5" t="s">
        <v>5</v>
      </c>
      <c r="AB407" s="3" t="str">
        <f t="shared" si="39"/>
        <v>["-SADNE-","-SLOWSS-","OTHR","OTHR","XT_OffAnimals"]</v>
      </c>
      <c r="AC407" s="3">
        <f>_xlfn.XLOOKUP(A407,Album!A:A,Album!J:J)</f>
        <v>0</v>
      </c>
      <c r="AD407" s="3">
        <f>_xlfn.XLOOKUP(D407,Artists!A:A,Artists!B:B)</f>
        <v>0</v>
      </c>
      <c r="AE407" s="3">
        <f>_xlfn.XLOOKUP(D407,Artists!A:A,Artists!C:C)</f>
        <v>0</v>
      </c>
      <c r="AF407" s="3" t="str">
        <f t="shared" si="40"/>
        <v>OTHR</v>
      </c>
      <c r="AG407" s="3" t="str">
        <f t="shared" si="41"/>
        <v>OTHR</v>
      </c>
    </row>
    <row r="408" spans="24:33" x14ac:dyDescent="0.3">
      <c r="X408" s="3" t="str">
        <f t="shared" si="36"/>
        <v>-SADNE-</v>
      </c>
      <c r="Y408" s="3" t="str">
        <f t="shared" si="37"/>
        <v>-SLOWSS-</v>
      </c>
      <c r="Z408" s="4" t="str">
        <f t="shared" si="38"/>
        <v>{"couname":"","img":"0","pty":"","artist":"","genres":"","duration":"","spotId":"","Items":["-SADNE-","-SLOWSS-","OTHR","OTHR","XT_OffAnimals"]},</v>
      </c>
      <c r="AA408" s="5" t="s">
        <v>5</v>
      </c>
      <c r="AB408" s="3" t="str">
        <f t="shared" si="39"/>
        <v>["-SADNE-","-SLOWSS-","OTHR","OTHR","XT_OffAnimals"]</v>
      </c>
      <c r="AC408" s="3">
        <f>_xlfn.XLOOKUP(A408,Album!A:A,Album!J:J)</f>
        <v>0</v>
      </c>
      <c r="AD408" s="3">
        <f>_xlfn.XLOOKUP(D408,Artists!A:A,Artists!B:B)</f>
        <v>0</v>
      </c>
      <c r="AE408" s="3">
        <f>_xlfn.XLOOKUP(D408,Artists!A:A,Artists!C:C)</f>
        <v>0</v>
      </c>
      <c r="AF408" s="3" t="str">
        <f t="shared" si="40"/>
        <v>OTHR</v>
      </c>
      <c r="AG408" s="3" t="str">
        <f t="shared" si="41"/>
        <v>OTHR</v>
      </c>
    </row>
    <row r="409" spans="24:33" x14ac:dyDescent="0.3">
      <c r="X409" s="3" t="str">
        <f t="shared" si="36"/>
        <v>-SADNE-</v>
      </c>
      <c r="Y409" s="3" t="str">
        <f t="shared" si="37"/>
        <v>-SLOWSS-</v>
      </c>
      <c r="Z409" s="4" t="str">
        <f t="shared" si="38"/>
        <v>{"couname":"","img":"0","pty":"","artist":"","genres":"","duration":"","spotId":"","Items":["-SADNE-","-SLOWSS-","OTHR","OTHR","XT_OffAnimals"]},</v>
      </c>
      <c r="AA409" s="5" t="s">
        <v>5</v>
      </c>
      <c r="AB409" s="3" t="str">
        <f t="shared" si="39"/>
        <v>["-SADNE-","-SLOWSS-","OTHR","OTHR","XT_OffAnimals"]</v>
      </c>
      <c r="AC409" s="3">
        <f>_xlfn.XLOOKUP(A409,Album!A:A,Album!J:J)</f>
        <v>0</v>
      </c>
      <c r="AD409" s="3">
        <f>_xlfn.XLOOKUP(D409,Artists!A:A,Artists!B:B)</f>
        <v>0</v>
      </c>
      <c r="AE409" s="3">
        <f>_xlfn.XLOOKUP(D409,Artists!A:A,Artists!C:C)</f>
        <v>0</v>
      </c>
      <c r="AF409" s="3" t="str">
        <f t="shared" si="40"/>
        <v>OTHR</v>
      </c>
      <c r="AG409" s="3" t="str">
        <f t="shared" si="41"/>
        <v>OTHR</v>
      </c>
    </row>
    <row r="410" spans="24:33" x14ac:dyDescent="0.3">
      <c r="X410" s="3" t="str">
        <f t="shared" si="36"/>
        <v>-SADNE-</v>
      </c>
      <c r="Y410" s="3" t="str">
        <f t="shared" si="37"/>
        <v>-SLOWSS-</v>
      </c>
      <c r="Z410" s="4" t="str">
        <f t="shared" si="38"/>
        <v>{"couname":"","img":"0","pty":"","artist":"","genres":"","duration":"","spotId":"","Items":["-SADNE-","-SLOWSS-","OTHR","OTHR","XT_OffAnimals"]},</v>
      </c>
      <c r="AA410" s="5" t="s">
        <v>5</v>
      </c>
      <c r="AB410" s="3" t="str">
        <f t="shared" si="39"/>
        <v>["-SADNE-","-SLOWSS-","OTHR","OTHR","XT_OffAnimals"]</v>
      </c>
      <c r="AC410" s="3">
        <f>_xlfn.XLOOKUP(A410,Album!A:A,Album!J:J)</f>
        <v>0</v>
      </c>
      <c r="AD410" s="3">
        <f>_xlfn.XLOOKUP(D410,Artists!A:A,Artists!B:B)</f>
        <v>0</v>
      </c>
      <c r="AE410" s="3">
        <f>_xlfn.XLOOKUP(D410,Artists!A:A,Artists!C:C)</f>
        <v>0</v>
      </c>
      <c r="AF410" s="3" t="str">
        <f t="shared" si="40"/>
        <v>OTHR</v>
      </c>
      <c r="AG410" s="3" t="str">
        <f t="shared" si="41"/>
        <v>OTHR</v>
      </c>
    </row>
    <row r="411" spans="24:33" x14ac:dyDescent="0.3">
      <c r="X411" s="3" t="str">
        <f t="shared" si="36"/>
        <v>-SADNE-</v>
      </c>
      <c r="Y411" s="3" t="str">
        <f t="shared" si="37"/>
        <v>-SLOWSS-</v>
      </c>
      <c r="Z411" s="4" t="str">
        <f t="shared" si="38"/>
        <v>{"couname":"","img":"0","pty":"","artist":"","genres":"","duration":"","spotId":"","Items":["-SADNE-","-SLOWSS-","OTHR","OTHR","XT_OffAnimals"]},</v>
      </c>
      <c r="AA411" s="5" t="s">
        <v>5</v>
      </c>
      <c r="AB411" s="3" t="str">
        <f t="shared" si="39"/>
        <v>["-SADNE-","-SLOWSS-","OTHR","OTHR","XT_OffAnimals"]</v>
      </c>
      <c r="AC411" s="3">
        <f>_xlfn.XLOOKUP(A411,Album!A:A,Album!J:J)</f>
        <v>0</v>
      </c>
      <c r="AD411" s="3">
        <f>_xlfn.XLOOKUP(D411,Artists!A:A,Artists!B:B)</f>
        <v>0</v>
      </c>
      <c r="AE411" s="3">
        <f>_xlfn.XLOOKUP(D411,Artists!A:A,Artists!C:C)</f>
        <v>0</v>
      </c>
      <c r="AF411" s="3" t="str">
        <f t="shared" si="40"/>
        <v>OTHR</v>
      </c>
      <c r="AG411" s="3" t="str">
        <f t="shared" si="41"/>
        <v>OTHR</v>
      </c>
    </row>
    <row r="412" spans="24:33" x14ac:dyDescent="0.3">
      <c r="X412" s="3" t="str">
        <f t="shared" si="36"/>
        <v>-SADNE-</v>
      </c>
      <c r="Y412" s="3" t="str">
        <f t="shared" si="37"/>
        <v>-SLOWSS-</v>
      </c>
      <c r="Z412" s="4" t="str">
        <f t="shared" si="38"/>
        <v>{"couname":"","img":"0","pty":"","artist":"","genres":"","duration":"","spotId":"","Items":["-SADNE-","-SLOWSS-","OTHR","OTHR","XT_OffAnimals"]},</v>
      </c>
      <c r="AA412" s="5" t="s">
        <v>5</v>
      </c>
      <c r="AB412" s="3" t="str">
        <f t="shared" si="39"/>
        <v>["-SADNE-","-SLOWSS-","OTHR","OTHR","XT_OffAnimals"]</v>
      </c>
      <c r="AC412" s="3">
        <f>_xlfn.XLOOKUP(A412,Album!A:A,Album!J:J)</f>
        <v>0</v>
      </c>
      <c r="AD412" s="3">
        <f>_xlfn.XLOOKUP(D412,Artists!A:A,Artists!B:B)</f>
        <v>0</v>
      </c>
      <c r="AE412" s="3">
        <f>_xlfn.XLOOKUP(D412,Artists!A:A,Artists!C:C)</f>
        <v>0</v>
      </c>
      <c r="AF412" s="3" t="str">
        <f t="shared" si="40"/>
        <v>OTHR</v>
      </c>
      <c r="AG412" s="3" t="str">
        <f t="shared" si="41"/>
        <v>OTHR</v>
      </c>
    </row>
    <row r="413" spans="24:33" x14ac:dyDescent="0.3">
      <c r="X413" s="3" t="str">
        <f t="shared" si="36"/>
        <v>-SADNE-</v>
      </c>
      <c r="Y413" s="3" t="str">
        <f t="shared" si="37"/>
        <v>-SLOWSS-</v>
      </c>
      <c r="Z413" s="4" t="str">
        <f t="shared" si="38"/>
        <v>{"couname":"","img":"0","pty":"","artist":"","genres":"","duration":"","spotId":"","Items":["-SADNE-","-SLOWSS-","OTHR","OTHR","XT_OffAnimals"]},</v>
      </c>
      <c r="AA413" s="5" t="s">
        <v>5</v>
      </c>
      <c r="AB413" s="3" t="str">
        <f t="shared" si="39"/>
        <v>["-SADNE-","-SLOWSS-","OTHR","OTHR","XT_OffAnimals"]</v>
      </c>
      <c r="AC413" s="3">
        <f>_xlfn.XLOOKUP(A413,Album!A:A,Album!J:J)</f>
        <v>0</v>
      </c>
      <c r="AD413" s="3">
        <f>_xlfn.XLOOKUP(D413,Artists!A:A,Artists!B:B)</f>
        <v>0</v>
      </c>
      <c r="AE413" s="3">
        <f>_xlfn.XLOOKUP(D413,Artists!A:A,Artists!C:C)</f>
        <v>0</v>
      </c>
      <c r="AF413" s="3" t="str">
        <f t="shared" si="40"/>
        <v>OTHR</v>
      </c>
      <c r="AG413" s="3" t="str">
        <f t="shared" si="41"/>
        <v>OTHR</v>
      </c>
    </row>
    <row r="414" spans="24:33" x14ac:dyDescent="0.3">
      <c r="X414" s="3" t="str">
        <f t="shared" si="36"/>
        <v>-SADNE-</v>
      </c>
      <c r="Y414" s="3" t="str">
        <f t="shared" si="37"/>
        <v>-SLOWSS-</v>
      </c>
      <c r="Z414" s="4" t="str">
        <f t="shared" si="38"/>
        <v>{"couname":"","img":"0","pty":"","artist":"","genres":"","duration":"","spotId":"","Items":["-SADNE-","-SLOWSS-","OTHR","OTHR","XT_OffAnimals"]},</v>
      </c>
      <c r="AA414" s="5" t="s">
        <v>5</v>
      </c>
      <c r="AB414" s="3" t="str">
        <f t="shared" si="39"/>
        <v>["-SADNE-","-SLOWSS-","OTHR","OTHR","XT_OffAnimals"]</v>
      </c>
      <c r="AC414" s="3">
        <f>_xlfn.XLOOKUP(A414,Album!A:A,Album!J:J)</f>
        <v>0</v>
      </c>
      <c r="AD414" s="3">
        <f>_xlfn.XLOOKUP(D414,Artists!A:A,Artists!B:B)</f>
        <v>0</v>
      </c>
      <c r="AE414" s="3">
        <f>_xlfn.XLOOKUP(D414,Artists!A:A,Artists!C:C)</f>
        <v>0</v>
      </c>
      <c r="AF414" s="3" t="str">
        <f t="shared" si="40"/>
        <v>OTHR</v>
      </c>
      <c r="AG414" s="3" t="str">
        <f t="shared" si="41"/>
        <v>OTHR</v>
      </c>
    </row>
    <row r="415" spans="24:33" x14ac:dyDescent="0.3">
      <c r="X415" s="3" t="str">
        <f t="shared" si="36"/>
        <v>-SADNE-</v>
      </c>
      <c r="Y415" s="3" t="str">
        <f t="shared" si="37"/>
        <v>-SLOWSS-</v>
      </c>
      <c r="Z415" s="4" t="str">
        <f t="shared" si="38"/>
        <v>{"couname":"","img":"0","pty":"","artist":"","genres":"","duration":"","spotId":"","Items":["-SADNE-","-SLOWSS-","OTHR","OTHR","XT_OffAnimals"]},</v>
      </c>
      <c r="AA415" s="5" t="s">
        <v>5</v>
      </c>
      <c r="AB415" s="3" t="str">
        <f t="shared" si="39"/>
        <v>["-SADNE-","-SLOWSS-","OTHR","OTHR","XT_OffAnimals"]</v>
      </c>
      <c r="AC415" s="3">
        <f>_xlfn.XLOOKUP(A415,Album!A:A,Album!J:J)</f>
        <v>0</v>
      </c>
      <c r="AD415" s="3">
        <f>_xlfn.XLOOKUP(D415,Artists!A:A,Artists!B:B)</f>
        <v>0</v>
      </c>
      <c r="AE415" s="3">
        <f>_xlfn.XLOOKUP(D415,Artists!A:A,Artists!C:C)</f>
        <v>0</v>
      </c>
      <c r="AF415" s="3" t="str">
        <f t="shared" si="40"/>
        <v>OTHR</v>
      </c>
      <c r="AG415" s="3" t="str">
        <f t="shared" si="41"/>
        <v>OTHR</v>
      </c>
    </row>
    <row r="416" spans="24:33" x14ac:dyDescent="0.3">
      <c r="X416" s="3" t="str">
        <f t="shared" si="36"/>
        <v>-SADNE-</v>
      </c>
      <c r="Y416" s="3" t="str">
        <f t="shared" si="37"/>
        <v>-SLOWSS-</v>
      </c>
      <c r="Z416" s="4" t="str">
        <f t="shared" si="38"/>
        <v>{"couname":"","img":"0","pty":"","artist":"","genres":"","duration":"","spotId":"","Items":["-SADNE-","-SLOWSS-","OTHR","OTHR","XT_OffAnimals"]},</v>
      </c>
      <c r="AA416" s="5" t="s">
        <v>5</v>
      </c>
      <c r="AB416" s="3" t="str">
        <f t="shared" si="39"/>
        <v>["-SADNE-","-SLOWSS-","OTHR","OTHR","XT_OffAnimals"]</v>
      </c>
      <c r="AC416" s="3">
        <f>_xlfn.XLOOKUP(A416,Album!A:A,Album!J:J)</f>
        <v>0</v>
      </c>
      <c r="AD416" s="3">
        <f>_xlfn.XLOOKUP(D416,Artists!A:A,Artists!B:B)</f>
        <v>0</v>
      </c>
      <c r="AE416" s="3">
        <f>_xlfn.XLOOKUP(D416,Artists!A:A,Artists!C:C)</f>
        <v>0</v>
      </c>
      <c r="AF416" s="3" t="str">
        <f t="shared" si="40"/>
        <v>OTHR</v>
      </c>
      <c r="AG416" s="3" t="str">
        <f t="shared" si="41"/>
        <v>OTHR</v>
      </c>
    </row>
    <row r="417" spans="24:33" x14ac:dyDescent="0.3">
      <c r="X417" s="3" t="str">
        <f t="shared" si="36"/>
        <v>-SADNE-</v>
      </c>
      <c r="Y417" s="3" t="str">
        <f t="shared" si="37"/>
        <v>-SLOWSS-</v>
      </c>
      <c r="Z417" s="4" t="str">
        <f t="shared" si="38"/>
        <v>{"couname":"","img":"0","pty":"","artist":"","genres":"","duration":"","spotId":"","Items":["-SADNE-","-SLOWSS-","OTHR","OTHR","XT_OffAnimals"]},</v>
      </c>
      <c r="AA417" s="5" t="s">
        <v>5</v>
      </c>
      <c r="AB417" s="3" t="str">
        <f t="shared" si="39"/>
        <v>["-SADNE-","-SLOWSS-","OTHR","OTHR","XT_OffAnimals"]</v>
      </c>
      <c r="AC417" s="3">
        <f>_xlfn.XLOOKUP(A417,Album!A:A,Album!J:J)</f>
        <v>0</v>
      </c>
      <c r="AD417" s="3">
        <f>_xlfn.XLOOKUP(D417,Artists!A:A,Artists!B:B)</f>
        <v>0</v>
      </c>
      <c r="AE417" s="3">
        <f>_xlfn.XLOOKUP(D417,Artists!A:A,Artists!C:C)</f>
        <v>0</v>
      </c>
      <c r="AF417" s="3" t="str">
        <f t="shared" si="40"/>
        <v>OTHR</v>
      </c>
      <c r="AG417" s="3" t="str">
        <f t="shared" si="41"/>
        <v>OTHR</v>
      </c>
    </row>
    <row r="418" spans="24:33" x14ac:dyDescent="0.3">
      <c r="X418" s="3" t="str">
        <f t="shared" si="36"/>
        <v>-SADNE-</v>
      </c>
      <c r="Y418" s="3" t="str">
        <f t="shared" si="37"/>
        <v>-SLOWSS-</v>
      </c>
      <c r="Z418" s="4" t="str">
        <f t="shared" si="38"/>
        <v>{"couname":"","img":"0","pty":"","artist":"","genres":"","duration":"","spotId":"","Items":["-SADNE-","-SLOWSS-","OTHR","OTHR","XT_OffAnimals"]},</v>
      </c>
      <c r="AA418" s="5" t="s">
        <v>5</v>
      </c>
      <c r="AB418" s="3" t="str">
        <f t="shared" si="39"/>
        <v>["-SADNE-","-SLOWSS-","OTHR","OTHR","XT_OffAnimals"]</v>
      </c>
      <c r="AC418" s="3">
        <f>_xlfn.XLOOKUP(A418,Album!A:A,Album!J:J)</f>
        <v>0</v>
      </c>
      <c r="AD418" s="3">
        <f>_xlfn.XLOOKUP(D418,Artists!A:A,Artists!B:B)</f>
        <v>0</v>
      </c>
      <c r="AE418" s="3">
        <f>_xlfn.XLOOKUP(D418,Artists!A:A,Artists!C:C)</f>
        <v>0</v>
      </c>
      <c r="AF418" s="3" t="str">
        <f t="shared" si="40"/>
        <v>OTHR</v>
      </c>
      <c r="AG418" s="3" t="str">
        <f t="shared" si="41"/>
        <v>OTHR</v>
      </c>
    </row>
    <row r="419" spans="24:33" x14ac:dyDescent="0.3">
      <c r="X419" s="3" t="str">
        <f t="shared" si="36"/>
        <v>-SADNE-</v>
      </c>
      <c r="Y419" s="3" t="str">
        <f t="shared" si="37"/>
        <v>-SLOWSS-</v>
      </c>
      <c r="Z419" s="4" t="str">
        <f t="shared" si="38"/>
        <v>{"couname":"","img":"0","pty":"","artist":"","genres":"","duration":"","spotId":"","Items":["-SADNE-","-SLOWSS-","OTHR","OTHR","XT_OffAnimals"]},</v>
      </c>
      <c r="AA419" s="5" t="s">
        <v>5</v>
      </c>
      <c r="AB419" s="3" t="str">
        <f t="shared" si="39"/>
        <v>["-SADNE-","-SLOWSS-","OTHR","OTHR","XT_OffAnimals"]</v>
      </c>
      <c r="AC419" s="3">
        <f>_xlfn.XLOOKUP(A419,Album!A:A,Album!J:J)</f>
        <v>0</v>
      </c>
      <c r="AD419" s="3">
        <f>_xlfn.XLOOKUP(D419,Artists!A:A,Artists!B:B)</f>
        <v>0</v>
      </c>
      <c r="AE419" s="3">
        <f>_xlfn.XLOOKUP(D419,Artists!A:A,Artists!C:C)</f>
        <v>0</v>
      </c>
      <c r="AF419" s="3" t="str">
        <f t="shared" si="40"/>
        <v>OTHR</v>
      </c>
      <c r="AG419" s="3" t="str">
        <f t="shared" si="41"/>
        <v>OTHR</v>
      </c>
    </row>
    <row r="420" spans="24:33" x14ac:dyDescent="0.3">
      <c r="X420" s="3" t="str">
        <f t="shared" si="36"/>
        <v>-SADNE-</v>
      </c>
      <c r="Y420" s="3" t="str">
        <f t="shared" si="37"/>
        <v>-SLOWSS-</v>
      </c>
      <c r="Z420" s="4" t="str">
        <f t="shared" si="38"/>
        <v>{"couname":"","img":"0","pty":"","artist":"","genres":"","duration":"","spotId":"","Items":["-SADNE-","-SLOWSS-","OTHR","OTHR","XT_OffAnimals"]},</v>
      </c>
      <c r="AA420" s="5" t="s">
        <v>5</v>
      </c>
      <c r="AB420" s="3" t="str">
        <f t="shared" si="39"/>
        <v>["-SADNE-","-SLOWSS-","OTHR","OTHR","XT_OffAnimals"]</v>
      </c>
      <c r="AC420" s="3">
        <f>_xlfn.XLOOKUP(A420,Album!A:A,Album!J:J)</f>
        <v>0</v>
      </c>
      <c r="AD420" s="3">
        <f>_xlfn.XLOOKUP(D420,Artists!A:A,Artists!B:B)</f>
        <v>0</v>
      </c>
      <c r="AE420" s="3">
        <f>_xlfn.XLOOKUP(D420,Artists!A:A,Artists!C:C)</f>
        <v>0</v>
      </c>
      <c r="AF420" s="3" t="str">
        <f t="shared" si="40"/>
        <v>OTHR</v>
      </c>
      <c r="AG420" s="3" t="str">
        <f t="shared" si="41"/>
        <v>OTHR</v>
      </c>
    </row>
    <row r="421" spans="24:33" x14ac:dyDescent="0.3">
      <c r="X421" s="3" t="str">
        <f t="shared" si="36"/>
        <v>-SADNE-</v>
      </c>
      <c r="Y421" s="3" t="str">
        <f t="shared" si="37"/>
        <v>-SLOWSS-</v>
      </c>
      <c r="Z421" s="4" t="str">
        <f t="shared" si="38"/>
        <v>{"couname":"","img":"0","pty":"","artist":"","genres":"","duration":"","spotId":"","Items":["-SADNE-","-SLOWSS-","OTHR","OTHR","XT_OffAnimals"]},</v>
      </c>
      <c r="AA421" s="5" t="s">
        <v>5</v>
      </c>
      <c r="AB421" s="3" t="str">
        <f t="shared" si="39"/>
        <v>["-SADNE-","-SLOWSS-","OTHR","OTHR","XT_OffAnimals"]</v>
      </c>
      <c r="AC421" s="3">
        <f>_xlfn.XLOOKUP(A421,Album!A:A,Album!J:J)</f>
        <v>0</v>
      </c>
      <c r="AD421" s="3">
        <f>_xlfn.XLOOKUP(D421,Artists!A:A,Artists!B:B)</f>
        <v>0</v>
      </c>
      <c r="AE421" s="3">
        <f>_xlfn.XLOOKUP(D421,Artists!A:A,Artists!C:C)</f>
        <v>0</v>
      </c>
      <c r="AF421" s="3" t="str">
        <f t="shared" si="40"/>
        <v>OTHR</v>
      </c>
      <c r="AG421" s="3" t="str">
        <f t="shared" si="41"/>
        <v>OTHR</v>
      </c>
    </row>
    <row r="422" spans="24:33" x14ac:dyDescent="0.3">
      <c r="X422" s="3" t="str">
        <f t="shared" si="36"/>
        <v>-SADNE-</v>
      </c>
      <c r="Y422" s="3" t="str">
        <f t="shared" si="37"/>
        <v>-SLOWSS-</v>
      </c>
      <c r="Z422" s="4" t="str">
        <f t="shared" si="38"/>
        <v>{"couname":"","img":"0","pty":"","artist":"","genres":"","duration":"","spotId":"","Items":["-SADNE-","-SLOWSS-","OTHR","OTHR","XT_OffAnimals"]},</v>
      </c>
      <c r="AA422" s="5" t="s">
        <v>5</v>
      </c>
      <c r="AB422" s="3" t="str">
        <f t="shared" si="39"/>
        <v>["-SADNE-","-SLOWSS-","OTHR","OTHR","XT_OffAnimals"]</v>
      </c>
      <c r="AC422" s="3">
        <f>_xlfn.XLOOKUP(A422,Album!A:A,Album!J:J)</f>
        <v>0</v>
      </c>
      <c r="AD422" s="3">
        <f>_xlfn.XLOOKUP(D422,Artists!A:A,Artists!B:B)</f>
        <v>0</v>
      </c>
      <c r="AE422" s="3">
        <f>_xlfn.XLOOKUP(D422,Artists!A:A,Artists!C:C)</f>
        <v>0</v>
      </c>
      <c r="AF422" s="3" t="str">
        <f t="shared" si="40"/>
        <v>OTHR</v>
      </c>
      <c r="AG422" s="3" t="str">
        <f t="shared" si="41"/>
        <v>OTHR</v>
      </c>
    </row>
    <row r="423" spans="24:33" x14ac:dyDescent="0.3">
      <c r="X423" s="3" t="str">
        <f t="shared" si="36"/>
        <v>-SADNE-</v>
      </c>
      <c r="Y423" s="3" t="str">
        <f t="shared" si="37"/>
        <v>-SLOWSS-</v>
      </c>
      <c r="Z423" s="4" t="str">
        <f t="shared" si="38"/>
        <v>{"couname":"","img":"0","pty":"","artist":"","genres":"","duration":"","spotId":"","Items":["-SADNE-","-SLOWSS-","OTHR","OTHR","XT_OffAnimals"]},</v>
      </c>
      <c r="AA423" s="5" t="s">
        <v>5</v>
      </c>
      <c r="AB423" s="3" t="str">
        <f t="shared" si="39"/>
        <v>["-SADNE-","-SLOWSS-","OTHR","OTHR","XT_OffAnimals"]</v>
      </c>
      <c r="AC423" s="3">
        <f>_xlfn.XLOOKUP(A423,Album!A:A,Album!J:J)</f>
        <v>0</v>
      </c>
      <c r="AD423" s="3">
        <f>_xlfn.XLOOKUP(D423,Artists!A:A,Artists!B:B)</f>
        <v>0</v>
      </c>
      <c r="AE423" s="3">
        <f>_xlfn.XLOOKUP(D423,Artists!A:A,Artists!C:C)</f>
        <v>0</v>
      </c>
      <c r="AF423" s="3" t="str">
        <f t="shared" si="40"/>
        <v>OTHR</v>
      </c>
      <c r="AG423" s="3" t="str">
        <f t="shared" si="41"/>
        <v>OTHR</v>
      </c>
    </row>
    <row r="424" spans="24:33" x14ac:dyDescent="0.3">
      <c r="X424" s="3" t="str">
        <f t="shared" si="36"/>
        <v>-SADNE-</v>
      </c>
      <c r="Y424" s="3" t="str">
        <f t="shared" si="37"/>
        <v>-SLOWSS-</v>
      </c>
      <c r="Z424" s="4" t="str">
        <f t="shared" si="38"/>
        <v>{"couname":"","img":"0","pty":"","artist":"","genres":"","duration":"","spotId":"","Items":["-SADNE-","-SLOWSS-","OTHR","OTHR","XT_OffAnimals"]},</v>
      </c>
      <c r="AA424" s="5" t="s">
        <v>5</v>
      </c>
      <c r="AB424" s="3" t="str">
        <f t="shared" si="39"/>
        <v>["-SADNE-","-SLOWSS-","OTHR","OTHR","XT_OffAnimals"]</v>
      </c>
      <c r="AC424" s="3">
        <f>_xlfn.XLOOKUP(A424,Album!A:A,Album!J:J)</f>
        <v>0</v>
      </c>
      <c r="AD424" s="3">
        <f>_xlfn.XLOOKUP(D424,Artists!A:A,Artists!B:B)</f>
        <v>0</v>
      </c>
      <c r="AE424" s="3">
        <f>_xlfn.XLOOKUP(D424,Artists!A:A,Artists!C:C)</f>
        <v>0</v>
      </c>
      <c r="AF424" s="3" t="str">
        <f t="shared" si="40"/>
        <v>OTHR</v>
      </c>
      <c r="AG424" s="3" t="str">
        <f t="shared" si="41"/>
        <v>OTHR</v>
      </c>
    </row>
    <row r="425" spans="24:33" x14ac:dyDescent="0.3">
      <c r="X425" s="3" t="str">
        <f t="shared" si="36"/>
        <v>-SADNE-</v>
      </c>
      <c r="Y425" s="3" t="str">
        <f t="shared" si="37"/>
        <v>-SLOWSS-</v>
      </c>
      <c r="Z425" s="4" t="str">
        <f t="shared" si="38"/>
        <v>{"couname":"","img":"0","pty":"","artist":"","genres":"","duration":"","spotId":"","Items":["-SADNE-","-SLOWSS-","OTHR","OTHR","XT_OffAnimals"]},</v>
      </c>
      <c r="AA425" s="5" t="s">
        <v>5</v>
      </c>
      <c r="AB425" s="3" t="str">
        <f t="shared" si="39"/>
        <v>["-SADNE-","-SLOWSS-","OTHR","OTHR","XT_OffAnimals"]</v>
      </c>
      <c r="AC425" s="3">
        <f>_xlfn.XLOOKUP(A425,Album!A:A,Album!J:J)</f>
        <v>0</v>
      </c>
      <c r="AD425" s="3">
        <f>_xlfn.XLOOKUP(D425,Artists!A:A,Artists!B:B)</f>
        <v>0</v>
      </c>
      <c r="AE425" s="3">
        <f>_xlfn.XLOOKUP(D425,Artists!A:A,Artists!C:C)</f>
        <v>0</v>
      </c>
      <c r="AF425" s="3" t="str">
        <f t="shared" si="40"/>
        <v>OTHR</v>
      </c>
      <c r="AG425" s="3" t="str">
        <f t="shared" si="41"/>
        <v>OTHR</v>
      </c>
    </row>
    <row r="426" spans="24:33" x14ac:dyDescent="0.3">
      <c r="X426" s="3" t="str">
        <f t="shared" si="36"/>
        <v>-SADNE-</v>
      </c>
      <c r="Y426" s="3" t="str">
        <f t="shared" si="37"/>
        <v>-SLOWSS-</v>
      </c>
      <c r="Z426" s="4" t="str">
        <f t="shared" si="38"/>
        <v>{"couname":"","img":"0","pty":"","artist":"","genres":"","duration":"","spotId":"","Items":["-SADNE-","-SLOWSS-","OTHR","OTHR","XT_OffAnimals"]},</v>
      </c>
      <c r="AA426" s="5" t="s">
        <v>5</v>
      </c>
      <c r="AB426" s="3" t="str">
        <f t="shared" si="39"/>
        <v>["-SADNE-","-SLOWSS-","OTHR","OTHR","XT_OffAnimals"]</v>
      </c>
      <c r="AC426" s="3">
        <f>_xlfn.XLOOKUP(A426,Album!A:A,Album!J:J)</f>
        <v>0</v>
      </c>
      <c r="AD426" s="3">
        <f>_xlfn.XLOOKUP(D426,Artists!A:A,Artists!B:B)</f>
        <v>0</v>
      </c>
      <c r="AE426" s="3">
        <f>_xlfn.XLOOKUP(D426,Artists!A:A,Artists!C:C)</f>
        <v>0</v>
      </c>
      <c r="AF426" s="3" t="str">
        <f t="shared" si="40"/>
        <v>OTHR</v>
      </c>
      <c r="AG426" s="3" t="str">
        <f t="shared" si="41"/>
        <v>OTHR</v>
      </c>
    </row>
    <row r="427" spans="24:33" x14ac:dyDescent="0.3">
      <c r="X427" s="3" t="str">
        <f t="shared" si="36"/>
        <v>-SADNE-</v>
      </c>
      <c r="Y427" s="3" t="str">
        <f t="shared" si="37"/>
        <v>-SLOWSS-</v>
      </c>
      <c r="Z427" s="4" t="str">
        <f t="shared" si="38"/>
        <v>{"couname":"","img":"0","pty":"","artist":"","genres":"","duration":"","spotId":"","Items":["-SADNE-","-SLOWSS-","OTHR","OTHR","XT_OffAnimals"]},</v>
      </c>
      <c r="AA427" s="5" t="s">
        <v>5</v>
      </c>
      <c r="AB427" s="3" t="str">
        <f t="shared" si="39"/>
        <v>["-SADNE-","-SLOWSS-","OTHR","OTHR","XT_OffAnimals"]</v>
      </c>
      <c r="AC427" s="3">
        <f>_xlfn.XLOOKUP(A427,Album!A:A,Album!J:J)</f>
        <v>0</v>
      </c>
      <c r="AD427" s="3">
        <f>_xlfn.XLOOKUP(D427,Artists!A:A,Artists!B:B)</f>
        <v>0</v>
      </c>
      <c r="AE427" s="3">
        <f>_xlfn.XLOOKUP(D427,Artists!A:A,Artists!C:C)</f>
        <v>0</v>
      </c>
      <c r="AF427" s="3" t="str">
        <f t="shared" si="40"/>
        <v>OTHR</v>
      </c>
      <c r="AG427" s="3" t="str">
        <f t="shared" si="41"/>
        <v>OTHR</v>
      </c>
    </row>
    <row r="428" spans="24:33" x14ac:dyDescent="0.3">
      <c r="X428" s="3" t="str">
        <f t="shared" si="36"/>
        <v>-SADNE-</v>
      </c>
      <c r="Y428" s="3" t="str">
        <f t="shared" si="37"/>
        <v>-SLOWSS-</v>
      </c>
      <c r="Z428" s="4" t="str">
        <f t="shared" si="38"/>
        <v>{"couname":"","img":"0","pty":"","artist":"","genres":"","duration":"","spotId":"","Items":["-SADNE-","-SLOWSS-","OTHR","OTHR","XT_OffAnimals"]},</v>
      </c>
      <c r="AA428" s="5" t="s">
        <v>5</v>
      </c>
      <c r="AB428" s="3" t="str">
        <f t="shared" si="39"/>
        <v>["-SADNE-","-SLOWSS-","OTHR","OTHR","XT_OffAnimals"]</v>
      </c>
      <c r="AC428" s="3">
        <f>_xlfn.XLOOKUP(A428,Album!A:A,Album!J:J)</f>
        <v>0</v>
      </c>
      <c r="AD428" s="3">
        <f>_xlfn.XLOOKUP(D428,Artists!A:A,Artists!B:B)</f>
        <v>0</v>
      </c>
      <c r="AE428" s="3">
        <f>_xlfn.XLOOKUP(D428,Artists!A:A,Artists!C:C)</f>
        <v>0</v>
      </c>
      <c r="AF428" s="3" t="str">
        <f t="shared" si="40"/>
        <v>OTHR</v>
      </c>
      <c r="AG428" s="3" t="str">
        <f t="shared" si="41"/>
        <v>OTHR</v>
      </c>
    </row>
    <row r="429" spans="24:33" x14ac:dyDescent="0.3">
      <c r="X429" s="3" t="str">
        <f t="shared" si="36"/>
        <v>-SADNE-</v>
      </c>
      <c r="Y429" s="3" t="str">
        <f t="shared" si="37"/>
        <v>-SLOWSS-</v>
      </c>
      <c r="Z429" s="4" t="str">
        <f t="shared" si="38"/>
        <v>{"couname":"","img":"0","pty":"","artist":"","genres":"","duration":"","spotId":"","Items":["-SADNE-","-SLOWSS-","OTHR","OTHR","XT_OffAnimals"]},</v>
      </c>
      <c r="AA429" s="5" t="s">
        <v>5</v>
      </c>
      <c r="AB429" s="3" t="str">
        <f t="shared" si="39"/>
        <v>["-SADNE-","-SLOWSS-","OTHR","OTHR","XT_OffAnimals"]</v>
      </c>
      <c r="AC429" s="3">
        <f>_xlfn.XLOOKUP(A429,Album!A:A,Album!J:J)</f>
        <v>0</v>
      </c>
      <c r="AD429" s="3">
        <f>_xlfn.XLOOKUP(D429,Artists!A:A,Artists!B:B)</f>
        <v>0</v>
      </c>
      <c r="AE429" s="3">
        <f>_xlfn.XLOOKUP(D429,Artists!A:A,Artists!C:C)</f>
        <v>0</v>
      </c>
      <c r="AF429" s="3" t="str">
        <f t="shared" si="40"/>
        <v>OTHR</v>
      </c>
      <c r="AG429" s="3" t="str">
        <f t="shared" si="41"/>
        <v>OTHR</v>
      </c>
    </row>
    <row r="430" spans="24:33" x14ac:dyDescent="0.3">
      <c r="X430" s="3" t="str">
        <f t="shared" si="36"/>
        <v>-SADNE-</v>
      </c>
      <c r="Y430" s="3" t="str">
        <f t="shared" si="37"/>
        <v>-SLOWSS-</v>
      </c>
      <c r="Z430" s="4" t="str">
        <f t="shared" si="38"/>
        <v>{"couname":"","img":"0","pty":"","artist":"","genres":"","duration":"","spotId":"","Items":["-SADNE-","-SLOWSS-","OTHR","OTHR","XT_OffAnimals"]},</v>
      </c>
      <c r="AA430" s="5" t="s">
        <v>5</v>
      </c>
      <c r="AB430" s="3" t="str">
        <f t="shared" si="39"/>
        <v>["-SADNE-","-SLOWSS-","OTHR","OTHR","XT_OffAnimals"]</v>
      </c>
      <c r="AC430" s="3">
        <f>_xlfn.XLOOKUP(A430,Album!A:A,Album!J:J)</f>
        <v>0</v>
      </c>
      <c r="AD430" s="3">
        <f>_xlfn.XLOOKUP(D430,Artists!A:A,Artists!B:B)</f>
        <v>0</v>
      </c>
      <c r="AE430" s="3">
        <f>_xlfn.XLOOKUP(D430,Artists!A:A,Artists!C:C)</f>
        <v>0</v>
      </c>
      <c r="AF430" s="3" t="str">
        <f t="shared" si="40"/>
        <v>OTHR</v>
      </c>
      <c r="AG430" s="3" t="str">
        <f t="shared" si="41"/>
        <v>OTHR</v>
      </c>
    </row>
    <row r="431" spans="24:33" x14ac:dyDescent="0.3">
      <c r="X431" s="3" t="str">
        <f t="shared" si="36"/>
        <v>-SADNE-</v>
      </c>
      <c r="Y431" s="3" t="str">
        <f t="shared" si="37"/>
        <v>-SLOWSS-</v>
      </c>
      <c r="Z431" s="4" t="str">
        <f t="shared" si="38"/>
        <v>{"couname":"","img":"0","pty":"","artist":"","genres":"","duration":"","spotId":"","Items":["-SADNE-","-SLOWSS-","OTHR","OTHR","XT_OffAnimals"]},</v>
      </c>
      <c r="AA431" s="5" t="s">
        <v>5</v>
      </c>
      <c r="AB431" s="3" t="str">
        <f t="shared" si="39"/>
        <v>["-SADNE-","-SLOWSS-","OTHR","OTHR","XT_OffAnimals"]</v>
      </c>
      <c r="AC431" s="3">
        <f>_xlfn.XLOOKUP(A431,Album!A:A,Album!J:J)</f>
        <v>0</v>
      </c>
      <c r="AD431" s="3">
        <f>_xlfn.XLOOKUP(D431,Artists!A:A,Artists!B:B)</f>
        <v>0</v>
      </c>
      <c r="AE431" s="3">
        <f>_xlfn.XLOOKUP(D431,Artists!A:A,Artists!C:C)</f>
        <v>0</v>
      </c>
      <c r="AF431" s="3" t="str">
        <f t="shared" si="40"/>
        <v>OTHR</v>
      </c>
      <c r="AG431" s="3" t="str">
        <f t="shared" si="41"/>
        <v>OTHR</v>
      </c>
    </row>
    <row r="432" spans="24:33" x14ac:dyDescent="0.3">
      <c r="X432" s="3" t="str">
        <f t="shared" si="36"/>
        <v>-SADNE-</v>
      </c>
      <c r="Y432" s="3" t="str">
        <f t="shared" si="37"/>
        <v>-SLOWSS-</v>
      </c>
      <c r="Z432" s="4" t="str">
        <f t="shared" si="38"/>
        <v>{"couname":"","img":"0","pty":"","artist":"","genres":"","duration":"","spotId":"","Items":["-SADNE-","-SLOWSS-","OTHR","OTHR","XT_OffAnimals"]},</v>
      </c>
      <c r="AA432" s="5" t="s">
        <v>5</v>
      </c>
      <c r="AB432" s="3" t="str">
        <f t="shared" si="39"/>
        <v>["-SADNE-","-SLOWSS-","OTHR","OTHR","XT_OffAnimals"]</v>
      </c>
      <c r="AC432" s="3">
        <f>_xlfn.XLOOKUP(A432,Album!A:A,Album!J:J)</f>
        <v>0</v>
      </c>
      <c r="AD432" s="3">
        <f>_xlfn.XLOOKUP(D432,Artists!A:A,Artists!B:B)</f>
        <v>0</v>
      </c>
      <c r="AE432" s="3">
        <f>_xlfn.XLOOKUP(D432,Artists!A:A,Artists!C:C)</f>
        <v>0</v>
      </c>
      <c r="AF432" s="3" t="str">
        <f t="shared" si="40"/>
        <v>OTHR</v>
      </c>
      <c r="AG432" s="3" t="str">
        <f t="shared" si="41"/>
        <v>OTHR</v>
      </c>
    </row>
    <row r="433" spans="24:33" x14ac:dyDescent="0.3">
      <c r="X433" s="3" t="str">
        <f t="shared" si="36"/>
        <v>-SADNE-</v>
      </c>
      <c r="Y433" s="3" t="str">
        <f t="shared" si="37"/>
        <v>-SLOWSS-</v>
      </c>
      <c r="Z433" s="4" t="str">
        <f t="shared" si="38"/>
        <v>{"couname":"","img":"0","pty":"","artist":"","genres":"","duration":"","spotId":"","Items":["-SADNE-","-SLOWSS-","OTHR","OTHR","XT_OffAnimals"]},</v>
      </c>
      <c r="AA433" s="5" t="s">
        <v>5</v>
      </c>
      <c r="AB433" s="3" t="str">
        <f t="shared" si="39"/>
        <v>["-SADNE-","-SLOWSS-","OTHR","OTHR","XT_OffAnimals"]</v>
      </c>
      <c r="AC433" s="3">
        <f>_xlfn.XLOOKUP(A433,Album!A:A,Album!J:J)</f>
        <v>0</v>
      </c>
      <c r="AD433" s="3">
        <f>_xlfn.XLOOKUP(D433,Artists!A:A,Artists!B:B)</f>
        <v>0</v>
      </c>
      <c r="AE433" s="3">
        <f>_xlfn.XLOOKUP(D433,Artists!A:A,Artists!C:C)</f>
        <v>0</v>
      </c>
      <c r="AF433" s="3" t="str">
        <f t="shared" si="40"/>
        <v>OTHR</v>
      </c>
      <c r="AG433" s="3" t="str">
        <f t="shared" si="41"/>
        <v>OTHR</v>
      </c>
    </row>
    <row r="434" spans="24:33" x14ac:dyDescent="0.3">
      <c r="X434" s="3" t="str">
        <f t="shared" si="36"/>
        <v>-SADNE-</v>
      </c>
      <c r="Y434" s="3" t="str">
        <f t="shared" si="37"/>
        <v>-SLOWSS-</v>
      </c>
      <c r="Z434" s="4" t="str">
        <f t="shared" si="38"/>
        <v>{"couname":"","img":"0","pty":"","artist":"","genres":"","duration":"","spotId":"","Items":["-SADNE-","-SLOWSS-","OTHR","OTHR","XT_OffAnimals"]},</v>
      </c>
      <c r="AA434" s="5" t="s">
        <v>5</v>
      </c>
      <c r="AB434" s="3" t="str">
        <f t="shared" si="39"/>
        <v>["-SADNE-","-SLOWSS-","OTHR","OTHR","XT_OffAnimals"]</v>
      </c>
      <c r="AC434" s="3">
        <f>_xlfn.XLOOKUP(A434,Album!A:A,Album!J:J)</f>
        <v>0</v>
      </c>
      <c r="AD434" s="3">
        <f>_xlfn.XLOOKUP(D434,Artists!A:A,Artists!B:B)</f>
        <v>0</v>
      </c>
      <c r="AE434" s="3">
        <f>_xlfn.XLOOKUP(D434,Artists!A:A,Artists!C:C)</f>
        <v>0</v>
      </c>
      <c r="AF434" s="3" t="str">
        <f t="shared" si="40"/>
        <v>OTHR</v>
      </c>
      <c r="AG434" s="3" t="str">
        <f t="shared" si="41"/>
        <v>OTHR</v>
      </c>
    </row>
    <row r="435" spans="24:33" x14ac:dyDescent="0.3">
      <c r="X435" s="3" t="str">
        <f t="shared" si="36"/>
        <v>-SADNE-</v>
      </c>
      <c r="Y435" s="3" t="str">
        <f t="shared" si="37"/>
        <v>-SLOWSS-</v>
      </c>
      <c r="Z435" s="4" t="str">
        <f t="shared" si="38"/>
        <v>{"couname":"","img":"0","pty":"","artist":"","genres":"","duration":"","spotId":"","Items":["-SADNE-","-SLOWSS-","OTHR","OTHR","XT_OffAnimals"]},</v>
      </c>
      <c r="AA435" s="5" t="s">
        <v>5</v>
      </c>
      <c r="AB435" s="3" t="str">
        <f t="shared" si="39"/>
        <v>["-SADNE-","-SLOWSS-","OTHR","OTHR","XT_OffAnimals"]</v>
      </c>
      <c r="AC435" s="3">
        <f>_xlfn.XLOOKUP(A435,Album!A:A,Album!J:J)</f>
        <v>0</v>
      </c>
      <c r="AD435" s="3">
        <f>_xlfn.XLOOKUP(D435,Artists!A:A,Artists!B:B)</f>
        <v>0</v>
      </c>
      <c r="AE435" s="3">
        <f>_xlfn.XLOOKUP(D435,Artists!A:A,Artists!C:C)</f>
        <v>0</v>
      </c>
      <c r="AF435" s="3" t="str">
        <f t="shared" si="40"/>
        <v>OTHR</v>
      </c>
      <c r="AG435" s="3" t="str">
        <f t="shared" si="41"/>
        <v>OTHR</v>
      </c>
    </row>
    <row r="436" spans="24:33" x14ac:dyDescent="0.3">
      <c r="X436" s="3" t="str">
        <f t="shared" si="36"/>
        <v>-SADNE-</v>
      </c>
      <c r="Y436" s="3" t="str">
        <f t="shared" si="37"/>
        <v>-SLOWSS-</v>
      </c>
      <c r="Z436" s="4" t="str">
        <f t="shared" si="38"/>
        <v>{"couname":"","img":"0","pty":"","artist":"","genres":"","duration":"","spotId":"","Items":["-SADNE-","-SLOWSS-","OTHR","OTHR","XT_OffAnimals"]},</v>
      </c>
      <c r="AA436" s="5" t="s">
        <v>5</v>
      </c>
      <c r="AB436" s="3" t="str">
        <f t="shared" si="39"/>
        <v>["-SADNE-","-SLOWSS-","OTHR","OTHR","XT_OffAnimals"]</v>
      </c>
      <c r="AC436" s="3">
        <f>_xlfn.XLOOKUP(A436,Album!A:A,Album!J:J)</f>
        <v>0</v>
      </c>
      <c r="AD436" s="3">
        <f>_xlfn.XLOOKUP(D436,Artists!A:A,Artists!B:B)</f>
        <v>0</v>
      </c>
      <c r="AE436" s="3">
        <f>_xlfn.XLOOKUP(D436,Artists!A:A,Artists!C:C)</f>
        <v>0</v>
      </c>
      <c r="AF436" s="3" t="str">
        <f t="shared" si="40"/>
        <v>OTHR</v>
      </c>
      <c r="AG436" s="3" t="str">
        <f t="shared" si="41"/>
        <v>OTHR</v>
      </c>
    </row>
    <row r="437" spans="24:33" x14ac:dyDescent="0.3">
      <c r="X437" s="3" t="str">
        <f t="shared" si="36"/>
        <v>-SADNE-</v>
      </c>
      <c r="Y437" s="3" t="str">
        <f t="shared" si="37"/>
        <v>-SLOWSS-</v>
      </c>
      <c r="Z437" s="4" t="str">
        <f t="shared" si="38"/>
        <v>{"couname":"","img":"0","pty":"","artist":"","genres":"","duration":"","spotId":"","Items":["-SADNE-","-SLOWSS-","OTHR","OTHR","XT_OffAnimals"]},</v>
      </c>
      <c r="AA437" s="5" t="s">
        <v>5</v>
      </c>
      <c r="AB437" s="3" t="str">
        <f t="shared" si="39"/>
        <v>["-SADNE-","-SLOWSS-","OTHR","OTHR","XT_OffAnimals"]</v>
      </c>
      <c r="AC437" s="3">
        <f>_xlfn.XLOOKUP(A437,Album!A:A,Album!J:J)</f>
        <v>0</v>
      </c>
      <c r="AD437" s="3">
        <f>_xlfn.XLOOKUP(D437,Artists!A:A,Artists!B:B)</f>
        <v>0</v>
      </c>
      <c r="AE437" s="3">
        <f>_xlfn.XLOOKUP(D437,Artists!A:A,Artists!C:C)</f>
        <v>0</v>
      </c>
      <c r="AF437" s="3" t="str">
        <f t="shared" si="40"/>
        <v>OTHR</v>
      </c>
      <c r="AG437" s="3" t="str">
        <f t="shared" si="41"/>
        <v>OTHR</v>
      </c>
    </row>
    <row r="438" spans="24:33" x14ac:dyDescent="0.3">
      <c r="X438" s="3" t="str">
        <f t="shared" si="36"/>
        <v>-SADNE-</v>
      </c>
      <c r="Y438" s="3" t="str">
        <f t="shared" si="37"/>
        <v>-SLOWSS-</v>
      </c>
      <c r="Z438" s="4" t="str">
        <f t="shared" si="38"/>
        <v>{"couname":"","img":"0","pty":"","artist":"","genres":"","duration":"","spotId":"","Items":["-SADNE-","-SLOWSS-","OTHR","OTHR","XT_OffAnimals"]},</v>
      </c>
      <c r="AA438" s="5" t="s">
        <v>5</v>
      </c>
      <c r="AB438" s="3" t="str">
        <f t="shared" si="39"/>
        <v>["-SADNE-","-SLOWSS-","OTHR","OTHR","XT_OffAnimals"]</v>
      </c>
      <c r="AC438" s="3">
        <f>_xlfn.XLOOKUP(A438,Album!A:A,Album!J:J)</f>
        <v>0</v>
      </c>
      <c r="AD438" s="3">
        <f>_xlfn.XLOOKUP(D438,Artists!A:A,Artists!B:B)</f>
        <v>0</v>
      </c>
      <c r="AE438" s="3">
        <f>_xlfn.XLOOKUP(D438,Artists!A:A,Artists!C:C)</f>
        <v>0</v>
      </c>
      <c r="AF438" s="3" t="str">
        <f t="shared" si="40"/>
        <v>OTHR</v>
      </c>
      <c r="AG438" s="3" t="str">
        <f t="shared" si="41"/>
        <v>OTHR</v>
      </c>
    </row>
    <row r="439" spans="24:33" x14ac:dyDescent="0.3">
      <c r="X439" s="3" t="str">
        <f t="shared" si="36"/>
        <v>-SADNE-</v>
      </c>
      <c r="Y439" s="3" t="str">
        <f t="shared" si="37"/>
        <v>-SLOWSS-</v>
      </c>
      <c r="Z439" s="4" t="str">
        <f t="shared" si="38"/>
        <v>{"couname":"","img":"0","pty":"","artist":"","genres":"","duration":"","spotId":"","Items":["-SADNE-","-SLOWSS-","OTHR","OTHR","XT_OffAnimals"]},</v>
      </c>
      <c r="AA439" s="5" t="s">
        <v>5</v>
      </c>
      <c r="AB439" s="3" t="str">
        <f t="shared" si="39"/>
        <v>["-SADNE-","-SLOWSS-","OTHR","OTHR","XT_OffAnimals"]</v>
      </c>
      <c r="AC439" s="3">
        <f>_xlfn.XLOOKUP(A439,Album!A:A,Album!J:J)</f>
        <v>0</v>
      </c>
      <c r="AD439" s="3">
        <f>_xlfn.XLOOKUP(D439,Artists!A:A,Artists!B:B)</f>
        <v>0</v>
      </c>
      <c r="AE439" s="3">
        <f>_xlfn.XLOOKUP(D439,Artists!A:A,Artists!C:C)</f>
        <v>0</v>
      </c>
      <c r="AF439" s="3" t="str">
        <f t="shared" si="40"/>
        <v>OTHR</v>
      </c>
      <c r="AG439" s="3" t="str">
        <f t="shared" si="41"/>
        <v>OTHR</v>
      </c>
    </row>
    <row r="440" spans="24:33" x14ac:dyDescent="0.3">
      <c r="X440" s="3" t="str">
        <f t="shared" si="36"/>
        <v>-SADNE-</v>
      </c>
      <c r="Y440" s="3" t="str">
        <f t="shared" si="37"/>
        <v>-SLOWSS-</v>
      </c>
      <c r="Z440" s="4" t="str">
        <f t="shared" si="38"/>
        <v>{"couname":"","img":"0","pty":"","artist":"","genres":"","duration":"","spotId":"","Items":["-SADNE-","-SLOWSS-","OTHR","OTHR","XT_OffAnimals"]},</v>
      </c>
      <c r="AA440" s="5" t="s">
        <v>5</v>
      </c>
      <c r="AB440" s="3" t="str">
        <f t="shared" si="39"/>
        <v>["-SADNE-","-SLOWSS-","OTHR","OTHR","XT_OffAnimals"]</v>
      </c>
      <c r="AC440" s="3">
        <f>_xlfn.XLOOKUP(A440,Album!A:A,Album!J:J)</f>
        <v>0</v>
      </c>
      <c r="AD440" s="3">
        <f>_xlfn.XLOOKUP(D440,Artists!A:A,Artists!B:B)</f>
        <v>0</v>
      </c>
      <c r="AE440" s="3">
        <f>_xlfn.XLOOKUP(D440,Artists!A:A,Artists!C:C)</f>
        <v>0</v>
      </c>
      <c r="AF440" s="3" t="str">
        <f t="shared" si="40"/>
        <v>OTHR</v>
      </c>
      <c r="AG440" s="3" t="str">
        <f t="shared" si="41"/>
        <v>OTHR</v>
      </c>
    </row>
    <row r="441" spans="24:33" x14ac:dyDescent="0.3">
      <c r="X441" s="3" t="str">
        <f t="shared" si="36"/>
        <v>-SADNE-</v>
      </c>
      <c r="Y441" s="3" t="str">
        <f t="shared" si="37"/>
        <v>-SLOWSS-</v>
      </c>
      <c r="Z441" s="4" t="str">
        <f t="shared" si="38"/>
        <v>{"couname":"","img":"0","pty":"","artist":"","genres":"","duration":"","spotId":"","Items":["-SADNE-","-SLOWSS-","OTHR","OTHR","XT_OffAnimals"]},</v>
      </c>
      <c r="AA441" s="5" t="s">
        <v>5</v>
      </c>
      <c r="AB441" s="3" t="str">
        <f t="shared" si="39"/>
        <v>["-SADNE-","-SLOWSS-","OTHR","OTHR","XT_OffAnimals"]</v>
      </c>
      <c r="AC441" s="3">
        <f>_xlfn.XLOOKUP(A441,Album!A:A,Album!J:J)</f>
        <v>0</v>
      </c>
      <c r="AD441" s="3">
        <f>_xlfn.XLOOKUP(D441,Artists!A:A,Artists!B:B)</f>
        <v>0</v>
      </c>
      <c r="AE441" s="3">
        <f>_xlfn.XLOOKUP(D441,Artists!A:A,Artists!C:C)</f>
        <v>0</v>
      </c>
      <c r="AF441" s="3" t="str">
        <f t="shared" si="40"/>
        <v>OTHR</v>
      </c>
      <c r="AG441" s="3" t="str">
        <f t="shared" si="41"/>
        <v>OTHR</v>
      </c>
    </row>
    <row r="442" spans="24:33" x14ac:dyDescent="0.3">
      <c r="X442" s="3" t="str">
        <f t="shared" si="36"/>
        <v>-SADNE-</v>
      </c>
      <c r="Y442" s="3" t="str">
        <f t="shared" si="37"/>
        <v>-SLOWSS-</v>
      </c>
      <c r="Z442" s="4" t="str">
        <f t="shared" si="38"/>
        <v>{"couname":"","img":"0","pty":"","artist":"","genres":"","duration":"","spotId":"","Items":["-SADNE-","-SLOWSS-","OTHR","OTHR","XT_OffAnimals"]},</v>
      </c>
      <c r="AA442" s="5" t="s">
        <v>5</v>
      </c>
      <c r="AB442" s="3" t="str">
        <f t="shared" si="39"/>
        <v>["-SADNE-","-SLOWSS-","OTHR","OTHR","XT_OffAnimals"]</v>
      </c>
      <c r="AC442" s="3">
        <f>_xlfn.XLOOKUP(A442,Album!A:A,Album!J:J)</f>
        <v>0</v>
      </c>
      <c r="AD442" s="3">
        <f>_xlfn.XLOOKUP(D442,Artists!A:A,Artists!B:B)</f>
        <v>0</v>
      </c>
      <c r="AE442" s="3">
        <f>_xlfn.XLOOKUP(D442,Artists!A:A,Artists!C:C)</f>
        <v>0</v>
      </c>
      <c r="AF442" s="3" t="str">
        <f t="shared" si="40"/>
        <v>OTHR</v>
      </c>
      <c r="AG442" s="3" t="str">
        <f t="shared" si="41"/>
        <v>OTHR</v>
      </c>
    </row>
    <row r="443" spans="24:33" x14ac:dyDescent="0.3">
      <c r="X443" s="3" t="str">
        <f t="shared" si="36"/>
        <v>-SADNE-</v>
      </c>
      <c r="Y443" s="3" t="str">
        <f t="shared" si="37"/>
        <v>-SLOWSS-</v>
      </c>
      <c r="Z443" s="4" t="str">
        <f t="shared" si="38"/>
        <v>{"couname":"","img":"0","pty":"","artist":"","genres":"","duration":"","spotId":"","Items":["-SADNE-","-SLOWSS-","OTHR","OTHR","XT_OffAnimals"]},</v>
      </c>
      <c r="AA443" s="5" t="s">
        <v>5</v>
      </c>
      <c r="AB443" s="3" t="str">
        <f t="shared" si="39"/>
        <v>["-SADNE-","-SLOWSS-","OTHR","OTHR","XT_OffAnimals"]</v>
      </c>
      <c r="AC443" s="3">
        <f>_xlfn.XLOOKUP(A443,Album!A:A,Album!J:J)</f>
        <v>0</v>
      </c>
      <c r="AD443" s="3">
        <f>_xlfn.XLOOKUP(D443,Artists!A:A,Artists!B:B)</f>
        <v>0</v>
      </c>
      <c r="AE443" s="3">
        <f>_xlfn.XLOOKUP(D443,Artists!A:A,Artists!C:C)</f>
        <v>0</v>
      </c>
      <c r="AF443" s="3" t="str">
        <f t="shared" si="40"/>
        <v>OTHR</v>
      </c>
      <c r="AG443" s="3" t="str">
        <f t="shared" si="41"/>
        <v>OTHR</v>
      </c>
    </row>
    <row r="444" spans="24:33" x14ac:dyDescent="0.3">
      <c r="X444" s="3" t="str">
        <f t="shared" si="36"/>
        <v>-SADNE-</v>
      </c>
      <c r="Y444" s="3" t="str">
        <f t="shared" si="37"/>
        <v>-SLOWSS-</v>
      </c>
      <c r="Z444" s="4" t="str">
        <f t="shared" si="38"/>
        <v>{"couname":"","img":"0","pty":"","artist":"","genres":"","duration":"","spotId":"","Items":["-SADNE-","-SLOWSS-","OTHR","OTHR","XT_OffAnimals"]},</v>
      </c>
      <c r="AA444" s="5" t="s">
        <v>5</v>
      </c>
      <c r="AB444" s="3" t="str">
        <f t="shared" si="39"/>
        <v>["-SADNE-","-SLOWSS-","OTHR","OTHR","XT_OffAnimals"]</v>
      </c>
      <c r="AC444" s="3">
        <f>_xlfn.XLOOKUP(A444,Album!A:A,Album!J:J)</f>
        <v>0</v>
      </c>
      <c r="AD444" s="3">
        <f>_xlfn.XLOOKUP(D444,Artists!A:A,Artists!B:B)</f>
        <v>0</v>
      </c>
      <c r="AE444" s="3">
        <f>_xlfn.XLOOKUP(D444,Artists!A:A,Artists!C:C)</f>
        <v>0</v>
      </c>
      <c r="AF444" s="3" t="str">
        <f t="shared" si="40"/>
        <v>OTHR</v>
      </c>
      <c r="AG444" s="3" t="str">
        <f t="shared" si="41"/>
        <v>OTHR</v>
      </c>
    </row>
    <row r="445" spans="24:33" x14ac:dyDescent="0.3">
      <c r="X445" s="3" t="str">
        <f t="shared" si="36"/>
        <v>-SADNE-</v>
      </c>
      <c r="Y445" s="3" t="str">
        <f t="shared" si="37"/>
        <v>-SLOWSS-</v>
      </c>
      <c r="Z445" s="4" t="str">
        <f t="shared" si="38"/>
        <v>{"couname":"","img":"0","pty":"","artist":"","genres":"","duration":"","spotId":"","Items":["-SADNE-","-SLOWSS-","OTHR","OTHR","XT_OffAnimals"]},</v>
      </c>
      <c r="AA445" s="5" t="s">
        <v>5</v>
      </c>
      <c r="AB445" s="3" t="str">
        <f t="shared" si="39"/>
        <v>["-SADNE-","-SLOWSS-","OTHR","OTHR","XT_OffAnimals"]</v>
      </c>
      <c r="AC445" s="3">
        <f>_xlfn.XLOOKUP(A445,Album!A:A,Album!J:J)</f>
        <v>0</v>
      </c>
      <c r="AD445" s="3">
        <f>_xlfn.XLOOKUP(D445,Artists!A:A,Artists!B:B)</f>
        <v>0</v>
      </c>
      <c r="AE445" s="3">
        <f>_xlfn.XLOOKUP(D445,Artists!A:A,Artists!C:C)</f>
        <v>0</v>
      </c>
      <c r="AF445" s="3" t="str">
        <f t="shared" si="40"/>
        <v>OTHR</v>
      </c>
      <c r="AG445" s="3" t="str">
        <f t="shared" si="41"/>
        <v>OTHR</v>
      </c>
    </row>
    <row r="446" spans="24:33" x14ac:dyDescent="0.3">
      <c r="X446" s="3" t="str">
        <f t="shared" si="36"/>
        <v>-SADNE-</v>
      </c>
      <c r="Y446" s="3" t="str">
        <f t="shared" si="37"/>
        <v>-SLOWSS-</v>
      </c>
      <c r="Z446" s="4" t="str">
        <f t="shared" si="38"/>
        <v>{"couname":"","img":"0","pty":"","artist":"","genres":"","duration":"","spotId":"","Items":["-SADNE-","-SLOWSS-","OTHR","OTHR","XT_OffAnimals"]},</v>
      </c>
      <c r="AA446" s="5" t="s">
        <v>5</v>
      </c>
      <c r="AB446" s="3" t="str">
        <f t="shared" si="39"/>
        <v>["-SADNE-","-SLOWSS-","OTHR","OTHR","XT_OffAnimals"]</v>
      </c>
      <c r="AC446" s="3">
        <f>_xlfn.XLOOKUP(A446,Album!A:A,Album!J:J)</f>
        <v>0</v>
      </c>
      <c r="AD446" s="3">
        <f>_xlfn.XLOOKUP(D446,Artists!A:A,Artists!B:B)</f>
        <v>0</v>
      </c>
      <c r="AE446" s="3">
        <f>_xlfn.XLOOKUP(D446,Artists!A:A,Artists!C:C)</f>
        <v>0</v>
      </c>
      <c r="AF446" s="3" t="str">
        <f t="shared" si="40"/>
        <v>OTHR</v>
      </c>
      <c r="AG446" s="3" t="str">
        <f t="shared" si="41"/>
        <v>OTHR</v>
      </c>
    </row>
    <row r="447" spans="24:33" x14ac:dyDescent="0.3">
      <c r="X447" s="3" t="str">
        <f t="shared" si="36"/>
        <v>-SADNE-</v>
      </c>
      <c r="Y447" s="3" t="str">
        <f t="shared" si="37"/>
        <v>-SLOWSS-</v>
      </c>
      <c r="Z447" s="4" t="str">
        <f t="shared" si="38"/>
        <v>{"couname":"","img":"0","pty":"","artist":"","genres":"","duration":"","spotId":"","Items":["-SADNE-","-SLOWSS-","OTHR","OTHR","XT_OffAnimals"]},</v>
      </c>
      <c r="AA447" s="5" t="s">
        <v>5</v>
      </c>
      <c r="AB447" s="3" t="str">
        <f t="shared" si="39"/>
        <v>["-SADNE-","-SLOWSS-","OTHR","OTHR","XT_OffAnimals"]</v>
      </c>
      <c r="AC447" s="3">
        <f>_xlfn.XLOOKUP(A447,Album!A:A,Album!J:J)</f>
        <v>0</v>
      </c>
      <c r="AD447" s="3">
        <f>_xlfn.XLOOKUP(D447,Artists!A:A,Artists!B:B)</f>
        <v>0</v>
      </c>
      <c r="AE447" s="3">
        <f>_xlfn.XLOOKUP(D447,Artists!A:A,Artists!C:C)</f>
        <v>0</v>
      </c>
      <c r="AF447" s="3" t="str">
        <f t="shared" si="40"/>
        <v>OTHR</v>
      </c>
      <c r="AG447" s="3" t="str">
        <f t="shared" si="41"/>
        <v>OTHR</v>
      </c>
    </row>
    <row r="448" spans="24:33" x14ac:dyDescent="0.3">
      <c r="X448" s="3" t="str">
        <f t="shared" si="36"/>
        <v>-SADNE-</v>
      </c>
      <c r="Y448" s="3" t="str">
        <f t="shared" si="37"/>
        <v>-SLOWSS-</v>
      </c>
      <c r="Z448" s="4" t="str">
        <f t="shared" si="38"/>
        <v>{"couname":"","img":"0","pty":"","artist":"","genres":"","duration":"","spotId":"","Items":["-SADNE-","-SLOWSS-","OTHR","OTHR","XT_OffAnimals"]},</v>
      </c>
      <c r="AA448" s="5" t="s">
        <v>5</v>
      </c>
      <c r="AB448" s="3" t="str">
        <f t="shared" si="39"/>
        <v>["-SADNE-","-SLOWSS-","OTHR","OTHR","XT_OffAnimals"]</v>
      </c>
      <c r="AC448" s="3">
        <f>_xlfn.XLOOKUP(A448,Album!A:A,Album!J:J)</f>
        <v>0</v>
      </c>
      <c r="AD448" s="3">
        <f>_xlfn.XLOOKUP(D448,Artists!A:A,Artists!B:B)</f>
        <v>0</v>
      </c>
      <c r="AE448" s="3">
        <f>_xlfn.XLOOKUP(D448,Artists!A:A,Artists!C:C)</f>
        <v>0</v>
      </c>
      <c r="AF448" s="3" t="str">
        <f t="shared" si="40"/>
        <v>OTHR</v>
      </c>
      <c r="AG448" s="3" t="str">
        <f t="shared" si="41"/>
        <v>OTHR</v>
      </c>
    </row>
    <row r="449" spans="24:33" x14ac:dyDescent="0.3">
      <c r="X449" s="3" t="str">
        <f t="shared" si="36"/>
        <v>-SADNE-</v>
      </c>
      <c r="Y449" s="3" t="str">
        <f t="shared" si="37"/>
        <v>-SLOWSS-</v>
      </c>
      <c r="Z449" s="4" t="str">
        <f t="shared" si="38"/>
        <v>{"couname":"","img":"0","pty":"","artist":"","genres":"","duration":"","spotId":"","Items":["-SADNE-","-SLOWSS-","OTHR","OTHR","XT_OffAnimals"]},</v>
      </c>
      <c r="AA449" s="5" t="s">
        <v>5</v>
      </c>
      <c r="AB449" s="3" t="str">
        <f t="shared" si="39"/>
        <v>["-SADNE-","-SLOWSS-","OTHR","OTHR","XT_OffAnimals"]</v>
      </c>
      <c r="AC449" s="3">
        <f>_xlfn.XLOOKUP(A449,Album!A:A,Album!J:J)</f>
        <v>0</v>
      </c>
      <c r="AD449" s="3">
        <f>_xlfn.XLOOKUP(D449,Artists!A:A,Artists!B:B)</f>
        <v>0</v>
      </c>
      <c r="AE449" s="3">
        <f>_xlfn.XLOOKUP(D449,Artists!A:A,Artists!C:C)</f>
        <v>0</v>
      </c>
      <c r="AF449" s="3" t="str">
        <f t="shared" si="40"/>
        <v>OTHR</v>
      </c>
      <c r="AG449" s="3" t="str">
        <f t="shared" si="41"/>
        <v>OTHR</v>
      </c>
    </row>
    <row r="450" spans="24:33" x14ac:dyDescent="0.3">
      <c r="X450" s="3" t="str">
        <f t="shared" ref="X450:X513" si="42">IF(OR(U450&lt;0.301, AND(U450&lt;0.4, P450=0)), "-SADNE-", "-HAPPY-")</f>
        <v>-SADNE-</v>
      </c>
      <c r="Y450" s="3" t="str">
        <f t="shared" ref="Y450:Y513" si="43">IF(OR(AND(L450&lt;0.5,M450&lt;0.5),AND(L450&lt;0.45,V450&lt;100),AND(M450&lt;0.45,V450&lt;100),AND(U450&lt;0.39,V450&lt;100)),"-SLOWSS-","-ENERGY-")</f>
        <v>-SLOWSS-</v>
      </c>
      <c r="Z450" s="4" t="str">
        <f t="shared" si="38"/>
        <v>{"couname":"","img":"0","pty":"","artist":"","genres":"","duration":"","spotId":"","Items":["-SADNE-","-SLOWSS-","OTHR","OTHR","XT_OffAnimals"]},</v>
      </c>
      <c r="AA450" s="5" t="s">
        <v>5</v>
      </c>
      <c r="AB450" s="3" t="str">
        <f t="shared" si="39"/>
        <v>["-SADNE-","-SLOWSS-","OTHR","OTHR","XT_OffAnimals"]</v>
      </c>
      <c r="AC450" s="3">
        <f>_xlfn.XLOOKUP(A450,Album!A:A,Album!J:J)</f>
        <v>0</v>
      </c>
      <c r="AD450" s="3">
        <f>_xlfn.XLOOKUP(D450,Artists!A:A,Artists!B:B)</f>
        <v>0</v>
      </c>
      <c r="AE450" s="3">
        <f>_xlfn.XLOOKUP(D450,Artists!A:A,Artists!C:C)</f>
        <v>0</v>
      </c>
      <c r="AF450" s="3" t="str">
        <f t="shared" si="40"/>
        <v>OTHR</v>
      </c>
      <c r="AG450" s="3" t="str">
        <f t="shared" si="41"/>
        <v>OTHR</v>
      </c>
    </row>
    <row r="451" spans="24:33" x14ac:dyDescent="0.3">
      <c r="X451" s="3" t="str">
        <f t="shared" si="42"/>
        <v>-SADNE-</v>
      </c>
      <c r="Y451" s="3" t="str">
        <f t="shared" si="43"/>
        <v>-SLOWSS-</v>
      </c>
      <c r="Z451" s="4" t="str">
        <f t="shared" ref="Z451:Z514" si="44">"{"&amp;CHAR(34)&amp;"couname"&amp;CHAR(34)&amp;":"&amp;CHAR(34)&amp;B451&amp;CHAR(34)&amp;","&amp;CHAR(34)&amp;"img"&amp;CHAR(34)&amp;":"&amp;CHAR(34)&amp;AC451&amp;CHAR(34)&amp;","&amp;CHAR(34)&amp;"pty"&amp;CHAR(34)&amp;":"&amp;CHAR(34)&amp;G451&amp;CHAR(34)&amp;","&amp;CHAR(34)&amp;"artist"&amp;CHAR(34)&amp;":"&amp;CHAR(34)&amp;D451&amp;CHAR(34)&amp;","&amp;CHAR(34)&amp;"genres"&amp;CHAR(34)&amp;":"&amp;CHAR(34)&amp;J451&amp;CHAR(34)&amp;","&amp;CHAR(34)&amp;"duration"&amp;CHAR(34)&amp;":"&amp;CHAR(34)&amp;F451&amp;CHAR(34)&amp;","&amp;CHAR(34)&amp;"spotId"&amp;CHAR(34)&amp;":"&amp;CHAR(34)&amp;A451&amp;CHAR(34)&amp;","&amp;CHAR(34)&amp;"Items"&amp;CHAR(34)&amp;":"&amp;AB451&amp;"},"</f>
        <v>{"couname":"","img":"0","pty":"","artist":"","genres":"","duration":"","spotId":"","Items":["-SADNE-","-SLOWSS-","OTHR","OTHR","XT_OffAnimals"]},</v>
      </c>
      <c r="AA451" s="5" t="s">
        <v>5</v>
      </c>
      <c r="AB451" s="3" t="str">
        <f t="shared" ref="AB451:AB514" si="45" xml:space="preserve"> "[" &amp; _xlfn.TEXTJOIN(",",TRUE,CHAR(34) &amp; X451&amp; CHAR(34), CHAR(34) &amp; Y451 &amp; CHAR(34),  CHAR(34) &amp; AF451 &amp; CHAR(34), CHAR(34) &amp;AG451 &amp; CHAR(34), CHAR(34) &amp; AA451 &amp; CHAR(34)) &amp; "]"</f>
        <v>["-SADNE-","-SLOWSS-","OTHR","OTHR","XT_OffAnimals"]</v>
      </c>
      <c r="AC451" s="3">
        <f>_xlfn.XLOOKUP(A451,Album!A:A,Album!J:J)</f>
        <v>0</v>
      </c>
      <c r="AD451" s="3">
        <f>_xlfn.XLOOKUP(D451,Artists!A:A,Artists!B:B)</f>
        <v>0</v>
      </c>
      <c r="AE451" s="3">
        <f>_xlfn.XLOOKUP(D451,Artists!A:A,Artists!C:C)</f>
        <v>0</v>
      </c>
      <c r="AF451" s="3" t="str">
        <f t="shared" ref="AF451:AF514" si="46">IF(ISNUMBER(SEARCH("female", AD451)), "GIRL", IF(ISNUMBER(SEARCH("male", AD451)), "DUDE", "OTHR"))</f>
        <v>OTHR</v>
      </c>
      <c r="AG451" s="3" t="str">
        <f t="shared" ref="AG451:AG514" si="47">IF(ISNUMBER(SEARCH("band", AD451)), "BAND", IF(ISNUMBER(SEARCH("solo", AD451)), "SOLO", "OTHR"))</f>
        <v>OTHR</v>
      </c>
    </row>
    <row r="452" spans="24:33" x14ac:dyDescent="0.3">
      <c r="X452" s="3" t="str">
        <f t="shared" si="42"/>
        <v>-SADNE-</v>
      </c>
      <c r="Y452" s="3" t="str">
        <f t="shared" si="43"/>
        <v>-SLOWSS-</v>
      </c>
      <c r="Z452" s="4" t="str">
        <f t="shared" si="44"/>
        <v>{"couname":"","img":"0","pty":"","artist":"","genres":"","duration":"","spotId":"","Items":["-SADNE-","-SLOWSS-","OTHR","OTHR","XT_OffAnimals"]},</v>
      </c>
      <c r="AA452" s="5" t="s">
        <v>5</v>
      </c>
      <c r="AB452" s="3" t="str">
        <f t="shared" si="45"/>
        <v>["-SADNE-","-SLOWSS-","OTHR","OTHR","XT_OffAnimals"]</v>
      </c>
      <c r="AC452" s="3">
        <f>_xlfn.XLOOKUP(A452,Album!A:A,Album!J:J)</f>
        <v>0</v>
      </c>
      <c r="AD452" s="3">
        <f>_xlfn.XLOOKUP(D452,Artists!A:A,Artists!B:B)</f>
        <v>0</v>
      </c>
      <c r="AE452" s="3">
        <f>_xlfn.XLOOKUP(D452,Artists!A:A,Artists!C:C)</f>
        <v>0</v>
      </c>
      <c r="AF452" s="3" t="str">
        <f t="shared" si="46"/>
        <v>OTHR</v>
      </c>
      <c r="AG452" s="3" t="str">
        <f t="shared" si="47"/>
        <v>OTHR</v>
      </c>
    </row>
    <row r="453" spans="24:33" x14ac:dyDescent="0.3">
      <c r="X453" s="3" t="str">
        <f t="shared" si="42"/>
        <v>-SADNE-</v>
      </c>
      <c r="Y453" s="3" t="str">
        <f t="shared" si="43"/>
        <v>-SLOWSS-</v>
      </c>
      <c r="Z453" s="4" t="str">
        <f t="shared" si="44"/>
        <v>{"couname":"","img":"0","pty":"","artist":"","genres":"","duration":"","spotId":"","Items":["-SADNE-","-SLOWSS-","OTHR","OTHR","XT_OffAnimals"]},</v>
      </c>
      <c r="AA453" s="5" t="s">
        <v>5</v>
      </c>
      <c r="AB453" s="3" t="str">
        <f t="shared" si="45"/>
        <v>["-SADNE-","-SLOWSS-","OTHR","OTHR","XT_OffAnimals"]</v>
      </c>
      <c r="AC453" s="3">
        <f>_xlfn.XLOOKUP(A453,Album!A:A,Album!J:J)</f>
        <v>0</v>
      </c>
      <c r="AD453" s="3">
        <f>_xlfn.XLOOKUP(D453,Artists!A:A,Artists!B:B)</f>
        <v>0</v>
      </c>
      <c r="AE453" s="3">
        <f>_xlfn.XLOOKUP(D453,Artists!A:A,Artists!C:C)</f>
        <v>0</v>
      </c>
      <c r="AF453" s="3" t="str">
        <f t="shared" si="46"/>
        <v>OTHR</v>
      </c>
      <c r="AG453" s="3" t="str">
        <f t="shared" si="47"/>
        <v>OTHR</v>
      </c>
    </row>
    <row r="454" spans="24:33" x14ac:dyDescent="0.3">
      <c r="X454" s="3" t="str">
        <f t="shared" si="42"/>
        <v>-SADNE-</v>
      </c>
      <c r="Y454" s="3" t="str">
        <f t="shared" si="43"/>
        <v>-SLOWSS-</v>
      </c>
      <c r="Z454" s="4" t="str">
        <f t="shared" si="44"/>
        <v>{"couname":"","img":"0","pty":"","artist":"","genres":"","duration":"","spotId":"","Items":["-SADNE-","-SLOWSS-","OTHR","OTHR","XT_OffAnimals"]},</v>
      </c>
      <c r="AA454" s="5" t="s">
        <v>5</v>
      </c>
      <c r="AB454" s="3" t="str">
        <f t="shared" si="45"/>
        <v>["-SADNE-","-SLOWSS-","OTHR","OTHR","XT_OffAnimals"]</v>
      </c>
      <c r="AC454" s="3">
        <f>_xlfn.XLOOKUP(A454,Album!A:A,Album!J:J)</f>
        <v>0</v>
      </c>
      <c r="AD454" s="3">
        <f>_xlfn.XLOOKUP(D454,Artists!A:A,Artists!B:B)</f>
        <v>0</v>
      </c>
      <c r="AE454" s="3">
        <f>_xlfn.XLOOKUP(D454,Artists!A:A,Artists!C:C)</f>
        <v>0</v>
      </c>
      <c r="AF454" s="3" t="str">
        <f t="shared" si="46"/>
        <v>OTHR</v>
      </c>
      <c r="AG454" s="3" t="str">
        <f t="shared" si="47"/>
        <v>OTHR</v>
      </c>
    </row>
    <row r="455" spans="24:33" x14ac:dyDescent="0.3">
      <c r="X455" s="3" t="str">
        <f t="shared" si="42"/>
        <v>-SADNE-</v>
      </c>
      <c r="Y455" s="3" t="str">
        <f t="shared" si="43"/>
        <v>-SLOWSS-</v>
      </c>
      <c r="Z455" s="4" t="str">
        <f t="shared" si="44"/>
        <v>{"couname":"","img":"0","pty":"","artist":"","genres":"","duration":"","spotId":"","Items":["-SADNE-","-SLOWSS-","OTHR","OTHR","XT_OffAnimals"]},</v>
      </c>
      <c r="AA455" s="5" t="s">
        <v>5</v>
      </c>
      <c r="AB455" s="3" t="str">
        <f t="shared" si="45"/>
        <v>["-SADNE-","-SLOWSS-","OTHR","OTHR","XT_OffAnimals"]</v>
      </c>
      <c r="AC455" s="3">
        <f>_xlfn.XLOOKUP(A455,Album!A:A,Album!J:J)</f>
        <v>0</v>
      </c>
      <c r="AD455" s="3">
        <f>_xlfn.XLOOKUP(D455,Artists!A:A,Artists!B:B)</f>
        <v>0</v>
      </c>
      <c r="AE455" s="3">
        <f>_xlfn.XLOOKUP(D455,Artists!A:A,Artists!C:C)</f>
        <v>0</v>
      </c>
      <c r="AF455" s="3" t="str">
        <f t="shared" si="46"/>
        <v>OTHR</v>
      </c>
      <c r="AG455" s="3" t="str">
        <f t="shared" si="47"/>
        <v>OTHR</v>
      </c>
    </row>
    <row r="456" spans="24:33" x14ac:dyDescent="0.3">
      <c r="X456" s="3" t="str">
        <f t="shared" si="42"/>
        <v>-SADNE-</v>
      </c>
      <c r="Y456" s="3" t="str">
        <f t="shared" si="43"/>
        <v>-SLOWSS-</v>
      </c>
      <c r="Z456" s="4" t="str">
        <f t="shared" si="44"/>
        <v>{"couname":"","img":"0","pty":"","artist":"","genres":"","duration":"","spotId":"","Items":["-SADNE-","-SLOWSS-","OTHR","OTHR","XT_OffAnimals"]},</v>
      </c>
      <c r="AA456" s="5" t="s">
        <v>5</v>
      </c>
      <c r="AB456" s="3" t="str">
        <f t="shared" si="45"/>
        <v>["-SADNE-","-SLOWSS-","OTHR","OTHR","XT_OffAnimals"]</v>
      </c>
      <c r="AC456" s="3">
        <f>_xlfn.XLOOKUP(A456,Album!A:A,Album!J:J)</f>
        <v>0</v>
      </c>
      <c r="AD456" s="3">
        <f>_xlfn.XLOOKUP(D456,Artists!A:A,Artists!B:B)</f>
        <v>0</v>
      </c>
      <c r="AE456" s="3">
        <f>_xlfn.XLOOKUP(D456,Artists!A:A,Artists!C:C)</f>
        <v>0</v>
      </c>
      <c r="AF456" s="3" t="str">
        <f t="shared" si="46"/>
        <v>OTHR</v>
      </c>
      <c r="AG456" s="3" t="str">
        <f t="shared" si="47"/>
        <v>OTHR</v>
      </c>
    </row>
    <row r="457" spans="24:33" x14ac:dyDescent="0.3">
      <c r="X457" s="3" t="str">
        <f t="shared" si="42"/>
        <v>-SADNE-</v>
      </c>
      <c r="Y457" s="3" t="str">
        <f t="shared" si="43"/>
        <v>-SLOWSS-</v>
      </c>
      <c r="Z457" s="4" t="str">
        <f t="shared" si="44"/>
        <v>{"couname":"","img":"0","pty":"","artist":"","genres":"","duration":"","spotId":"","Items":["-SADNE-","-SLOWSS-","OTHR","OTHR","XT_OffAnimals"]},</v>
      </c>
      <c r="AA457" s="5" t="s">
        <v>5</v>
      </c>
      <c r="AB457" s="3" t="str">
        <f t="shared" si="45"/>
        <v>["-SADNE-","-SLOWSS-","OTHR","OTHR","XT_OffAnimals"]</v>
      </c>
      <c r="AC457" s="3">
        <f>_xlfn.XLOOKUP(A457,Album!A:A,Album!J:J)</f>
        <v>0</v>
      </c>
      <c r="AD457" s="3">
        <f>_xlfn.XLOOKUP(D457,Artists!A:A,Artists!B:B)</f>
        <v>0</v>
      </c>
      <c r="AE457" s="3">
        <f>_xlfn.XLOOKUP(D457,Artists!A:A,Artists!C:C)</f>
        <v>0</v>
      </c>
      <c r="AF457" s="3" t="str">
        <f t="shared" si="46"/>
        <v>OTHR</v>
      </c>
      <c r="AG457" s="3" t="str">
        <f t="shared" si="47"/>
        <v>OTHR</v>
      </c>
    </row>
    <row r="458" spans="24:33" x14ac:dyDescent="0.3">
      <c r="X458" s="3" t="str">
        <f t="shared" si="42"/>
        <v>-SADNE-</v>
      </c>
      <c r="Y458" s="3" t="str">
        <f t="shared" si="43"/>
        <v>-SLOWSS-</v>
      </c>
      <c r="Z458" s="4" t="str">
        <f t="shared" si="44"/>
        <v>{"couname":"","img":"0","pty":"","artist":"","genres":"","duration":"","spotId":"","Items":["-SADNE-","-SLOWSS-","OTHR","OTHR","XT_OffAnimals"]},</v>
      </c>
      <c r="AA458" s="5" t="s">
        <v>5</v>
      </c>
      <c r="AB458" s="3" t="str">
        <f t="shared" si="45"/>
        <v>["-SADNE-","-SLOWSS-","OTHR","OTHR","XT_OffAnimals"]</v>
      </c>
      <c r="AC458" s="3">
        <f>_xlfn.XLOOKUP(A458,Album!A:A,Album!J:J)</f>
        <v>0</v>
      </c>
      <c r="AD458" s="3">
        <f>_xlfn.XLOOKUP(D458,Artists!A:A,Artists!B:B)</f>
        <v>0</v>
      </c>
      <c r="AE458" s="3">
        <f>_xlfn.XLOOKUP(D458,Artists!A:A,Artists!C:C)</f>
        <v>0</v>
      </c>
      <c r="AF458" s="3" t="str">
        <f t="shared" si="46"/>
        <v>OTHR</v>
      </c>
      <c r="AG458" s="3" t="str">
        <f t="shared" si="47"/>
        <v>OTHR</v>
      </c>
    </row>
    <row r="459" spans="24:33" x14ac:dyDescent="0.3">
      <c r="X459" s="3" t="str">
        <f t="shared" si="42"/>
        <v>-SADNE-</v>
      </c>
      <c r="Y459" s="3" t="str">
        <f t="shared" si="43"/>
        <v>-SLOWSS-</v>
      </c>
      <c r="Z459" s="4" t="str">
        <f t="shared" si="44"/>
        <v>{"couname":"","img":"0","pty":"","artist":"","genres":"","duration":"","spotId":"","Items":["-SADNE-","-SLOWSS-","OTHR","OTHR","XT_OffAnimals"]},</v>
      </c>
      <c r="AA459" s="5" t="s">
        <v>5</v>
      </c>
      <c r="AB459" s="3" t="str">
        <f t="shared" si="45"/>
        <v>["-SADNE-","-SLOWSS-","OTHR","OTHR","XT_OffAnimals"]</v>
      </c>
      <c r="AC459" s="3">
        <f>_xlfn.XLOOKUP(A459,Album!A:A,Album!J:J)</f>
        <v>0</v>
      </c>
      <c r="AD459" s="3">
        <f>_xlfn.XLOOKUP(D459,Artists!A:A,Artists!B:B)</f>
        <v>0</v>
      </c>
      <c r="AE459" s="3">
        <f>_xlfn.XLOOKUP(D459,Artists!A:A,Artists!C:C)</f>
        <v>0</v>
      </c>
      <c r="AF459" s="3" t="str">
        <f t="shared" si="46"/>
        <v>OTHR</v>
      </c>
      <c r="AG459" s="3" t="str">
        <f t="shared" si="47"/>
        <v>OTHR</v>
      </c>
    </row>
    <row r="460" spans="24:33" x14ac:dyDescent="0.3">
      <c r="X460" s="3" t="str">
        <f t="shared" si="42"/>
        <v>-SADNE-</v>
      </c>
      <c r="Y460" s="3" t="str">
        <f t="shared" si="43"/>
        <v>-SLOWSS-</v>
      </c>
      <c r="Z460" s="4" t="str">
        <f t="shared" si="44"/>
        <v>{"couname":"","img":"0","pty":"","artist":"","genres":"","duration":"","spotId":"","Items":["-SADNE-","-SLOWSS-","OTHR","OTHR","XT_OffAnimals"]},</v>
      </c>
      <c r="AA460" s="5" t="s">
        <v>5</v>
      </c>
      <c r="AB460" s="3" t="str">
        <f t="shared" si="45"/>
        <v>["-SADNE-","-SLOWSS-","OTHR","OTHR","XT_OffAnimals"]</v>
      </c>
      <c r="AC460" s="3">
        <f>_xlfn.XLOOKUP(A460,Album!A:A,Album!J:J)</f>
        <v>0</v>
      </c>
      <c r="AD460" s="3">
        <f>_xlfn.XLOOKUP(D460,Artists!A:A,Artists!B:B)</f>
        <v>0</v>
      </c>
      <c r="AE460" s="3">
        <f>_xlfn.XLOOKUP(D460,Artists!A:A,Artists!C:C)</f>
        <v>0</v>
      </c>
      <c r="AF460" s="3" t="str">
        <f t="shared" si="46"/>
        <v>OTHR</v>
      </c>
      <c r="AG460" s="3" t="str">
        <f t="shared" si="47"/>
        <v>OTHR</v>
      </c>
    </row>
    <row r="461" spans="24:33" x14ac:dyDescent="0.3">
      <c r="X461" s="3" t="str">
        <f t="shared" si="42"/>
        <v>-SADNE-</v>
      </c>
      <c r="Y461" s="3" t="str">
        <f t="shared" si="43"/>
        <v>-SLOWSS-</v>
      </c>
      <c r="Z461" s="4" t="str">
        <f t="shared" si="44"/>
        <v>{"couname":"","img":"0","pty":"","artist":"","genres":"","duration":"","spotId":"","Items":["-SADNE-","-SLOWSS-","OTHR","OTHR","XT_OffAnimals"]},</v>
      </c>
      <c r="AA461" s="5" t="s">
        <v>5</v>
      </c>
      <c r="AB461" s="3" t="str">
        <f t="shared" si="45"/>
        <v>["-SADNE-","-SLOWSS-","OTHR","OTHR","XT_OffAnimals"]</v>
      </c>
      <c r="AC461" s="3">
        <f>_xlfn.XLOOKUP(A461,Album!A:A,Album!J:J)</f>
        <v>0</v>
      </c>
      <c r="AD461" s="3">
        <f>_xlfn.XLOOKUP(D461,Artists!A:A,Artists!B:B)</f>
        <v>0</v>
      </c>
      <c r="AE461" s="3">
        <f>_xlfn.XLOOKUP(D461,Artists!A:A,Artists!C:C)</f>
        <v>0</v>
      </c>
      <c r="AF461" s="3" t="str">
        <f t="shared" si="46"/>
        <v>OTHR</v>
      </c>
      <c r="AG461" s="3" t="str">
        <f t="shared" si="47"/>
        <v>OTHR</v>
      </c>
    </row>
    <row r="462" spans="24:33" x14ac:dyDescent="0.3">
      <c r="X462" s="3" t="str">
        <f t="shared" si="42"/>
        <v>-SADNE-</v>
      </c>
      <c r="Y462" s="3" t="str">
        <f t="shared" si="43"/>
        <v>-SLOWSS-</v>
      </c>
      <c r="Z462" s="4" t="str">
        <f t="shared" si="44"/>
        <v>{"couname":"","img":"0","pty":"","artist":"","genres":"","duration":"","spotId":"","Items":["-SADNE-","-SLOWSS-","OTHR","OTHR","XT_OffAnimals"]},</v>
      </c>
      <c r="AA462" s="5" t="s">
        <v>5</v>
      </c>
      <c r="AB462" s="3" t="str">
        <f t="shared" si="45"/>
        <v>["-SADNE-","-SLOWSS-","OTHR","OTHR","XT_OffAnimals"]</v>
      </c>
      <c r="AC462" s="3">
        <f>_xlfn.XLOOKUP(A462,Album!A:A,Album!J:J)</f>
        <v>0</v>
      </c>
      <c r="AD462" s="3">
        <f>_xlfn.XLOOKUP(D462,Artists!A:A,Artists!B:B)</f>
        <v>0</v>
      </c>
      <c r="AE462" s="3">
        <f>_xlfn.XLOOKUP(D462,Artists!A:A,Artists!C:C)</f>
        <v>0</v>
      </c>
      <c r="AF462" s="3" t="str">
        <f t="shared" si="46"/>
        <v>OTHR</v>
      </c>
      <c r="AG462" s="3" t="str">
        <f t="shared" si="47"/>
        <v>OTHR</v>
      </c>
    </row>
    <row r="463" spans="24:33" x14ac:dyDescent="0.3">
      <c r="X463" s="3" t="str">
        <f t="shared" si="42"/>
        <v>-SADNE-</v>
      </c>
      <c r="Y463" s="3" t="str">
        <f t="shared" si="43"/>
        <v>-SLOWSS-</v>
      </c>
      <c r="Z463" s="4" t="str">
        <f t="shared" si="44"/>
        <v>{"couname":"","img":"0","pty":"","artist":"","genres":"","duration":"","spotId":"","Items":["-SADNE-","-SLOWSS-","OTHR","OTHR","XT_OffAnimals"]},</v>
      </c>
      <c r="AA463" s="5" t="s">
        <v>5</v>
      </c>
      <c r="AB463" s="3" t="str">
        <f t="shared" si="45"/>
        <v>["-SADNE-","-SLOWSS-","OTHR","OTHR","XT_OffAnimals"]</v>
      </c>
      <c r="AC463" s="3">
        <f>_xlfn.XLOOKUP(A463,Album!A:A,Album!J:J)</f>
        <v>0</v>
      </c>
      <c r="AD463" s="3">
        <f>_xlfn.XLOOKUP(D463,Artists!A:A,Artists!B:B)</f>
        <v>0</v>
      </c>
      <c r="AE463" s="3">
        <f>_xlfn.XLOOKUP(D463,Artists!A:A,Artists!C:C)</f>
        <v>0</v>
      </c>
      <c r="AF463" s="3" t="str">
        <f t="shared" si="46"/>
        <v>OTHR</v>
      </c>
      <c r="AG463" s="3" t="str">
        <f t="shared" si="47"/>
        <v>OTHR</v>
      </c>
    </row>
    <row r="464" spans="24:33" x14ac:dyDescent="0.3">
      <c r="X464" s="3" t="str">
        <f t="shared" si="42"/>
        <v>-SADNE-</v>
      </c>
      <c r="Y464" s="3" t="str">
        <f t="shared" si="43"/>
        <v>-SLOWSS-</v>
      </c>
      <c r="Z464" s="4" t="str">
        <f t="shared" si="44"/>
        <v>{"couname":"","img":"0","pty":"","artist":"","genres":"","duration":"","spotId":"","Items":["-SADNE-","-SLOWSS-","OTHR","OTHR","XT_OffAnimals"]},</v>
      </c>
      <c r="AA464" s="5" t="s">
        <v>5</v>
      </c>
      <c r="AB464" s="3" t="str">
        <f t="shared" si="45"/>
        <v>["-SADNE-","-SLOWSS-","OTHR","OTHR","XT_OffAnimals"]</v>
      </c>
      <c r="AC464" s="3">
        <f>_xlfn.XLOOKUP(A464,Album!A:A,Album!J:J)</f>
        <v>0</v>
      </c>
      <c r="AD464" s="3">
        <f>_xlfn.XLOOKUP(D464,Artists!A:A,Artists!B:B)</f>
        <v>0</v>
      </c>
      <c r="AE464" s="3">
        <f>_xlfn.XLOOKUP(D464,Artists!A:A,Artists!C:C)</f>
        <v>0</v>
      </c>
      <c r="AF464" s="3" t="str">
        <f t="shared" si="46"/>
        <v>OTHR</v>
      </c>
      <c r="AG464" s="3" t="str">
        <f t="shared" si="47"/>
        <v>OTHR</v>
      </c>
    </row>
    <row r="465" spans="24:33" x14ac:dyDescent="0.3">
      <c r="X465" s="3" t="str">
        <f t="shared" si="42"/>
        <v>-SADNE-</v>
      </c>
      <c r="Y465" s="3" t="str">
        <f t="shared" si="43"/>
        <v>-SLOWSS-</v>
      </c>
      <c r="Z465" s="4" t="str">
        <f t="shared" si="44"/>
        <v>{"couname":"","img":"0","pty":"","artist":"","genres":"","duration":"","spotId":"","Items":["-SADNE-","-SLOWSS-","OTHR","OTHR","XT_OffAnimals"]},</v>
      </c>
      <c r="AA465" s="5" t="s">
        <v>5</v>
      </c>
      <c r="AB465" s="3" t="str">
        <f t="shared" si="45"/>
        <v>["-SADNE-","-SLOWSS-","OTHR","OTHR","XT_OffAnimals"]</v>
      </c>
      <c r="AC465" s="3">
        <f>_xlfn.XLOOKUP(A465,Album!A:A,Album!J:J)</f>
        <v>0</v>
      </c>
      <c r="AD465" s="3">
        <f>_xlfn.XLOOKUP(D465,Artists!A:A,Artists!B:B)</f>
        <v>0</v>
      </c>
      <c r="AE465" s="3">
        <f>_xlfn.XLOOKUP(D465,Artists!A:A,Artists!C:C)</f>
        <v>0</v>
      </c>
      <c r="AF465" s="3" t="str">
        <f t="shared" si="46"/>
        <v>OTHR</v>
      </c>
      <c r="AG465" s="3" t="str">
        <f t="shared" si="47"/>
        <v>OTHR</v>
      </c>
    </row>
    <row r="466" spans="24:33" x14ac:dyDescent="0.3">
      <c r="X466" s="3" t="str">
        <f t="shared" si="42"/>
        <v>-SADNE-</v>
      </c>
      <c r="Y466" s="3" t="str">
        <f t="shared" si="43"/>
        <v>-SLOWSS-</v>
      </c>
      <c r="Z466" s="4" t="str">
        <f t="shared" si="44"/>
        <v>{"couname":"","img":"0","pty":"","artist":"","genres":"","duration":"","spotId":"","Items":["-SADNE-","-SLOWSS-","OTHR","OTHR","XT_OffAnimals"]},</v>
      </c>
      <c r="AA466" s="5" t="s">
        <v>5</v>
      </c>
      <c r="AB466" s="3" t="str">
        <f t="shared" si="45"/>
        <v>["-SADNE-","-SLOWSS-","OTHR","OTHR","XT_OffAnimals"]</v>
      </c>
      <c r="AC466" s="3">
        <f>_xlfn.XLOOKUP(A466,Album!A:A,Album!J:J)</f>
        <v>0</v>
      </c>
      <c r="AD466" s="3">
        <f>_xlfn.XLOOKUP(D466,Artists!A:A,Artists!B:B)</f>
        <v>0</v>
      </c>
      <c r="AE466" s="3">
        <f>_xlfn.XLOOKUP(D466,Artists!A:A,Artists!C:C)</f>
        <v>0</v>
      </c>
      <c r="AF466" s="3" t="str">
        <f t="shared" si="46"/>
        <v>OTHR</v>
      </c>
      <c r="AG466" s="3" t="str">
        <f t="shared" si="47"/>
        <v>OTHR</v>
      </c>
    </row>
    <row r="467" spans="24:33" x14ac:dyDescent="0.3">
      <c r="X467" s="3" t="str">
        <f t="shared" si="42"/>
        <v>-SADNE-</v>
      </c>
      <c r="Y467" s="3" t="str">
        <f t="shared" si="43"/>
        <v>-SLOWSS-</v>
      </c>
      <c r="Z467" s="4" t="str">
        <f t="shared" si="44"/>
        <v>{"couname":"","img":"0","pty":"","artist":"","genres":"","duration":"","spotId":"","Items":["-SADNE-","-SLOWSS-","OTHR","OTHR","XT_OffAnimals"]},</v>
      </c>
      <c r="AA467" s="5" t="s">
        <v>5</v>
      </c>
      <c r="AB467" s="3" t="str">
        <f t="shared" si="45"/>
        <v>["-SADNE-","-SLOWSS-","OTHR","OTHR","XT_OffAnimals"]</v>
      </c>
      <c r="AC467" s="3">
        <f>_xlfn.XLOOKUP(A467,Album!A:A,Album!J:J)</f>
        <v>0</v>
      </c>
      <c r="AD467" s="3">
        <f>_xlfn.XLOOKUP(D467,Artists!A:A,Artists!B:B)</f>
        <v>0</v>
      </c>
      <c r="AE467" s="3">
        <f>_xlfn.XLOOKUP(D467,Artists!A:A,Artists!C:C)</f>
        <v>0</v>
      </c>
      <c r="AF467" s="3" t="str">
        <f t="shared" si="46"/>
        <v>OTHR</v>
      </c>
      <c r="AG467" s="3" t="str">
        <f t="shared" si="47"/>
        <v>OTHR</v>
      </c>
    </row>
    <row r="468" spans="24:33" x14ac:dyDescent="0.3">
      <c r="X468" s="3" t="str">
        <f t="shared" si="42"/>
        <v>-SADNE-</v>
      </c>
      <c r="Y468" s="3" t="str">
        <f t="shared" si="43"/>
        <v>-SLOWSS-</v>
      </c>
      <c r="Z468" s="4" t="str">
        <f t="shared" si="44"/>
        <v>{"couname":"","img":"0","pty":"","artist":"","genres":"","duration":"","spotId":"","Items":["-SADNE-","-SLOWSS-","OTHR","OTHR","XT_OffAnimals"]},</v>
      </c>
      <c r="AA468" s="5" t="s">
        <v>5</v>
      </c>
      <c r="AB468" s="3" t="str">
        <f t="shared" si="45"/>
        <v>["-SADNE-","-SLOWSS-","OTHR","OTHR","XT_OffAnimals"]</v>
      </c>
      <c r="AC468" s="3">
        <f>_xlfn.XLOOKUP(A468,Album!A:A,Album!J:J)</f>
        <v>0</v>
      </c>
      <c r="AD468" s="3">
        <f>_xlfn.XLOOKUP(D468,Artists!A:A,Artists!B:B)</f>
        <v>0</v>
      </c>
      <c r="AE468" s="3">
        <f>_xlfn.XLOOKUP(D468,Artists!A:A,Artists!C:C)</f>
        <v>0</v>
      </c>
      <c r="AF468" s="3" t="str">
        <f t="shared" si="46"/>
        <v>OTHR</v>
      </c>
      <c r="AG468" s="3" t="str">
        <f t="shared" si="47"/>
        <v>OTHR</v>
      </c>
    </row>
    <row r="469" spans="24:33" x14ac:dyDescent="0.3">
      <c r="X469" s="3" t="str">
        <f t="shared" si="42"/>
        <v>-SADNE-</v>
      </c>
      <c r="Y469" s="3" t="str">
        <f t="shared" si="43"/>
        <v>-SLOWSS-</v>
      </c>
      <c r="Z469" s="4" t="str">
        <f t="shared" si="44"/>
        <v>{"couname":"","img":"0","pty":"","artist":"","genres":"","duration":"","spotId":"","Items":["-SADNE-","-SLOWSS-","OTHR","OTHR","XT_OffAnimals"]},</v>
      </c>
      <c r="AA469" s="5" t="s">
        <v>5</v>
      </c>
      <c r="AB469" s="3" t="str">
        <f t="shared" si="45"/>
        <v>["-SADNE-","-SLOWSS-","OTHR","OTHR","XT_OffAnimals"]</v>
      </c>
      <c r="AC469" s="3">
        <f>_xlfn.XLOOKUP(A469,Album!A:A,Album!J:J)</f>
        <v>0</v>
      </c>
      <c r="AD469" s="3">
        <f>_xlfn.XLOOKUP(D469,Artists!A:A,Artists!B:B)</f>
        <v>0</v>
      </c>
      <c r="AE469" s="3">
        <f>_xlfn.XLOOKUP(D469,Artists!A:A,Artists!C:C)</f>
        <v>0</v>
      </c>
      <c r="AF469" s="3" t="str">
        <f t="shared" si="46"/>
        <v>OTHR</v>
      </c>
      <c r="AG469" s="3" t="str">
        <f t="shared" si="47"/>
        <v>OTHR</v>
      </c>
    </row>
    <row r="470" spans="24:33" x14ac:dyDescent="0.3">
      <c r="X470" s="3" t="str">
        <f t="shared" si="42"/>
        <v>-SADNE-</v>
      </c>
      <c r="Y470" s="3" t="str">
        <f t="shared" si="43"/>
        <v>-SLOWSS-</v>
      </c>
      <c r="Z470" s="4" t="str">
        <f t="shared" si="44"/>
        <v>{"couname":"","img":"0","pty":"","artist":"","genres":"","duration":"","spotId":"","Items":["-SADNE-","-SLOWSS-","OTHR","OTHR","XT_OffAnimals"]},</v>
      </c>
      <c r="AA470" s="5" t="s">
        <v>5</v>
      </c>
      <c r="AB470" s="3" t="str">
        <f t="shared" si="45"/>
        <v>["-SADNE-","-SLOWSS-","OTHR","OTHR","XT_OffAnimals"]</v>
      </c>
      <c r="AC470" s="3">
        <f>_xlfn.XLOOKUP(A470,Album!A:A,Album!J:J)</f>
        <v>0</v>
      </c>
      <c r="AD470" s="3">
        <f>_xlfn.XLOOKUP(D470,Artists!A:A,Artists!B:B)</f>
        <v>0</v>
      </c>
      <c r="AE470" s="3">
        <f>_xlfn.XLOOKUP(D470,Artists!A:A,Artists!C:C)</f>
        <v>0</v>
      </c>
      <c r="AF470" s="3" t="str">
        <f t="shared" si="46"/>
        <v>OTHR</v>
      </c>
      <c r="AG470" s="3" t="str">
        <f t="shared" si="47"/>
        <v>OTHR</v>
      </c>
    </row>
    <row r="471" spans="24:33" x14ac:dyDescent="0.3">
      <c r="X471" s="3" t="str">
        <f t="shared" si="42"/>
        <v>-SADNE-</v>
      </c>
      <c r="Y471" s="3" t="str">
        <f t="shared" si="43"/>
        <v>-SLOWSS-</v>
      </c>
      <c r="Z471" s="4" t="str">
        <f t="shared" si="44"/>
        <v>{"couname":"","img":"0","pty":"","artist":"","genres":"","duration":"","spotId":"","Items":["-SADNE-","-SLOWSS-","OTHR","OTHR","XT_OffAnimals"]},</v>
      </c>
      <c r="AA471" s="5" t="s">
        <v>5</v>
      </c>
      <c r="AB471" s="3" t="str">
        <f t="shared" si="45"/>
        <v>["-SADNE-","-SLOWSS-","OTHR","OTHR","XT_OffAnimals"]</v>
      </c>
      <c r="AC471" s="3">
        <f>_xlfn.XLOOKUP(A471,Album!A:A,Album!J:J)</f>
        <v>0</v>
      </c>
      <c r="AD471" s="3">
        <f>_xlfn.XLOOKUP(D471,Artists!A:A,Artists!B:B)</f>
        <v>0</v>
      </c>
      <c r="AE471" s="3">
        <f>_xlfn.XLOOKUP(D471,Artists!A:A,Artists!C:C)</f>
        <v>0</v>
      </c>
      <c r="AF471" s="3" t="str">
        <f t="shared" si="46"/>
        <v>OTHR</v>
      </c>
      <c r="AG471" s="3" t="str">
        <f t="shared" si="47"/>
        <v>OTHR</v>
      </c>
    </row>
    <row r="472" spans="24:33" x14ac:dyDescent="0.3">
      <c r="X472" s="3" t="str">
        <f t="shared" si="42"/>
        <v>-SADNE-</v>
      </c>
      <c r="Y472" s="3" t="str">
        <f t="shared" si="43"/>
        <v>-SLOWSS-</v>
      </c>
      <c r="Z472" s="4" t="str">
        <f t="shared" si="44"/>
        <v>{"couname":"","img":"0","pty":"","artist":"","genres":"","duration":"","spotId":"","Items":["-SADNE-","-SLOWSS-","OTHR","OTHR","XT_OffAnimals"]},</v>
      </c>
      <c r="AA472" s="5" t="s">
        <v>5</v>
      </c>
      <c r="AB472" s="3" t="str">
        <f t="shared" si="45"/>
        <v>["-SADNE-","-SLOWSS-","OTHR","OTHR","XT_OffAnimals"]</v>
      </c>
      <c r="AC472" s="3">
        <f>_xlfn.XLOOKUP(A472,Album!A:A,Album!J:J)</f>
        <v>0</v>
      </c>
      <c r="AD472" s="3">
        <f>_xlfn.XLOOKUP(D472,Artists!A:A,Artists!B:B)</f>
        <v>0</v>
      </c>
      <c r="AE472" s="3">
        <f>_xlfn.XLOOKUP(D472,Artists!A:A,Artists!C:C)</f>
        <v>0</v>
      </c>
      <c r="AF472" s="3" t="str">
        <f t="shared" si="46"/>
        <v>OTHR</v>
      </c>
      <c r="AG472" s="3" t="str">
        <f t="shared" si="47"/>
        <v>OTHR</v>
      </c>
    </row>
    <row r="473" spans="24:33" x14ac:dyDescent="0.3">
      <c r="X473" s="3" t="str">
        <f t="shared" si="42"/>
        <v>-SADNE-</v>
      </c>
      <c r="Y473" s="3" t="str">
        <f t="shared" si="43"/>
        <v>-SLOWSS-</v>
      </c>
      <c r="Z473" s="4" t="str">
        <f t="shared" si="44"/>
        <v>{"couname":"","img":"0","pty":"","artist":"","genres":"","duration":"","spotId":"","Items":["-SADNE-","-SLOWSS-","OTHR","OTHR","XT_OffAnimals"]},</v>
      </c>
      <c r="AA473" s="5" t="s">
        <v>5</v>
      </c>
      <c r="AB473" s="3" t="str">
        <f t="shared" si="45"/>
        <v>["-SADNE-","-SLOWSS-","OTHR","OTHR","XT_OffAnimals"]</v>
      </c>
      <c r="AC473" s="3">
        <f>_xlfn.XLOOKUP(A473,Album!A:A,Album!J:J)</f>
        <v>0</v>
      </c>
      <c r="AD473" s="3">
        <f>_xlfn.XLOOKUP(D473,Artists!A:A,Artists!B:B)</f>
        <v>0</v>
      </c>
      <c r="AE473" s="3">
        <f>_xlfn.XLOOKUP(D473,Artists!A:A,Artists!C:C)</f>
        <v>0</v>
      </c>
      <c r="AF473" s="3" t="str">
        <f t="shared" si="46"/>
        <v>OTHR</v>
      </c>
      <c r="AG473" s="3" t="str">
        <f t="shared" si="47"/>
        <v>OTHR</v>
      </c>
    </row>
    <row r="474" spans="24:33" x14ac:dyDescent="0.3">
      <c r="X474" s="3" t="str">
        <f t="shared" si="42"/>
        <v>-SADNE-</v>
      </c>
      <c r="Y474" s="3" t="str">
        <f t="shared" si="43"/>
        <v>-SLOWSS-</v>
      </c>
      <c r="Z474" s="4" t="str">
        <f t="shared" si="44"/>
        <v>{"couname":"","img":"0","pty":"","artist":"","genres":"","duration":"","spotId":"","Items":["-SADNE-","-SLOWSS-","OTHR","OTHR","XT_OffAnimals"]},</v>
      </c>
      <c r="AA474" s="5" t="s">
        <v>5</v>
      </c>
      <c r="AB474" s="3" t="str">
        <f t="shared" si="45"/>
        <v>["-SADNE-","-SLOWSS-","OTHR","OTHR","XT_OffAnimals"]</v>
      </c>
      <c r="AC474" s="3">
        <f>_xlfn.XLOOKUP(A474,Album!A:A,Album!J:J)</f>
        <v>0</v>
      </c>
      <c r="AD474" s="3">
        <f>_xlfn.XLOOKUP(D474,Artists!A:A,Artists!B:B)</f>
        <v>0</v>
      </c>
      <c r="AE474" s="3">
        <f>_xlfn.XLOOKUP(D474,Artists!A:A,Artists!C:C)</f>
        <v>0</v>
      </c>
      <c r="AF474" s="3" t="str">
        <f t="shared" si="46"/>
        <v>OTHR</v>
      </c>
      <c r="AG474" s="3" t="str">
        <f t="shared" si="47"/>
        <v>OTHR</v>
      </c>
    </row>
    <row r="475" spans="24:33" x14ac:dyDescent="0.3">
      <c r="X475" s="3" t="str">
        <f t="shared" si="42"/>
        <v>-SADNE-</v>
      </c>
      <c r="Y475" s="3" t="str">
        <f t="shared" si="43"/>
        <v>-SLOWSS-</v>
      </c>
      <c r="Z475" s="4" t="str">
        <f t="shared" si="44"/>
        <v>{"couname":"","img":"0","pty":"","artist":"","genres":"","duration":"","spotId":"","Items":["-SADNE-","-SLOWSS-","OTHR","OTHR","XT_OffAnimals"]},</v>
      </c>
      <c r="AA475" s="5" t="s">
        <v>5</v>
      </c>
      <c r="AB475" s="3" t="str">
        <f t="shared" si="45"/>
        <v>["-SADNE-","-SLOWSS-","OTHR","OTHR","XT_OffAnimals"]</v>
      </c>
      <c r="AC475" s="3">
        <f>_xlfn.XLOOKUP(A475,Album!A:A,Album!J:J)</f>
        <v>0</v>
      </c>
      <c r="AD475" s="3">
        <f>_xlfn.XLOOKUP(D475,Artists!A:A,Artists!B:B)</f>
        <v>0</v>
      </c>
      <c r="AE475" s="3">
        <f>_xlfn.XLOOKUP(D475,Artists!A:A,Artists!C:C)</f>
        <v>0</v>
      </c>
      <c r="AF475" s="3" t="str">
        <f t="shared" si="46"/>
        <v>OTHR</v>
      </c>
      <c r="AG475" s="3" t="str">
        <f t="shared" si="47"/>
        <v>OTHR</v>
      </c>
    </row>
    <row r="476" spans="24:33" x14ac:dyDescent="0.3">
      <c r="X476" s="3" t="str">
        <f t="shared" si="42"/>
        <v>-SADNE-</v>
      </c>
      <c r="Y476" s="3" t="str">
        <f t="shared" si="43"/>
        <v>-SLOWSS-</v>
      </c>
      <c r="Z476" s="4" t="str">
        <f t="shared" si="44"/>
        <v>{"couname":"","img":"0","pty":"","artist":"","genres":"","duration":"","spotId":"","Items":["-SADNE-","-SLOWSS-","OTHR","OTHR","XT_OffAnimals"]},</v>
      </c>
      <c r="AA476" s="5" t="s">
        <v>5</v>
      </c>
      <c r="AB476" s="3" t="str">
        <f t="shared" si="45"/>
        <v>["-SADNE-","-SLOWSS-","OTHR","OTHR","XT_OffAnimals"]</v>
      </c>
      <c r="AC476" s="3">
        <f>_xlfn.XLOOKUP(A476,Album!A:A,Album!J:J)</f>
        <v>0</v>
      </c>
      <c r="AD476" s="3">
        <f>_xlfn.XLOOKUP(D476,Artists!A:A,Artists!B:B)</f>
        <v>0</v>
      </c>
      <c r="AE476" s="3">
        <f>_xlfn.XLOOKUP(D476,Artists!A:A,Artists!C:C)</f>
        <v>0</v>
      </c>
      <c r="AF476" s="3" t="str">
        <f t="shared" si="46"/>
        <v>OTHR</v>
      </c>
      <c r="AG476" s="3" t="str">
        <f t="shared" si="47"/>
        <v>OTHR</v>
      </c>
    </row>
    <row r="477" spans="24:33" x14ac:dyDescent="0.3">
      <c r="X477" s="3" t="str">
        <f t="shared" si="42"/>
        <v>-SADNE-</v>
      </c>
      <c r="Y477" s="3" t="str">
        <f t="shared" si="43"/>
        <v>-SLOWSS-</v>
      </c>
      <c r="Z477" s="4" t="str">
        <f t="shared" si="44"/>
        <v>{"couname":"","img":"0","pty":"","artist":"","genres":"","duration":"","spotId":"","Items":["-SADNE-","-SLOWSS-","OTHR","OTHR","XT_OffAnimals"]},</v>
      </c>
      <c r="AA477" s="5" t="s">
        <v>5</v>
      </c>
      <c r="AB477" s="3" t="str">
        <f t="shared" si="45"/>
        <v>["-SADNE-","-SLOWSS-","OTHR","OTHR","XT_OffAnimals"]</v>
      </c>
      <c r="AC477" s="3">
        <f>_xlfn.XLOOKUP(A477,Album!A:A,Album!J:J)</f>
        <v>0</v>
      </c>
      <c r="AD477" s="3">
        <f>_xlfn.XLOOKUP(D477,Artists!A:A,Artists!B:B)</f>
        <v>0</v>
      </c>
      <c r="AE477" s="3">
        <f>_xlfn.XLOOKUP(D477,Artists!A:A,Artists!C:C)</f>
        <v>0</v>
      </c>
      <c r="AF477" s="3" t="str">
        <f t="shared" si="46"/>
        <v>OTHR</v>
      </c>
      <c r="AG477" s="3" t="str">
        <f t="shared" si="47"/>
        <v>OTHR</v>
      </c>
    </row>
    <row r="478" spans="24:33" x14ac:dyDescent="0.3">
      <c r="X478" s="3" t="str">
        <f t="shared" si="42"/>
        <v>-SADNE-</v>
      </c>
      <c r="Y478" s="3" t="str">
        <f t="shared" si="43"/>
        <v>-SLOWSS-</v>
      </c>
      <c r="Z478" s="4" t="str">
        <f t="shared" si="44"/>
        <v>{"couname":"","img":"0","pty":"","artist":"","genres":"","duration":"","spotId":"","Items":["-SADNE-","-SLOWSS-","OTHR","OTHR","XT_OffAnimals"]},</v>
      </c>
      <c r="AA478" s="5" t="s">
        <v>5</v>
      </c>
      <c r="AB478" s="3" t="str">
        <f t="shared" si="45"/>
        <v>["-SADNE-","-SLOWSS-","OTHR","OTHR","XT_OffAnimals"]</v>
      </c>
      <c r="AC478" s="3">
        <f>_xlfn.XLOOKUP(A478,Album!A:A,Album!J:J)</f>
        <v>0</v>
      </c>
      <c r="AD478" s="3">
        <f>_xlfn.XLOOKUP(D478,Artists!A:A,Artists!B:B)</f>
        <v>0</v>
      </c>
      <c r="AE478" s="3">
        <f>_xlfn.XLOOKUP(D478,Artists!A:A,Artists!C:C)</f>
        <v>0</v>
      </c>
      <c r="AF478" s="3" t="str">
        <f t="shared" si="46"/>
        <v>OTHR</v>
      </c>
      <c r="AG478" s="3" t="str">
        <f t="shared" si="47"/>
        <v>OTHR</v>
      </c>
    </row>
    <row r="479" spans="24:33" x14ac:dyDescent="0.3">
      <c r="X479" s="3" t="str">
        <f t="shared" si="42"/>
        <v>-SADNE-</v>
      </c>
      <c r="Y479" s="3" t="str">
        <f t="shared" si="43"/>
        <v>-SLOWSS-</v>
      </c>
      <c r="Z479" s="4" t="str">
        <f t="shared" si="44"/>
        <v>{"couname":"","img":"0","pty":"","artist":"","genres":"","duration":"","spotId":"","Items":["-SADNE-","-SLOWSS-","OTHR","OTHR","XT_OffAnimals"]},</v>
      </c>
      <c r="AA479" s="5" t="s">
        <v>5</v>
      </c>
      <c r="AB479" s="3" t="str">
        <f t="shared" si="45"/>
        <v>["-SADNE-","-SLOWSS-","OTHR","OTHR","XT_OffAnimals"]</v>
      </c>
      <c r="AC479" s="3">
        <f>_xlfn.XLOOKUP(A479,Album!A:A,Album!J:J)</f>
        <v>0</v>
      </c>
      <c r="AD479" s="3">
        <f>_xlfn.XLOOKUP(D479,Artists!A:A,Artists!B:B)</f>
        <v>0</v>
      </c>
      <c r="AE479" s="3">
        <f>_xlfn.XLOOKUP(D479,Artists!A:A,Artists!C:C)</f>
        <v>0</v>
      </c>
      <c r="AF479" s="3" t="str">
        <f t="shared" si="46"/>
        <v>OTHR</v>
      </c>
      <c r="AG479" s="3" t="str">
        <f t="shared" si="47"/>
        <v>OTHR</v>
      </c>
    </row>
    <row r="480" spans="24:33" x14ac:dyDescent="0.3">
      <c r="X480" s="3" t="str">
        <f t="shared" si="42"/>
        <v>-SADNE-</v>
      </c>
      <c r="Y480" s="3" t="str">
        <f t="shared" si="43"/>
        <v>-SLOWSS-</v>
      </c>
      <c r="Z480" s="4" t="str">
        <f t="shared" si="44"/>
        <v>{"couname":"","img":"0","pty":"","artist":"","genres":"","duration":"","spotId":"","Items":["-SADNE-","-SLOWSS-","OTHR","OTHR","XT_OffAnimals"]},</v>
      </c>
      <c r="AA480" s="5" t="s">
        <v>5</v>
      </c>
      <c r="AB480" s="3" t="str">
        <f t="shared" si="45"/>
        <v>["-SADNE-","-SLOWSS-","OTHR","OTHR","XT_OffAnimals"]</v>
      </c>
      <c r="AC480" s="3">
        <f>_xlfn.XLOOKUP(A480,Album!A:A,Album!J:J)</f>
        <v>0</v>
      </c>
      <c r="AD480" s="3">
        <f>_xlfn.XLOOKUP(D480,Artists!A:A,Artists!B:B)</f>
        <v>0</v>
      </c>
      <c r="AE480" s="3">
        <f>_xlfn.XLOOKUP(D480,Artists!A:A,Artists!C:C)</f>
        <v>0</v>
      </c>
      <c r="AF480" s="3" t="str">
        <f t="shared" si="46"/>
        <v>OTHR</v>
      </c>
      <c r="AG480" s="3" t="str">
        <f t="shared" si="47"/>
        <v>OTHR</v>
      </c>
    </row>
    <row r="481" spans="24:33" x14ac:dyDescent="0.3">
      <c r="X481" s="3" t="str">
        <f t="shared" si="42"/>
        <v>-SADNE-</v>
      </c>
      <c r="Y481" s="3" t="str">
        <f t="shared" si="43"/>
        <v>-SLOWSS-</v>
      </c>
      <c r="Z481" s="4" t="str">
        <f t="shared" si="44"/>
        <v>{"couname":"","img":"0","pty":"","artist":"","genres":"","duration":"","spotId":"","Items":["-SADNE-","-SLOWSS-","OTHR","OTHR","XT_OffAnimals"]},</v>
      </c>
      <c r="AA481" s="5" t="s">
        <v>5</v>
      </c>
      <c r="AB481" s="3" t="str">
        <f t="shared" si="45"/>
        <v>["-SADNE-","-SLOWSS-","OTHR","OTHR","XT_OffAnimals"]</v>
      </c>
      <c r="AC481" s="3">
        <f>_xlfn.XLOOKUP(A481,Album!A:A,Album!J:J)</f>
        <v>0</v>
      </c>
      <c r="AD481" s="3">
        <f>_xlfn.XLOOKUP(D481,Artists!A:A,Artists!B:B)</f>
        <v>0</v>
      </c>
      <c r="AE481" s="3">
        <f>_xlfn.XLOOKUP(D481,Artists!A:A,Artists!C:C)</f>
        <v>0</v>
      </c>
      <c r="AF481" s="3" t="str">
        <f t="shared" si="46"/>
        <v>OTHR</v>
      </c>
      <c r="AG481" s="3" t="str">
        <f t="shared" si="47"/>
        <v>OTHR</v>
      </c>
    </row>
    <row r="482" spans="24:33" x14ac:dyDescent="0.3">
      <c r="X482" s="3" t="str">
        <f t="shared" si="42"/>
        <v>-SADNE-</v>
      </c>
      <c r="Y482" s="3" t="str">
        <f t="shared" si="43"/>
        <v>-SLOWSS-</v>
      </c>
      <c r="Z482" s="4" t="str">
        <f t="shared" si="44"/>
        <v>{"couname":"","img":"0","pty":"","artist":"","genres":"","duration":"","spotId":"","Items":["-SADNE-","-SLOWSS-","OTHR","OTHR","XT_OffAnimals"]},</v>
      </c>
      <c r="AA482" s="5" t="s">
        <v>5</v>
      </c>
      <c r="AB482" s="3" t="str">
        <f t="shared" si="45"/>
        <v>["-SADNE-","-SLOWSS-","OTHR","OTHR","XT_OffAnimals"]</v>
      </c>
      <c r="AC482" s="3">
        <f>_xlfn.XLOOKUP(A482,Album!A:A,Album!J:J)</f>
        <v>0</v>
      </c>
      <c r="AD482" s="3">
        <f>_xlfn.XLOOKUP(D482,Artists!A:A,Artists!B:B)</f>
        <v>0</v>
      </c>
      <c r="AE482" s="3">
        <f>_xlfn.XLOOKUP(D482,Artists!A:A,Artists!C:C)</f>
        <v>0</v>
      </c>
      <c r="AF482" s="3" t="str">
        <f t="shared" si="46"/>
        <v>OTHR</v>
      </c>
      <c r="AG482" s="3" t="str">
        <f t="shared" si="47"/>
        <v>OTHR</v>
      </c>
    </row>
    <row r="483" spans="24:33" x14ac:dyDescent="0.3">
      <c r="X483" s="3" t="str">
        <f t="shared" si="42"/>
        <v>-SADNE-</v>
      </c>
      <c r="Y483" s="3" t="str">
        <f t="shared" si="43"/>
        <v>-SLOWSS-</v>
      </c>
      <c r="Z483" s="4" t="str">
        <f t="shared" si="44"/>
        <v>{"couname":"","img":"0","pty":"","artist":"","genres":"","duration":"","spotId":"","Items":["-SADNE-","-SLOWSS-","OTHR","OTHR","XT_OffAnimals"]},</v>
      </c>
      <c r="AA483" s="5" t="s">
        <v>5</v>
      </c>
      <c r="AB483" s="3" t="str">
        <f t="shared" si="45"/>
        <v>["-SADNE-","-SLOWSS-","OTHR","OTHR","XT_OffAnimals"]</v>
      </c>
      <c r="AC483" s="3">
        <f>_xlfn.XLOOKUP(A483,Album!A:A,Album!J:J)</f>
        <v>0</v>
      </c>
      <c r="AD483" s="3">
        <f>_xlfn.XLOOKUP(D483,Artists!A:A,Artists!B:B)</f>
        <v>0</v>
      </c>
      <c r="AE483" s="3">
        <f>_xlfn.XLOOKUP(D483,Artists!A:A,Artists!C:C)</f>
        <v>0</v>
      </c>
      <c r="AF483" s="3" t="str">
        <f t="shared" si="46"/>
        <v>OTHR</v>
      </c>
      <c r="AG483" s="3" t="str">
        <f t="shared" si="47"/>
        <v>OTHR</v>
      </c>
    </row>
    <row r="484" spans="24:33" x14ac:dyDescent="0.3">
      <c r="X484" s="3" t="str">
        <f t="shared" si="42"/>
        <v>-SADNE-</v>
      </c>
      <c r="Y484" s="3" t="str">
        <f t="shared" si="43"/>
        <v>-SLOWSS-</v>
      </c>
      <c r="Z484" s="4" t="str">
        <f t="shared" si="44"/>
        <v>{"couname":"","img":"0","pty":"","artist":"","genres":"","duration":"","spotId":"","Items":["-SADNE-","-SLOWSS-","OTHR","OTHR","XT_OffAnimals"]},</v>
      </c>
      <c r="AA484" s="5" t="s">
        <v>5</v>
      </c>
      <c r="AB484" s="3" t="str">
        <f t="shared" si="45"/>
        <v>["-SADNE-","-SLOWSS-","OTHR","OTHR","XT_OffAnimals"]</v>
      </c>
      <c r="AC484" s="3">
        <f>_xlfn.XLOOKUP(A484,Album!A:A,Album!J:J)</f>
        <v>0</v>
      </c>
      <c r="AD484" s="3">
        <f>_xlfn.XLOOKUP(D484,Artists!A:A,Artists!B:B)</f>
        <v>0</v>
      </c>
      <c r="AE484" s="3">
        <f>_xlfn.XLOOKUP(D484,Artists!A:A,Artists!C:C)</f>
        <v>0</v>
      </c>
      <c r="AF484" s="3" t="str">
        <f t="shared" si="46"/>
        <v>OTHR</v>
      </c>
      <c r="AG484" s="3" t="str">
        <f t="shared" si="47"/>
        <v>OTHR</v>
      </c>
    </row>
    <row r="485" spans="24:33" x14ac:dyDescent="0.3">
      <c r="X485" s="3" t="str">
        <f t="shared" si="42"/>
        <v>-SADNE-</v>
      </c>
      <c r="Y485" s="3" t="str">
        <f t="shared" si="43"/>
        <v>-SLOWSS-</v>
      </c>
      <c r="Z485" s="4" t="str">
        <f t="shared" si="44"/>
        <v>{"couname":"","img":"0","pty":"","artist":"","genres":"","duration":"","spotId":"","Items":["-SADNE-","-SLOWSS-","OTHR","OTHR","XT_OffAnimals"]},</v>
      </c>
      <c r="AA485" s="5" t="s">
        <v>5</v>
      </c>
      <c r="AB485" s="3" t="str">
        <f t="shared" si="45"/>
        <v>["-SADNE-","-SLOWSS-","OTHR","OTHR","XT_OffAnimals"]</v>
      </c>
      <c r="AC485" s="3">
        <f>_xlfn.XLOOKUP(A485,Album!A:A,Album!J:J)</f>
        <v>0</v>
      </c>
      <c r="AD485" s="3">
        <f>_xlfn.XLOOKUP(D485,Artists!A:A,Artists!B:B)</f>
        <v>0</v>
      </c>
      <c r="AE485" s="3">
        <f>_xlfn.XLOOKUP(D485,Artists!A:A,Artists!C:C)</f>
        <v>0</v>
      </c>
      <c r="AF485" s="3" t="str">
        <f t="shared" si="46"/>
        <v>OTHR</v>
      </c>
      <c r="AG485" s="3" t="str">
        <f t="shared" si="47"/>
        <v>OTHR</v>
      </c>
    </row>
    <row r="486" spans="24:33" x14ac:dyDescent="0.3">
      <c r="X486" s="3" t="str">
        <f t="shared" si="42"/>
        <v>-SADNE-</v>
      </c>
      <c r="Y486" s="3" t="str">
        <f t="shared" si="43"/>
        <v>-SLOWSS-</v>
      </c>
      <c r="Z486" s="4" t="str">
        <f t="shared" si="44"/>
        <v>{"couname":"","img":"0","pty":"","artist":"","genres":"","duration":"","spotId":"","Items":["-SADNE-","-SLOWSS-","OTHR","OTHR","XT_OffAnimals"]},</v>
      </c>
      <c r="AA486" s="5" t="s">
        <v>5</v>
      </c>
      <c r="AB486" s="3" t="str">
        <f t="shared" si="45"/>
        <v>["-SADNE-","-SLOWSS-","OTHR","OTHR","XT_OffAnimals"]</v>
      </c>
      <c r="AC486" s="3">
        <f>_xlfn.XLOOKUP(A486,Album!A:A,Album!J:J)</f>
        <v>0</v>
      </c>
      <c r="AD486" s="3">
        <f>_xlfn.XLOOKUP(D486,Artists!A:A,Artists!B:B)</f>
        <v>0</v>
      </c>
      <c r="AE486" s="3">
        <f>_xlfn.XLOOKUP(D486,Artists!A:A,Artists!C:C)</f>
        <v>0</v>
      </c>
      <c r="AF486" s="3" t="str">
        <f t="shared" si="46"/>
        <v>OTHR</v>
      </c>
      <c r="AG486" s="3" t="str">
        <f t="shared" si="47"/>
        <v>OTHR</v>
      </c>
    </row>
    <row r="487" spans="24:33" x14ac:dyDescent="0.3">
      <c r="X487" s="3" t="str">
        <f t="shared" si="42"/>
        <v>-SADNE-</v>
      </c>
      <c r="Y487" s="3" t="str">
        <f t="shared" si="43"/>
        <v>-SLOWSS-</v>
      </c>
      <c r="Z487" s="4" t="str">
        <f t="shared" si="44"/>
        <v>{"couname":"","img":"0","pty":"","artist":"","genres":"","duration":"","spotId":"","Items":["-SADNE-","-SLOWSS-","OTHR","OTHR","XT_OffAnimals"]},</v>
      </c>
      <c r="AA487" s="5" t="s">
        <v>5</v>
      </c>
      <c r="AB487" s="3" t="str">
        <f t="shared" si="45"/>
        <v>["-SADNE-","-SLOWSS-","OTHR","OTHR","XT_OffAnimals"]</v>
      </c>
      <c r="AC487" s="3">
        <f>_xlfn.XLOOKUP(A487,Album!A:A,Album!J:J)</f>
        <v>0</v>
      </c>
      <c r="AD487" s="3">
        <f>_xlfn.XLOOKUP(D487,Artists!A:A,Artists!B:B)</f>
        <v>0</v>
      </c>
      <c r="AE487" s="3">
        <f>_xlfn.XLOOKUP(D487,Artists!A:A,Artists!C:C)</f>
        <v>0</v>
      </c>
      <c r="AF487" s="3" t="str">
        <f t="shared" si="46"/>
        <v>OTHR</v>
      </c>
      <c r="AG487" s="3" t="str">
        <f t="shared" si="47"/>
        <v>OTHR</v>
      </c>
    </row>
    <row r="488" spans="24:33" x14ac:dyDescent="0.3">
      <c r="X488" s="3" t="str">
        <f t="shared" si="42"/>
        <v>-SADNE-</v>
      </c>
      <c r="Y488" s="3" t="str">
        <f t="shared" si="43"/>
        <v>-SLOWSS-</v>
      </c>
      <c r="Z488" s="4" t="str">
        <f t="shared" si="44"/>
        <v>{"couname":"","img":"0","pty":"","artist":"","genres":"","duration":"","spotId":"","Items":["-SADNE-","-SLOWSS-","OTHR","OTHR","XT_OffAnimals"]},</v>
      </c>
      <c r="AA488" s="5" t="s">
        <v>5</v>
      </c>
      <c r="AB488" s="3" t="str">
        <f t="shared" si="45"/>
        <v>["-SADNE-","-SLOWSS-","OTHR","OTHR","XT_OffAnimals"]</v>
      </c>
      <c r="AC488" s="3">
        <f>_xlfn.XLOOKUP(A488,Album!A:A,Album!J:J)</f>
        <v>0</v>
      </c>
      <c r="AD488" s="3">
        <f>_xlfn.XLOOKUP(D488,Artists!A:A,Artists!B:B)</f>
        <v>0</v>
      </c>
      <c r="AE488" s="3">
        <f>_xlfn.XLOOKUP(D488,Artists!A:A,Artists!C:C)</f>
        <v>0</v>
      </c>
      <c r="AF488" s="3" t="str">
        <f t="shared" si="46"/>
        <v>OTHR</v>
      </c>
      <c r="AG488" s="3" t="str">
        <f t="shared" si="47"/>
        <v>OTHR</v>
      </c>
    </row>
    <row r="489" spans="24:33" x14ac:dyDescent="0.3">
      <c r="X489" s="3" t="str">
        <f t="shared" si="42"/>
        <v>-SADNE-</v>
      </c>
      <c r="Y489" s="3" t="str">
        <f t="shared" si="43"/>
        <v>-SLOWSS-</v>
      </c>
      <c r="Z489" s="4" t="str">
        <f t="shared" si="44"/>
        <v>{"couname":"","img":"0","pty":"","artist":"","genres":"","duration":"","spotId":"","Items":["-SADNE-","-SLOWSS-","OTHR","OTHR","XT_OffAnimals"]},</v>
      </c>
      <c r="AA489" s="5" t="s">
        <v>5</v>
      </c>
      <c r="AB489" s="3" t="str">
        <f t="shared" si="45"/>
        <v>["-SADNE-","-SLOWSS-","OTHR","OTHR","XT_OffAnimals"]</v>
      </c>
      <c r="AC489" s="3">
        <f>_xlfn.XLOOKUP(A489,Album!A:A,Album!J:J)</f>
        <v>0</v>
      </c>
      <c r="AD489" s="3">
        <f>_xlfn.XLOOKUP(D489,Artists!A:A,Artists!B:B)</f>
        <v>0</v>
      </c>
      <c r="AE489" s="3">
        <f>_xlfn.XLOOKUP(D489,Artists!A:A,Artists!C:C)</f>
        <v>0</v>
      </c>
      <c r="AF489" s="3" t="str">
        <f t="shared" si="46"/>
        <v>OTHR</v>
      </c>
      <c r="AG489" s="3" t="str">
        <f t="shared" si="47"/>
        <v>OTHR</v>
      </c>
    </row>
    <row r="490" spans="24:33" x14ac:dyDescent="0.3">
      <c r="X490" s="3" t="str">
        <f t="shared" si="42"/>
        <v>-SADNE-</v>
      </c>
      <c r="Y490" s="3" t="str">
        <f t="shared" si="43"/>
        <v>-SLOWSS-</v>
      </c>
      <c r="Z490" s="4" t="str">
        <f t="shared" si="44"/>
        <v>{"couname":"","img":"0","pty":"","artist":"","genres":"","duration":"","spotId":"","Items":["-SADNE-","-SLOWSS-","OTHR","OTHR","XT_OffAnimals"]},</v>
      </c>
      <c r="AA490" s="5" t="s">
        <v>5</v>
      </c>
      <c r="AB490" s="3" t="str">
        <f t="shared" si="45"/>
        <v>["-SADNE-","-SLOWSS-","OTHR","OTHR","XT_OffAnimals"]</v>
      </c>
      <c r="AC490" s="3">
        <f>_xlfn.XLOOKUP(A490,Album!A:A,Album!J:J)</f>
        <v>0</v>
      </c>
      <c r="AD490" s="3">
        <f>_xlfn.XLOOKUP(D490,Artists!A:A,Artists!B:B)</f>
        <v>0</v>
      </c>
      <c r="AE490" s="3">
        <f>_xlfn.XLOOKUP(D490,Artists!A:A,Artists!C:C)</f>
        <v>0</v>
      </c>
      <c r="AF490" s="3" t="str">
        <f t="shared" si="46"/>
        <v>OTHR</v>
      </c>
      <c r="AG490" s="3" t="str">
        <f t="shared" si="47"/>
        <v>OTHR</v>
      </c>
    </row>
    <row r="491" spans="24:33" x14ac:dyDescent="0.3">
      <c r="X491" s="3" t="str">
        <f t="shared" si="42"/>
        <v>-SADNE-</v>
      </c>
      <c r="Y491" s="3" t="str">
        <f t="shared" si="43"/>
        <v>-SLOWSS-</v>
      </c>
      <c r="Z491" s="4" t="str">
        <f t="shared" si="44"/>
        <v>{"couname":"","img":"0","pty":"","artist":"","genres":"","duration":"","spotId":"","Items":["-SADNE-","-SLOWSS-","OTHR","OTHR","XT_OffAnimals"]},</v>
      </c>
      <c r="AA491" s="5" t="s">
        <v>5</v>
      </c>
      <c r="AB491" s="3" t="str">
        <f t="shared" si="45"/>
        <v>["-SADNE-","-SLOWSS-","OTHR","OTHR","XT_OffAnimals"]</v>
      </c>
      <c r="AC491" s="3">
        <f>_xlfn.XLOOKUP(A491,Album!A:A,Album!J:J)</f>
        <v>0</v>
      </c>
      <c r="AD491" s="3">
        <f>_xlfn.XLOOKUP(D491,Artists!A:A,Artists!B:B)</f>
        <v>0</v>
      </c>
      <c r="AE491" s="3">
        <f>_xlfn.XLOOKUP(D491,Artists!A:A,Artists!C:C)</f>
        <v>0</v>
      </c>
      <c r="AF491" s="3" t="str">
        <f t="shared" si="46"/>
        <v>OTHR</v>
      </c>
      <c r="AG491" s="3" t="str">
        <f t="shared" si="47"/>
        <v>OTHR</v>
      </c>
    </row>
    <row r="492" spans="24:33" x14ac:dyDescent="0.3">
      <c r="X492" s="3" t="str">
        <f t="shared" si="42"/>
        <v>-SADNE-</v>
      </c>
      <c r="Y492" s="3" t="str">
        <f t="shared" si="43"/>
        <v>-SLOWSS-</v>
      </c>
      <c r="Z492" s="4" t="str">
        <f t="shared" si="44"/>
        <v>{"couname":"","img":"0","pty":"","artist":"","genres":"","duration":"","spotId":"","Items":["-SADNE-","-SLOWSS-","OTHR","OTHR","XT_OffAnimals"]},</v>
      </c>
      <c r="AA492" s="5" t="s">
        <v>5</v>
      </c>
      <c r="AB492" s="3" t="str">
        <f t="shared" si="45"/>
        <v>["-SADNE-","-SLOWSS-","OTHR","OTHR","XT_OffAnimals"]</v>
      </c>
      <c r="AC492" s="3">
        <f>_xlfn.XLOOKUP(A492,Album!A:A,Album!J:J)</f>
        <v>0</v>
      </c>
      <c r="AD492" s="3">
        <f>_xlfn.XLOOKUP(D492,Artists!A:A,Artists!B:B)</f>
        <v>0</v>
      </c>
      <c r="AE492" s="3">
        <f>_xlfn.XLOOKUP(D492,Artists!A:A,Artists!C:C)</f>
        <v>0</v>
      </c>
      <c r="AF492" s="3" t="str">
        <f t="shared" si="46"/>
        <v>OTHR</v>
      </c>
      <c r="AG492" s="3" t="str">
        <f t="shared" si="47"/>
        <v>OTHR</v>
      </c>
    </row>
    <row r="493" spans="24:33" x14ac:dyDescent="0.3">
      <c r="X493" s="3" t="str">
        <f t="shared" si="42"/>
        <v>-SADNE-</v>
      </c>
      <c r="Y493" s="3" t="str">
        <f t="shared" si="43"/>
        <v>-SLOWSS-</v>
      </c>
      <c r="Z493" s="4" t="str">
        <f t="shared" si="44"/>
        <v>{"couname":"","img":"0","pty":"","artist":"","genres":"","duration":"","spotId":"","Items":["-SADNE-","-SLOWSS-","OTHR","OTHR","XT_OffAnimals"]},</v>
      </c>
      <c r="AA493" s="5" t="s">
        <v>5</v>
      </c>
      <c r="AB493" s="3" t="str">
        <f t="shared" si="45"/>
        <v>["-SADNE-","-SLOWSS-","OTHR","OTHR","XT_OffAnimals"]</v>
      </c>
      <c r="AC493" s="3">
        <f>_xlfn.XLOOKUP(A493,Album!A:A,Album!J:J)</f>
        <v>0</v>
      </c>
      <c r="AD493" s="3">
        <f>_xlfn.XLOOKUP(D493,Artists!A:A,Artists!B:B)</f>
        <v>0</v>
      </c>
      <c r="AE493" s="3">
        <f>_xlfn.XLOOKUP(D493,Artists!A:A,Artists!C:C)</f>
        <v>0</v>
      </c>
      <c r="AF493" s="3" t="str">
        <f t="shared" si="46"/>
        <v>OTHR</v>
      </c>
      <c r="AG493" s="3" t="str">
        <f t="shared" si="47"/>
        <v>OTHR</v>
      </c>
    </row>
    <row r="494" spans="24:33" x14ac:dyDescent="0.3">
      <c r="X494" s="3" t="str">
        <f t="shared" si="42"/>
        <v>-SADNE-</v>
      </c>
      <c r="Y494" s="3" t="str">
        <f t="shared" si="43"/>
        <v>-SLOWSS-</v>
      </c>
      <c r="Z494" s="4" t="str">
        <f t="shared" si="44"/>
        <v>{"couname":"","img":"0","pty":"","artist":"","genres":"","duration":"","spotId":"","Items":["-SADNE-","-SLOWSS-","OTHR","OTHR","XT_OffAnimals"]},</v>
      </c>
      <c r="AA494" s="5" t="s">
        <v>5</v>
      </c>
      <c r="AB494" s="3" t="str">
        <f t="shared" si="45"/>
        <v>["-SADNE-","-SLOWSS-","OTHR","OTHR","XT_OffAnimals"]</v>
      </c>
      <c r="AC494" s="3">
        <f>_xlfn.XLOOKUP(A494,Album!A:A,Album!J:J)</f>
        <v>0</v>
      </c>
      <c r="AD494" s="3">
        <f>_xlfn.XLOOKUP(D494,Artists!A:A,Artists!B:B)</f>
        <v>0</v>
      </c>
      <c r="AE494" s="3">
        <f>_xlfn.XLOOKUP(D494,Artists!A:A,Artists!C:C)</f>
        <v>0</v>
      </c>
      <c r="AF494" s="3" t="str">
        <f t="shared" si="46"/>
        <v>OTHR</v>
      </c>
      <c r="AG494" s="3" t="str">
        <f t="shared" si="47"/>
        <v>OTHR</v>
      </c>
    </row>
    <row r="495" spans="24:33" x14ac:dyDescent="0.3">
      <c r="X495" s="3" t="str">
        <f t="shared" si="42"/>
        <v>-SADNE-</v>
      </c>
      <c r="Y495" s="3" t="str">
        <f t="shared" si="43"/>
        <v>-SLOWSS-</v>
      </c>
      <c r="Z495" s="4" t="str">
        <f t="shared" si="44"/>
        <v>{"couname":"","img":"0","pty":"","artist":"","genres":"","duration":"","spotId":"","Items":["-SADNE-","-SLOWSS-","OTHR","OTHR","XT_OffAnimals"]},</v>
      </c>
      <c r="AA495" s="5" t="s">
        <v>5</v>
      </c>
      <c r="AB495" s="3" t="str">
        <f t="shared" si="45"/>
        <v>["-SADNE-","-SLOWSS-","OTHR","OTHR","XT_OffAnimals"]</v>
      </c>
      <c r="AC495" s="3">
        <f>_xlfn.XLOOKUP(A495,Album!A:A,Album!J:J)</f>
        <v>0</v>
      </c>
      <c r="AD495" s="3">
        <f>_xlfn.XLOOKUP(D495,Artists!A:A,Artists!B:B)</f>
        <v>0</v>
      </c>
      <c r="AE495" s="3">
        <f>_xlfn.XLOOKUP(D495,Artists!A:A,Artists!C:C)</f>
        <v>0</v>
      </c>
      <c r="AF495" s="3" t="str">
        <f t="shared" si="46"/>
        <v>OTHR</v>
      </c>
      <c r="AG495" s="3" t="str">
        <f t="shared" si="47"/>
        <v>OTHR</v>
      </c>
    </row>
    <row r="496" spans="24:33" x14ac:dyDescent="0.3">
      <c r="X496" s="3" t="str">
        <f t="shared" si="42"/>
        <v>-SADNE-</v>
      </c>
      <c r="Y496" s="3" t="str">
        <f t="shared" si="43"/>
        <v>-SLOWSS-</v>
      </c>
      <c r="Z496" s="4" t="str">
        <f t="shared" si="44"/>
        <v>{"couname":"","img":"0","pty":"","artist":"","genres":"","duration":"","spotId":"","Items":["-SADNE-","-SLOWSS-","OTHR","OTHR","XT_OffAnimals"]},</v>
      </c>
      <c r="AA496" s="5" t="s">
        <v>5</v>
      </c>
      <c r="AB496" s="3" t="str">
        <f t="shared" si="45"/>
        <v>["-SADNE-","-SLOWSS-","OTHR","OTHR","XT_OffAnimals"]</v>
      </c>
      <c r="AC496" s="3">
        <f>_xlfn.XLOOKUP(A496,Album!A:A,Album!J:J)</f>
        <v>0</v>
      </c>
      <c r="AD496" s="3">
        <f>_xlfn.XLOOKUP(D496,Artists!A:A,Artists!B:B)</f>
        <v>0</v>
      </c>
      <c r="AE496" s="3">
        <f>_xlfn.XLOOKUP(D496,Artists!A:A,Artists!C:C)</f>
        <v>0</v>
      </c>
      <c r="AF496" s="3" t="str">
        <f t="shared" si="46"/>
        <v>OTHR</v>
      </c>
      <c r="AG496" s="3" t="str">
        <f t="shared" si="47"/>
        <v>OTHR</v>
      </c>
    </row>
    <row r="497" spans="24:33" x14ac:dyDescent="0.3">
      <c r="X497" s="3" t="str">
        <f t="shared" si="42"/>
        <v>-SADNE-</v>
      </c>
      <c r="Y497" s="3" t="str">
        <f t="shared" si="43"/>
        <v>-SLOWSS-</v>
      </c>
      <c r="Z497" s="4" t="str">
        <f t="shared" si="44"/>
        <v>{"couname":"","img":"0","pty":"","artist":"","genres":"","duration":"","spotId":"","Items":["-SADNE-","-SLOWSS-","OTHR","OTHR","XT_OffAnimals"]},</v>
      </c>
      <c r="AA497" s="5" t="s">
        <v>5</v>
      </c>
      <c r="AB497" s="3" t="str">
        <f t="shared" si="45"/>
        <v>["-SADNE-","-SLOWSS-","OTHR","OTHR","XT_OffAnimals"]</v>
      </c>
      <c r="AC497" s="3">
        <f>_xlfn.XLOOKUP(A497,Album!A:A,Album!J:J)</f>
        <v>0</v>
      </c>
      <c r="AD497" s="3">
        <f>_xlfn.XLOOKUP(D497,Artists!A:A,Artists!B:B)</f>
        <v>0</v>
      </c>
      <c r="AE497" s="3">
        <f>_xlfn.XLOOKUP(D497,Artists!A:A,Artists!C:C)</f>
        <v>0</v>
      </c>
      <c r="AF497" s="3" t="str">
        <f t="shared" si="46"/>
        <v>OTHR</v>
      </c>
      <c r="AG497" s="3" t="str">
        <f t="shared" si="47"/>
        <v>OTHR</v>
      </c>
    </row>
    <row r="498" spans="24:33" x14ac:dyDescent="0.3">
      <c r="X498" s="3" t="str">
        <f t="shared" si="42"/>
        <v>-SADNE-</v>
      </c>
      <c r="Y498" s="3" t="str">
        <f t="shared" si="43"/>
        <v>-SLOWSS-</v>
      </c>
      <c r="Z498" s="4" t="str">
        <f t="shared" si="44"/>
        <v>{"couname":"","img":"0","pty":"","artist":"","genres":"","duration":"","spotId":"","Items":["-SADNE-","-SLOWSS-","OTHR","OTHR","XT_OffAnimals"]},</v>
      </c>
      <c r="AA498" s="5" t="s">
        <v>5</v>
      </c>
      <c r="AB498" s="3" t="str">
        <f t="shared" si="45"/>
        <v>["-SADNE-","-SLOWSS-","OTHR","OTHR","XT_OffAnimals"]</v>
      </c>
      <c r="AC498" s="3">
        <f>_xlfn.XLOOKUP(A498,Album!A:A,Album!J:J)</f>
        <v>0</v>
      </c>
      <c r="AD498" s="3">
        <f>_xlfn.XLOOKUP(D498,Artists!A:A,Artists!B:B)</f>
        <v>0</v>
      </c>
      <c r="AE498" s="3">
        <f>_xlfn.XLOOKUP(D498,Artists!A:A,Artists!C:C)</f>
        <v>0</v>
      </c>
      <c r="AF498" s="3" t="str">
        <f t="shared" si="46"/>
        <v>OTHR</v>
      </c>
      <c r="AG498" s="3" t="str">
        <f t="shared" si="47"/>
        <v>OTHR</v>
      </c>
    </row>
    <row r="499" spans="24:33" x14ac:dyDescent="0.3">
      <c r="X499" s="3" t="str">
        <f t="shared" si="42"/>
        <v>-SADNE-</v>
      </c>
      <c r="Y499" s="3" t="str">
        <f t="shared" si="43"/>
        <v>-SLOWSS-</v>
      </c>
      <c r="Z499" s="4" t="str">
        <f t="shared" si="44"/>
        <v>{"couname":"","img":"0","pty":"","artist":"","genres":"","duration":"","spotId":"","Items":["-SADNE-","-SLOWSS-","OTHR","OTHR","XT_OffAnimals"]},</v>
      </c>
      <c r="AA499" s="5" t="s">
        <v>5</v>
      </c>
      <c r="AB499" s="3" t="str">
        <f t="shared" si="45"/>
        <v>["-SADNE-","-SLOWSS-","OTHR","OTHR","XT_OffAnimals"]</v>
      </c>
      <c r="AC499" s="3">
        <f>_xlfn.XLOOKUP(A499,Album!A:A,Album!J:J)</f>
        <v>0</v>
      </c>
      <c r="AD499" s="3">
        <f>_xlfn.XLOOKUP(D499,Artists!A:A,Artists!B:B)</f>
        <v>0</v>
      </c>
      <c r="AE499" s="3">
        <f>_xlfn.XLOOKUP(D499,Artists!A:A,Artists!C:C)</f>
        <v>0</v>
      </c>
      <c r="AF499" s="3" t="str">
        <f t="shared" si="46"/>
        <v>OTHR</v>
      </c>
      <c r="AG499" s="3" t="str">
        <f t="shared" si="47"/>
        <v>OTHR</v>
      </c>
    </row>
    <row r="500" spans="24:33" x14ac:dyDescent="0.3">
      <c r="X500" s="3" t="str">
        <f t="shared" si="42"/>
        <v>-SADNE-</v>
      </c>
      <c r="Y500" s="3" t="str">
        <f t="shared" si="43"/>
        <v>-SLOWSS-</v>
      </c>
      <c r="Z500" s="4" t="str">
        <f t="shared" si="44"/>
        <v>{"couname":"","img":"0","pty":"","artist":"","genres":"","duration":"","spotId":"","Items":["-SADNE-","-SLOWSS-","OTHR","OTHR","XT_OffAnimals"]},</v>
      </c>
      <c r="AA500" s="5" t="s">
        <v>5</v>
      </c>
      <c r="AB500" s="3" t="str">
        <f t="shared" si="45"/>
        <v>["-SADNE-","-SLOWSS-","OTHR","OTHR","XT_OffAnimals"]</v>
      </c>
      <c r="AC500" s="3">
        <f>_xlfn.XLOOKUP(A500,Album!A:A,Album!J:J)</f>
        <v>0</v>
      </c>
      <c r="AD500" s="3">
        <f>_xlfn.XLOOKUP(D500,Artists!A:A,Artists!B:B)</f>
        <v>0</v>
      </c>
      <c r="AE500" s="3">
        <f>_xlfn.XLOOKUP(D500,Artists!A:A,Artists!C:C)</f>
        <v>0</v>
      </c>
      <c r="AF500" s="3" t="str">
        <f t="shared" si="46"/>
        <v>OTHR</v>
      </c>
      <c r="AG500" s="3" t="str">
        <f t="shared" si="47"/>
        <v>OTHR</v>
      </c>
    </row>
    <row r="501" spans="24:33" x14ac:dyDescent="0.3">
      <c r="X501" s="3" t="str">
        <f t="shared" si="42"/>
        <v>-SADNE-</v>
      </c>
      <c r="Y501" s="3" t="str">
        <f t="shared" si="43"/>
        <v>-SLOWSS-</v>
      </c>
      <c r="Z501" s="4" t="str">
        <f t="shared" si="44"/>
        <v>{"couname":"","img":"0","pty":"","artist":"","genres":"","duration":"","spotId":"","Items":["-SADNE-","-SLOWSS-","OTHR","OTHR","XT_OffAnimals"]},</v>
      </c>
      <c r="AA501" s="5" t="s">
        <v>5</v>
      </c>
      <c r="AB501" s="3" t="str">
        <f t="shared" si="45"/>
        <v>["-SADNE-","-SLOWSS-","OTHR","OTHR","XT_OffAnimals"]</v>
      </c>
      <c r="AC501" s="3">
        <f>_xlfn.XLOOKUP(A501,Album!A:A,Album!J:J)</f>
        <v>0</v>
      </c>
      <c r="AD501" s="3">
        <f>_xlfn.XLOOKUP(D501,Artists!A:A,Artists!B:B)</f>
        <v>0</v>
      </c>
      <c r="AE501" s="3">
        <f>_xlfn.XLOOKUP(D501,Artists!A:A,Artists!C:C)</f>
        <v>0</v>
      </c>
      <c r="AF501" s="3" t="str">
        <f t="shared" si="46"/>
        <v>OTHR</v>
      </c>
      <c r="AG501" s="3" t="str">
        <f t="shared" si="47"/>
        <v>OTHR</v>
      </c>
    </row>
    <row r="502" spans="24:33" x14ac:dyDescent="0.3">
      <c r="X502" s="3" t="str">
        <f t="shared" si="42"/>
        <v>-SADNE-</v>
      </c>
      <c r="Y502" s="3" t="str">
        <f t="shared" si="43"/>
        <v>-SLOWSS-</v>
      </c>
      <c r="Z502" s="4" t="str">
        <f t="shared" si="44"/>
        <v>{"couname":"","img":"0","pty":"","artist":"","genres":"","duration":"","spotId":"","Items":["-SADNE-","-SLOWSS-","OTHR","OTHR","XT_OffAnimals"]},</v>
      </c>
      <c r="AA502" s="5" t="s">
        <v>5</v>
      </c>
      <c r="AB502" s="3" t="str">
        <f t="shared" si="45"/>
        <v>["-SADNE-","-SLOWSS-","OTHR","OTHR","XT_OffAnimals"]</v>
      </c>
      <c r="AC502" s="3">
        <f>_xlfn.XLOOKUP(A502,Album!A:A,Album!J:J)</f>
        <v>0</v>
      </c>
      <c r="AD502" s="3">
        <f>_xlfn.XLOOKUP(D502,Artists!A:A,Artists!B:B)</f>
        <v>0</v>
      </c>
      <c r="AE502" s="3">
        <f>_xlfn.XLOOKUP(D502,Artists!A:A,Artists!C:C)</f>
        <v>0</v>
      </c>
      <c r="AF502" s="3" t="str">
        <f t="shared" si="46"/>
        <v>OTHR</v>
      </c>
      <c r="AG502" s="3" t="str">
        <f t="shared" si="47"/>
        <v>OTHR</v>
      </c>
    </row>
    <row r="503" spans="24:33" x14ac:dyDescent="0.3">
      <c r="X503" s="3" t="str">
        <f t="shared" si="42"/>
        <v>-SADNE-</v>
      </c>
      <c r="Y503" s="3" t="str">
        <f t="shared" si="43"/>
        <v>-SLOWSS-</v>
      </c>
      <c r="Z503" s="4" t="str">
        <f t="shared" si="44"/>
        <v>{"couname":"","img":"0","pty":"","artist":"","genres":"","duration":"","spotId":"","Items":["-SADNE-","-SLOWSS-","OTHR","OTHR","XT_OffAnimals"]},</v>
      </c>
      <c r="AA503" s="5" t="s">
        <v>5</v>
      </c>
      <c r="AB503" s="3" t="str">
        <f t="shared" si="45"/>
        <v>["-SADNE-","-SLOWSS-","OTHR","OTHR","XT_OffAnimals"]</v>
      </c>
      <c r="AC503" s="3">
        <f>_xlfn.XLOOKUP(A503,Album!A:A,Album!J:J)</f>
        <v>0</v>
      </c>
      <c r="AD503" s="3">
        <f>_xlfn.XLOOKUP(D503,Artists!A:A,Artists!B:B)</f>
        <v>0</v>
      </c>
      <c r="AE503" s="3">
        <f>_xlfn.XLOOKUP(D503,Artists!A:A,Artists!C:C)</f>
        <v>0</v>
      </c>
      <c r="AF503" s="3" t="str">
        <f t="shared" si="46"/>
        <v>OTHR</v>
      </c>
      <c r="AG503" s="3" t="str">
        <f t="shared" si="47"/>
        <v>OTHR</v>
      </c>
    </row>
    <row r="504" spans="24:33" x14ac:dyDescent="0.3">
      <c r="X504" s="3" t="str">
        <f t="shared" si="42"/>
        <v>-SADNE-</v>
      </c>
      <c r="Y504" s="3" t="str">
        <f t="shared" si="43"/>
        <v>-SLOWSS-</v>
      </c>
      <c r="Z504" s="4" t="str">
        <f t="shared" si="44"/>
        <v>{"couname":"","img":"0","pty":"","artist":"","genres":"","duration":"","spotId":"","Items":["-SADNE-","-SLOWSS-","OTHR","OTHR","XT_OffAnimals"]},</v>
      </c>
      <c r="AA504" s="5" t="s">
        <v>5</v>
      </c>
      <c r="AB504" s="3" t="str">
        <f t="shared" si="45"/>
        <v>["-SADNE-","-SLOWSS-","OTHR","OTHR","XT_OffAnimals"]</v>
      </c>
      <c r="AC504" s="3">
        <f>_xlfn.XLOOKUP(A504,Album!A:A,Album!J:J)</f>
        <v>0</v>
      </c>
      <c r="AD504" s="3">
        <f>_xlfn.XLOOKUP(D504,Artists!A:A,Artists!B:B)</f>
        <v>0</v>
      </c>
      <c r="AE504" s="3">
        <f>_xlfn.XLOOKUP(D504,Artists!A:A,Artists!C:C)</f>
        <v>0</v>
      </c>
      <c r="AF504" s="3" t="str">
        <f t="shared" si="46"/>
        <v>OTHR</v>
      </c>
      <c r="AG504" s="3" t="str">
        <f t="shared" si="47"/>
        <v>OTHR</v>
      </c>
    </row>
    <row r="505" spans="24:33" x14ac:dyDescent="0.3">
      <c r="X505" s="3" t="str">
        <f t="shared" si="42"/>
        <v>-SADNE-</v>
      </c>
      <c r="Y505" s="3" t="str">
        <f t="shared" si="43"/>
        <v>-SLOWSS-</v>
      </c>
      <c r="Z505" s="4" t="str">
        <f t="shared" si="44"/>
        <v>{"couname":"","img":"0","pty":"","artist":"","genres":"","duration":"","spotId":"","Items":["-SADNE-","-SLOWSS-","OTHR","OTHR","XT_OffAnimals"]},</v>
      </c>
      <c r="AA505" s="5" t="s">
        <v>5</v>
      </c>
      <c r="AB505" s="3" t="str">
        <f t="shared" si="45"/>
        <v>["-SADNE-","-SLOWSS-","OTHR","OTHR","XT_OffAnimals"]</v>
      </c>
      <c r="AC505" s="3">
        <f>_xlfn.XLOOKUP(A505,Album!A:A,Album!J:J)</f>
        <v>0</v>
      </c>
      <c r="AD505" s="3">
        <f>_xlfn.XLOOKUP(D505,Artists!A:A,Artists!B:B)</f>
        <v>0</v>
      </c>
      <c r="AE505" s="3">
        <f>_xlfn.XLOOKUP(D505,Artists!A:A,Artists!C:C)</f>
        <v>0</v>
      </c>
      <c r="AF505" s="3" t="str">
        <f t="shared" si="46"/>
        <v>OTHR</v>
      </c>
      <c r="AG505" s="3" t="str">
        <f t="shared" si="47"/>
        <v>OTHR</v>
      </c>
    </row>
    <row r="506" spans="24:33" x14ac:dyDescent="0.3">
      <c r="X506" s="3" t="str">
        <f t="shared" si="42"/>
        <v>-SADNE-</v>
      </c>
      <c r="Y506" s="3" t="str">
        <f t="shared" si="43"/>
        <v>-SLOWSS-</v>
      </c>
      <c r="Z506" s="4" t="str">
        <f t="shared" si="44"/>
        <v>{"couname":"","img":"0","pty":"","artist":"","genres":"","duration":"","spotId":"","Items":["-SADNE-","-SLOWSS-","OTHR","OTHR","XT_OffAnimals"]},</v>
      </c>
      <c r="AA506" s="5" t="s">
        <v>5</v>
      </c>
      <c r="AB506" s="3" t="str">
        <f t="shared" si="45"/>
        <v>["-SADNE-","-SLOWSS-","OTHR","OTHR","XT_OffAnimals"]</v>
      </c>
      <c r="AC506" s="3">
        <f>_xlfn.XLOOKUP(A506,Album!A:A,Album!J:J)</f>
        <v>0</v>
      </c>
      <c r="AD506" s="3">
        <f>_xlfn.XLOOKUP(D506,Artists!A:A,Artists!B:B)</f>
        <v>0</v>
      </c>
      <c r="AE506" s="3">
        <f>_xlfn.XLOOKUP(D506,Artists!A:A,Artists!C:C)</f>
        <v>0</v>
      </c>
      <c r="AF506" s="3" t="str">
        <f t="shared" si="46"/>
        <v>OTHR</v>
      </c>
      <c r="AG506" s="3" t="str">
        <f t="shared" si="47"/>
        <v>OTHR</v>
      </c>
    </row>
    <row r="507" spans="24:33" x14ac:dyDescent="0.3">
      <c r="X507" s="3" t="str">
        <f t="shared" si="42"/>
        <v>-SADNE-</v>
      </c>
      <c r="Y507" s="3" t="str">
        <f t="shared" si="43"/>
        <v>-SLOWSS-</v>
      </c>
      <c r="Z507" s="4" t="str">
        <f t="shared" si="44"/>
        <v>{"couname":"","img":"0","pty":"","artist":"","genres":"","duration":"","spotId":"","Items":["-SADNE-","-SLOWSS-","OTHR","OTHR","XT_OffAnimals"]},</v>
      </c>
      <c r="AA507" s="5" t="s">
        <v>5</v>
      </c>
      <c r="AB507" s="3" t="str">
        <f t="shared" si="45"/>
        <v>["-SADNE-","-SLOWSS-","OTHR","OTHR","XT_OffAnimals"]</v>
      </c>
      <c r="AC507" s="3">
        <f>_xlfn.XLOOKUP(A507,Album!A:A,Album!J:J)</f>
        <v>0</v>
      </c>
      <c r="AD507" s="3">
        <f>_xlfn.XLOOKUP(D507,Artists!A:A,Artists!B:B)</f>
        <v>0</v>
      </c>
      <c r="AE507" s="3">
        <f>_xlfn.XLOOKUP(D507,Artists!A:A,Artists!C:C)</f>
        <v>0</v>
      </c>
      <c r="AF507" s="3" t="str">
        <f t="shared" si="46"/>
        <v>OTHR</v>
      </c>
      <c r="AG507" s="3" t="str">
        <f t="shared" si="47"/>
        <v>OTHR</v>
      </c>
    </row>
    <row r="508" spans="24:33" x14ac:dyDescent="0.3">
      <c r="X508" s="3" t="str">
        <f t="shared" si="42"/>
        <v>-SADNE-</v>
      </c>
      <c r="Y508" s="3" t="str">
        <f t="shared" si="43"/>
        <v>-SLOWSS-</v>
      </c>
      <c r="Z508" s="4" t="str">
        <f t="shared" si="44"/>
        <v>{"couname":"","img":"0","pty":"","artist":"","genres":"","duration":"","spotId":"","Items":["-SADNE-","-SLOWSS-","OTHR","OTHR","XT_OffAnimals"]},</v>
      </c>
      <c r="AA508" s="5" t="s">
        <v>5</v>
      </c>
      <c r="AB508" s="3" t="str">
        <f t="shared" si="45"/>
        <v>["-SADNE-","-SLOWSS-","OTHR","OTHR","XT_OffAnimals"]</v>
      </c>
      <c r="AC508" s="3">
        <f>_xlfn.XLOOKUP(A508,Album!A:A,Album!J:J)</f>
        <v>0</v>
      </c>
      <c r="AD508" s="3">
        <f>_xlfn.XLOOKUP(D508,Artists!A:A,Artists!B:B)</f>
        <v>0</v>
      </c>
      <c r="AE508" s="3">
        <f>_xlfn.XLOOKUP(D508,Artists!A:A,Artists!C:C)</f>
        <v>0</v>
      </c>
      <c r="AF508" s="3" t="str">
        <f t="shared" si="46"/>
        <v>OTHR</v>
      </c>
      <c r="AG508" s="3" t="str">
        <f t="shared" si="47"/>
        <v>OTHR</v>
      </c>
    </row>
    <row r="509" spans="24:33" x14ac:dyDescent="0.3">
      <c r="X509" s="3" t="str">
        <f t="shared" si="42"/>
        <v>-SADNE-</v>
      </c>
      <c r="Y509" s="3" t="str">
        <f t="shared" si="43"/>
        <v>-SLOWSS-</v>
      </c>
      <c r="Z509" s="4" t="str">
        <f t="shared" si="44"/>
        <v>{"couname":"","img":"0","pty":"","artist":"","genres":"","duration":"","spotId":"","Items":["-SADNE-","-SLOWSS-","OTHR","OTHR","XT_OffAnimals"]},</v>
      </c>
      <c r="AA509" s="5" t="s">
        <v>5</v>
      </c>
      <c r="AB509" s="3" t="str">
        <f t="shared" si="45"/>
        <v>["-SADNE-","-SLOWSS-","OTHR","OTHR","XT_OffAnimals"]</v>
      </c>
      <c r="AC509" s="3">
        <f>_xlfn.XLOOKUP(A509,Album!A:A,Album!J:J)</f>
        <v>0</v>
      </c>
      <c r="AD509" s="3">
        <f>_xlfn.XLOOKUP(D509,Artists!A:A,Artists!B:B)</f>
        <v>0</v>
      </c>
      <c r="AE509" s="3">
        <f>_xlfn.XLOOKUP(D509,Artists!A:A,Artists!C:C)</f>
        <v>0</v>
      </c>
      <c r="AF509" s="3" t="str">
        <f t="shared" si="46"/>
        <v>OTHR</v>
      </c>
      <c r="AG509" s="3" t="str">
        <f t="shared" si="47"/>
        <v>OTHR</v>
      </c>
    </row>
    <row r="510" spans="24:33" x14ac:dyDescent="0.3">
      <c r="X510" s="3" t="str">
        <f t="shared" si="42"/>
        <v>-SADNE-</v>
      </c>
      <c r="Y510" s="3" t="str">
        <f t="shared" si="43"/>
        <v>-SLOWSS-</v>
      </c>
      <c r="Z510" s="4" t="str">
        <f t="shared" si="44"/>
        <v>{"couname":"","img":"0","pty":"","artist":"","genres":"","duration":"","spotId":"","Items":["-SADNE-","-SLOWSS-","OTHR","OTHR","XT_OffAnimals"]},</v>
      </c>
      <c r="AA510" s="5" t="s">
        <v>5</v>
      </c>
      <c r="AB510" s="3" t="str">
        <f t="shared" si="45"/>
        <v>["-SADNE-","-SLOWSS-","OTHR","OTHR","XT_OffAnimals"]</v>
      </c>
      <c r="AC510" s="3">
        <f>_xlfn.XLOOKUP(A510,Album!A:A,Album!J:J)</f>
        <v>0</v>
      </c>
      <c r="AD510" s="3">
        <f>_xlfn.XLOOKUP(D510,Artists!A:A,Artists!B:B)</f>
        <v>0</v>
      </c>
      <c r="AE510" s="3">
        <f>_xlfn.XLOOKUP(D510,Artists!A:A,Artists!C:C)</f>
        <v>0</v>
      </c>
      <c r="AF510" s="3" t="str">
        <f t="shared" si="46"/>
        <v>OTHR</v>
      </c>
      <c r="AG510" s="3" t="str">
        <f t="shared" si="47"/>
        <v>OTHR</v>
      </c>
    </row>
    <row r="511" spans="24:33" x14ac:dyDescent="0.3">
      <c r="X511" s="3" t="str">
        <f t="shared" si="42"/>
        <v>-SADNE-</v>
      </c>
      <c r="Y511" s="3" t="str">
        <f t="shared" si="43"/>
        <v>-SLOWSS-</v>
      </c>
      <c r="Z511" s="4" t="str">
        <f t="shared" si="44"/>
        <v>{"couname":"","img":"0","pty":"","artist":"","genres":"","duration":"","spotId":"","Items":["-SADNE-","-SLOWSS-","OTHR","OTHR","XT_OffAnimals"]},</v>
      </c>
      <c r="AA511" s="5" t="s">
        <v>5</v>
      </c>
      <c r="AB511" s="3" t="str">
        <f t="shared" si="45"/>
        <v>["-SADNE-","-SLOWSS-","OTHR","OTHR","XT_OffAnimals"]</v>
      </c>
      <c r="AC511" s="3">
        <f>_xlfn.XLOOKUP(A511,Album!A:A,Album!J:J)</f>
        <v>0</v>
      </c>
      <c r="AD511" s="3">
        <f>_xlfn.XLOOKUP(D511,Artists!A:A,Artists!B:B)</f>
        <v>0</v>
      </c>
      <c r="AE511" s="3">
        <f>_xlfn.XLOOKUP(D511,Artists!A:A,Artists!C:C)</f>
        <v>0</v>
      </c>
      <c r="AF511" s="3" t="str">
        <f t="shared" si="46"/>
        <v>OTHR</v>
      </c>
      <c r="AG511" s="3" t="str">
        <f t="shared" si="47"/>
        <v>OTHR</v>
      </c>
    </row>
    <row r="512" spans="24:33" x14ac:dyDescent="0.3">
      <c r="X512" s="3" t="str">
        <f t="shared" si="42"/>
        <v>-SADNE-</v>
      </c>
      <c r="Y512" s="3" t="str">
        <f t="shared" si="43"/>
        <v>-SLOWSS-</v>
      </c>
      <c r="Z512" s="4" t="str">
        <f t="shared" si="44"/>
        <v>{"couname":"","img":"0","pty":"","artist":"","genres":"","duration":"","spotId":"","Items":["-SADNE-","-SLOWSS-","OTHR","OTHR","XT_OffAnimals"]},</v>
      </c>
      <c r="AA512" s="5" t="s">
        <v>5</v>
      </c>
      <c r="AB512" s="3" t="str">
        <f t="shared" si="45"/>
        <v>["-SADNE-","-SLOWSS-","OTHR","OTHR","XT_OffAnimals"]</v>
      </c>
      <c r="AC512" s="3">
        <f>_xlfn.XLOOKUP(A512,Album!A:A,Album!J:J)</f>
        <v>0</v>
      </c>
      <c r="AD512" s="3">
        <f>_xlfn.XLOOKUP(D512,Artists!A:A,Artists!B:B)</f>
        <v>0</v>
      </c>
      <c r="AE512" s="3">
        <f>_xlfn.XLOOKUP(D512,Artists!A:A,Artists!C:C)</f>
        <v>0</v>
      </c>
      <c r="AF512" s="3" t="str">
        <f t="shared" si="46"/>
        <v>OTHR</v>
      </c>
      <c r="AG512" s="3" t="str">
        <f t="shared" si="47"/>
        <v>OTHR</v>
      </c>
    </row>
    <row r="513" spans="24:33" x14ac:dyDescent="0.3">
      <c r="X513" s="3" t="str">
        <f t="shared" si="42"/>
        <v>-SADNE-</v>
      </c>
      <c r="Y513" s="3" t="str">
        <f t="shared" si="43"/>
        <v>-SLOWSS-</v>
      </c>
      <c r="Z513" s="4" t="str">
        <f t="shared" si="44"/>
        <v>{"couname":"","img":"0","pty":"","artist":"","genres":"","duration":"","spotId":"","Items":["-SADNE-","-SLOWSS-","OTHR","OTHR","XT_OffAnimals"]},</v>
      </c>
      <c r="AA513" s="5" t="s">
        <v>5</v>
      </c>
      <c r="AB513" s="3" t="str">
        <f t="shared" si="45"/>
        <v>["-SADNE-","-SLOWSS-","OTHR","OTHR","XT_OffAnimals"]</v>
      </c>
      <c r="AC513" s="3">
        <f>_xlfn.XLOOKUP(A513,Album!A:A,Album!J:J)</f>
        <v>0</v>
      </c>
      <c r="AD513" s="3">
        <f>_xlfn.XLOOKUP(D513,Artists!A:A,Artists!B:B)</f>
        <v>0</v>
      </c>
      <c r="AE513" s="3">
        <f>_xlfn.XLOOKUP(D513,Artists!A:A,Artists!C:C)</f>
        <v>0</v>
      </c>
      <c r="AF513" s="3" t="str">
        <f t="shared" si="46"/>
        <v>OTHR</v>
      </c>
      <c r="AG513" s="3" t="str">
        <f t="shared" si="47"/>
        <v>OTHR</v>
      </c>
    </row>
    <row r="514" spans="24:33" x14ac:dyDescent="0.3">
      <c r="X514" s="3" t="str">
        <f t="shared" ref="X514:X577" si="48">IF(OR(U514&lt;0.301, AND(U514&lt;0.4, P514=0)), "-SADNE-", "-HAPPY-")</f>
        <v>-SADNE-</v>
      </c>
      <c r="Y514" s="3" t="str">
        <f t="shared" ref="Y514:Y577" si="49">IF(OR(AND(L514&lt;0.5,M514&lt;0.5),AND(L514&lt;0.45,V514&lt;100),AND(M514&lt;0.45,V514&lt;100),AND(U514&lt;0.39,V514&lt;100)),"-SLOWSS-","-ENERGY-")</f>
        <v>-SLOWSS-</v>
      </c>
      <c r="Z514" s="4" t="str">
        <f t="shared" si="44"/>
        <v>{"couname":"","img":"0","pty":"","artist":"","genres":"","duration":"","spotId":"","Items":["-SADNE-","-SLOWSS-","OTHR","OTHR","XT_OffAnimals"]},</v>
      </c>
      <c r="AA514" s="5" t="s">
        <v>5</v>
      </c>
      <c r="AB514" s="3" t="str">
        <f t="shared" si="45"/>
        <v>["-SADNE-","-SLOWSS-","OTHR","OTHR","XT_OffAnimals"]</v>
      </c>
      <c r="AC514" s="3">
        <f>_xlfn.XLOOKUP(A514,Album!A:A,Album!J:J)</f>
        <v>0</v>
      </c>
      <c r="AD514" s="3">
        <f>_xlfn.XLOOKUP(D514,Artists!A:A,Artists!B:B)</f>
        <v>0</v>
      </c>
      <c r="AE514" s="3">
        <f>_xlfn.XLOOKUP(D514,Artists!A:A,Artists!C:C)</f>
        <v>0</v>
      </c>
      <c r="AF514" s="3" t="str">
        <f t="shared" si="46"/>
        <v>OTHR</v>
      </c>
      <c r="AG514" s="3" t="str">
        <f t="shared" si="47"/>
        <v>OTHR</v>
      </c>
    </row>
    <row r="515" spans="24:33" x14ac:dyDescent="0.3">
      <c r="X515" s="3" t="str">
        <f t="shared" si="48"/>
        <v>-SADNE-</v>
      </c>
      <c r="Y515" s="3" t="str">
        <f t="shared" si="49"/>
        <v>-SLOWSS-</v>
      </c>
      <c r="Z515" s="4" t="str">
        <f t="shared" ref="Z515:Z578" si="50">"{"&amp;CHAR(34)&amp;"couname"&amp;CHAR(34)&amp;":"&amp;CHAR(34)&amp;B515&amp;CHAR(34)&amp;","&amp;CHAR(34)&amp;"img"&amp;CHAR(34)&amp;":"&amp;CHAR(34)&amp;AC515&amp;CHAR(34)&amp;","&amp;CHAR(34)&amp;"pty"&amp;CHAR(34)&amp;":"&amp;CHAR(34)&amp;G515&amp;CHAR(34)&amp;","&amp;CHAR(34)&amp;"artist"&amp;CHAR(34)&amp;":"&amp;CHAR(34)&amp;D515&amp;CHAR(34)&amp;","&amp;CHAR(34)&amp;"genres"&amp;CHAR(34)&amp;":"&amp;CHAR(34)&amp;J515&amp;CHAR(34)&amp;","&amp;CHAR(34)&amp;"duration"&amp;CHAR(34)&amp;":"&amp;CHAR(34)&amp;F515&amp;CHAR(34)&amp;","&amp;CHAR(34)&amp;"spotId"&amp;CHAR(34)&amp;":"&amp;CHAR(34)&amp;A515&amp;CHAR(34)&amp;","&amp;CHAR(34)&amp;"Items"&amp;CHAR(34)&amp;":"&amp;AB515&amp;"},"</f>
        <v>{"couname":"","img":"0","pty":"","artist":"","genres":"","duration":"","spotId":"","Items":["-SADNE-","-SLOWSS-","OTHR","OTHR","XT_OffAnimals"]},</v>
      </c>
      <c r="AA515" s="5" t="s">
        <v>5</v>
      </c>
      <c r="AB515" s="3" t="str">
        <f t="shared" ref="AB515:AB578" si="51" xml:space="preserve"> "[" &amp; _xlfn.TEXTJOIN(",",TRUE,CHAR(34) &amp; X515&amp; CHAR(34), CHAR(34) &amp; Y515 &amp; CHAR(34),  CHAR(34) &amp; AF515 &amp; CHAR(34), CHAR(34) &amp;AG515 &amp; CHAR(34), CHAR(34) &amp; AA515 &amp; CHAR(34)) &amp; "]"</f>
        <v>["-SADNE-","-SLOWSS-","OTHR","OTHR","XT_OffAnimals"]</v>
      </c>
      <c r="AC515" s="3">
        <f>_xlfn.XLOOKUP(A515,Album!A:A,Album!J:J)</f>
        <v>0</v>
      </c>
      <c r="AD515" s="3">
        <f>_xlfn.XLOOKUP(D515,Artists!A:A,Artists!B:B)</f>
        <v>0</v>
      </c>
      <c r="AE515" s="3">
        <f>_xlfn.XLOOKUP(D515,Artists!A:A,Artists!C:C)</f>
        <v>0</v>
      </c>
      <c r="AF515" s="3" t="str">
        <f t="shared" ref="AF515:AF578" si="52">IF(ISNUMBER(SEARCH("female", AD515)), "GIRL", IF(ISNUMBER(SEARCH("male", AD515)), "DUDE", "OTHR"))</f>
        <v>OTHR</v>
      </c>
      <c r="AG515" s="3" t="str">
        <f t="shared" ref="AG515:AG578" si="53">IF(ISNUMBER(SEARCH("band", AD515)), "BAND", IF(ISNUMBER(SEARCH("solo", AD515)), "SOLO", "OTHR"))</f>
        <v>OTHR</v>
      </c>
    </row>
    <row r="516" spans="24:33" x14ac:dyDescent="0.3">
      <c r="X516" s="3" t="str">
        <f t="shared" si="48"/>
        <v>-SADNE-</v>
      </c>
      <c r="Y516" s="3" t="str">
        <f t="shared" si="49"/>
        <v>-SLOWSS-</v>
      </c>
      <c r="Z516" s="4" t="str">
        <f t="shared" si="50"/>
        <v>{"couname":"","img":"0","pty":"","artist":"","genres":"","duration":"","spotId":"","Items":["-SADNE-","-SLOWSS-","OTHR","OTHR","XT_OffAnimals"]},</v>
      </c>
      <c r="AA516" s="5" t="s">
        <v>5</v>
      </c>
      <c r="AB516" s="3" t="str">
        <f t="shared" si="51"/>
        <v>["-SADNE-","-SLOWSS-","OTHR","OTHR","XT_OffAnimals"]</v>
      </c>
      <c r="AC516" s="3">
        <f>_xlfn.XLOOKUP(A516,Album!A:A,Album!J:J)</f>
        <v>0</v>
      </c>
      <c r="AD516" s="3">
        <f>_xlfn.XLOOKUP(D516,Artists!A:A,Artists!B:B)</f>
        <v>0</v>
      </c>
      <c r="AE516" s="3">
        <f>_xlfn.XLOOKUP(D516,Artists!A:A,Artists!C:C)</f>
        <v>0</v>
      </c>
      <c r="AF516" s="3" t="str">
        <f t="shared" si="52"/>
        <v>OTHR</v>
      </c>
      <c r="AG516" s="3" t="str">
        <f t="shared" si="53"/>
        <v>OTHR</v>
      </c>
    </row>
    <row r="517" spans="24:33" x14ac:dyDescent="0.3">
      <c r="X517" s="3" t="str">
        <f t="shared" si="48"/>
        <v>-SADNE-</v>
      </c>
      <c r="Y517" s="3" t="str">
        <f t="shared" si="49"/>
        <v>-SLOWSS-</v>
      </c>
      <c r="Z517" s="4" t="str">
        <f t="shared" si="50"/>
        <v>{"couname":"","img":"0","pty":"","artist":"","genres":"","duration":"","spotId":"","Items":["-SADNE-","-SLOWSS-","OTHR","OTHR","XT_OffAnimals"]},</v>
      </c>
      <c r="AA517" s="5" t="s">
        <v>5</v>
      </c>
      <c r="AB517" s="3" t="str">
        <f t="shared" si="51"/>
        <v>["-SADNE-","-SLOWSS-","OTHR","OTHR","XT_OffAnimals"]</v>
      </c>
      <c r="AC517" s="3">
        <f>_xlfn.XLOOKUP(A517,Album!A:A,Album!J:J)</f>
        <v>0</v>
      </c>
      <c r="AD517" s="3">
        <f>_xlfn.XLOOKUP(D517,Artists!A:A,Artists!B:B)</f>
        <v>0</v>
      </c>
      <c r="AE517" s="3">
        <f>_xlfn.XLOOKUP(D517,Artists!A:A,Artists!C:C)</f>
        <v>0</v>
      </c>
      <c r="AF517" s="3" t="str">
        <f t="shared" si="52"/>
        <v>OTHR</v>
      </c>
      <c r="AG517" s="3" t="str">
        <f t="shared" si="53"/>
        <v>OTHR</v>
      </c>
    </row>
    <row r="518" spans="24:33" x14ac:dyDescent="0.3">
      <c r="X518" s="3" t="str">
        <f t="shared" si="48"/>
        <v>-SADNE-</v>
      </c>
      <c r="Y518" s="3" t="str">
        <f t="shared" si="49"/>
        <v>-SLOWSS-</v>
      </c>
      <c r="Z518" s="4" t="str">
        <f t="shared" si="50"/>
        <v>{"couname":"","img":"0","pty":"","artist":"","genres":"","duration":"","spotId":"","Items":["-SADNE-","-SLOWSS-","OTHR","OTHR","XT_OffAnimals"]},</v>
      </c>
      <c r="AA518" s="5" t="s">
        <v>5</v>
      </c>
      <c r="AB518" s="3" t="str">
        <f t="shared" si="51"/>
        <v>["-SADNE-","-SLOWSS-","OTHR","OTHR","XT_OffAnimals"]</v>
      </c>
      <c r="AC518" s="3">
        <f>_xlfn.XLOOKUP(A518,Album!A:A,Album!J:J)</f>
        <v>0</v>
      </c>
      <c r="AD518" s="3">
        <f>_xlfn.XLOOKUP(D518,Artists!A:A,Artists!B:B)</f>
        <v>0</v>
      </c>
      <c r="AE518" s="3">
        <f>_xlfn.XLOOKUP(D518,Artists!A:A,Artists!C:C)</f>
        <v>0</v>
      </c>
      <c r="AF518" s="3" t="str">
        <f t="shared" si="52"/>
        <v>OTHR</v>
      </c>
      <c r="AG518" s="3" t="str">
        <f t="shared" si="53"/>
        <v>OTHR</v>
      </c>
    </row>
    <row r="519" spans="24:33" x14ac:dyDescent="0.3">
      <c r="X519" s="3" t="str">
        <f t="shared" si="48"/>
        <v>-SADNE-</v>
      </c>
      <c r="Y519" s="3" t="str">
        <f t="shared" si="49"/>
        <v>-SLOWSS-</v>
      </c>
      <c r="Z519" s="4" t="str">
        <f t="shared" si="50"/>
        <v>{"couname":"","img":"0","pty":"","artist":"","genres":"","duration":"","spotId":"","Items":["-SADNE-","-SLOWSS-","OTHR","OTHR","XT_OffAnimals"]},</v>
      </c>
      <c r="AA519" s="5" t="s">
        <v>5</v>
      </c>
      <c r="AB519" s="3" t="str">
        <f t="shared" si="51"/>
        <v>["-SADNE-","-SLOWSS-","OTHR","OTHR","XT_OffAnimals"]</v>
      </c>
      <c r="AC519" s="3">
        <f>_xlfn.XLOOKUP(A519,Album!A:A,Album!J:J)</f>
        <v>0</v>
      </c>
      <c r="AD519" s="3">
        <f>_xlfn.XLOOKUP(D519,Artists!A:A,Artists!B:B)</f>
        <v>0</v>
      </c>
      <c r="AE519" s="3">
        <f>_xlfn.XLOOKUP(D519,Artists!A:A,Artists!C:C)</f>
        <v>0</v>
      </c>
      <c r="AF519" s="3" t="str">
        <f t="shared" si="52"/>
        <v>OTHR</v>
      </c>
      <c r="AG519" s="3" t="str">
        <f t="shared" si="53"/>
        <v>OTHR</v>
      </c>
    </row>
    <row r="520" spans="24:33" x14ac:dyDescent="0.3">
      <c r="X520" s="3" t="str">
        <f t="shared" si="48"/>
        <v>-SADNE-</v>
      </c>
      <c r="Y520" s="3" t="str">
        <f t="shared" si="49"/>
        <v>-SLOWSS-</v>
      </c>
      <c r="Z520" s="4" t="str">
        <f t="shared" si="50"/>
        <v>{"couname":"","img":"0","pty":"","artist":"","genres":"","duration":"","spotId":"","Items":["-SADNE-","-SLOWSS-","OTHR","OTHR","XT_OffAnimals"]},</v>
      </c>
      <c r="AA520" s="5" t="s">
        <v>5</v>
      </c>
      <c r="AB520" s="3" t="str">
        <f t="shared" si="51"/>
        <v>["-SADNE-","-SLOWSS-","OTHR","OTHR","XT_OffAnimals"]</v>
      </c>
      <c r="AC520" s="3">
        <f>_xlfn.XLOOKUP(A520,Album!A:A,Album!J:J)</f>
        <v>0</v>
      </c>
      <c r="AD520" s="3">
        <f>_xlfn.XLOOKUP(D520,Artists!A:A,Artists!B:B)</f>
        <v>0</v>
      </c>
      <c r="AE520" s="3">
        <f>_xlfn.XLOOKUP(D520,Artists!A:A,Artists!C:C)</f>
        <v>0</v>
      </c>
      <c r="AF520" s="3" t="str">
        <f t="shared" si="52"/>
        <v>OTHR</v>
      </c>
      <c r="AG520" s="3" t="str">
        <f t="shared" si="53"/>
        <v>OTHR</v>
      </c>
    </row>
    <row r="521" spans="24:33" x14ac:dyDescent="0.3">
      <c r="X521" s="3" t="str">
        <f t="shared" si="48"/>
        <v>-SADNE-</v>
      </c>
      <c r="Y521" s="3" t="str">
        <f t="shared" si="49"/>
        <v>-SLOWSS-</v>
      </c>
      <c r="Z521" s="4" t="str">
        <f t="shared" si="50"/>
        <v>{"couname":"","img":"0","pty":"","artist":"","genres":"","duration":"","spotId":"","Items":["-SADNE-","-SLOWSS-","OTHR","OTHR","XT_OffAnimals"]},</v>
      </c>
      <c r="AA521" s="5" t="s">
        <v>5</v>
      </c>
      <c r="AB521" s="3" t="str">
        <f t="shared" si="51"/>
        <v>["-SADNE-","-SLOWSS-","OTHR","OTHR","XT_OffAnimals"]</v>
      </c>
      <c r="AC521" s="3">
        <f>_xlfn.XLOOKUP(A521,Album!A:A,Album!J:J)</f>
        <v>0</v>
      </c>
      <c r="AD521" s="3">
        <f>_xlfn.XLOOKUP(D521,Artists!A:A,Artists!B:B)</f>
        <v>0</v>
      </c>
      <c r="AE521" s="3">
        <f>_xlfn.XLOOKUP(D521,Artists!A:A,Artists!C:C)</f>
        <v>0</v>
      </c>
      <c r="AF521" s="3" t="str">
        <f t="shared" si="52"/>
        <v>OTHR</v>
      </c>
      <c r="AG521" s="3" t="str">
        <f t="shared" si="53"/>
        <v>OTHR</v>
      </c>
    </row>
    <row r="522" spans="24:33" x14ac:dyDescent="0.3">
      <c r="X522" s="3" t="str">
        <f t="shared" si="48"/>
        <v>-SADNE-</v>
      </c>
      <c r="Y522" s="3" t="str">
        <f t="shared" si="49"/>
        <v>-SLOWSS-</v>
      </c>
      <c r="Z522" s="4" t="str">
        <f t="shared" si="50"/>
        <v>{"couname":"","img":"0","pty":"","artist":"","genres":"","duration":"","spotId":"","Items":["-SADNE-","-SLOWSS-","OTHR","OTHR","XT_OffAnimals"]},</v>
      </c>
      <c r="AA522" s="5" t="s">
        <v>5</v>
      </c>
      <c r="AB522" s="3" t="str">
        <f t="shared" si="51"/>
        <v>["-SADNE-","-SLOWSS-","OTHR","OTHR","XT_OffAnimals"]</v>
      </c>
      <c r="AC522" s="3">
        <f>_xlfn.XLOOKUP(A522,Album!A:A,Album!J:J)</f>
        <v>0</v>
      </c>
      <c r="AD522" s="3">
        <f>_xlfn.XLOOKUP(D522,Artists!A:A,Artists!B:B)</f>
        <v>0</v>
      </c>
      <c r="AE522" s="3">
        <f>_xlfn.XLOOKUP(D522,Artists!A:A,Artists!C:C)</f>
        <v>0</v>
      </c>
      <c r="AF522" s="3" t="str">
        <f t="shared" si="52"/>
        <v>OTHR</v>
      </c>
      <c r="AG522" s="3" t="str">
        <f t="shared" si="53"/>
        <v>OTHR</v>
      </c>
    </row>
    <row r="523" spans="24:33" x14ac:dyDescent="0.3">
      <c r="X523" s="3" t="str">
        <f t="shared" si="48"/>
        <v>-SADNE-</v>
      </c>
      <c r="Y523" s="3" t="str">
        <f t="shared" si="49"/>
        <v>-SLOWSS-</v>
      </c>
      <c r="Z523" s="4" t="str">
        <f t="shared" si="50"/>
        <v>{"couname":"","img":"0","pty":"","artist":"","genres":"","duration":"","spotId":"","Items":["-SADNE-","-SLOWSS-","OTHR","OTHR","XT_OffAnimals"]},</v>
      </c>
      <c r="AA523" s="5" t="s">
        <v>5</v>
      </c>
      <c r="AB523" s="3" t="str">
        <f t="shared" si="51"/>
        <v>["-SADNE-","-SLOWSS-","OTHR","OTHR","XT_OffAnimals"]</v>
      </c>
      <c r="AC523" s="3">
        <f>_xlfn.XLOOKUP(A523,Album!A:A,Album!J:J)</f>
        <v>0</v>
      </c>
      <c r="AD523" s="3">
        <f>_xlfn.XLOOKUP(D523,Artists!A:A,Artists!B:B)</f>
        <v>0</v>
      </c>
      <c r="AE523" s="3">
        <f>_xlfn.XLOOKUP(D523,Artists!A:A,Artists!C:C)</f>
        <v>0</v>
      </c>
      <c r="AF523" s="3" t="str">
        <f t="shared" si="52"/>
        <v>OTHR</v>
      </c>
      <c r="AG523" s="3" t="str">
        <f t="shared" si="53"/>
        <v>OTHR</v>
      </c>
    </row>
    <row r="524" spans="24:33" x14ac:dyDescent="0.3">
      <c r="X524" s="3" t="str">
        <f t="shared" si="48"/>
        <v>-SADNE-</v>
      </c>
      <c r="Y524" s="3" t="str">
        <f t="shared" si="49"/>
        <v>-SLOWSS-</v>
      </c>
      <c r="Z524" s="4" t="str">
        <f t="shared" si="50"/>
        <v>{"couname":"","img":"0","pty":"","artist":"","genres":"","duration":"","spotId":"","Items":["-SADNE-","-SLOWSS-","OTHR","OTHR","XT_OffAnimals"]},</v>
      </c>
      <c r="AA524" s="5" t="s">
        <v>5</v>
      </c>
      <c r="AB524" s="3" t="str">
        <f t="shared" si="51"/>
        <v>["-SADNE-","-SLOWSS-","OTHR","OTHR","XT_OffAnimals"]</v>
      </c>
      <c r="AC524" s="3">
        <f>_xlfn.XLOOKUP(A524,Album!A:A,Album!J:J)</f>
        <v>0</v>
      </c>
      <c r="AD524" s="3">
        <f>_xlfn.XLOOKUP(D524,Artists!A:A,Artists!B:B)</f>
        <v>0</v>
      </c>
      <c r="AE524" s="3">
        <f>_xlfn.XLOOKUP(D524,Artists!A:A,Artists!C:C)</f>
        <v>0</v>
      </c>
      <c r="AF524" s="3" t="str">
        <f t="shared" si="52"/>
        <v>OTHR</v>
      </c>
      <c r="AG524" s="3" t="str">
        <f t="shared" si="53"/>
        <v>OTHR</v>
      </c>
    </row>
    <row r="525" spans="24:33" x14ac:dyDescent="0.3">
      <c r="X525" s="3" t="str">
        <f t="shared" si="48"/>
        <v>-SADNE-</v>
      </c>
      <c r="Y525" s="3" t="str">
        <f t="shared" si="49"/>
        <v>-SLOWSS-</v>
      </c>
      <c r="Z525" s="4" t="str">
        <f t="shared" si="50"/>
        <v>{"couname":"","img":"0","pty":"","artist":"","genres":"","duration":"","spotId":"","Items":["-SADNE-","-SLOWSS-","OTHR","OTHR","XT_OffAnimals"]},</v>
      </c>
      <c r="AA525" s="5" t="s">
        <v>5</v>
      </c>
      <c r="AB525" s="3" t="str">
        <f t="shared" si="51"/>
        <v>["-SADNE-","-SLOWSS-","OTHR","OTHR","XT_OffAnimals"]</v>
      </c>
      <c r="AC525" s="3">
        <f>_xlfn.XLOOKUP(A525,Album!A:A,Album!J:J)</f>
        <v>0</v>
      </c>
      <c r="AD525" s="3">
        <f>_xlfn.XLOOKUP(D525,Artists!A:A,Artists!B:B)</f>
        <v>0</v>
      </c>
      <c r="AE525" s="3">
        <f>_xlfn.XLOOKUP(D525,Artists!A:A,Artists!C:C)</f>
        <v>0</v>
      </c>
      <c r="AF525" s="3" t="str">
        <f t="shared" si="52"/>
        <v>OTHR</v>
      </c>
      <c r="AG525" s="3" t="str">
        <f t="shared" si="53"/>
        <v>OTHR</v>
      </c>
    </row>
    <row r="526" spans="24:33" x14ac:dyDescent="0.3">
      <c r="X526" s="3" t="str">
        <f t="shared" si="48"/>
        <v>-SADNE-</v>
      </c>
      <c r="Y526" s="3" t="str">
        <f t="shared" si="49"/>
        <v>-SLOWSS-</v>
      </c>
      <c r="Z526" s="4" t="str">
        <f t="shared" si="50"/>
        <v>{"couname":"","img":"0","pty":"","artist":"","genres":"","duration":"","spotId":"","Items":["-SADNE-","-SLOWSS-","OTHR","OTHR","XT_OffAnimals"]},</v>
      </c>
      <c r="AA526" s="5" t="s">
        <v>5</v>
      </c>
      <c r="AB526" s="3" t="str">
        <f t="shared" si="51"/>
        <v>["-SADNE-","-SLOWSS-","OTHR","OTHR","XT_OffAnimals"]</v>
      </c>
      <c r="AC526" s="3">
        <f>_xlfn.XLOOKUP(A526,Album!A:A,Album!J:J)</f>
        <v>0</v>
      </c>
      <c r="AD526" s="3">
        <f>_xlfn.XLOOKUP(D526,Artists!A:A,Artists!B:B)</f>
        <v>0</v>
      </c>
      <c r="AE526" s="3">
        <f>_xlfn.XLOOKUP(D526,Artists!A:A,Artists!C:C)</f>
        <v>0</v>
      </c>
      <c r="AF526" s="3" t="str">
        <f t="shared" si="52"/>
        <v>OTHR</v>
      </c>
      <c r="AG526" s="3" t="str">
        <f t="shared" si="53"/>
        <v>OTHR</v>
      </c>
    </row>
    <row r="527" spans="24:33" x14ac:dyDescent="0.3">
      <c r="X527" s="3" t="str">
        <f t="shared" si="48"/>
        <v>-SADNE-</v>
      </c>
      <c r="Y527" s="3" t="str">
        <f t="shared" si="49"/>
        <v>-SLOWSS-</v>
      </c>
      <c r="Z527" s="4" t="str">
        <f t="shared" si="50"/>
        <v>{"couname":"","img":"0","pty":"","artist":"","genres":"","duration":"","spotId":"","Items":["-SADNE-","-SLOWSS-","OTHR","OTHR","XT_OffAnimals"]},</v>
      </c>
      <c r="AA527" s="5" t="s">
        <v>5</v>
      </c>
      <c r="AB527" s="3" t="str">
        <f t="shared" si="51"/>
        <v>["-SADNE-","-SLOWSS-","OTHR","OTHR","XT_OffAnimals"]</v>
      </c>
      <c r="AC527" s="3">
        <f>_xlfn.XLOOKUP(A527,Album!A:A,Album!J:J)</f>
        <v>0</v>
      </c>
      <c r="AD527" s="3">
        <f>_xlfn.XLOOKUP(D527,Artists!A:A,Artists!B:B)</f>
        <v>0</v>
      </c>
      <c r="AE527" s="3">
        <f>_xlfn.XLOOKUP(D527,Artists!A:A,Artists!C:C)</f>
        <v>0</v>
      </c>
      <c r="AF527" s="3" t="str">
        <f t="shared" si="52"/>
        <v>OTHR</v>
      </c>
      <c r="AG527" s="3" t="str">
        <f t="shared" si="53"/>
        <v>OTHR</v>
      </c>
    </row>
    <row r="528" spans="24:33" x14ac:dyDescent="0.3">
      <c r="X528" s="3" t="str">
        <f t="shared" si="48"/>
        <v>-SADNE-</v>
      </c>
      <c r="Y528" s="3" t="str">
        <f t="shared" si="49"/>
        <v>-SLOWSS-</v>
      </c>
      <c r="Z528" s="4" t="str">
        <f t="shared" si="50"/>
        <v>{"couname":"","img":"0","pty":"","artist":"","genres":"","duration":"","spotId":"","Items":["-SADNE-","-SLOWSS-","OTHR","OTHR","XT_OffAnimals"]},</v>
      </c>
      <c r="AA528" s="5" t="s">
        <v>5</v>
      </c>
      <c r="AB528" s="3" t="str">
        <f t="shared" si="51"/>
        <v>["-SADNE-","-SLOWSS-","OTHR","OTHR","XT_OffAnimals"]</v>
      </c>
      <c r="AC528" s="3">
        <f>_xlfn.XLOOKUP(A528,Album!A:A,Album!J:J)</f>
        <v>0</v>
      </c>
      <c r="AD528" s="3">
        <f>_xlfn.XLOOKUP(D528,Artists!A:A,Artists!B:B)</f>
        <v>0</v>
      </c>
      <c r="AE528" s="3">
        <f>_xlfn.XLOOKUP(D528,Artists!A:A,Artists!C:C)</f>
        <v>0</v>
      </c>
      <c r="AF528" s="3" t="str">
        <f t="shared" si="52"/>
        <v>OTHR</v>
      </c>
      <c r="AG528" s="3" t="str">
        <f t="shared" si="53"/>
        <v>OTHR</v>
      </c>
    </row>
    <row r="529" spans="24:33" x14ac:dyDescent="0.3">
      <c r="X529" s="3" t="str">
        <f t="shared" si="48"/>
        <v>-SADNE-</v>
      </c>
      <c r="Y529" s="3" t="str">
        <f t="shared" si="49"/>
        <v>-SLOWSS-</v>
      </c>
      <c r="Z529" s="4" t="str">
        <f t="shared" si="50"/>
        <v>{"couname":"","img":"0","pty":"","artist":"","genres":"","duration":"","spotId":"","Items":["-SADNE-","-SLOWSS-","OTHR","OTHR","XT_OffAnimals"]},</v>
      </c>
      <c r="AA529" s="5" t="s">
        <v>5</v>
      </c>
      <c r="AB529" s="3" t="str">
        <f t="shared" si="51"/>
        <v>["-SADNE-","-SLOWSS-","OTHR","OTHR","XT_OffAnimals"]</v>
      </c>
      <c r="AC529" s="3">
        <f>_xlfn.XLOOKUP(A529,Album!A:A,Album!J:J)</f>
        <v>0</v>
      </c>
      <c r="AD529" s="3">
        <f>_xlfn.XLOOKUP(D529,Artists!A:A,Artists!B:B)</f>
        <v>0</v>
      </c>
      <c r="AE529" s="3">
        <f>_xlfn.XLOOKUP(D529,Artists!A:A,Artists!C:C)</f>
        <v>0</v>
      </c>
      <c r="AF529" s="3" t="str">
        <f t="shared" si="52"/>
        <v>OTHR</v>
      </c>
      <c r="AG529" s="3" t="str">
        <f t="shared" si="53"/>
        <v>OTHR</v>
      </c>
    </row>
    <row r="530" spans="24:33" x14ac:dyDescent="0.3">
      <c r="X530" s="3" t="str">
        <f t="shared" si="48"/>
        <v>-SADNE-</v>
      </c>
      <c r="Y530" s="3" t="str">
        <f t="shared" si="49"/>
        <v>-SLOWSS-</v>
      </c>
      <c r="Z530" s="4" t="str">
        <f t="shared" si="50"/>
        <v>{"couname":"","img":"0","pty":"","artist":"","genres":"","duration":"","spotId":"","Items":["-SADNE-","-SLOWSS-","OTHR","OTHR","XT_OffAnimals"]},</v>
      </c>
      <c r="AA530" s="5" t="s">
        <v>5</v>
      </c>
      <c r="AB530" s="3" t="str">
        <f t="shared" si="51"/>
        <v>["-SADNE-","-SLOWSS-","OTHR","OTHR","XT_OffAnimals"]</v>
      </c>
      <c r="AC530" s="3">
        <f>_xlfn.XLOOKUP(A530,Album!A:A,Album!J:J)</f>
        <v>0</v>
      </c>
      <c r="AD530" s="3">
        <f>_xlfn.XLOOKUP(D530,Artists!A:A,Artists!B:B)</f>
        <v>0</v>
      </c>
      <c r="AE530" s="3">
        <f>_xlfn.XLOOKUP(D530,Artists!A:A,Artists!C:C)</f>
        <v>0</v>
      </c>
      <c r="AF530" s="3" t="str">
        <f t="shared" si="52"/>
        <v>OTHR</v>
      </c>
      <c r="AG530" s="3" t="str">
        <f t="shared" si="53"/>
        <v>OTHR</v>
      </c>
    </row>
    <row r="531" spans="24:33" x14ac:dyDescent="0.3">
      <c r="X531" s="3" t="str">
        <f t="shared" si="48"/>
        <v>-SADNE-</v>
      </c>
      <c r="Y531" s="3" t="str">
        <f t="shared" si="49"/>
        <v>-SLOWSS-</v>
      </c>
      <c r="Z531" s="4" t="str">
        <f t="shared" si="50"/>
        <v>{"couname":"","img":"0","pty":"","artist":"","genres":"","duration":"","spotId":"","Items":["-SADNE-","-SLOWSS-","OTHR","OTHR","XT_OffAnimals"]},</v>
      </c>
      <c r="AA531" s="5" t="s">
        <v>5</v>
      </c>
      <c r="AB531" s="3" t="str">
        <f t="shared" si="51"/>
        <v>["-SADNE-","-SLOWSS-","OTHR","OTHR","XT_OffAnimals"]</v>
      </c>
      <c r="AC531" s="3">
        <f>_xlfn.XLOOKUP(A531,Album!A:A,Album!J:J)</f>
        <v>0</v>
      </c>
      <c r="AD531" s="3">
        <f>_xlfn.XLOOKUP(D531,Artists!A:A,Artists!B:B)</f>
        <v>0</v>
      </c>
      <c r="AE531" s="3">
        <f>_xlfn.XLOOKUP(D531,Artists!A:A,Artists!C:C)</f>
        <v>0</v>
      </c>
      <c r="AF531" s="3" t="str">
        <f t="shared" si="52"/>
        <v>OTHR</v>
      </c>
      <c r="AG531" s="3" t="str">
        <f t="shared" si="53"/>
        <v>OTHR</v>
      </c>
    </row>
    <row r="532" spans="24:33" x14ac:dyDescent="0.3">
      <c r="X532" s="3" t="str">
        <f t="shared" si="48"/>
        <v>-SADNE-</v>
      </c>
      <c r="Y532" s="3" t="str">
        <f t="shared" si="49"/>
        <v>-SLOWSS-</v>
      </c>
      <c r="Z532" s="4" t="str">
        <f t="shared" si="50"/>
        <v>{"couname":"","img":"0","pty":"","artist":"","genres":"","duration":"","spotId":"","Items":["-SADNE-","-SLOWSS-","OTHR","OTHR","XT_OffAnimals"]},</v>
      </c>
      <c r="AA532" s="5" t="s">
        <v>5</v>
      </c>
      <c r="AB532" s="3" t="str">
        <f t="shared" si="51"/>
        <v>["-SADNE-","-SLOWSS-","OTHR","OTHR","XT_OffAnimals"]</v>
      </c>
      <c r="AC532" s="3">
        <f>_xlfn.XLOOKUP(A532,Album!A:A,Album!J:J)</f>
        <v>0</v>
      </c>
      <c r="AD532" s="3">
        <f>_xlfn.XLOOKUP(D532,Artists!A:A,Artists!B:B)</f>
        <v>0</v>
      </c>
      <c r="AE532" s="3">
        <f>_xlfn.XLOOKUP(D532,Artists!A:A,Artists!C:C)</f>
        <v>0</v>
      </c>
      <c r="AF532" s="3" t="str">
        <f t="shared" si="52"/>
        <v>OTHR</v>
      </c>
      <c r="AG532" s="3" t="str">
        <f t="shared" si="53"/>
        <v>OTHR</v>
      </c>
    </row>
    <row r="533" spans="24:33" x14ac:dyDescent="0.3">
      <c r="X533" s="3" t="str">
        <f t="shared" si="48"/>
        <v>-SADNE-</v>
      </c>
      <c r="Y533" s="3" t="str">
        <f t="shared" si="49"/>
        <v>-SLOWSS-</v>
      </c>
      <c r="Z533" s="4" t="str">
        <f t="shared" si="50"/>
        <v>{"couname":"","img":"0","pty":"","artist":"","genres":"","duration":"","spotId":"","Items":["-SADNE-","-SLOWSS-","OTHR","OTHR","XT_OffAnimals"]},</v>
      </c>
      <c r="AA533" s="5" t="s">
        <v>5</v>
      </c>
      <c r="AB533" s="3" t="str">
        <f t="shared" si="51"/>
        <v>["-SADNE-","-SLOWSS-","OTHR","OTHR","XT_OffAnimals"]</v>
      </c>
      <c r="AC533" s="3">
        <f>_xlfn.XLOOKUP(A533,Album!A:A,Album!J:J)</f>
        <v>0</v>
      </c>
      <c r="AD533" s="3">
        <f>_xlfn.XLOOKUP(D533,Artists!A:A,Artists!B:B)</f>
        <v>0</v>
      </c>
      <c r="AE533" s="3">
        <f>_xlfn.XLOOKUP(D533,Artists!A:A,Artists!C:C)</f>
        <v>0</v>
      </c>
      <c r="AF533" s="3" t="str">
        <f t="shared" si="52"/>
        <v>OTHR</v>
      </c>
      <c r="AG533" s="3" t="str">
        <f t="shared" si="53"/>
        <v>OTHR</v>
      </c>
    </row>
    <row r="534" spans="24:33" x14ac:dyDescent="0.3">
      <c r="X534" s="3" t="str">
        <f t="shared" si="48"/>
        <v>-SADNE-</v>
      </c>
      <c r="Y534" s="3" t="str">
        <f t="shared" si="49"/>
        <v>-SLOWSS-</v>
      </c>
      <c r="Z534" s="4" t="str">
        <f t="shared" si="50"/>
        <v>{"couname":"","img":"0","pty":"","artist":"","genres":"","duration":"","spotId":"","Items":["-SADNE-","-SLOWSS-","OTHR","OTHR","XT_OffAnimals"]},</v>
      </c>
      <c r="AA534" s="5" t="s">
        <v>5</v>
      </c>
      <c r="AB534" s="3" t="str">
        <f t="shared" si="51"/>
        <v>["-SADNE-","-SLOWSS-","OTHR","OTHR","XT_OffAnimals"]</v>
      </c>
      <c r="AC534" s="3">
        <f>_xlfn.XLOOKUP(A534,Album!A:A,Album!J:J)</f>
        <v>0</v>
      </c>
      <c r="AD534" s="3">
        <f>_xlfn.XLOOKUP(D534,Artists!A:A,Artists!B:B)</f>
        <v>0</v>
      </c>
      <c r="AE534" s="3">
        <f>_xlfn.XLOOKUP(D534,Artists!A:A,Artists!C:C)</f>
        <v>0</v>
      </c>
      <c r="AF534" s="3" t="str">
        <f t="shared" si="52"/>
        <v>OTHR</v>
      </c>
      <c r="AG534" s="3" t="str">
        <f t="shared" si="53"/>
        <v>OTHR</v>
      </c>
    </row>
    <row r="535" spans="24:33" x14ac:dyDescent="0.3">
      <c r="X535" s="3" t="str">
        <f t="shared" si="48"/>
        <v>-SADNE-</v>
      </c>
      <c r="Y535" s="3" t="str">
        <f t="shared" si="49"/>
        <v>-SLOWSS-</v>
      </c>
      <c r="Z535" s="4" t="str">
        <f t="shared" si="50"/>
        <v>{"couname":"","img":"0","pty":"","artist":"","genres":"","duration":"","spotId":"","Items":["-SADNE-","-SLOWSS-","OTHR","OTHR","XT_OffAnimals"]},</v>
      </c>
      <c r="AA535" s="5" t="s">
        <v>5</v>
      </c>
      <c r="AB535" s="3" t="str">
        <f t="shared" si="51"/>
        <v>["-SADNE-","-SLOWSS-","OTHR","OTHR","XT_OffAnimals"]</v>
      </c>
      <c r="AC535" s="3">
        <f>_xlfn.XLOOKUP(A535,Album!A:A,Album!J:J)</f>
        <v>0</v>
      </c>
      <c r="AD535" s="3">
        <f>_xlfn.XLOOKUP(D535,Artists!A:A,Artists!B:B)</f>
        <v>0</v>
      </c>
      <c r="AE535" s="3">
        <f>_xlfn.XLOOKUP(D535,Artists!A:A,Artists!C:C)</f>
        <v>0</v>
      </c>
      <c r="AF535" s="3" t="str">
        <f t="shared" si="52"/>
        <v>OTHR</v>
      </c>
      <c r="AG535" s="3" t="str">
        <f t="shared" si="53"/>
        <v>OTHR</v>
      </c>
    </row>
    <row r="536" spans="24:33" x14ac:dyDescent="0.3">
      <c r="X536" s="3" t="str">
        <f t="shared" si="48"/>
        <v>-SADNE-</v>
      </c>
      <c r="Y536" s="3" t="str">
        <f t="shared" si="49"/>
        <v>-SLOWSS-</v>
      </c>
      <c r="Z536" s="4" t="str">
        <f t="shared" si="50"/>
        <v>{"couname":"","img":"0","pty":"","artist":"","genres":"","duration":"","spotId":"","Items":["-SADNE-","-SLOWSS-","OTHR","OTHR","XT_OffAnimals"]},</v>
      </c>
      <c r="AA536" s="5" t="s">
        <v>5</v>
      </c>
      <c r="AB536" s="3" t="str">
        <f t="shared" si="51"/>
        <v>["-SADNE-","-SLOWSS-","OTHR","OTHR","XT_OffAnimals"]</v>
      </c>
      <c r="AC536" s="3">
        <f>_xlfn.XLOOKUP(A536,Album!A:A,Album!J:J)</f>
        <v>0</v>
      </c>
      <c r="AD536" s="3">
        <f>_xlfn.XLOOKUP(D536,Artists!A:A,Artists!B:B)</f>
        <v>0</v>
      </c>
      <c r="AE536" s="3">
        <f>_xlfn.XLOOKUP(D536,Artists!A:A,Artists!C:C)</f>
        <v>0</v>
      </c>
      <c r="AF536" s="3" t="str">
        <f t="shared" si="52"/>
        <v>OTHR</v>
      </c>
      <c r="AG536" s="3" t="str">
        <f t="shared" si="53"/>
        <v>OTHR</v>
      </c>
    </row>
    <row r="537" spans="24:33" x14ac:dyDescent="0.3">
      <c r="X537" s="3" t="str">
        <f t="shared" si="48"/>
        <v>-SADNE-</v>
      </c>
      <c r="Y537" s="3" t="str">
        <f t="shared" si="49"/>
        <v>-SLOWSS-</v>
      </c>
      <c r="Z537" s="4" t="str">
        <f t="shared" si="50"/>
        <v>{"couname":"","img":"0","pty":"","artist":"","genres":"","duration":"","spotId":"","Items":["-SADNE-","-SLOWSS-","OTHR","OTHR","XT_OffAnimals"]},</v>
      </c>
      <c r="AA537" s="5" t="s">
        <v>5</v>
      </c>
      <c r="AB537" s="3" t="str">
        <f t="shared" si="51"/>
        <v>["-SADNE-","-SLOWSS-","OTHR","OTHR","XT_OffAnimals"]</v>
      </c>
      <c r="AC537" s="3">
        <f>_xlfn.XLOOKUP(A537,Album!A:A,Album!J:J)</f>
        <v>0</v>
      </c>
      <c r="AD537" s="3">
        <f>_xlfn.XLOOKUP(D537,Artists!A:A,Artists!B:B)</f>
        <v>0</v>
      </c>
      <c r="AE537" s="3">
        <f>_xlfn.XLOOKUP(D537,Artists!A:A,Artists!C:C)</f>
        <v>0</v>
      </c>
      <c r="AF537" s="3" t="str">
        <f t="shared" si="52"/>
        <v>OTHR</v>
      </c>
      <c r="AG537" s="3" t="str">
        <f t="shared" si="53"/>
        <v>OTHR</v>
      </c>
    </row>
    <row r="538" spans="24:33" x14ac:dyDescent="0.3">
      <c r="X538" s="3" t="str">
        <f t="shared" si="48"/>
        <v>-SADNE-</v>
      </c>
      <c r="Y538" s="3" t="str">
        <f t="shared" si="49"/>
        <v>-SLOWSS-</v>
      </c>
      <c r="Z538" s="4" t="str">
        <f t="shared" si="50"/>
        <v>{"couname":"","img":"0","pty":"","artist":"","genres":"","duration":"","spotId":"","Items":["-SADNE-","-SLOWSS-","OTHR","OTHR","XT_OffAnimals"]},</v>
      </c>
      <c r="AA538" s="5" t="s">
        <v>5</v>
      </c>
      <c r="AB538" s="3" t="str">
        <f t="shared" si="51"/>
        <v>["-SADNE-","-SLOWSS-","OTHR","OTHR","XT_OffAnimals"]</v>
      </c>
      <c r="AC538" s="3">
        <f>_xlfn.XLOOKUP(A538,Album!A:A,Album!J:J)</f>
        <v>0</v>
      </c>
      <c r="AD538" s="3">
        <f>_xlfn.XLOOKUP(D538,Artists!A:A,Artists!B:B)</f>
        <v>0</v>
      </c>
      <c r="AE538" s="3">
        <f>_xlfn.XLOOKUP(D538,Artists!A:A,Artists!C:C)</f>
        <v>0</v>
      </c>
      <c r="AF538" s="3" t="str">
        <f t="shared" si="52"/>
        <v>OTHR</v>
      </c>
      <c r="AG538" s="3" t="str">
        <f t="shared" si="53"/>
        <v>OTHR</v>
      </c>
    </row>
    <row r="539" spans="24:33" x14ac:dyDescent="0.3">
      <c r="X539" s="3" t="str">
        <f t="shared" si="48"/>
        <v>-SADNE-</v>
      </c>
      <c r="Y539" s="3" t="str">
        <f t="shared" si="49"/>
        <v>-SLOWSS-</v>
      </c>
      <c r="Z539" s="4" t="str">
        <f t="shared" si="50"/>
        <v>{"couname":"","img":"0","pty":"","artist":"","genres":"","duration":"","spotId":"","Items":["-SADNE-","-SLOWSS-","OTHR","OTHR","XT_OffAnimals"]},</v>
      </c>
      <c r="AA539" s="5" t="s">
        <v>5</v>
      </c>
      <c r="AB539" s="3" t="str">
        <f t="shared" si="51"/>
        <v>["-SADNE-","-SLOWSS-","OTHR","OTHR","XT_OffAnimals"]</v>
      </c>
      <c r="AC539" s="3">
        <f>_xlfn.XLOOKUP(A539,Album!A:A,Album!J:J)</f>
        <v>0</v>
      </c>
      <c r="AD539" s="3">
        <f>_xlfn.XLOOKUP(D539,Artists!A:A,Artists!B:B)</f>
        <v>0</v>
      </c>
      <c r="AE539" s="3">
        <f>_xlfn.XLOOKUP(D539,Artists!A:A,Artists!C:C)</f>
        <v>0</v>
      </c>
      <c r="AF539" s="3" t="str">
        <f t="shared" si="52"/>
        <v>OTHR</v>
      </c>
      <c r="AG539" s="3" t="str">
        <f t="shared" si="53"/>
        <v>OTHR</v>
      </c>
    </row>
    <row r="540" spans="24:33" x14ac:dyDescent="0.3">
      <c r="X540" s="3" t="str">
        <f t="shared" si="48"/>
        <v>-SADNE-</v>
      </c>
      <c r="Y540" s="3" t="str">
        <f t="shared" si="49"/>
        <v>-SLOWSS-</v>
      </c>
      <c r="Z540" s="4" t="str">
        <f t="shared" si="50"/>
        <v>{"couname":"","img":"0","pty":"","artist":"","genres":"","duration":"","spotId":"","Items":["-SADNE-","-SLOWSS-","OTHR","OTHR","XT_OffAnimals"]},</v>
      </c>
      <c r="AA540" s="5" t="s">
        <v>5</v>
      </c>
      <c r="AB540" s="3" t="str">
        <f t="shared" si="51"/>
        <v>["-SADNE-","-SLOWSS-","OTHR","OTHR","XT_OffAnimals"]</v>
      </c>
      <c r="AC540" s="3">
        <f>_xlfn.XLOOKUP(A540,Album!A:A,Album!J:J)</f>
        <v>0</v>
      </c>
      <c r="AD540" s="3">
        <f>_xlfn.XLOOKUP(D540,Artists!A:A,Artists!B:B)</f>
        <v>0</v>
      </c>
      <c r="AE540" s="3">
        <f>_xlfn.XLOOKUP(D540,Artists!A:A,Artists!C:C)</f>
        <v>0</v>
      </c>
      <c r="AF540" s="3" t="str">
        <f t="shared" si="52"/>
        <v>OTHR</v>
      </c>
      <c r="AG540" s="3" t="str">
        <f t="shared" si="53"/>
        <v>OTHR</v>
      </c>
    </row>
    <row r="541" spans="24:33" x14ac:dyDescent="0.3">
      <c r="X541" s="3" t="str">
        <f t="shared" si="48"/>
        <v>-SADNE-</v>
      </c>
      <c r="Y541" s="3" t="str">
        <f t="shared" si="49"/>
        <v>-SLOWSS-</v>
      </c>
      <c r="Z541" s="4" t="str">
        <f t="shared" si="50"/>
        <v>{"couname":"","img":"0","pty":"","artist":"","genres":"","duration":"","spotId":"","Items":["-SADNE-","-SLOWSS-","OTHR","OTHR","XT_OffAnimals"]},</v>
      </c>
      <c r="AA541" s="5" t="s">
        <v>5</v>
      </c>
      <c r="AB541" s="3" t="str">
        <f t="shared" si="51"/>
        <v>["-SADNE-","-SLOWSS-","OTHR","OTHR","XT_OffAnimals"]</v>
      </c>
      <c r="AC541" s="3">
        <f>_xlfn.XLOOKUP(A541,Album!A:A,Album!J:J)</f>
        <v>0</v>
      </c>
      <c r="AD541" s="3">
        <f>_xlfn.XLOOKUP(D541,Artists!A:A,Artists!B:B)</f>
        <v>0</v>
      </c>
      <c r="AE541" s="3">
        <f>_xlfn.XLOOKUP(D541,Artists!A:A,Artists!C:C)</f>
        <v>0</v>
      </c>
      <c r="AF541" s="3" t="str">
        <f t="shared" si="52"/>
        <v>OTHR</v>
      </c>
      <c r="AG541" s="3" t="str">
        <f t="shared" si="53"/>
        <v>OTHR</v>
      </c>
    </row>
    <row r="542" spans="24:33" x14ac:dyDescent="0.3">
      <c r="X542" s="3" t="str">
        <f t="shared" si="48"/>
        <v>-SADNE-</v>
      </c>
      <c r="Y542" s="3" t="str">
        <f t="shared" si="49"/>
        <v>-SLOWSS-</v>
      </c>
      <c r="Z542" s="4" t="str">
        <f t="shared" si="50"/>
        <v>{"couname":"","img":"0","pty":"","artist":"","genres":"","duration":"","spotId":"","Items":["-SADNE-","-SLOWSS-","OTHR","OTHR","XT_OffAnimals"]},</v>
      </c>
      <c r="AA542" s="5" t="s">
        <v>5</v>
      </c>
      <c r="AB542" s="3" t="str">
        <f t="shared" si="51"/>
        <v>["-SADNE-","-SLOWSS-","OTHR","OTHR","XT_OffAnimals"]</v>
      </c>
      <c r="AC542" s="3">
        <f>_xlfn.XLOOKUP(A542,Album!A:A,Album!J:J)</f>
        <v>0</v>
      </c>
      <c r="AD542" s="3">
        <f>_xlfn.XLOOKUP(D542,Artists!A:A,Artists!B:B)</f>
        <v>0</v>
      </c>
      <c r="AE542" s="3">
        <f>_xlfn.XLOOKUP(D542,Artists!A:A,Artists!C:C)</f>
        <v>0</v>
      </c>
      <c r="AF542" s="3" t="str">
        <f t="shared" si="52"/>
        <v>OTHR</v>
      </c>
      <c r="AG542" s="3" t="str">
        <f t="shared" si="53"/>
        <v>OTHR</v>
      </c>
    </row>
    <row r="543" spans="24:33" x14ac:dyDescent="0.3">
      <c r="X543" s="3" t="str">
        <f t="shared" si="48"/>
        <v>-SADNE-</v>
      </c>
      <c r="Y543" s="3" t="str">
        <f t="shared" si="49"/>
        <v>-SLOWSS-</v>
      </c>
      <c r="Z543" s="4" t="str">
        <f t="shared" si="50"/>
        <v>{"couname":"","img":"0","pty":"","artist":"","genres":"","duration":"","spotId":"","Items":["-SADNE-","-SLOWSS-","OTHR","OTHR","XT_OffAnimals"]},</v>
      </c>
      <c r="AA543" s="5" t="s">
        <v>5</v>
      </c>
      <c r="AB543" s="3" t="str">
        <f t="shared" si="51"/>
        <v>["-SADNE-","-SLOWSS-","OTHR","OTHR","XT_OffAnimals"]</v>
      </c>
      <c r="AC543" s="3">
        <f>_xlfn.XLOOKUP(A543,Album!A:A,Album!J:J)</f>
        <v>0</v>
      </c>
      <c r="AD543" s="3">
        <f>_xlfn.XLOOKUP(D543,Artists!A:A,Artists!B:B)</f>
        <v>0</v>
      </c>
      <c r="AE543" s="3">
        <f>_xlfn.XLOOKUP(D543,Artists!A:A,Artists!C:C)</f>
        <v>0</v>
      </c>
      <c r="AF543" s="3" t="str">
        <f t="shared" si="52"/>
        <v>OTHR</v>
      </c>
      <c r="AG543" s="3" t="str">
        <f t="shared" si="53"/>
        <v>OTHR</v>
      </c>
    </row>
    <row r="544" spans="24:33" x14ac:dyDescent="0.3">
      <c r="X544" s="3" t="str">
        <f t="shared" si="48"/>
        <v>-SADNE-</v>
      </c>
      <c r="Y544" s="3" t="str">
        <f t="shared" si="49"/>
        <v>-SLOWSS-</v>
      </c>
      <c r="Z544" s="4" t="str">
        <f t="shared" si="50"/>
        <v>{"couname":"","img":"0","pty":"","artist":"","genres":"","duration":"","spotId":"","Items":["-SADNE-","-SLOWSS-","OTHR","OTHR","XT_OffAnimals"]},</v>
      </c>
      <c r="AA544" s="5" t="s">
        <v>5</v>
      </c>
      <c r="AB544" s="3" t="str">
        <f t="shared" si="51"/>
        <v>["-SADNE-","-SLOWSS-","OTHR","OTHR","XT_OffAnimals"]</v>
      </c>
      <c r="AC544" s="3">
        <f>_xlfn.XLOOKUP(A544,Album!A:A,Album!J:J)</f>
        <v>0</v>
      </c>
      <c r="AD544" s="3">
        <f>_xlfn.XLOOKUP(D544,Artists!A:A,Artists!B:B)</f>
        <v>0</v>
      </c>
      <c r="AE544" s="3">
        <f>_xlfn.XLOOKUP(D544,Artists!A:A,Artists!C:C)</f>
        <v>0</v>
      </c>
      <c r="AF544" s="3" t="str">
        <f t="shared" si="52"/>
        <v>OTHR</v>
      </c>
      <c r="AG544" s="3" t="str">
        <f t="shared" si="53"/>
        <v>OTHR</v>
      </c>
    </row>
    <row r="545" spans="24:33" x14ac:dyDescent="0.3">
      <c r="X545" s="3" t="str">
        <f t="shared" si="48"/>
        <v>-SADNE-</v>
      </c>
      <c r="Y545" s="3" t="str">
        <f t="shared" si="49"/>
        <v>-SLOWSS-</v>
      </c>
      <c r="Z545" s="4" t="str">
        <f t="shared" si="50"/>
        <v>{"couname":"","img":"0","pty":"","artist":"","genres":"","duration":"","spotId":"","Items":["-SADNE-","-SLOWSS-","OTHR","OTHR","XT_OffAnimals"]},</v>
      </c>
      <c r="AA545" s="5" t="s">
        <v>5</v>
      </c>
      <c r="AB545" s="3" t="str">
        <f t="shared" si="51"/>
        <v>["-SADNE-","-SLOWSS-","OTHR","OTHR","XT_OffAnimals"]</v>
      </c>
      <c r="AC545" s="3">
        <f>_xlfn.XLOOKUP(A545,Album!A:A,Album!J:J)</f>
        <v>0</v>
      </c>
      <c r="AD545" s="3">
        <f>_xlfn.XLOOKUP(D545,Artists!A:A,Artists!B:B)</f>
        <v>0</v>
      </c>
      <c r="AE545" s="3">
        <f>_xlfn.XLOOKUP(D545,Artists!A:A,Artists!C:C)</f>
        <v>0</v>
      </c>
      <c r="AF545" s="3" t="str">
        <f t="shared" si="52"/>
        <v>OTHR</v>
      </c>
      <c r="AG545" s="3" t="str">
        <f t="shared" si="53"/>
        <v>OTHR</v>
      </c>
    </row>
    <row r="546" spans="24:33" x14ac:dyDescent="0.3">
      <c r="X546" s="3" t="str">
        <f t="shared" si="48"/>
        <v>-SADNE-</v>
      </c>
      <c r="Y546" s="3" t="str">
        <f t="shared" si="49"/>
        <v>-SLOWSS-</v>
      </c>
      <c r="Z546" s="4" t="str">
        <f t="shared" si="50"/>
        <v>{"couname":"","img":"0","pty":"","artist":"","genres":"","duration":"","spotId":"","Items":["-SADNE-","-SLOWSS-","OTHR","OTHR","XT_OffAnimals"]},</v>
      </c>
      <c r="AA546" s="5" t="s">
        <v>5</v>
      </c>
      <c r="AB546" s="3" t="str">
        <f t="shared" si="51"/>
        <v>["-SADNE-","-SLOWSS-","OTHR","OTHR","XT_OffAnimals"]</v>
      </c>
      <c r="AC546" s="3">
        <f>_xlfn.XLOOKUP(A546,Album!A:A,Album!J:J)</f>
        <v>0</v>
      </c>
      <c r="AD546" s="3">
        <f>_xlfn.XLOOKUP(D546,Artists!A:A,Artists!B:B)</f>
        <v>0</v>
      </c>
      <c r="AE546" s="3">
        <f>_xlfn.XLOOKUP(D546,Artists!A:A,Artists!C:C)</f>
        <v>0</v>
      </c>
      <c r="AF546" s="3" t="str">
        <f t="shared" si="52"/>
        <v>OTHR</v>
      </c>
      <c r="AG546" s="3" t="str">
        <f t="shared" si="53"/>
        <v>OTHR</v>
      </c>
    </row>
    <row r="547" spans="24:33" x14ac:dyDescent="0.3">
      <c r="X547" s="3" t="str">
        <f t="shared" si="48"/>
        <v>-SADNE-</v>
      </c>
      <c r="Y547" s="3" t="str">
        <f t="shared" si="49"/>
        <v>-SLOWSS-</v>
      </c>
      <c r="Z547" s="4" t="str">
        <f t="shared" si="50"/>
        <v>{"couname":"","img":"0","pty":"","artist":"","genres":"","duration":"","spotId":"","Items":["-SADNE-","-SLOWSS-","OTHR","OTHR","XT_OffAnimals"]},</v>
      </c>
      <c r="AA547" s="5" t="s">
        <v>5</v>
      </c>
      <c r="AB547" s="3" t="str">
        <f t="shared" si="51"/>
        <v>["-SADNE-","-SLOWSS-","OTHR","OTHR","XT_OffAnimals"]</v>
      </c>
      <c r="AC547" s="3">
        <f>_xlfn.XLOOKUP(A547,Album!A:A,Album!J:J)</f>
        <v>0</v>
      </c>
      <c r="AD547" s="3">
        <f>_xlfn.XLOOKUP(D547,Artists!A:A,Artists!B:B)</f>
        <v>0</v>
      </c>
      <c r="AE547" s="3">
        <f>_xlfn.XLOOKUP(D547,Artists!A:A,Artists!C:C)</f>
        <v>0</v>
      </c>
      <c r="AF547" s="3" t="str">
        <f t="shared" si="52"/>
        <v>OTHR</v>
      </c>
      <c r="AG547" s="3" t="str">
        <f t="shared" si="53"/>
        <v>OTHR</v>
      </c>
    </row>
    <row r="548" spans="24:33" x14ac:dyDescent="0.3">
      <c r="X548" s="3" t="str">
        <f t="shared" si="48"/>
        <v>-SADNE-</v>
      </c>
      <c r="Y548" s="3" t="str">
        <f t="shared" si="49"/>
        <v>-SLOWSS-</v>
      </c>
      <c r="Z548" s="4" t="str">
        <f t="shared" si="50"/>
        <v>{"couname":"","img":"0","pty":"","artist":"","genres":"","duration":"","spotId":"","Items":["-SADNE-","-SLOWSS-","OTHR","OTHR","XT_OffAnimals"]},</v>
      </c>
      <c r="AA548" s="5" t="s">
        <v>5</v>
      </c>
      <c r="AB548" s="3" t="str">
        <f t="shared" si="51"/>
        <v>["-SADNE-","-SLOWSS-","OTHR","OTHR","XT_OffAnimals"]</v>
      </c>
      <c r="AC548" s="3">
        <f>_xlfn.XLOOKUP(A548,Album!A:A,Album!J:J)</f>
        <v>0</v>
      </c>
      <c r="AD548" s="3">
        <f>_xlfn.XLOOKUP(D548,Artists!A:A,Artists!B:B)</f>
        <v>0</v>
      </c>
      <c r="AE548" s="3">
        <f>_xlfn.XLOOKUP(D548,Artists!A:A,Artists!C:C)</f>
        <v>0</v>
      </c>
      <c r="AF548" s="3" t="str">
        <f t="shared" si="52"/>
        <v>OTHR</v>
      </c>
      <c r="AG548" s="3" t="str">
        <f t="shared" si="53"/>
        <v>OTHR</v>
      </c>
    </row>
    <row r="549" spans="24:33" x14ac:dyDescent="0.3">
      <c r="X549" s="3" t="str">
        <f t="shared" si="48"/>
        <v>-SADNE-</v>
      </c>
      <c r="Y549" s="3" t="str">
        <f t="shared" si="49"/>
        <v>-SLOWSS-</v>
      </c>
      <c r="Z549" s="4" t="str">
        <f t="shared" si="50"/>
        <v>{"couname":"","img":"0","pty":"","artist":"","genres":"","duration":"","spotId":"","Items":["-SADNE-","-SLOWSS-","OTHR","OTHR","XT_OffAnimals"]},</v>
      </c>
      <c r="AA549" s="5" t="s">
        <v>5</v>
      </c>
      <c r="AB549" s="3" t="str">
        <f t="shared" si="51"/>
        <v>["-SADNE-","-SLOWSS-","OTHR","OTHR","XT_OffAnimals"]</v>
      </c>
      <c r="AC549" s="3">
        <f>_xlfn.XLOOKUP(A549,Album!A:A,Album!J:J)</f>
        <v>0</v>
      </c>
      <c r="AD549" s="3">
        <f>_xlfn.XLOOKUP(D549,Artists!A:A,Artists!B:B)</f>
        <v>0</v>
      </c>
      <c r="AE549" s="3">
        <f>_xlfn.XLOOKUP(D549,Artists!A:A,Artists!C:C)</f>
        <v>0</v>
      </c>
      <c r="AF549" s="3" t="str">
        <f t="shared" si="52"/>
        <v>OTHR</v>
      </c>
      <c r="AG549" s="3" t="str">
        <f t="shared" si="53"/>
        <v>OTHR</v>
      </c>
    </row>
    <row r="550" spans="24:33" x14ac:dyDescent="0.3">
      <c r="X550" s="3" t="str">
        <f t="shared" si="48"/>
        <v>-SADNE-</v>
      </c>
      <c r="Y550" s="3" t="str">
        <f t="shared" si="49"/>
        <v>-SLOWSS-</v>
      </c>
      <c r="Z550" s="4" t="str">
        <f t="shared" si="50"/>
        <v>{"couname":"","img":"0","pty":"","artist":"","genres":"","duration":"","spotId":"","Items":["-SADNE-","-SLOWSS-","OTHR","OTHR","XT_OffAnimals"]},</v>
      </c>
      <c r="AA550" s="5" t="s">
        <v>5</v>
      </c>
      <c r="AB550" s="3" t="str">
        <f t="shared" si="51"/>
        <v>["-SADNE-","-SLOWSS-","OTHR","OTHR","XT_OffAnimals"]</v>
      </c>
      <c r="AC550" s="3">
        <f>_xlfn.XLOOKUP(A550,Album!A:A,Album!J:J)</f>
        <v>0</v>
      </c>
      <c r="AD550" s="3">
        <f>_xlfn.XLOOKUP(D550,Artists!A:A,Artists!B:B)</f>
        <v>0</v>
      </c>
      <c r="AE550" s="3">
        <f>_xlfn.XLOOKUP(D550,Artists!A:A,Artists!C:C)</f>
        <v>0</v>
      </c>
      <c r="AF550" s="3" t="str">
        <f t="shared" si="52"/>
        <v>OTHR</v>
      </c>
      <c r="AG550" s="3" t="str">
        <f t="shared" si="53"/>
        <v>OTHR</v>
      </c>
    </row>
    <row r="551" spans="24:33" x14ac:dyDescent="0.3">
      <c r="X551" s="3" t="str">
        <f t="shared" si="48"/>
        <v>-SADNE-</v>
      </c>
      <c r="Y551" s="3" t="str">
        <f t="shared" si="49"/>
        <v>-SLOWSS-</v>
      </c>
      <c r="Z551" s="4" t="str">
        <f t="shared" si="50"/>
        <v>{"couname":"","img":"0","pty":"","artist":"","genres":"","duration":"","spotId":"","Items":["-SADNE-","-SLOWSS-","OTHR","OTHR","XT_OffAnimals"]},</v>
      </c>
      <c r="AA551" s="5" t="s">
        <v>5</v>
      </c>
      <c r="AB551" s="3" t="str">
        <f t="shared" si="51"/>
        <v>["-SADNE-","-SLOWSS-","OTHR","OTHR","XT_OffAnimals"]</v>
      </c>
      <c r="AC551" s="3">
        <f>_xlfn.XLOOKUP(A551,Album!A:A,Album!J:J)</f>
        <v>0</v>
      </c>
      <c r="AD551" s="3">
        <f>_xlfn.XLOOKUP(D551,Artists!A:A,Artists!B:B)</f>
        <v>0</v>
      </c>
      <c r="AE551" s="3">
        <f>_xlfn.XLOOKUP(D551,Artists!A:A,Artists!C:C)</f>
        <v>0</v>
      </c>
      <c r="AF551" s="3" t="str">
        <f t="shared" si="52"/>
        <v>OTHR</v>
      </c>
      <c r="AG551" s="3" t="str">
        <f t="shared" si="53"/>
        <v>OTHR</v>
      </c>
    </row>
    <row r="552" spans="24:33" x14ac:dyDescent="0.3">
      <c r="X552" s="3" t="str">
        <f t="shared" si="48"/>
        <v>-SADNE-</v>
      </c>
      <c r="Y552" s="3" t="str">
        <f t="shared" si="49"/>
        <v>-SLOWSS-</v>
      </c>
      <c r="Z552" s="4" t="str">
        <f t="shared" si="50"/>
        <v>{"couname":"","img":"0","pty":"","artist":"","genres":"","duration":"","spotId":"","Items":["-SADNE-","-SLOWSS-","OTHR","OTHR","XT_OffAnimals"]},</v>
      </c>
      <c r="AA552" s="5" t="s">
        <v>5</v>
      </c>
      <c r="AB552" s="3" t="str">
        <f t="shared" si="51"/>
        <v>["-SADNE-","-SLOWSS-","OTHR","OTHR","XT_OffAnimals"]</v>
      </c>
      <c r="AC552" s="3">
        <f>_xlfn.XLOOKUP(A552,Album!A:A,Album!J:J)</f>
        <v>0</v>
      </c>
      <c r="AD552" s="3">
        <f>_xlfn.XLOOKUP(D552,Artists!A:A,Artists!B:B)</f>
        <v>0</v>
      </c>
      <c r="AE552" s="3">
        <f>_xlfn.XLOOKUP(D552,Artists!A:A,Artists!C:C)</f>
        <v>0</v>
      </c>
      <c r="AF552" s="3" t="str">
        <f t="shared" si="52"/>
        <v>OTHR</v>
      </c>
      <c r="AG552" s="3" t="str">
        <f t="shared" si="53"/>
        <v>OTHR</v>
      </c>
    </row>
    <row r="553" spans="24:33" x14ac:dyDescent="0.3">
      <c r="X553" s="3" t="str">
        <f t="shared" si="48"/>
        <v>-SADNE-</v>
      </c>
      <c r="Y553" s="3" t="str">
        <f t="shared" si="49"/>
        <v>-SLOWSS-</v>
      </c>
      <c r="Z553" s="4" t="str">
        <f t="shared" si="50"/>
        <v>{"couname":"","img":"0","pty":"","artist":"","genres":"","duration":"","spotId":"","Items":["-SADNE-","-SLOWSS-","OTHR","OTHR","XT_OffAnimals"]},</v>
      </c>
      <c r="AA553" s="5" t="s">
        <v>5</v>
      </c>
      <c r="AB553" s="3" t="str">
        <f t="shared" si="51"/>
        <v>["-SADNE-","-SLOWSS-","OTHR","OTHR","XT_OffAnimals"]</v>
      </c>
      <c r="AC553" s="3">
        <f>_xlfn.XLOOKUP(A553,Album!A:A,Album!J:J)</f>
        <v>0</v>
      </c>
      <c r="AD553" s="3">
        <f>_xlfn.XLOOKUP(D553,Artists!A:A,Artists!B:B)</f>
        <v>0</v>
      </c>
      <c r="AE553" s="3">
        <f>_xlfn.XLOOKUP(D553,Artists!A:A,Artists!C:C)</f>
        <v>0</v>
      </c>
      <c r="AF553" s="3" t="str">
        <f t="shared" si="52"/>
        <v>OTHR</v>
      </c>
      <c r="AG553" s="3" t="str">
        <f t="shared" si="53"/>
        <v>OTHR</v>
      </c>
    </row>
    <row r="554" spans="24:33" x14ac:dyDescent="0.3">
      <c r="X554" s="3" t="str">
        <f t="shared" si="48"/>
        <v>-SADNE-</v>
      </c>
      <c r="Y554" s="3" t="str">
        <f t="shared" si="49"/>
        <v>-SLOWSS-</v>
      </c>
      <c r="Z554" s="4" t="str">
        <f t="shared" si="50"/>
        <v>{"couname":"","img":"0","pty":"","artist":"","genres":"","duration":"","spotId":"","Items":["-SADNE-","-SLOWSS-","OTHR","OTHR","XT_OffAnimals"]},</v>
      </c>
      <c r="AA554" s="5" t="s">
        <v>5</v>
      </c>
      <c r="AB554" s="3" t="str">
        <f t="shared" si="51"/>
        <v>["-SADNE-","-SLOWSS-","OTHR","OTHR","XT_OffAnimals"]</v>
      </c>
      <c r="AC554" s="3">
        <f>_xlfn.XLOOKUP(A554,Album!A:A,Album!J:J)</f>
        <v>0</v>
      </c>
      <c r="AD554" s="3">
        <f>_xlfn.XLOOKUP(D554,Artists!A:A,Artists!B:B)</f>
        <v>0</v>
      </c>
      <c r="AE554" s="3">
        <f>_xlfn.XLOOKUP(D554,Artists!A:A,Artists!C:C)</f>
        <v>0</v>
      </c>
      <c r="AF554" s="3" t="str">
        <f t="shared" si="52"/>
        <v>OTHR</v>
      </c>
      <c r="AG554" s="3" t="str">
        <f t="shared" si="53"/>
        <v>OTHR</v>
      </c>
    </row>
    <row r="555" spans="24:33" x14ac:dyDescent="0.3">
      <c r="X555" s="3" t="str">
        <f t="shared" si="48"/>
        <v>-SADNE-</v>
      </c>
      <c r="Y555" s="3" t="str">
        <f t="shared" si="49"/>
        <v>-SLOWSS-</v>
      </c>
      <c r="Z555" s="4" t="str">
        <f t="shared" si="50"/>
        <v>{"couname":"","img":"0","pty":"","artist":"","genres":"","duration":"","spotId":"","Items":["-SADNE-","-SLOWSS-","OTHR","OTHR","XT_OffAnimals"]},</v>
      </c>
      <c r="AA555" s="5" t="s">
        <v>5</v>
      </c>
      <c r="AB555" s="3" t="str">
        <f t="shared" si="51"/>
        <v>["-SADNE-","-SLOWSS-","OTHR","OTHR","XT_OffAnimals"]</v>
      </c>
      <c r="AC555" s="3">
        <f>_xlfn.XLOOKUP(A555,Album!A:A,Album!J:J)</f>
        <v>0</v>
      </c>
      <c r="AD555" s="3">
        <f>_xlfn.XLOOKUP(D555,Artists!A:A,Artists!B:B)</f>
        <v>0</v>
      </c>
      <c r="AE555" s="3">
        <f>_xlfn.XLOOKUP(D555,Artists!A:A,Artists!C:C)</f>
        <v>0</v>
      </c>
      <c r="AF555" s="3" t="str">
        <f t="shared" si="52"/>
        <v>OTHR</v>
      </c>
      <c r="AG555" s="3" t="str">
        <f t="shared" si="53"/>
        <v>OTHR</v>
      </c>
    </row>
    <row r="556" spans="24:33" x14ac:dyDescent="0.3">
      <c r="X556" s="3" t="str">
        <f t="shared" si="48"/>
        <v>-SADNE-</v>
      </c>
      <c r="Y556" s="3" t="str">
        <f t="shared" si="49"/>
        <v>-SLOWSS-</v>
      </c>
      <c r="Z556" s="4" t="str">
        <f t="shared" si="50"/>
        <v>{"couname":"","img":"0","pty":"","artist":"","genres":"","duration":"","spotId":"","Items":["-SADNE-","-SLOWSS-","OTHR","OTHR","XT_OffAnimals"]},</v>
      </c>
      <c r="AA556" s="5" t="s">
        <v>5</v>
      </c>
      <c r="AB556" s="3" t="str">
        <f t="shared" si="51"/>
        <v>["-SADNE-","-SLOWSS-","OTHR","OTHR","XT_OffAnimals"]</v>
      </c>
      <c r="AC556" s="3">
        <f>_xlfn.XLOOKUP(A556,Album!A:A,Album!J:J)</f>
        <v>0</v>
      </c>
      <c r="AD556" s="3">
        <f>_xlfn.XLOOKUP(D556,Artists!A:A,Artists!B:B)</f>
        <v>0</v>
      </c>
      <c r="AE556" s="3">
        <f>_xlfn.XLOOKUP(D556,Artists!A:A,Artists!C:C)</f>
        <v>0</v>
      </c>
      <c r="AF556" s="3" t="str">
        <f t="shared" si="52"/>
        <v>OTHR</v>
      </c>
      <c r="AG556" s="3" t="str">
        <f t="shared" si="53"/>
        <v>OTHR</v>
      </c>
    </row>
    <row r="557" spans="24:33" x14ac:dyDescent="0.3">
      <c r="X557" s="3" t="str">
        <f t="shared" si="48"/>
        <v>-SADNE-</v>
      </c>
      <c r="Y557" s="3" t="str">
        <f t="shared" si="49"/>
        <v>-SLOWSS-</v>
      </c>
      <c r="Z557" s="4" t="str">
        <f t="shared" si="50"/>
        <v>{"couname":"","img":"0","pty":"","artist":"","genres":"","duration":"","spotId":"","Items":["-SADNE-","-SLOWSS-","OTHR","OTHR","XT_OffAnimals"]},</v>
      </c>
      <c r="AA557" s="5" t="s">
        <v>5</v>
      </c>
      <c r="AB557" s="3" t="str">
        <f t="shared" si="51"/>
        <v>["-SADNE-","-SLOWSS-","OTHR","OTHR","XT_OffAnimals"]</v>
      </c>
      <c r="AC557" s="3">
        <f>_xlfn.XLOOKUP(A557,Album!A:A,Album!J:J)</f>
        <v>0</v>
      </c>
      <c r="AD557" s="3">
        <f>_xlfn.XLOOKUP(D557,Artists!A:A,Artists!B:B)</f>
        <v>0</v>
      </c>
      <c r="AE557" s="3">
        <f>_xlfn.XLOOKUP(D557,Artists!A:A,Artists!C:C)</f>
        <v>0</v>
      </c>
      <c r="AF557" s="3" t="str">
        <f t="shared" si="52"/>
        <v>OTHR</v>
      </c>
      <c r="AG557" s="3" t="str">
        <f t="shared" si="53"/>
        <v>OTHR</v>
      </c>
    </row>
    <row r="558" spans="24:33" x14ac:dyDescent="0.3">
      <c r="X558" s="3" t="str">
        <f t="shared" si="48"/>
        <v>-SADNE-</v>
      </c>
      <c r="Y558" s="3" t="str">
        <f t="shared" si="49"/>
        <v>-SLOWSS-</v>
      </c>
      <c r="Z558" s="4" t="str">
        <f t="shared" si="50"/>
        <v>{"couname":"","img":"0","pty":"","artist":"","genres":"","duration":"","spotId":"","Items":["-SADNE-","-SLOWSS-","OTHR","OTHR","XT_OffAnimals"]},</v>
      </c>
      <c r="AA558" s="5" t="s">
        <v>5</v>
      </c>
      <c r="AB558" s="3" t="str">
        <f t="shared" si="51"/>
        <v>["-SADNE-","-SLOWSS-","OTHR","OTHR","XT_OffAnimals"]</v>
      </c>
      <c r="AC558" s="3">
        <f>_xlfn.XLOOKUP(A558,Album!A:A,Album!J:J)</f>
        <v>0</v>
      </c>
      <c r="AD558" s="3">
        <f>_xlfn.XLOOKUP(D558,Artists!A:A,Artists!B:B)</f>
        <v>0</v>
      </c>
      <c r="AE558" s="3">
        <f>_xlfn.XLOOKUP(D558,Artists!A:A,Artists!C:C)</f>
        <v>0</v>
      </c>
      <c r="AF558" s="3" t="str">
        <f t="shared" si="52"/>
        <v>OTHR</v>
      </c>
      <c r="AG558" s="3" t="str">
        <f t="shared" si="53"/>
        <v>OTHR</v>
      </c>
    </row>
    <row r="559" spans="24:33" x14ac:dyDescent="0.3">
      <c r="X559" s="3" t="str">
        <f t="shared" si="48"/>
        <v>-SADNE-</v>
      </c>
      <c r="Y559" s="3" t="str">
        <f t="shared" si="49"/>
        <v>-SLOWSS-</v>
      </c>
      <c r="Z559" s="4" t="str">
        <f t="shared" si="50"/>
        <v>{"couname":"","img":"0","pty":"","artist":"","genres":"","duration":"","spotId":"","Items":["-SADNE-","-SLOWSS-","OTHR","OTHR","XT_OffAnimals"]},</v>
      </c>
      <c r="AA559" s="5" t="s">
        <v>5</v>
      </c>
      <c r="AB559" s="3" t="str">
        <f t="shared" si="51"/>
        <v>["-SADNE-","-SLOWSS-","OTHR","OTHR","XT_OffAnimals"]</v>
      </c>
      <c r="AC559" s="3">
        <f>_xlfn.XLOOKUP(A559,Album!A:A,Album!J:J)</f>
        <v>0</v>
      </c>
      <c r="AD559" s="3">
        <f>_xlfn.XLOOKUP(D559,Artists!A:A,Artists!B:B)</f>
        <v>0</v>
      </c>
      <c r="AE559" s="3">
        <f>_xlfn.XLOOKUP(D559,Artists!A:A,Artists!C:C)</f>
        <v>0</v>
      </c>
      <c r="AF559" s="3" t="str">
        <f t="shared" si="52"/>
        <v>OTHR</v>
      </c>
      <c r="AG559" s="3" t="str">
        <f t="shared" si="53"/>
        <v>OTHR</v>
      </c>
    </row>
    <row r="560" spans="24:33" x14ac:dyDescent="0.3">
      <c r="X560" s="3" t="str">
        <f t="shared" si="48"/>
        <v>-SADNE-</v>
      </c>
      <c r="Y560" s="3" t="str">
        <f t="shared" si="49"/>
        <v>-SLOWSS-</v>
      </c>
      <c r="Z560" s="4" t="str">
        <f t="shared" si="50"/>
        <v>{"couname":"","img":"0","pty":"","artist":"","genres":"","duration":"","spotId":"","Items":["-SADNE-","-SLOWSS-","OTHR","OTHR","XT_OffAnimals"]},</v>
      </c>
      <c r="AA560" s="5" t="s">
        <v>5</v>
      </c>
      <c r="AB560" s="3" t="str">
        <f t="shared" si="51"/>
        <v>["-SADNE-","-SLOWSS-","OTHR","OTHR","XT_OffAnimals"]</v>
      </c>
      <c r="AC560" s="3">
        <f>_xlfn.XLOOKUP(A560,Album!A:A,Album!J:J)</f>
        <v>0</v>
      </c>
      <c r="AD560" s="3">
        <f>_xlfn.XLOOKUP(D560,Artists!A:A,Artists!B:B)</f>
        <v>0</v>
      </c>
      <c r="AE560" s="3">
        <f>_xlfn.XLOOKUP(D560,Artists!A:A,Artists!C:C)</f>
        <v>0</v>
      </c>
      <c r="AF560" s="3" t="str">
        <f t="shared" si="52"/>
        <v>OTHR</v>
      </c>
      <c r="AG560" s="3" t="str">
        <f t="shared" si="53"/>
        <v>OTHR</v>
      </c>
    </row>
    <row r="561" spans="24:33" x14ac:dyDescent="0.3">
      <c r="X561" s="3" t="str">
        <f t="shared" si="48"/>
        <v>-SADNE-</v>
      </c>
      <c r="Y561" s="3" t="str">
        <f t="shared" si="49"/>
        <v>-SLOWSS-</v>
      </c>
      <c r="Z561" s="4" t="str">
        <f t="shared" si="50"/>
        <v>{"couname":"","img":"0","pty":"","artist":"","genres":"","duration":"","spotId":"","Items":["-SADNE-","-SLOWSS-","OTHR","OTHR","XT_OffAnimals"]},</v>
      </c>
      <c r="AA561" s="5" t="s">
        <v>5</v>
      </c>
      <c r="AB561" s="3" t="str">
        <f t="shared" si="51"/>
        <v>["-SADNE-","-SLOWSS-","OTHR","OTHR","XT_OffAnimals"]</v>
      </c>
      <c r="AC561" s="3">
        <f>_xlfn.XLOOKUP(A561,Album!A:A,Album!J:J)</f>
        <v>0</v>
      </c>
      <c r="AD561" s="3">
        <f>_xlfn.XLOOKUP(D561,Artists!A:A,Artists!B:B)</f>
        <v>0</v>
      </c>
      <c r="AE561" s="3">
        <f>_xlfn.XLOOKUP(D561,Artists!A:A,Artists!C:C)</f>
        <v>0</v>
      </c>
      <c r="AF561" s="3" t="str">
        <f t="shared" si="52"/>
        <v>OTHR</v>
      </c>
      <c r="AG561" s="3" t="str">
        <f t="shared" si="53"/>
        <v>OTHR</v>
      </c>
    </row>
    <row r="562" spans="24:33" x14ac:dyDescent="0.3">
      <c r="X562" s="3" t="str">
        <f t="shared" si="48"/>
        <v>-SADNE-</v>
      </c>
      <c r="Y562" s="3" t="str">
        <f t="shared" si="49"/>
        <v>-SLOWSS-</v>
      </c>
      <c r="Z562" s="4" t="str">
        <f t="shared" si="50"/>
        <v>{"couname":"","img":"0","pty":"","artist":"","genres":"","duration":"","spotId":"","Items":["-SADNE-","-SLOWSS-","OTHR","OTHR","XT_OffAnimals"]},</v>
      </c>
      <c r="AA562" s="5" t="s">
        <v>5</v>
      </c>
      <c r="AB562" s="3" t="str">
        <f t="shared" si="51"/>
        <v>["-SADNE-","-SLOWSS-","OTHR","OTHR","XT_OffAnimals"]</v>
      </c>
      <c r="AC562" s="3">
        <f>_xlfn.XLOOKUP(A562,Album!A:A,Album!J:J)</f>
        <v>0</v>
      </c>
      <c r="AD562" s="3">
        <f>_xlfn.XLOOKUP(D562,Artists!A:A,Artists!B:B)</f>
        <v>0</v>
      </c>
      <c r="AE562" s="3">
        <f>_xlfn.XLOOKUP(D562,Artists!A:A,Artists!C:C)</f>
        <v>0</v>
      </c>
      <c r="AF562" s="3" t="str">
        <f t="shared" si="52"/>
        <v>OTHR</v>
      </c>
      <c r="AG562" s="3" t="str">
        <f t="shared" si="53"/>
        <v>OTHR</v>
      </c>
    </row>
    <row r="563" spans="24:33" x14ac:dyDescent="0.3">
      <c r="X563" s="3" t="str">
        <f t="shared" si="48"/>
        <v>-SADNE-</v>
      </c>
      <c r="Y563" s="3" t="str">
        <f t="shared" si="49"/>
        <v>-SLOWSS-</v>
      </c>
      <c r="Z563" s="4" t="str">
        <f t="shared" si="50"/>
        <v>{"couname":"","img":"0","pty":"","artist":"","genres":"","duration":"","spotId":"","Items":["-SADNE-","-SLOWSS-","OTHR","OTHR","XT_OffAnimals"]},</v>
      </c>
      <c r="AA563" s="5" t="s">
        <v>5</v>
      </c>
      <c r="AB563" s="3" t="str">
        <f t="shared" si="51"/>
        <v>["-SADNE-","-SLOWSS-","OTHR","OTHR","XT_OffAnimals"]</v>
      </c>
      <c r="AC563" s="3">
        <f>_xlfn.XLOOKUP(A563,Album!A:A,Album!J:J)</f>
        <v>0</v>
      </c>
      <c r="AD563" s="3">
        <f>_xlfn.XLOOKUP(D563,Artists!A:A,Artists!B:B)</f>
        <v>0</v>
      </c>
      <c r="AE563" s="3">
        <f>_xlfn.XLOOKUP(D563,Artists!A:A,Artists!C:C)</f>
        <v>0</v>
      </c>
      <c r="AF563" s="3" t="str">
        <f t="shared" si="52"/>
        <v>OTHR</v>
      </c>
      <c r="AG563" s="3" t="str">
        <f t="shared" si="53"/>
        <v>OTHR</v>
      </c>
    </row>
    <row r="564" spans="24:33" x14ac:dyDescent="0.3">
      <c r="X564" s="3" t="str">
        <f t="shared" si="48"/>
        <v>-SADNE-</v>
      </c>
      <c r="Y564" s="3" t="str">
        <f t="shared" si="49"/>
        <v>-SLOWSS-</v>
      </c>
      <c r="Z564" s="4" t="str">
        <f t="shared" si="50"/>
        <v>{"couname":"","img":"0","pty":"","artist":"","genres":"","duration":"","spotId":"","Items":["-SADNE-","-SLOWSS-","OTHR","OTHR","XT_OffAnimals"]},</v>
      </c>
      <c r="AA564" s="5" t="s">
        <v>5</v>
      </c>
      <c r="AB564" s="3" t="str">
        <f t="shared" si="51"/>
        <v>["-SADNE-","-SLOWSS-","OTHR","OTHR","XT_OffAnimals"]</v>
      </c>
      <c r="AC564" s="3">
        <f>_xlfn.XLOOKUP(A564,Album!A:A,Album!J:J)</f>
        <v>0</v>
      </c>
      <c r="AD564" s="3">
        <f>_xlfn.XLOOKUP(D564,Artists!A:A,Artists!B:B)</f>
        <v>0</v>
      </c>
      <c r="AE564" s="3">
        <f>_xlfn.XLOOKUP(D564,Artists!A:A,Artists!C:C)</f>
        <v>0</v>
      </c>
      <c r="AF564" s="3" t="str">
        <f t="shared" si="52"/>
        <v>OTHR</v>
      </c>
      <c r="AG564" s="3" t="str">
        <f t="shared" si="53"/>
        <v>OTHR</v>
      </c>
    </row>
    <row r="565" spans="24:33" x14ac:dyDescent="0.3">
      <c r="X565" s="3" t="str">
        <f t="shared" si="48"/>
        <v>-SADNE-</v>
      </c>
      <c r="Y565" s="3" t="str">
        <f t="shared" si="49"/>
        <v>-SLOWSS-</v>
      </c>
      <c r="Z565" s="4" t="str">
        <f t="shared" si="50"/>
        <v>{"couname":"","img":"0","pty":"","artist":"","genres":"","duration":"","spotId":"","Items":["-SADNE-","-SLOWSS-","OTHR","OTHR","XT_OffAnimals"]},</v>
      </c>
      <c r="AA565" s="5" t="s">
        <v>5</v>
      </c>
      <c r="AB565" s="3" t="str">
        <f t="shared" si="51"/>
        <v>["-SADNE-","-SLOWSS-","OTHR","OTHR","XT_OffAnimals"]</v>
      </c>
      <c r="AC565" s="3">
        <f>_xlfn.XLOOKUP(A565,Album!A:A,Album!J:J)</f>
        <v>0</v>
      </c>
      <c r="AD565" s="3">
        <f>_xlfn.XLOOKUP(D565,Artists!A:A,Artists!B:B)</f>
        <v>0</v>
      </c>
      <c r="AE565" s="3">
        <f>_xlfn.XLOOKUP(D565,Artists!A:A,Artists!C:C)</f>
        <v>0</v>
      </c>
      <c r="AF565" s="3" t="str">
        <f t="shared" si="52"/>
        <v>OTHR</v>
      </c>
      <c r="AG565" s="3" t="str">
        <f t="shared" si="53"/>
        <v>OTHR</v>
      </c>
    </row>
    <row r="566" spans="24:33" x14ac:dyDescent="0.3">
      <c r="X566" s="3" t="str">
        <f t="shared" si="48"/>
        <v>-SADNE-</v>
      </c>
      <c r="Y566" s="3" t="str">
        <f t="shared" si="49"/>
        <v>-SLOWSS-</v>
      </c>
      <c r="Z566" s="4" t="str">
        <f t="shared" si="50"/>
        <v>{"couname":"","img":"0","pty":"","artist":"","genres":"","duration":"","spotId":"","Items":["-SADNE-","-SLOWSS-","OTHR","OTHR","XT_OffAnimals"]},</v>
      </c>
      <c r="AA566" s="5" t="s">
        <v>5</v>
      </c>
      <c r="AB566" s="3" t="str">
        <f t="shared" si="51"/>
        <v>["-SADNE-","-SLOWSS-","OTHR","OTHR","XT_OffAnimals"]</v>
      </c>
      <c r="AC566" s="3">
        <f>_xlfn.XLOOKUP(A566,Album!A:A,Album!J:J)</f>
        <v>0</v>
      </c>
      <c r="AD566" s="3">
        <f>_xlfn.XLOOKUP(D566,Artists!A:A,Artists!B:B)</f>
        <v>0</v>
      </c>
      <c r="AE566" s="3">
        <f>_xlfn.XLOOKUP(D566,Artists!A:A,Artists!C:C)</f>
        <v>0</v>
      </c>
      <c r="AF566" s="3" t="str">
        <f t="shared" si="52"/>
        <v>OTHR</v>
      </c>
      <c r="AG566" s="3" t="str">
        <f t="shared" si="53"/>
        <v>OTHR</v>
      </c>
    </row>
    <row r="567" spans="24:33" x14ac:dyDescent="0.3">
      <c r="X567" s="3" t="str">
        <f t="shared" si="48"/>
        <v>-SADNE-</v>
      </c>
      <c r="Y567" s="3" t="str">
        <f t="shared" si="49"/>
        <v>-SLOWSS-</v>
      </c>
      <c r="Z567" s="4" t="str">
        <f t="shared" si="50"/>
        <v>{"couname":"","img":"0","pty":"","artist":"","genres":"","duration":"","spotId":"","Items":["-SADNE-","-SLOWSS-","OTHR","OTHR","XT_OffAnimals"]},</v>
      </c>
      <c r="AA567" s="5" t="s">
        <v>5</v>
      </c>
      <c r="AB567" s="3" t="str">
        <f t="shared" si="51"/>
        <v>["-SADNE-","-SLOWSS-","OTHR","OTHR","XT_OffAnimals"]</v>
      </c>
      <c r="AC567" s="3">
        <f>_xlfn.XLOOKUP(A567,Album!A:A,Album!J:J)</f>
        <v>0</v>
      </c>
      <c r="AD567" s="3">
        <f>_xlfn.XLOOKUP(D567,Artists!A:A,Artists!B:B)</f>
        <v>0</v>
      </c>
      <c r="AE567" s="3">
        <f>_xlfn.XLOOKUP(D567,Artists!A:A,Artists!C:C)</f>
        <v>0</v>
      </c>
      <c r="AF567" s="3" t="str">
        <f t="shared" si="52"/>
        <v>OTHR</v>
      </c>
      <c r="AG567" s="3" t="str">
        <f t="shared" si="53"/>
        <v>OTHR</v>
      </c>
    </row>
    <row r="568" spans="24:33" x14ac:dyDescent="0.3">
      <c r="X568" s="3" t="str">
        <f t="shared" si="48"/>
        <v>-SADNE-</v>
      </c>
      <c r="Y568" s="3" t="str">
        <f t="shared" si="49"/>
        <v>-SLOWSS-</v>
      </c>
      <c r="Z568" s="4" t="str">
        <f t="shared" si="50"/>
        <v>{"couname":"","img":"0","pty":"","artist":"","genres":"","duration":"","spotId":"","Items":["-SADNE-","-SLOWSS-","OTHR","OTHR","XT_OffAnimals"]},</v>
      </c>
      <c r="AA568" s="5" t="s">
        <v>5</v>
      </c>
      <c r="AB568" s="3" t="str">
        <f t="shared" si="51"/>
        <v>["-SADNE-","-SLOWSS-","OTHR","OTHR","XT_OffAnimals"]</v>
      </c>
      <c r="AC568" s="3">
        <f>_xlfn.XLOOKUP(A568,Album!A:A,Album!J:J)</f>
        <v>0</v>
      </c>
      <c r="AD568" s="3">
        <f>_xlfn.XLOOKUP(D568,Artists!A:A,Artists!B:B)</f>
        <v>0</v>
      </c>
      <c r="AE568" s="3">
        <f>_xlfn.XLOOKUP(D568,Artists!A:A,Artists!C:C)</f>
        <v>0</v>
      </c>
      <c r="AF568" s="3" t="str">
        <f t="shared" si="52"/>
        <v>OTHR</v>
      </c>
      <c r="AG568" s="3" t="str">
        <f t="shared" si="53"/>
        <v>OTHR</v>
      </c>
    </row>
    <row r="569" spans="24:33" x14ac:dyDescent="0.3">
      <c r="X569" s="3" t="str">
        <f t="shared" si="48"/>
        <v>-SADNE-</v>
      </c>
      <c r="Y569" s="3" t="str">
        <f t="shared" si="49"/>
        <v>-SLOWSS-</v>
      </c>
      <c r="Z569" s="4" t="str">
        <f t="shared" si="50"/>
        <v>{"couname":"","img":"0","pty":"","artist":"","genres":"","duration":"","spotId":"","Items":["-SADNE-","-SLOWSS-","OTHR","OTHR","XT_OffAnimals"]},</v>
      </c>
      <c r="AA569" s="5" t="s">
        <v>5</v>
      </c>
      <c r="AB569" s="3" t="str">
        <f t="shared" si="51"/>
        <v>["-SADNE-","-SLOWSS-","OTHR","OTHR","XT_OffAnimals"]</v>
      </c>
      <c r="AC569" s="3">
        <f>_xlfn.XLOOKUP(A569,Album!A:A,Album!J:J)</f>
        <v>0</v>
      </c>
      <c r="AD569" s="3">
        <f>_xlfn.XLOOKUP(D569,Artists!A:A,Artists!B:B)</f>
        <v>0</v>
      </c>
      <c r="AE569" s="3">
        <f>_xlfn.XLOOKUP(D569,Artists!A:A,Artists!C:C)</f>
        <v>0</v>
      </c>
      <c r="AF569" s="3" t="str">
        <f t="shared" si="52"/>
        <v>OTHR</v>
      </c>
      <c r="AG569" s="3" t="str">
        <f t="shared" si="53"/>
        <v>OTHR</v>
      </c>
    </row>
    <row r="570" spans="24:33" x14ac:dyDescent="0.3">
      <c r="X570" s="3" t="str">
        <f t="shared" si="48"/>
        <v>-SADNE-</v>
      </c>
      <c r="Y570" s="3" t="str">
        <f t="shared" si="49"/>
        <v>-SLOWSS-</v>
      </c>
      <c r="Z570" s="4" t="str">
        <f t="shared" si="50"/>
        <v>{"couname":"","img":"0","pty":"","artist":"","genres":"","duration":"","spotId":"","Items":["-SADNE-","-SLOWSS-","OTHR","OTHR","XT_OffAnimals"]},</v>
      </c>
      <c r="AA570" s="5" t="s">
        <v>5</v>
      </c>
      <c r="AB570" s="3" t="str">
        <f t="shared" si="51"/>
        <v>["-SADNE-","-SLOWSS-","OTHR","OTHR","XT_OffAnimals"]</v>
      </c>
      <c r="AC570" s="3">
        <f>_xlfn.XLOOKUP(A570,Album!A:A,Album!J:J)</f>
        <v>0</v>
      </c>
      <c r="AD570" s="3">
        <f>_xlfn.XLOOKUP(D570,Artists!A:A,Artists!B:B)</f>
        <v>0</v>
      </c>
      <c r="AE570" s="3">
        <f>_xlfn.XLOOKUP(D570,Artists!A:A,Artists!C:C)</f>
        <v>0</v>
      </c>
      <c r="AF570" s="3" t="str">
        <f t="shared" si="52"/>
        <v>OTHR</v>
      </c>
      <c r="AG570" s="3" t="str">
        <f t="shared" si="53"/>
        <v>OTHR</v>
      </c>
    </row>
    <row r="571" spans="24:33" x14ac:dyDescent="0.3">
      <c r="X571" s="3" t="str">
        <f t="shared" si="48"/>
        <v>-SADNE-</v>
      </c>
      <c r="Y571" s="3" t="str">
        <f t="shared" si="49"/>
        <v>-SLOWSS-</v>
      </c>
      <c r="Z571" s="4" t="str">
        <f t="shared" si="50"/>
        <v>{"couname":"","img":"0","pty":"","artist":"","genres":"","duration":"","spotId":"","Items":["-SADNE-","-SLOWSS-","OTHR","OTHR","XT_OffAnimals"]},</v>
      </c>
      <c r="AA571" s="5" t="s">
        <v>5</v>
      </c>
      <c r="AB571" s="3" t="str">
        <f t="shared" si="51"/>
        <v>["-SADNE-","-SLOWSS-","OTHR","OTHR","XT_OffAnimals"]</v>
      </c>
      <c r="AC571" s="3">
        <f>_xlfn.XLOOKUP(A571,Album!A:A,Album!J:J)</f>
        <v>0</v>
      </c>
      <c r="AD571" s="3">
        <f>_xlfn.XLOOKUP(D571,Artists!A:A,Artists!B:B)</f>
        <v>0</v>
      </c>
      <c r="AE571" s="3">
        <f>_xlfn.XLOOKUP(D571,Artists!A:A,Artists!C:C)</f>
        <v>0</v>
      </c>
      <c r="AF571" s="3" t="str">
        <f t="shared" si="52"/>
        <v>OTHR</v>
      </c>
      <c r="AG571" s="3" t="str">
        <f t="shared" si="53"/>
        <v>OTHR</v>
      </c>
    </row>
    <row r="572" spans="24:33" x14ac:dyDescent="0.3">
      <c r="X572" s="3" t="str">
        <f t="shared" si="48"/>
        <v>-SADNE-</v>
      </c>
      <c r="Y572" s="3" t="str">
        <f t="shared" si="49"/>
        <v>-SLOWSS-</v>
      </c>
      <c r="Z572" s="4" t="str">
        <f t="shared" si="50"/>
        <v>{"couname":"","img":"0","pty":"","artist":"","genres":"","duration":"","spotId":"","Items":["-SADNE-","-SLOWSS-","OTHR","OTHR","XT_OffAnimals"]},</v>
      </c>
      <c r="AA572" s="5" t="s">
        <v>5</v>
      </c>
      <c r="AB572" s="3" t="str">
        <f t="shared" si="51"/>
        <v>["-SADNE-","-SLOWSS-","OTHR","OTHR","XT_OffAnimals"]</v>
      </c>
      <c r="AC572" s="3">
        <f>_xlfn.XLOOKUP(A572,Album!A:A,Album!J:J)</f>
        <v>0</v>
      </c>
      <c r="AD572" s="3">
        <f>_xlfn.XLOOKUP(D572,Artists!A:A,Artists!B:B)</f>
        <v>0</v>
      </c>
      <c r="AE572" s="3">
        <f>_xlfn.XLOOKUP(D572,Artists!A:A,Artists!C:C)</f>
        <v>0</v>
      </c>
      <c r="AF572" s="3" t="str">
        <f t="shared" si="52"/>
        <v>OTHR</v>
      </c>
      <c r="AG572" s="3" t="str">
        <f t="shared" si="53"/>
        <v>OTHR</v>
      </c>
    </row>
    <row r="573" spans="24:33" x14ac:dyDescent="0.3">
      <c r="X573" s="3" t="str">
        <f t="shared" si="48"/>
        <v>-SADNE-</v>
      </c>
      <c r="Y573" s="3" t="str">
        <f t="shared" si="49"/>
        <v>-SLOWSS-</v>
      </c>
      <c r="Z573" s="4" t="str">
        <f t="shared" si="50"/>
        <v>{"couname":"","img":"0","pty":"","artist":"","genres":"","duration":"","spotId":"","Items":["-SADNE-","-SLOWSS-","OTHR","OTHR","XT_OffAnimals"]},</v>
      </c>
      <c r="AA573" s="5" t="s">
        <v>5</v>
      </c>
      <c r="AB573" s="3" t="str">
        <f t="shared" si="51"/>
        <v>["-SADNE-","-SLOWSS-","OTHR","OTHR","XT_OffAnimals"]</v>
      </c>
      <c r="AC573" s="3">
        <f>_xlfn.XLOOKUP(A573,Album!A:A,Album!J:J)</f>
        <v>0</v>
      </c>
      <c r="AD573" s="3">
        <f>_xlfn.XLOOKUP(D573,Artists!A:A,Artists!B:B)</f>
        <v>0</v>
      </c>
      <c r="AE573" s="3">
        <f>_xlfn.XLOOKUP(D573,Artists!A:A,Artists!C:C)</f>
        <v>0</v>
      </c>
      <c r="AF573" s="3" t="str">
        <f t="shared" si="52"/>
        <v>OTHR</v>
      </c>
      <c r="AG573" s="3" t="str">
        <f t="shared" si="53"/>
        <v>OTHR</v>
      </c>
    </row>
    <row r="574" spans="24:33" x14ac:dyDescent="0.3">
      <c r="X574" s="3" t="str">
        <f t="shared" si="48"/>
        <v>-SADNE-</v>
      </c>
      <c r="Y574" s="3" t="str">
        <f t="shared" si="49"/>
        <v>-SLOWSS-</v>
      </c>
      <c r="Z574" s="4" t="str">
        <f t="shared" si="50"/>
        <v>{"couname":"","img":"0","pty":"","artist":"","genres":"","duration":"","spotId":"","Items":["-SADNE-","-SLOWSS-","OTHR","OTHR","XT_OffAnimals"]},</v>
      </c>
      <c r="AA574" s="5" t="s">
        <v>5</v>
      </c>
      <c r="AB574" s="3" t="str">
        <f t="shared" si="51"/>
        <v>["-SADNE-","-SLOWSS-","OTHR","OTHR","XT_OffAnimals"]</v>
      </c>
      <c r="AC574" s="3">
        <f>_xlfn.XLOOKUP(A574,Album!A:A,Album!J:J)</f>
        <v>0</v>
      </c>
      <c r="AD574" s="3">
        <f>_xlfn.XLOOKUP(D574,Artists!A:A,Artists!B:B)</f>
        <v>0</v>
      </c>
      <c r="AE574" s="3">
        <f>_xlfn.XLOOKUP(D574,Artists!A:A,Artists!C:C)</f>
        <v>0</v>
      </c>
      <c r="AF574" s="3" t="str">
        <f t="shared" si="52"/>
        <v>OTHR</v>
      </c>
      <c r="AG574" s="3" t="str">
        <f t="shared" si="53"/>
        <v>OTHR</v>
      </c>
    </row>
    <row r="575" spans="24:33" x14ac:dyDescent="0.3">
      <c r="X575" s="3" t="str">
        <f t="shared" si="48"/>
        <v>-SADNE-</v>
      </c>
      <c r="Y575" s="3" t="str">
        <f t="shared" si="49"/>
        <v>-SLOWSS-</v>
      </c>
      <c r="Z575" s="4" t="str">
        <f t="shared" si="50"/>
        <v>{"couname":"","img":"0","pty":"","artist":"","genres":"","duration":"","spotId":"","Items":["-SADNE-","-SLOWSS-","OTHR","OTHR","XT_OffAnimals"]},</v>
      </c>
      <c r="AA575" s="5" t="s">
        <v>5</v>
      </c>
      <c r="AB575" s="3" t="str">
        <f t="shared" si="51"/>
        <v>["-SADNE-","-SLOWSS-","OTHR","OTHR","XT_OffAnimals"]</v>
      </c>
      <c r="AC575" s="3">
        <f>_xlfn.XLOOKUP(A575,Album!A:A,Album!J:J)</f>
        <v>0</v>
      </c>
      <c r="AD575" s="3">
        <f>_xlfn.XLOOKUP(D575,Artists!A:A,Artists!B:B)</f>
        <v>0</v>
      </c>
      <c r="AE575" s="3">
        <f>_xlfn.XLOOKUP(D575,Artists!A:A,Artists!C:C)</f>
        <v>0</v>
      </c>
      <c r="AF575" s="3" t="str">
        <f t="shared" si="52"/>
        <v>OTHR</v>
      </c>
      <c r="AG575" s="3" t="str">
        <f t="shared" si="53"/>
        <v>OTHR</v>
      </c>
    </row>
    <row r="576" spans="24:33" x14ac:dyDescent="0.3">
      <c r="X576" s="3" t="str">
        <f t="shared" si="48"/>
        <v>-SADNE-</v>
      </c>
      <c r="Y576" s="3" t="str">
        <f t="shared" si="49"/>
        <v>-SLOWSS-</v>
      </c>
      <c r="Z576" s="4" t="str">
        <f t="shared" si="50"/>
        <v>{"couname":"","img":"0","pty":"","artist":"","genres":"","duration":"","spotId":"","Items":["-SADNE-","-SLOWSS-","OTHR","OTHR","XT_OffAnimals"]},</v>
      </c>
      <c r="AA576" s="5" t="s">
        <v>5</v>
      </c>
      <c r="AB576" s="3" t="str">
        <f t="shared" si="51"/>
        <v>["-SADNE-","-SLOWSS-","OTHR","OTHR","XT_OffAnimals"]</v>
      </c>
      <c r="AC576" s="3">
        <f>_xlfn.XLOOKUP(A576,Album!A:A,Album!J:J)</f>
        <v>0</v>
      </c>
      <c r="AD576" s="3">
        <f>_xlfn.XLOOKUP(D576,Artists!A:A,Artists!B:B)</f>
        <v>0</v>
      </c>
      <c r="AE576" s="3">
        <f>_xlfn.XLOOKUP(D576,Artists!A:A,Artists!C:C)</f>
        <v>0</v>
      </c>
      <c r="AF576" s="3" t="str">
        <f t="shared" si="52"/>
        <v>OTHR</v>
      </c>
      <c r="AG576" s="3" t="str">
        <f t="shared" si="53"/>
        <v>OTHR</v>
      </c>
    </row>
    <row r="577" spans="24:33" x14ac:dyDescent="0.3">
      <c r="X577" s="3" t="str">
        <f t="shared" si="48"/>
        <v>-SADNE-</v>
      </c>
      <c r="Y577" s="3" t="str">
        <f t="shared" si="49"/>
        <v>-SLOWSS-</v>
      </c>
      <c r="Z577" s="4" t="str">
        <f t="shared" si="50"/>
        <v>{"couname":"","img":"0","pty":"","artist":"","genres":"","duration":"","spotId":"","Items":["-SADNE-","-SLOWSS-","OTHR","OTHR","XT_OffAnimals"]},</v>
      </c>
      <c r="AA577" s="5" t="s">
        <v>5</v>
      </c>
      <c r="AB577" s="3" t="str">
        <f t="shared" si="51"/>
        <v>["-SADNE-","-SLOWSS-","OTHR","OTHR","XT_OffAnimals"]</v>
      </c>
      <c r="AC577" s="3">
        <f>_xlfn.XLOOKUP(A577,Album!A:A,Album!J:J)</f>
        <v>0</v>
      </c>
      <c r="AD577" s="3">
        <f>_xlfn.XLOOKUP(D577,Artists!A:A,Artists!B:B)</f>
        <v>0</v>
      </c>
      <c r="AE577" s="3">
        <f>_xlfn.XLOOKUP(D577,Artists!A:A,Artists!C:C)</f>
        <v>0</v>
      </c>
      <c r="AF577" s="3" t="str">
        <f t="shared" si="52"/>
        <v>OTHR</v>
      </c>
      <c r="AG577" s="3" t="str">
        <f t="shared" si="53"/>
        <v>OTHR</v>
      </c>
    </row>
    <row r="578" spans="24:33" x14ac:dyDescent="0.3">
      <c r="X578" s="3" t="str">
        <f t="shared" ref="X578:X641" si="54">IF(OR(U578&lt;0.301, AND(U578&lt;0.4, P578=0)), "-SADNE-", "-HAPPY-")</f>
        <v>-SADNE-</v>
      </c>
      <c r="Y578" s="3" t="str">
        <f t="shared" ref="Y578:Y641" si="55">IF(OR(AND(L578&lt;0.5,M578&lt;0.5),AND(L578&lt;0.45,V578&lt;100),AND(M578&lt;0.45,V578&lt;100),AND(U578&lt;0.39,V578&lt;100)),"-SLOWSS-","-ENERGY-")</f>
        <v>-SLOWSS-</v>
      </c>
      <c r="Z578" s="4" t="str">
        <f t="shared" si="50"/>
        <v>{"couname":"","img":"0","pty":"","artist":"","genres":"","duration":"","spotId":"","Items":["-SADNE-","-SLOWSS-","OTHR","OTHR","XT_OffAnimals"]},</v>
      </c>
      <c r="AA578" s="5" t="s">
        <v>5</v>
      </c>
      <c r="AB578" s="3" t="str">
        <f t="shared" si="51"/>
        <v>["-SADNE-","-SLOWSS-","OTHR","OTHR","XT_OffAnimals"]</v>
      </c>
      <c r="AC578" s="3">
        <f>_xlfn.XLOOKUP(A578,Album!A:A,Album!J:J)</f>
        <v>0</v>
      </c>
      <c r="AD578" s="3">
        <f>_xlfn.XLOOKUP(D578,Artists!A:A,Artists!B:B)</f>
        <v>0</v>
      </c>
      <c r="AE578" s="3">
        <f>_xlfn.XLOOKUP(D578,Artists!A:A,Artists!C:C)</f>
        <v>0</v>
      </c>
      <c r="AF578" s="3" t="str">
        <f t="shared" si="52"/>
        <v>OTHR</v>
      </c>
      <c r="AG578" s="3" t="str">
        <f t="shared" si="53"/>
        <v>OTHR</v>
      </c>
    </row>
    <row r="579" spans="24:33" x14ac:dyDescent="0.3">
      <c r="X579" s="3" t="str">
        <f t="shared" si="54"/>
        <v>-SADNE-</v>
      </c>
      <c r="Y579" s="3" t="str">
        <f t="shared" si="55"/>
        <v>-SLOWSS-</v>
      </c>
      <c r="Z579" s="4" t="str">
        <f t="shared" ref="Z579:Z642" si="56">"{"&amp;CHAR(34)&amp;"couname"&amp;CHAR(34)&amp;":"&amp;CHAR(34)&amp;B579&amp;CHAR(34)&amp;","&amp;CHAR(34)&amp;"img"&amp;CHAR(34)&amp;":"&amp;CHAR(34)&amp;AC579&amp;CHAR(34)&amp;","&amp;CHAR(34)&amp;"pty"&amp;CHAR(34)&amp;":"&amp;CHAR(34)&amp;G579&amp;CHAR(34)&amp;","&amp;CHAR(34)&amp;"artist"&amp;CHAR(34)&amp;":"&amp;CHAR(34)&amp;D579&amp;CHAR(34)&amp;","&amp;CHAR(34)&amp;"genres"&amp;CHAR(34)&amp;":"&amp;CHAR(34)&amp;J579&amp;CHAR(34)&amp;","&amp;CHAR(34)&amp;"duration"&amp;CHAR(34)&amp;":"&amp;CHAR(34)&amp;F579&amp;CHAR(34)&amp;","&amp;CHAR(34)&amp;"spotId"&amp;CHAR(34)&amp;":"&amp;CHAR(34)&amp;A579&amp;CHAR(34)&amp;","&amp;CHAR(34)&amp;"Items"&amp;CHAR(34)&amp;":"&amp;AB579&amp;"},"</f>
        <v>{"couname":"","img":"0","pty":"","artist":"","genres":"","duration":"","spotId":"","Items":["-SADNE-","-SLOWSS-","OTHR","OTHR","XT_OffAnimals"]},</v>
      </c>
      <c r="AA579" s="5" t="s">
        <v>5</v>
      </c>
      <c r="AB579" s="3" t="str">
        <f t="shared" ref="AB579:AB642" si="57" xml:space="preserve"> "[" &amp; _xlfn.TEXTJOIN(",",TRUE,CHAR(34) &amp; X579&amp; CHAR(34), CHAR(34) &amp; Y579 &amp; CHAR(34),  CHAR(34) &amp; AF579 &amp; CHAR(34), CHAR(34) &amp;AG579 &amp; CHAR(34), CHAR(34) &amp; AA579 &amp; CHAR(34)) &amp; "]"</f>
        <v>["-SADNE-","-SLOWSS-","OTHR","OTHR","XT_OffAnimals"]</v>
      </c>
      <c r="AC579" s="3">
        <f>_xlfn.XLOOKUP(A579,Album!A:A,Album!J:J)</f>
        <v>0</v>
      </c>
      <c r="AD579" s="3">
        <f>_xlfn.XLOOKUP(D579,Artists!A:A,Artists!B:B)</f>
        <v>0</v>
      </c>
      <c r="AE579" s="3">
        <f>_xlfn.XLOOKUP(D579,Artists!A:A,Artists!C:C)</f>
        <v>0</v>
      </c>
      <c r="AF579" s="3" t="str">
        <f t="shared" ref="AF579:AF642" si="58">IF(ISNUMBER(SEARCH("female", AD579)), "GIRL", IF(ISNUMBER(SEARCH("male", AD579)), "DUDE", "OTHR"))</f>
        <v>OTHR</v>
      </c>
      <c r="AG579" s="3" t="str">
        <f t="shared" ref="AG579:AG642" si="59">IF(ISNUMBER(SEARCH("band", AD579)), "BAND", IF(ISNUMBER(SEARCH("solo", AD579)), "SOLO", "OTHR"))</f>
        <v>OTHR</v>
      </c>
    </row>
    <row r="580" spans="24:33" x14ac:dyDescent="0.3">
      <c r="X580" s="3" t="str">
        <f t="shared" si="54"/>
        <v>-SADNE-</v>
      </c>
      <c r="Y580" s="3" t="str">
        <f t="shared" si="55"/>
        <v>-SLOWSS-</v>
      </c>
      <c r="Z580" s="4" t="str">
        <f t="shared" si="56"/>
        <v>{"couname":"","img":"0","pty":"","artist":"","genres":"","duration":"","spotId":"","Items":["-SADNE-","-SLOWSS-","OTHR","OTHR","XT_OffAnimals"]},</v>
      </c>
      <c r="AA580" s="5" t="s">
        <v>5</v>
      </c>
      <c r="AB580" s="3" t="str">
        <f t="shared" si="57"/>
        <v>["-SADNE-","-SLOWSS-","OTHR","OTHR","XT_OffAnimals"]</v>
      </c>
      <c r="AC580" s="3">
        <f>_xlfn.XLOOKUP(A580,Album!A:A,Album!J:J)</f>
        <v>0</v>
      </c>
      <c r="AD580" s="3">
        <f>_xlfn.XLOOKUP(D580,Artists!A:A,Artists!B:B)</f>
        <v>0</v>
      </c>
      <c r="AE580" s="3">
        <f>_xlfn.XLOOKUP(D580,Artists!A:A,Artists!C:C)</f>
        <v>0</v>
      </c>
      <c r="AF580" s="3" t="str">
        <f t="shared" si="58"/>
        <v>OTHR</v>
      </c>
      <c r="AG580" s="3" t="str">
        <f t="shared" si="59"/>
        <v>OTHR</v>
      </c>
    </row>
    <row r="581" spans="24:33" x14ac:dyDescent="0.3">
      <c r="X581" s="3" t="str">
        <f t="shared" si="54"/>
        <v>-SADNE-</v>
      </c>
      <c r="Y581" s="3" t="str">
        <f t="shared" si="55"/>
        <v>-SLOWSS-</v>
      </c>
      <c r="Z581" s="4" t="str">
        <f t="shared" si="56"/>
        <v>{"couname":"","img":"0","pty":"","artist":"","genres":"","duration":"","spotId":"","Items":["-SADNE-","-SLOWSS-","OTHR","OTHR","XT_OffAnimals"]},</v>
      </c>
      <c r="AA581" s="5" t="s">
        <v>5</v>
      </c>
      <c r="AB581" s="3" t="str">
        <f t="shared" si="57"/>
        <v>["-SADNE-","-SLOWSS-","OTHR","OTHR","XT_OffAnimals"]</v>
      </c>
      <c r="AC581" s="3">
        <f>_xlfn.XLOOKUP(A581,Album!A:A,Album!J:J)</f>
        <v>0</v>
      </c>
      <c r="AD581" s="3">
        <f>_xlfn.XLOOKUP(D581,Artists!A:A,Artists!B:B)</f>
        <v>0</v>
      </c>
      <c r="AE581" s="3">
        <f>_xlfn.XLOOKUP(D581,Artists!A:A,Artists!C:C)</f>
        <v>0</v>
      </c>
      <c r="AF581" s="3" t="str">
        <f t="shared" si="58"/>
        <v>OTHR</v>
      </c>
      <c r="AG581" s="3" t="str">
        <f t="shared" si="59"/>
        <v>OTHR</v>
      </c>
    </row>
    <row r="582" spans="24:33" x14ac:dyDescent="0.3">
      <c r="X582" s="3" t="str">
        <f t="shared" si="54"/>
        <v>-SADNE-</v>
      </c>
      <c r="Y582" s="3" t="str">
        <f t="shared" si="55"/>
        <v>-SLOWSS-</v>
      </c>
      <c r="Z582" s="4" t="str">
        <f t="shared" si="56"/>
        <v>{"couname":"","img":"0","pty":"","artist":"","genres":"","duration":"","spotId":"","Items":["-SADNE-","-SLOWSS-","OTHR","OTHR","XT_OffAnimals"]},</v>
      </c>
      <c r="AA582" s="5" t="s">
        <v>5</v>
      </c>
      <c r="AB582" s="3" t="str">
        <f t="shared" si="57"/>
        <v>["-SADNE-","-SLOWSS-","OTHR","OTHR","XT_OffAnimals"]</v>
      </c>
      <c r="AC582" s="3">
        <f>_xlfn.XLOOKUP(A582,Album!A:A,Album!J:J)</f>
        <v>0</v>
      </c>
      <c r="AD582" s="3">
        <f>_xlfn.XLOOKUP(D582,Artists!A:A,Artists!B:B)</f>
        <v>0</v>
      </c>
      <c r="AE582" s="3">
        <f>_xlfn.XLOOKUP(D582,Artists!A:A,Artists!C:C)</f>
        <v>0</v>
      </c>
      <c r="AF582" s="3" t="str">
        <f t="shared" si="58"/>
        <v>OTHR</v>
      </c>
      <c r="AG582" s="3" t="str">
        <f t="shared" si="59"/>
        <v>OTHR</v>
      </c>
    </row>
    <row r="583" spans="24:33" x14ac:dyDescent="0.3">
      <c r="X583" s="3" t="str">
        <f t="shared" si="54"/>
        <v>-SADNE-</v>
      </c>
      <c r="Y583" s="3" t="str">
        <f t="shared" si="55"/>
        <v>-SLOWSS-</v>
      </c>
      <c r="Z583" s="4" t="str">
        <f t="shared" si="56"/>
        <v>{"couname":"","img":"0","pty":"","artist":"","genres":"","duration":"","spotId":"","Items":["-SADNE-","-SLOWSS-","OTHR","OTHR","XT_OffAnimals"]},</v>
      </c>
      <c r="AA583" s="5" t="s">
        <v>5</v>
      </c>
      <c r="AB583" s="3" t="str">
        <f t="shared" si="57"/>
        <v>["-SADNE-","-SLOWSS-","OTHR","OTHR","XT_OffAnimals"]</v>
      </c>
      <c r="AC583" s="3">
        <f>_xlfn.XLOOKUP(A583,Album!A:A,Album!J:J)</f>
        <v>0</v>
      </c>
      <c r="AD583" s="3">
        <f>_xlfn.XLOOKUP(D583,Artists!A:A,Artists!B:B)</f>
        <v>0</v>
      </c>
      <c r="AE583" s="3">
        <f>_xlfn.XLOOKUP(D583,Artists!A:A,Artists!C:C)</f>
        <v>0</v>
      </c>
      <c r="AF583" s="3" t="str">
        <f t="shared" si="58"/>
        <v>OTHR</v>
      </c>
      <c r="AG583" s="3" t="str">
        <f t="shared" si="59"/>
        <v>OTHR</v>
      </c>
    </row>
    <row r="584" spans="24:33" x14ac:dyDescent="0.3">
      <c r="X584" s="3" t="str">
        <f t="shared" si="54"/>
        <v>-SADNE-</v>
      </c>
      <c r="Y584" s="3" t="str">
        <f t="shared" si="55"/>
        <v>-SLOWSS-</v>
      </c>
      <c r="Z584" s="4" t="str">
        <f t="shared" si="56"/>
        <v>{"couname":"","img":"0","pty":"","artist":"","genres":"","duration":"","spotId":"","Items":["-SADNE-","-SLOWSS-","OTHR","OTHR","XT_OffAnimals"]},</v>
      </c>
      <c r="AA584" s="5" t="s">
        <v>5</v>
      </c>
      <c r="AB584" s="3" t="str">
        <f t="shared" si="57"/>
        <v>["-SADNE-","-SLOWSS-","OTHR","OTHR","XT_OffAnimals"]</v>
      </c>
      <c r="AC584" s="3">
        <f>_xlfn.XLOOKUP(A584,Album!A:A,Album!J:J)</f>
        <v>0</v>
      </c>
      <c r="AD584" s="3">
        <f>_xlfn.XLOOKUP(D584,Artists!A:A,Artists!B:B)</f>
        <v>0</v>
      </c>
      <c r="AE584" s="3">
        <f>_xlfn.XLOOKUP(D584,Artists!A:A,Artists!C:C)</f>
        <v>0</v>
      </c>
      <c r="AF584" s="3" t="str">
        <f t="shared" si="58"/>
        <v>OTHR</v>
      </c>
      <c r="AG584" s="3" t="str">
        <f t="shared" si="59"/>
        <v>OTHR</v>
      </c>
    </row>
    <row r="585" spans="24:33" x14ac:dyDescent="0.3">
      <c r="X585" s="3" t="str">
        <f t="shared" si="54"/>
        <v>-SADNE-</v>
      </c>
      <c r="Y585" s="3" t="str">
        <f t="shared" si="55"/>
        <v>-SLOWSS-</v>
      </c>
      <c r="Z585" s="4" t="str">
        <f t="shared" si="56"/>
        <v>{"couname":"","img":"0","pty":"","artist":"","genres":"","duration":"","spotId":"","Items":["-SADNE-","-SLOWSS-","OTHR","OTHR","XT_OffAnimals"]},</v>
      </c>
      <c r="AA585" s="5" t="s">
        <v>5</v>
      </c>
      <c r="AB585" s="3" t="str">
        <f t="shared" si="57"/>
        <v>["-SADNE-","-SLOWSS-","OTHR","OTHR","XT_OffAnimals"]</v>
      </c>
      <c r="AC585" s="3">
        <f>_xlfn.XLOOKUP(A585,Album!A:A,Album!J:J)</f>
        <v>0</v>
      </c>
      <c r="AD585" s="3">
        <f>_xlfn.XLOOKUP(D585,Artists!A:A,Artists!B:B)</f>
        <v>0</v>
      </c>
      <c r="AE585" s="3">
        <f>_xlfn.XLOOKUP(D585,Artists!A:A,Artists!C:C)</f>
        <v>0</v>
      </c>
      <c r="AF585" s="3" t="str">
        <f t="shared" si="58"/>
        <v>OTHR</v>
      </c>
      <c r="AG585" s="3" t="str">
        <f t="shared" si="59"/>
        <v>OTHR</v>
      </c>
    </row>
    <row r="586" spans="24:33" x14ac:dyDescent="0.3">
      <c r="X586" s="3" t="str">
        <f t="shared" si="54"/>
        <v>-SADNE-</v>
      </c>
      <c r="Y586" s="3" t="str">
        <f t="shared" si="55"/>
        <v>-SLOWSS-</v>
      </c>
      <c r="Z586" s="4" t="str">
        <f t="shared" si="56"/>
        <v>{"couname":"","img":"0","pty":"","artist":"","genres":"","duration":"","spotId":"","Items":["-SADNE-","-SLOWSS-","OTHR","OTHR","XT_OffAnimals"]},</v>
      </c>
      <c r="AA586" s="5" t="s">
        <v>5</v>
      </c>
      <c r="AB586" s="3" t="str">
        <f t="shared" si="57"/>
        <v>["-SADNE-","-SLOWSS-","OTHR","OTHR","XT_OffAnimals"]</v>
      </c>
      <c r="AC586" s="3">
        <f>_xlfn.XLOOKUP(A586,Album!A:A,Album!J:J)</f>
        <v>0</v>
      </c>
      <c r="AD586" s="3">
        <f>_xlfn.XLOOKUP(D586,Artists!A:A,Artists!B:B)</f>
        <v>0</v>
      </c>
      <c r="AE586" s="3">
        <f>_xlfn.XLOOKUP(D586,Artists!A:A,Artists!C:C)</f>
        <v>0</v>
      </c>
      <c r="AF586" s="3" t="str">
        <f t="shared" si="58"/>
        <v>OTHR</v>
      </c>
      <c r="AG586" s="3" t="str">
        <f t="shared" si="59"/>
        <v>OTHR</v>
      </c>
    </row>
    <row r="587" spans="24:33" x14ac:dyDescent="0.3">
      <c r="X587" s="3" t="str">
        <f t="shared" si="54"/>
        <v>-SADNE-</v>
      </c>
      <c r="Y587" s="3" t="str">
        <f t="shared" si="55"/>
        <v>-SLOWSS-</v>
      </c>
      <c r="Z587" s="4" t="str">
        <f t="shared" si="56"/>
        <v>{"couname":"","img":"0","pty":"","artist":"","genres":"","duration":"","spotId":"","Items":["-SADNE-","-SLOWSS-","OTHR","OTHR","XT_OffAnimals"]},</v>
      </c>
      <c r="AA587" s="5" t="s">
        <v>5</v>
      </c>
      <c r="AB587" s="3" t="str">
        <f t="shared" si="57"/>
        <v>["-SADNE-","-SLOWSS-","OTHR","OTHR","XT_OffAnimals"]</v>
      </c>
      <c r="AC587" s="3">
        <f>_xlfn.XLOOKUP(A587,Album!A:A,Album!J:J)</f>
        <v>0</v>
      </c>
      <c r="AD587" s="3">
        <f>_xlfn.XLOOKUP(D587,Artists!A:A,Artists!B:B)</f>
        <v>0</v>
      </c>
      <c r="AE587" s="3">
        <f>_xlfn.XLOOKUP(D587,Artists!A:A,Artists!C:C)</f>
        <v>0</v>
      </c>
      <c r="AF587" s="3" t="str">
        <f t="shared" si="58"/>
        <v>OTHR</v>
      </c>
      <c r="AG587" s="3" t="str">
        <f t="shared" si="59"/>
        <v>OTHR</v>
      </c>
    </row>
    <row r="588" spans="24:33" x14ac:dyDescent="0.3">
      <c r="X588" s="3" t="str">
        <f t="shared" si="54"/>
        <v>-SADNE-</v>
      </c>
      <c r="Y588" s="3" t="str">
        <f t="shared" si="55"/>
        <v>-SLOWSS-</v>
      </c>
      <c r="Z588" s="4" t="str">
        <f t="shared" si="56"/>
        <v>{"couname":"","img":"0","pty":"","artist":"","genres":"","duration":"","spotId":"","Items":["-SADNE-","-SLOWSS-","OTHR","OTHR","XT_OffAnimals"]},</v>
      </c>
      <c r="AA588" s="5" t="s">
        <v>5</v>
      </c>
      <c r="AB588" s="3" t="str">
        <f t="shared" si="57"/>
        <v>["-SADNE-","-SLOWSS-","OTHR","OTHR","XT_OffAnimals"]</v>
      </c>
      <c r="AC588" s="3">
        <f>_xlfn.XLOOKUP(A588,Album!A:A,Album!J:J)</f>
        <v>0</v>
      </c>
      <c r="AD588" s="3">
        <f>_xlfn.XLOOKUP(D588,Artists!A:A,Artists!B:B)</f>
        <v>0</v>
      </c>
      <c r="AE588" s="3">
        <f>_xlfn.XLOOKUP(D588,Artists!A:A,Artists!C:C)</f>
        <v>0</v>
      </c>
      <c r="AF588" s="3" t="str">
        <f t="shared" si="58"/>
        <v>OTHR</v>
      </c>
      <c r="AG588" s="3" t="str">
        <f t="shared" si="59"/>
        <v>OTHR</v>
      </c>
    </row>
    <row r="589" spans="24:33" x14ac:dyDescent="0.3">
      <c r="X589" s="3" t="str">
        <f t="shared" si="54"/>
        <v>-SADNE-</v>
      </c>
      <c r="Y589" s="3" t="str">
        <f t="shared" si="55"/>
        <v>-SLOWSS-</v>
      </c>
      <c r="Z589" s="4" t="str">
        <f t="shared" si="56"/>
        <v>{"couname":"","img":"0","pty":"","artist":"","genres":"","duration":"","spotId":"","Items":["-SADNE-","-SLOWSS-","OTHR","OTHR","XT_OffAnimals"]},</v>
      </c>
      <c r="AA589" s="5" t="s">
        <v>5</v>
      </c>
      <c r="AB589" s="3" t="str">
        <f t="shared" si="57"/>
        <v>["-SADNE-","-SLOWSS-","OTHR","OTHR","XT_OffAnimals"]</v>
      </c>
      <c r="AC589" s="3">
        <f>_xlfn.XLOOKUP(A589,Album!A:A,Album!J:J)</f>
        <v>0</v>
      </c>
      <c r="AD589" s="3">
        <f>_xlfn.XLOOKUP(D589,Artists!A:A,Artists!B:B)</f>
        <v>0</v>
      </c>
      <c r="AE589" s="3">
        <f>_xlfn.XLOOKUP(D589,Artists!A:A,Artists!C:C)</f>
        <v>0</v>
      </c>
      <c r="AF589" s="3" t="str">
        <f t="shared" si="58"/>
        <v>OTHR</v>
      </c>
      <c r="AG589" s="3" t="str">
        <f t="shared" si="59"/>
        <v>OTHR</v>
      </c>
    </row>
    <row r="590" spans="24:33" x14ac:dyDescent="0.3">
      <c r="X590" s="3" t="str">
        <f t="shared" si="54"/>
        <v>-SADNE-</v>
      </c>
      <c r="Y590" s="3" t="str">
        <f t="shared" si="55"/>
        <v>-SLOWSS-</v>
      </c>
      <c r="Z590" s="4" t="str">
        <f t="shared" si="56"/>
        <v>{"couname":"","img":"0","pty":"","artist":"","genres":"","duration":"","spotId":"","Items":["-SADNE-","-SLOWSS-","OTHR","OTHR","XT_OffAnimals"]},</v>
      </c>
      <c r="AA590" s="5" t="s">
        <v>5</v>
      </c>
      <c r="AB590" s="3" t="str">
        <f t="shared" si="57"/>
        <v>["-SADNE-","-SLOWSS-","OTHR","OTHR","XT_OffAnimals"]</v>
      </c>
      <c r="AC590" s="3">
        <f>_xlfn.XLOOKUP(A590,Album!A:A,Album!J:J)</f>
        <v>0</v>
      </c>
      <c r="AD590" s="3">
        <f>_xlfn.XLOOKUP(D590,Artists!A:A,Artists!B:B)</f>
        <v>0</v>
      </c>
      <c r="AE590" s="3">
        <f>_xlfn.XLOOKUP(D590,Artists!A:A,Artists!C:C)</f>
        <v>0</v>
      </c>
      <c r="AF590" s="3" t="str">
        <f t="shared" si="58"/>
        <v>OTHR</v>
      </c>
      <c r="AG590" s="3" t="str">
        <f t="shared" si="59"/>
        <v>OTHR</v>
      </c>
    </row>
    <row r="591" spans="24:33" x14ac:dyDescent="0.3">
      <c r="X591" s="3" t="str">
        <f t="shared" si="54"/>
        <v>-SADNE-</v>
      </c>
      <c r="Y591" s="3" t="str">
        <f t="shared" si="55"/>
        <v>-SLOWSS-</v>
      </c>
      <c r="Z591" s="4" t="str">
        <f t="shared" si="56"/>
        <v>{"couname":"","img":"0","pty":"","artist":"","genres":"","duration":"","spotId":"","Items":["-SADNE-","-SLOWSS-","OTHR","OTHR","XT_OffAnimals"]},</v>
      </c>
      <c r="AA591" s="5" t="s">
        <v>5</v>
      </c>
      <c r="AB591" s="3" t="str">
        <f t="shared" si="57"/>
        <v>["-SADNE-","-SLOWSS-","OTHR","OTHR","XT_OffAnimals"]</v>
      </c>
      <c r="AC591" s="3">
        <f>_xlfn.XLOOKUP(A591,Album!A:A,Album!J:J)</f>
        <v>0</v>
      </c>
      <c r="AD591" s="3">
        <f>_xlfn.XLOOKUP(D591,Artists!A:A,Artists!B:B)</f>
        <v>0</v>
      </c>
      <c r="AE591" s="3">
        <f>_xlfn.XLOOKUP(D591,Artists!A:A,Artists!C:C)</f>
        <v>0</v>
      </c>
      <c r="AF591" s="3" t="str">
        <f t="shared" si="58"/>
        <v>OTHR</v>
      </c>
      <c r="AG591" s="3" t="str">
        <f t="shared" si="59"/>
        <v>OTHR</v>
      </c>
    </row>
    <row r="592" spans="24:33" x14ac:dyDescent="0.3">
      <c r="X592" s="3" t="str">
        <f t="shared" si="54"/>
        <v>-SADNE-</v>
      </c>
      <c r="Y592" s="3" t="str">
        <f t="shared" si="55"/>
        <v>-SLOWSS-</v>
      </c>
      <c r="Z592" s="4" t="str">
        <f t="shared" si="56"/>
        <v>{"couname":"","img":"0","pty":"","artist":"","genres":"","duration":"","spotId":"","Items":["-SADNE-","-SLOWSS-","OTHR","OTHR","XT_OffAnimals"]},</v>
      </c>
      <c r="AA592" s="5" t="s">
        <v>5</v>
      </c>
      <c r="AB592" s="3" t="str">
        <f t="shared" si="57"/>
        <v>["-SADNE-","-SLOWSS-","OTHR","OTHR","XT_OffAnimals"]</v>
      </c>
      <c r="AC592" s="3">
        <f>_xlfn.XLOOKUP(A592,Album!A:A,Album!J:J)</f>
        <v>0</v>
      </c>
      <c r="AD592" s="3">
        <f>_xlfn.XLOOKUP(D592,Artists!A:A,Artists!B:B)</f>
        <v>0</v>
      </c>
      <c r="AE592" s="3">
        <f>_xlfn.XLOOKUP(D592,Artists!A:A,Artists!C:C)</f>
        <v>0</v>
      </c>
      <c r="AF592" s="3" t="str">
        <f t="shared" si="58"/>
        <v>OTHR</v>
      </c>
      <c r="AG592" s="3" t="str">
        <f t="shared" si="59"/>
        <v>OTHR</v>
      </c>
    </row>
    <row r="593" spans="24:33" x14ac:dyDescent="0.3">
      <c r="X593" s="3" t="str">
        <f t="shared" si="54"/>
        <v>-SADNE-</v>
      </c>
      <c r="Y593" s="3" t="str">
        <f t="shared" si="55"/>
        <v>-SLOWSS-</v>
      </c>
      <c r="Z593" s="4" t="str">
        <f t="shared" si="56"/>
        <v>{"couname":"","img":"0","pty":"","artist":"","genres":"","duration":"","spotId":"","Items":["-SADNE-","-SLOWSS-","OTHR","OTHR","XT_OffAnimals"]},</v>
      </c>
      <c r="AA593" s="5" t="s">
        <v>5</v>
      </c>
      <c r="AB593" s="3" t="str">
        <f t="shared" si="57"/>
        <v>["-SADNE-","-SLOWSS-","OTHR","OTHR","XT_OffAnimals"]</v>
      </c>
      <c r="AC593" s="3">
        <f>_xlfn.XLOOKUP(A593,Album!A:A,Album!J:J)</f>
        <v>0</v>
      </c>
      <c r="AD593" s="3">
        <f>_xlfn.XLOOKUP(D593,Artists!A:A,Artists!B:B)</f>
        <v>0</v>
      </c>
      <c r="AE593" s="3">
        <f>_xlfn.XLOOKUP(D593,Artists!A:A,Artists!C:C)</f>
        <v>0</v>
      </c>
      <c r="AF593" s="3" t="str">
        <f t="shared" si="58"/>
        <v>OTHR</v>
      </c>
      <c r="AG593" s="3" t="str">
        <f t="shared" si="59"/>
        <v>OTHR</v>
      </c>
    </row>
    <row r="594" spans="24:33" x14ac:dyDescent="0.3">
      <c r="X594" s="3" t="str">
        <f t="shared" si="54"/>
        <v>-SADNE-</v>
      </c>
      <c r="Y594" s="3" t="str">
        <f t="shared" si="55"/>
        <v>-SLOWSS-</v>
      </c>
      <c r="Z594" s="4" t="str">
        <f t="shared" si="56"/>
        <v>{"couname":"","img":"0","pty":"","artist":"","genres":"","duration":"","spotId":"","Items":["-SADNE-","-SLOWSS-","OTHR","OTHR","XT_OffAnimals"]},</v>
      </c>
      <c r="AA594" s="5" t="s">
        <v>5</v>
      </c>
      <c r="AB594" s="3" t="str">
        <f t="shared" si="57"/>
        <v>["-SADNE-","-SLOWSS-","OTHR","OTHR","XT_OffAnimals"]</v>
      </c>
      <c r="AC594" s="3">
        <f>_xlfn.XLOOKUP(A594,Album!A:A,Album!J:J)</f>
        <v>0</v>
      </c>
      <c r="AD594" s="3">
        <f>_xlfn.XLOOKUP(D594,Artists!A:A,Artists!B:B)</f>
        <v>0</v>
      </c>
      <c r="AE594" s="3">
        <f>_xlfn.XLOOKUP(D594,Artists!A:A,Artists!C:C)</f>
        <v>0</v>
      </c>
      <c r="AF594" s="3" t="str">
        <f t="shared" si="58"/>
        <v>OTHR</v>
      </c>
      <c r="AG594" s="3" t="str">
        <f t="shared" si="59"/>
        <v>OTHR</v>
      </c>
    </row>
    <row r="595" spans="24:33" x14ac:dyDescent="0.3">
      <c r="X595" s="3" t="str">
        <f t="shared" si="54"/>
        <v>-SADNE-</v>
      </c>
      <c r="Y595" s="3" t="str">
        <f t="shared" si="55"/>
        <v>-SLOWSS-</v>
      </c>
      <c r="Z595" s="4" t="str">
        <f t="shared" si="56"/>
        <v>{"couname":"","img":"0","pty":"","artist":"","genres":"","duration":"","spotId":"","Items":["-SADNE-","-SLOWSS-","OTHR","OTHR","XT_OffAnimals"]},</v>
      </c>
      <c r="AA595" s="5" t="s">
        <v>5</v>
      </c>
      <c r="AB595" s="3" t="str">
        <f t="shared" si="57"/>
        <v>["-SADNE-","-SLOWSS-","OTHR","OTHR","XT_OffAnimals"]</v>
      </c>
      <c r="AC595" s="3">
        <f>_xlfn.XLOOKUP(A595,Album!A:A,Album!J:J)</f>
        <v>0</v>
      </c>
      <c r="AD595" s="3">
        <f>_xlfn.XLOOKUP(D595,Artists!A:A,Artists!B:B)</f>
        <v>0</v>
      </c>
      <c r="AE595" s="3">
        <f>_xlfn.XLOOKUP(D595,Artists!A:A,Artists!C:C)</f>
        <v>0</v>
      </c>
      <c r="AF595" s="3" t="str">
        <f t="shared" si="58"/>
        <v>OTHR</v>
      </c>
      <c r="AG595" s="3" t="str">
        <f t="shared" si="59"/>
        <v>OTHR</v>
      </c>
    </row>
    <row r="596" spans="24:33" x14ac:dyDescent="0.3">
      <c r="X596" s="3" t="str">
        <f t="shared" si="54"/>
        <v>-SADNE-</v>
      </c>
      <c r="Y596" s="3" t="str">
        <f t="shared" si="55"/>
        <v>-SLOWSS-</v>
      </c>
      <c r="Z596" s="4" t="str">
        <f t="shared" si="56"/>
        <v>{"couname":"","img":"0","pty":"","artist":"","genres":"","duration":"","spotId":"","Items":["-SADNE-","-SLOWSS-","OTHR","OTHR","XT_OffAnimals"]},</v>
      </c>
      <c r="AA596" s="5" t="s">
        <v>5</v>
      </c>
      <c r="AB596" s="3" t="str">
        <f t="shared" si="57"/>
        <v>["-SADNE-","-SLOWSS-","OTHR","OTHR","XT_OffAnimals"]</v>
      </c>
      <c r="AC596" s="3">
        <f>_xlfn.XLOOKUP(A596,Album!A:A,Album!J:J)</f>
        <v>0</v>
      </c>
      <c r="AD596" s="3">
        <f>_xlfn.XLOOKUP(D596,Artists!A:A,Artists!B:B)</f>
        <v>0</v>
      </c>
      <c r="AE596" s="3">
        <f>_xlfn.XLOOKUP(D596,Artists!A:A,Artists!C:C)</f>
        <v>0</v>
      </c>
      <c r="AF596" s="3" t="str">
        <f t="shared" si="58"/>
        <v>OTHR</v>
      </c>
      <c r="AG596" s="3" t="str">
        <f t="shared" si="59"/>
        <v>OTHR</v>
      </c>
    </row>
    <row r="597" spans="24:33" x14ac:dyDescent="0.3">
      <c r="X597" s="3" t="str">
        <f t="shared" si="54"/>
        <v>-SADNE-</v>
      </c>
      <c r="Y597" s="3" t="str">
        <f t="shared" si="55"/>
        <v>-SLOWSS-</v>
      </c>
      <c r="Z597" s="4" t="str">
        <f t="shared" si="56"/>
        <v>{"couname":"","img":"0","pty":"","artist":"","genres":"","duration":"","spotId":"","Items":["-SADNE-","-SLOWSS-","OTHR","OTHR","XT_OffAnimals"]},</v>
      </c>
      <c r="AA597" s="5" t="s">
        <v>5</v>
      </c>
      <c r="AB597" s="3" t="str">
        <f t="shared" si="57"/>
        <v>["-SADNE-","-SLOWSS-","OTHR","OTHR","XT_OffAnimals"]</v>
      </c>
      <c r="AC597" s="3">
        <f>_xlfn.XLOOKUP(A597,Album!A:A,Album!J:J)</f>
        <v>0</v>
      </c>
      <c r="AD597" s="3">
        <f>_xlfn.XLOOKUP(D597,Artists!A:A,Artists!B:B)</f>
        <v>0</v>
      </c>
      <c r="AE597" s="3">
        <f>_xlfn.XLOOKUP(D597,Artists!A:A,Artists!C:C)</f>
        <v>0</v>
      </c>
      <c r="AF597" s="3" t="str">
        <f t="shared" si="58"/>
        <v>OTHR</v>
      </c>
      <c r="AG597" s="3" t="str">
        <f t="shared" si="59"/>
        <v>OTHR</v>
      </c>
    </row>
    <row r="598" spans="24:33" x14ac:dyDescent="0.3">
      <c r="X598" s="3" t="str">
        <f t="shared" si="54"/>
        <v>-SADNE-</v>
      </c>
      <c r="Y598" s="3" t="str">
        <f t="shared" si="55"/>
        <v>-SLOWSS-</v>
      </c>
      <c r="Z598" s="4" t="str">
        <f t="shared" si="56"/>
        <v>{"couname":"","img":"0","pty":"","artist":"","genres":"","duration":"","spotId":"","Items":["-SADNE-","-SLOWSS-","OTHR","OTHR","XT_OffAnimals"]},</v>
      </c>
      <c r="AA598" s="5" t="s">
        <v>5</v>
      </c>
      <c r="AB598" s="3" t="str">
        <f t="shared" si="57"/>
        <v>["-SADNE-","-SLOWSS-","OTHR","OTHR","XT_OffAnimals"]</v>
      </c>
      <c r="AC598" s="3">
        <f>_xlfn.XLOOKUP(A598,Album!A:A,Album!J:J)</f>
        <v>0</v>
      </c>
      <c r="AD598" s="3">
        <f>_xlfn.XLOOKUP(D598,Artists!A:A,Artists!B:B)</f>
        <v>0</v>
      </c>
      <c r="AE598" s="3">
        <f>_xlfn.XLOOKUP(D598,Artists!A:A,Artists!C:C)</f>
        <v>0</v>
      </c>
      <c r="AF598" s="3" t="str">
        <f t="shared" si="58"/>
        <v>OTHR</v>
      </c>
      <c r="AG598" s="3" t="str">
        <f t="shared" si="59"/>
        <v>OTHR</v>
      </c>
    </row>
    <row r="599" spans="24:33" x14ac:dyDescent="0.3">
      <c r="X599" s="3" t="str">
        <f t="shared" si="54"/>
        <v>-SADNE-</v>
      </c>
      <c r="Y599" s="3" t="str">
        <f t="shared" si="55"/>
        <v>-SLOWSS-</v>
      </c>
      <c r="Z599" s="4" t="str">
        <f t="shared" si="56"/>
        <v>{"couname":"","img":"0","pty":"","artist":"","genres":"","duration":"","spotId":"","Items":["-SADNE-","-SLOWSS-","OTHR","OTHR","XT_OffAnimals"]},</v>
      </c>
      <c r="AA599" s="5" t="s">
        <v>5</v>
      </c>
      <c r="AB599" s="3" t="str">
        <f t="shared" si="57"/>
        <v>["-SADNE-","-SLOWSS-","OTHR","OTHR","XT_OffAnimals"]</v>
      </c>
      <c r="AC599" s="3">
        <f>_xlfn.XLOOKUP(A599,Album!A:A,Album!J:J)</f>
        <v>0</v>
      </c>
      <c r="AD599" s="3">
        <f>_xlfn.XLOOKUP(D599,Artists!A:A,Artists!B:B)</f>
        <v>0</v>
      </c>
      <c r="AE599" s="3">
        <f>_xlfn.XLOOKUP(D599,Artists!A:A,Artists!C:C)</f>
        <v>0</v>
      </c>
      <c r="AF599" s="3" t="str">
        <f t="shared" si="58"/>
        <v>OTHR</v>
      </c>
      <c r="AG599" s="3" t="str">
        <f t="shared" si="59"/>
        <v>OTHR</v>
      </c>
    </row>
    <row r="600" spans="24:33" x14ac:dyDescent="0.3">
      <c r="X600" s="3" t="str">
        <f t="shared" si="54"/>
        <v>-SADNE-</v>
      </c>
      <c r="Y600" s="3" t="str">
        <f t="shared" si="55"/>
        <v>-SLOWSS-</v>
      </c>
      <c r="Z600" s="4" t="str">
        <f t="shared" si="56"/>
        <v>{"couname":"","img":"0","pty":"","artist":"","genres":"","duration":"","spotId":"","Items":["-SADNE-","-SLOWSS-","OTHR","OTHR","XT_OffAnimals"]},</v>
      </c>
      <c r="AA600" s="5" t="s">
        <v>5</v>
      </c>
      <c r="AB600" s="3" t="str">
        <f t="shared" si="57"/>
        <v>["-SADNE-","-SLOWSS-","OTHR","OTHR","XT_OffAnimals"]</v>
      </c>
      <c r="AC600" s="3">
        <f>_xlfn.XLOOKUP(A600,Album!A:A,Album!J:J)</f>
        <v>0</v>
      </c>
      <c r="AD600" s="3">
        <f>_xlfn.XLOOKUP(D600,Artists!A:A,Artists!B:B)</f>
        <v>0</v>
      </c>
      <c r="AE600" s="3">
        <f>_xlfn.XLOOKUP(D600,Artists!A:A,Artists!C:C)</f>
        <v>0</v>
      </c>
      <c r="AF600" s="3" t="str">
        <f t="shared" si="58"/>
        <v>OTHR</v>
      </c>
      <c r="AG600" s="3" t="str">
        <f t="shared" si="59"/>
        <v>OTHR</v>
      </c>
    </row>
    <row r="601" spans="24:33" x14ac:dyDescent="0.3">
      <c r="X601" s="3" t="str">
        <f t="shared" si="54"/>
        <v>-SADNE-</v>
      </c>
      <c r="Y601" s="3" t="str">
        <f t="shared" si="55"/>
        <v>-SLOWSS-</v>
      </c>
      <c r="Z601" s="4" t="str">
        <f t="shared" si="56"/>
        <v>{"couname":"","img":"0","pty":"","artist":"","genres":"","duration":"","spotId":"","Items":["-SADNE-","-SLOWSS-","OTHR","OTHR","XT_OffAnimals"]},</v>
      </c>
      <c r="AA601" s="5" t="s">
        <v>5</v>
      </c>
      <c r="AB601" s="3" t="str">
        <f t="shared" si="57"/>
        <v>["-SADNE-","-SLOWSS-","OTHR","OTHR","XT_OffAnimals"]</v>
      </c>
      <c r="AC601" s="3">
        <f>_xlfn.XLOOKUP(A601,Album!A:A,Album!J:J)</f>
        <v>0</v>
      </c>
      <c r="AD601" s="3">
        <f>_xlfn.XLOOKUP(D601,Artists!A:A,Artists!B:B)</f>
        <v>0</v>
      </c>
      <c r="AE601" s="3">
        <f>_xlfn.XLOOKUP(D601,Artists!A:A,Artists!C:C)</f>
        <v>0</v>
      </c>
      <c r="AF601" s="3" t="str">
        <f t="shared" si="58"/>
        <v>OTHR</v>
      </c>
      <c r="AG601" s="3" t="str">
        <f t="shared" si="59"/>
        <v>OTHR</v>
      </c>
    </row>
    <row r="602" spans="24:33" x14ac:dyDescent="0.3">
      <c r="X602" s="3" t="str">
        <f t="shared" si="54"/>
        <v>-SADNE-</v>
      </c>
      <c r="Y602" s="3" t="str">
        <f t="shared" si="55"/>
        <v>-SLOWSS-</v>
      </c>
      <c r="Z602" s="4" t="str">
        <f t="shared" si="56"/>
        <v>{"couname":"","img":"0","pty":"","artist":"","genres":"","duration":"","spotId":"","Items":["-SADNE-","-SLOWSS-","OTHR","OTHR","XT_OffAnimals"]},</v>
      </c>
      <c r="AA602" s="5" t="s">
        <v>5</v>
      </c>
      <c r="AB602" s="3" t="str">
        <f t="shared" si="57"/>
        <v>["-SADNE-","-SLOWSS-","OTHR","OTHR","XT_OffAnimals"]</v>
      </c>
      <c r="AC602" s="3">
        <f>_xlfn.XLOOKUP(A602,Album!A:A,Album!J:J)</f>
        <v>0</v>
      </c>
      <c r="AD602" s="3">
        <f>_xlfn.XLOOKUP(D602,Artists!A:A,Artists!B:B)</f>
        <v>0</v>
      </c>
      <c r="AE602" s="3">
        <f>_xlfn.XLOOKUP(D602,Artists!A:A,Artists!C:C)</f>
        <v>0</v>
      </c>
      <c r="AF602" s="3" t="str">
        <f t="shared" si="58"/>
        <v>OTHR</v>
      </c>
      <c r="AG602" s="3" t="str">
        <f t="shared" si="59"/>
        <v>OTHR</v>
      </c>
    </row>
    <row r="603" spans="24:33" x14ac:dyDescent="0.3">
      <c r="X603" s="3" t="str">
        <f t="shared" si="54"/>
        <v>-SADNE-</v>
      </c>
      <c r="Y603" s="3" t="str">
        <f t="shared" si="55"/>
        <v>-SLOWSS-</v>
      </c>
      <c r="Z603" s="4" t="str">
        <f t="shared" si="56"/>
        <v>{"couname":"","img":"0","pty":"","artist":"","genres":"","duration":"","spotId":"","Items":["-SADNE-","-SLOWSS-","OTHR","OTHR","XT_OffAnimals"]},</v>
      </c>
      <c r="AA603" s="5" t="s">
        <v>5</v>
      </c>
      <c r="AB603" s="3" t="str">
        <f t="shared" si="57"/>
        <v>["-SADNE-","-SLOWSS-","OTHR","OTHR","XT_OffAnimals"]</v>
      </c>
      <c r="AC603" s="3">
        <f>_xlfn.XLOOKUP(A603,Album!A:A,Album!J:J)</f>
        <v>0</v>
      </c>
      <c r="AD603" s="3">
        <f>_xlfn.XLOOKUP(D603,Artists!A:A,Artists!B:B)</f>
        <v>0</v>
      </c>
      <c r="AE603" s="3">
        <f>_xlfn.XLOOKUP(D603,Artists!A:A,Artists!C:C)</f>
        <v>0</v>
      </c>
      <c r="AF603" s="3" t="str">
        <f t="shared" si="58"/>
        <v>OTHR</v>
      </c>
      <c r="AG603" s="3" t="str">
        <f t="shared" si="59"/>
        <v>OTHR</v>
      </c>
    </row>
    <row r="604" spans="24:33" x14ac:dyDescent="0.3">
      <c r="X604" s="3" t="str">
        <f t="shared" si="54"/>
        <v>-SADNE-</v>
      </c>
      <c r="Y604" s="3" t="str">
        <f t="shared" si="55"/>
        <v>-SLOWSS-</v>
      </c>
      <c r="Z604" s="4" t="str">
        <f t="shared" si="56"/>
        <v>{"couname":"","img":"0","pty":"","artist":"","genres":"","duration":"","spotId":"","Items":["-SADNE-","-SLOWSS-","OTHR","OTHR","XT_OffAnimals"]},</v>
      </c>
      <c r="AA604" s="5" t="s">
        <v>5</v>
      </c>
      <c r="AB604" s="3" t="str">
        <f t="shared" si="57"/>
        <v>["-SADNE-","-SLOWSS-","OTHR","OTHR","XT_OffAnimals"]</v>
      </c>
      <c r="AC604" s="3">
        <f>_xlfn.XLOOKUP(A604,Album!A:A,Album!J:J)</f>
        <v>0</v>
      </c>
      <c r="AD604" s="3">
        <f>_xlfn.XLOOKUP(D604,Artists!A:A,Artists!B:B)</f>
        <v>0</v>
      </c>
      <c r="AE604" s="3">
        <f>_xlfn.XLOOKUP(D604,Artists!A:A,Artists!C:C)</f>
        <v>0</v>
      </c>
      <c r="AF604" s="3" t="str">
        <f t="shared" si="58"/>
        <v>OTHR</v>
      </c>
      <c r="AG604" s="3" t="str">
        <f t="shared" si="59"/>
        <v>OTHR</v>
      </c>
    </row>
    <row r="605" spans="24:33" x14ac:dyDescent="0.3">
      <c r="X605" s="3" t="str">
        <f t="shared" si="54"/>
        <v>-SADNE-</v>
      </c>
      <c r="Y605" s="3" t="str">
        <f t="shared" si="55"/>
        <v>-SLOWSS-</v>
      </c>
      <c r="Z605" s="4" t="str">
        <f t="shared" si="56"/>
        <v>{"couname":"","img":"0","pty":"","artist":"","genres":"","duration":"","spotId":"","Items":["-SADNE-","-SLOWSS-","OTHR","OTHR","XT_OffAnimals"]},</v>
      </c>
      <c r="AA605" s="5" t="s">
        <v>5</v>
      </c>
      <c r="AB605" s="3" t="str">
        <f t="shared" si="57"/>
        <v>["-SADNE-","-SLOWSS-","OTHR","OTHR","XT_OffAnimals"]</v>
      </c>
      <c r="AC605" s="3">
        <f>_xlfn.XLOOKUP(A605,Album!A:A,Album!J:J)</f>
        <v>0</v>
      </c>
      <c r="AD605" s="3">
        <f>_xlfn.XLOOKUP(D605,Artists!A:A,Artists!B:B)</f>
        <v>0</v>
      </c>
      <c r="AE605" s="3">
        <f>_xlfn.XLOOKUP(D605,Artists!A:A,Artists!C:C)</f>
        <v>0</v>
      </c>
      <c r="AF605" s="3" t="str">
        <f t="shared" si="58"/>
        <v>OTHR</v>
      </c>
      <c r="AG605" s="3" t="str">
        <f t="shared" si="59"/>
        <v>OTHR</v>
      </c>
    </row>
    <row r="606" spans="24:33" x14ac:dyDescent="0.3">
      <c r="X606" s="3" t="str">
        <f t="shared" si="54"/>
        <v>-SADNE-</v>
      </c>
      <c r="Y606" s="3" t="str">
        <f t="shared" si="55"/>
        <v>-SLOWSS-</v>
      </c>
      <c r="Z606" s="4" t="str">
        <f t="shared" si="56"/>
        <v>{"couname":"","img":"0","pty":"","artist":"","genres":"","duration":"","spotId":"","Items":["-SADNE-","-SLOWSS-","OTHR","OTHR","XT_OffAnimals"]},</v>
      </c>
      <c r="AA606" s="5" t="s">
        <v>5</v>
      </c>
      <c r="AB606" s="3" t="str">
        <f t="shared" si="57"/>
        <v>["-SADNE-","-SLOWSS-","OTHR","OTHR","XT_OffAnimals"]</v>
      </c>
      <c r="AC606" s="3">
        <f>_xlfn.XLOOKUP(A606,Album!A:A,Album!J:J)</f>
        <v>0</v>
      </c>
      <c r="AD606" s="3">
        <f>_xlfn.XLOOKUP(D606,Artists!A:A,Artists!B:B)</f>
        <v>0</v>
      </c>
      <c r="AE606" s="3">
        <f>_xlfn.XLOOKUP(D606,Artists!A:A,Artists!C:C)</f>
        <v>0</v>
      </c>
      <c r="AF606" s="3" t="str">
        <f t="shared" si="58"/>
        <v>OTHR</v>
      </c>
      <c r="AG606" s="3" t="str">
        <f t="shared" si="59"/>
        <v>OTHR</v>
      </c>
    </row>
    <row r="607" spans="24:33" x14ac:dyDescent="0.3">
      <c r="X607" s="3" t="str">
        <f t="shared" si="54"/>
        <v>-SADNE-</v>
      </c>
      <c r="Y607" s="3" t="str">
        <f t="shared" si="55"/>
        <v>-SLOWSS-</v>
      </c>
      <c r="Z607" s="4" t="str">
        <f t="shared" si="56"/>
        <v>{"couname":"","img":"0","pty":"","artist":"","genres":"","duration":"","spotId":"","Items":["-SADNE-","-SLOWSS-","OTHR","OTHR","XT_OffAnimals"]},</v>
      </c>
      <c r="AA607" s="5" t="s">
        <v>5</v>
      </c>
      <c r="AB607" s="3" t="str">
        <f t="shared" si="57"/>
        <v>["-SADNE-","-SLOWSS-","OTHR","OTHR","XT_OffAnimals"]</v>
      </c>
      <c r="AC607" s="3">
        <f>_xlfn.XLOOKUP(A607,Album!A:A,Album!J:J)</f>
        <v>0</v>
      </c>
      <c r="AD607" s="3">
        <f>_xlfn.XLOOKUP(D607,Artists!A:A,Artists!B:B)</f>
        <v>0</v>
      </c>
      <c r="AE607" s="3">
        <f>_xlfn.XLOOKUP(D607,Artists!A:A,Artists!C:C)</f>
        <v>0</v>
      </c>
      <c r="AF607" s="3" t="str">
        <f t="shared" si="58"/>
        <v>OTHR</v>
      </c>
      <c r="AG607" s="3" t="str">
        <f t="shared" si="59"/>
        <v>OTHR</v>
      </c>
    </row>
    <row r="608" spans="24:33" x14ac:dyDescent="0.3">
      <c r="X608" s="3" t="str">
        <f t="shared" si="54"/>
        <v>-SADNE-</v>
      </c>
      <c r="Y608" s="3" t="str">
        <f t="shared" si="55"/>
        <v>-SLOWSS-</v>
      </c>
      <c r="Z608" s="4" t="str">
        <f t="shared" si="56"/>
        <v>{"couname":"","img":"0","pty":"","artist":"","genres":"","duration":"","spotId":"","Items":["-SADNE-","-SLOWSS-","OTHR","OTHR","XT_OffAnimals"]},</v>
      </c>
      <c r="AA608" s="5" t="s">
        <v>5</v>
      </c>
      <c r="AB608" s="3" t="str">
        <f t="shared" si="57"/>
        <v>["-SADNE-","-SLOWSS-","OTHR","OTHR","XT_OffAnimals"]</v>
      </c>
      <c r="AC608" s="3">
        <f>_xlfn.XLOOKUP(A608,Album!A:A,Album!J:J)</f>
        <v>0</v>
      </c>
      <c r="AD608" s="3">
        <f>_xlfn.XLOOKUP(D608,Artists!A:A,Artists!B:B)</f>
        <v>0</v>
      </c>
      <c r="AE608" s="3">
        <f>_xlfn.XLOOKUP(D608,Artists!A:A,Artists!C:C)</f>
        <v>0</v>
      </c>
      <c r="AF608" s="3" t="str">
        <f t="shared" si="58"/>
        <v>OTHR</v>
      </c>
      <c r="AG608" s="3" t="str">
        <f t="shared" si="59"/>
        <v>OTHR</v>
      </c>
    </row>
    <row r="609" spans="24:33" x14ac:dyDescent="0.3">
      <c r="X609" s="3" t="str">
        <f t="shared" si="54"/>
        <v>-SADNE-</v>
      </c>
      <c r="Y609" s="3" t="str">
        <f t="shared" si="55"/>
        <v>-SLOWSS-</v>
      </c>
      <c r="Z609" s="4" t="str">
        <f t="shared" si="56"/>
        <v>{"couname":"","img":"0","pty":"","artist":"","genres":"","duration":"","spotId":"","Items":["-SADNE-","-SLOWSS-","OTHR","OTHR","XT_OffAnimals"]},</v>
      </c>
      <c r="AA609" s="5" t="s">
        <v>5</v>
      </c>
      <c r="AB609" s="3" t="str">
        <f t="shared" si="57"/>
        <v>["-SADNE-","-SLOWSS-","OTHR","OTHR","XT_OffAnimals"]</v>
      </c>
      <c r="AC609" s="3">
        <f>_xlfn.XLOOKUP(A609,Album!A:A,Album!J:J)</f>
        <v>0</v>
      </c>
      <c r="AD609" s="3">
        <f>_xlfn.XLOOKUP(D609,Artists!A:A,Artists!B:B)</f>
        <v>0</v>
      </c>
      <c r="AE609" s="3">
        <f>_xlfn.XLOOKUP(D609,Artists!A:A,Artists!C:C)</f>
        <v>0</v>
      </c>
      <c r="AF609" s="3" t="str">
        <f t="shared" si="58"/>
        <v>OTHR</v>
      </c>
      <c r="AG609" s="3" t="str">
        <f t="shared" si="59"/>
        <v>OTHR</v>
      </c>
    </row>
    <row r="610" spans="24:33" x14ac:dyDescent="0.3">
      <c r="X610" s="3" t="str">
        <f t="shared" si="54"/>
        <v>-SADNE-</v>
      </c>
      <c r="Y610" s="3" t="str">
        <f t="shared" si="55"/>
        <v>-SLOWSS-</v>
      </c>
      <c r="Z610" s="4" t="str">
        <f t="shared" si="56"/>
        <v>{"couname":"","img":"0","pty":"","artist":"","genres":"","duration":"","spotId":"","Items":["-SADNE-","-SLOWSS-","OTHR","OTHR","XT_OffAnimals"]},</v>
      </c>
      <c r="AA610" s="5" t="s">
        <v>5</v>
      </c>
      <c r="AB610" s="3" t="str">
        <f t="shared" si="57"/>
        <v>["-SADNE-","-SLOWSS-","OTHR","OTHR","XT_OffAnimals"]</v>
      </c>
      <c r="AC610" s="3">
        <f>_xlfn.XLOOKUP(A610,Album!A:A,Album!J:J)</f>
        <v>0</v>
      </c>
      <c r="AD610" s="3">
        <f>_xlfn.XLOOKUP(D610,Artists!A:A,Artists!B:B)</f>
        <v>0</v>
      </c>
      <c r="AE610" s="3">
        <f>_xlfn.XLOOKUP(D610,Artists!A:A,Artists!C:C)</f>
        <v>0</v>
      </c>
      <c r="AF610" s="3" t="str">
        <f t="shared" si="58"/>
        <v>OTHR</v>
      </c>
      <c r="AG610" s="3" t="str">
        <f t="shared" si="59"/>
        <v>OTHR</v>
      </c>
    </row>
    <row r="611" spans="24:33" x14ac:dyDescent="0.3">
      <c r="X611" s="3" t="str">
        <f t="shared" si="54"/>
        <v>-SADNE-</v>
      </c>
      <c r="Y611" s="3" t="str">
        <f t="shared" si="55"/>
        <v>-SLOWSS-</v>
      </c>
      <c r="Z611" s="4" t="str">
        <f t="shared" si="56"/>
        <v>{"couname":"","img":"0","pty":"","artist":"","genres":"","duration":"","spotId":"","Items":["-SADNE-","-SLOWSS-","OTHR","OTHR","XT_OffAnimals"]},</v>
      </c>
      <c r="AA611" s="5" t="s">
        <v>5</v>
      </c>
      <c r="AB611" s="3" t="str">
        <f t="shared" si="57"/>
        <v>["-SADNE-","-SLOWSS-","OTHR","OTHR","XT_OffAnimals"]</v>
      </c>
      <c r="AC611" s="3">
        <f>_xlfn.XLOOKUP(A611,Album!A:A,Album!J:J)</f>
        <v>0</v>
      </c>
      <c r="AD611" s="3">
        <f>_xlfn.XLOOKUP(D611,Artists!A:A,Artists!B:B)</f>
        <v>0</v>
      </c>
      <c r="AE611" s="3">
        <f>_xlfn.XLOOKUP(D611,Artists!A:A,Artists!C:C)</f>
        <v>0</v>
      </c>
      <c r="AF611" s="3" t="str">
        <f t="shared" si="58"/>
        <v>OTHR</v>
      </c>
      <c r="AG611" s="3" t="str">
        <f t="shared" si="59"/>
        <v>OTHR</v>
      </c>
    </row>
    <row r="612" spans="24:33" x14ac:dyDescent="0.3">
      <c r="X612" s="3" t="str">
        <f t="shared" si="54"/>
        <v>-SADNE-</v>
      </c>
      <c r="Y612" s="3" t="str">
        <f t="shared" si="55"/>
        <v>-SLOWSS-</v>
      </c>
      <c r="Z612" s="4" t="str">
        <f t="shared" si="56"/>
        <v>{"couname":"","img":"0","pty":"","artist":"","genres":"","duration":"","spotId":"","Items":["-SADNE-","-SLOWSS-","OTHR","OTHR","XT_OffAnimals"]},</v>
      </c>
      <c r="AA612" s="5" t="s">
        <v>5</v>
      </c>
      <c r="AB612" s="3" t="str">
        <f t="shared" si="57"/>
        <v>["-SADNE-","-SLOWSS-","OTHR","OTHR","XT_OffAnimals"]</v>
      </c>
      <c r="AC612" s="3">
        <f>_xlfn.XLOOKUP(A612,Album!A:A,Album!J:J)</f>
        <v>0</v>
      </c>
      <c r="AD612" s="3">
        <f>_xlfn.XLOOKUP(D612,Artists!A:A,Artists!B:B)</f>
        <v>0</v>
      </c>
      <c r="AE612" s="3">
        <f>_xlfn.XLOOKUP(D612,Artists!A:A,Artists!C:C)</f>
        <v>0</v>
      </c>
      <c r="AF612" s="3" t="str">
        <f t="shared" si="58"/>
        <v>OTHR</v>
      </c>
      <c r="AG612" s="3" t="str">
        <f t="shared" si="59"/>
        <v>OTHR</v>
      </c>
    </row>
    <row r="613" spans="24:33" x14ac:dyDescent="0.3">
      <c r="X613" s="3" t="str">
        <f t="shared" si="54"/>
        <v>-SADNE-</v>
      </c>
      <c r="Y613" s="3" t="str">
        <f t="shared" si="55"/>
        <v>-SLOWSS-</v>
      </c>
      <c r="Z613" s="4" t="str">
        <f t="shared" si="56"/>
        <v>{"couname":"","img":"0","pty":"","artist":"","genres":"","duration":"","spotId":"","Items":["-SADNE-","-SLOWSS-","OTHR","OTHR","XT_OffAnimals"]},</v>
      </c>
      <c r="AA613" s="5" t="s">
        <v>5</v>
      </c>
      <c r="AB613" s="3" t="str">
        <f t="shared" si="57"/>
        <v>["-SADNE-","-SLOWSS-","OTHR","OTHR","XT_OffAnimals"]</v>
      </c>
      <c r="AC613" s="3">
        <f>_xlfn.XLOOKUP(A613,Album!A:A,Album!J:J)</f>
        <v>0</v>
      </c>
      <c r="AD613" s="3">
        <f>_xlfn.XLOOKUP(D613,Artists!A:A,Artists!B:B)</f>
        <v>0</v>
      </c>
      <c r="AE613" s="3">
        <f>_xlfn.XLOOKUP(D613,Artists!A:A,Artists!C:C)</f>
        <v>0</v>
      </c>
      <c r="AF613" s="3" t="str">
        <f t="shared" si="58"/>
        <v>OTHR</v>
      </c>
      <c r="AG613" s="3" t="str">
        <f t="shared" si="59"/>
        <v>OTHR</v>
      </c>
    </row>
    <row r="614" spans="24:33" x14ac:dyDescent="0.3">
      <c r="X614" s="3" t="str">
        <f t="shared" si="54"/>
        <v>-SADNE-</v>
      </c>
      <c r="Y614" s="3" t="str">
        <f t="shared" si="55"/>
        <v>-SLOWSS-</v>
      </c>
      <c r="Z614" s="4" t="str">
        <f t="shared" si="56"/>
        <v>{"couname":"","img":"0","pty":"","artist":"","genres":"","duration":"","spotId":"","Items":["-SADNE-","-SLOWSS-","OTHR","OTHR","XT_OffAnimals"]},</v>
      </c>
      <c r="AA614" s="5" t="s">
        <v>5</v>
      </c>
      <c r="AB614" s="3" t="str">
        <f t="shared" si="57"/>
        <v>["-SADNE-","-SLOWSS-","OTHR","OTHR","XT_OffAnimals"]</v>
      </c>
      <c r="AC614" s="3">
        <f>_xlfn.XLOOKUP(A614,Album!A:A,Album!J:J)</f>
        <v>0</v>
      </c>
      <c r="AD614" s="3">
        <f>_xlfn.XLOOKUP(D614,Artists!A:A,Artists!B:B)</f>
        <v>0</v>
      </c>
      <c r="AE614" s="3">
        <f>_xlfn.XLOOKUP(D614,Artists!A:A,Artists!C:C)</f>
        <v>0</v>
      </c>
      <c r="AF614" s="3" t="str">
        <f t="shared" si="58"/>
        <v>OTHR</v>
      </c>
      <c r="AG614" s="3" t="str">
        <f t="shared" si="59"/>
        <v>OTHR</v>
      </c>
    </row>
    <row r="615" spans="24:33" x14ac:dyDescent="0.3">
      <c r="X615" s="3" t="str">
        <f t="shared" si="54"/>
        <v>-SADNE-</v>
      </c>
      <c r="Y615" s="3" t="str">
        <f t="shared" si="55"/>
        <v>-SLOWSS-</v>
      </c>
      <c r="Z615" s="4" t="str">
        <f t="shared" si="56"/>
        <v>{"couname":"","img":"0","pty":"","artist":"","genres":"","duration":"","spotId":"","Items":["-SADNE-","-SLOWSS-","OTHR","OTHR","XT_OffAnimals"]},</v>
      </c>
      <c r="AA615" s="5" t="s">
        <v>5</v>
      </c>
      <c r="AB615" s="3" t="str">
        <f t="shared" si="57"/>
        <v>["-SADNE-","-SLOWSS-","OTHR","OTHR","XT_OffAnimals"]</v>
      </c>
      <c r="AC615" s="3">
        <f>_xlfn.XLOOKUP(A615,Album!A:A,Album!J:J)</f>
        <v>0</v>
      </c>
      <c r="AD615" s="3">
        <f>_xlfn.XLOOKUP(D615,Artists!A:A,Artists!B:B)</f>
        <v>0</v>
      </c>
      <c r="AE615" s="3">
        <f>_xlfn.XLOOKUP(D615,Artists!A:A,Artists!C:C)</f>
        <v>0</v>
      </c>
      <c r="AF615" s="3" t="str">
        <f t="shared" si="58"/>
        <v>OTHR</v>
      </c>
      <c r="AG615" s="3" t="str">
        <f t="shared" si="59"/>
        <v>OTHR</v>
      </c>
    </row>
    <row r="616" spans="24:33" x14ac:dyDescent="0.3">
      <c r="X616" s="3" t="str">
        <f t="shared" si="54"/>
        <v>-SADNE-</v>
      </c>
      <c r="Y616" s="3" t="str">
        <f t="shared" si="55"/>
        <v>-SLOWSS-</v>
      </c>
      <c r="Z616" s="4" t="str">
        <f t="shared" si="56"/>
        <v>{"couname":"","img":"0","pty":"","artist":"","genres":"","duration":"","spotId":"","Items":["-SADNE-","-SLOWSS-","OTHR","OTHR","XT_OffAnimals"]},</v>
      </c>
      <c r="AA616" s="5" t="s">
        <v>5</v>
      </c>
      <c r="AB616" s="3" t="str">
        <f t="shared" si="57"/>
        <v>["-SADNE-","-SLOWSS-","OTHR","OTHR","XT_OffAnimals"]</v>
      </c>
      <c r="AC616" s="3">
        <f>_xlfn.XLOOKUP(A616,Album!A:A,Album!J:J)</f>
        <v>0</v>
      </c>
      <c r="AD616" s="3">
        <f>_xlfn.XLOOKUP(D616,Artists!A:A,Artists!B:B)</f>
        <v>0</v>
      </c>
      <c r="AE616" s="3">
        <f>_xlfn.XLOOKUP(D616,Artists!A:A,Artists!C:C)</f>
        <v>0</v>
      </c>
      <c r="AF616" s="3" t="str">
        <f t="shared" si="58"/>
        <v>OTHR</v>
      </c>
      <c r="AG616" s="3" t="str">
        <f t="shared" si="59"/>
        <v>OTHR</v>
      </c>
    </row>
    <row r="617" spans="24:33" x14ac:dyDescent="0.3">
      <c r="X617" s="3" t="str">
        <f t="shared" si="54"/>
        <v>-SADNE-</v>
      </c>
      <c r="Y617" s="3" t="str">
        <f t="shared" si="55"/>
        <v>-SLOWSS-</v>
      </c>
      <c r="Z617" s="4" t="str">
        <f t="shared" si="56"/>
        <v>{"couname":"","img":"0","pty":"","artist":"","genres":"","duration":"","spotId":"","Items":["-SADNE-","-SLOWSS-","OTHR","OTHR","XT_OffAnimals"]},</v>
      </c>
      <c r="AA617" s="5" t="s">
        <v>5</v>
      </c>
      <c r="AB617" s="3" t="str">
        <f t="shared" si="57"/>
        <v>["-SADNE-","-SLOWSS-","OTHR","OTHR","XT_OffAnimals"]</v>
      </c>
      <c r="AC617" s="3">
        <f>_xlfn.XLOOKUP(A617,Album!A:A,Album!J:J)</f>
        <v>0</v>
      </c>
      <c r="AD617" s="3">
        <f>_xlfn.XLOOKUP(D617,Artists!A:A,Artists!B:B)</f>
        <v>0</v>
      </c>
      <c r="AE617" s="3">
        <f>_xlfn.XLOOKUP(D617,Artists!A:A,Artists!C:C)</f>
        <v>0</v>
      </c>
      <c r="AF617" s="3" t="str">
        <f t="shared" si="58"/>
        <v>OTHR</v>
      </c>
      <c r="AG617" s="3" t="str">
        <f t="shared" si="59"/>
        <v>OTHR</v>
      </c>
    </row>
    <row r="618" spans="24:33" x14ac:dyDescent="0.3">
      <c r="X618" s="3" t="str">
        <f t="shared" si="54"/>
        <v>-SADNE-</v>
      </c>
      <c r="Y618" s="3" t="str">
        <f t="shared" si="55"/>
        <v>-SLOWSS-</v>
      </c>
      <c r="Z618" s="4" t="str">
        <f t="shared" si="56"/>
        <v>{"couname":"","img":"0","pty":"","artist":"","genres":"","duration":"","spotId":"","Items":["-SADNE-","-SLOWSS-","OTHR","OTHR","XT_OffAnimals"]},</v>
      </c>
      <c r="AA618" s="5" t="s">
        <v>5</v>
      </c>
      <c r="AB618" s="3" t="str">
        <f t="shared" si="57"/>
        <v>["-SADNE-","-SLOWSS-","OTHR","OTHR","XT_OffAnimals"]</v>
      </c>
      <c r="AC618" s="3">
        <f>_xlfn.XLOOKUP(A618,Album!A:A,Album!J:J)</f>
        <v>0</v>
      </c>
      <c r="AD618" s="3">
        <f>_xlfn.XLOOKUP(D618,Artists!A:A,Artists!B:B)</f>
        <v>0</v>
      </c>
      <c r="AE618" s="3">
        <f>_xlfn.XLOOKUP(D618,Artists!A:A,Artists!C:C)</f>
        <v>0</v>
      </c>
      <c r="AF618" s="3" t="str">
        <f t="shared" si="58"/>
        <v>OTHR</v>
      </c>
      <c r="AG618" s="3" t="str">
        <f t="shared" si="59"/>
        <v>OTHR</v>
      </c>
    </row>
    <row r="619" spans="24:33" x14ac:dyDescent="0.3">
      <c r="X619" s="3" t="str">
        <f t="shared" si="54"/>
        <v>-SADNE-</v>
      </c>
      <c r="Y619" s="3" t="str">
        <f t="shared" si="55"/>
        <v>-SLOWSS-</v>
      </c>
      <c r="Z619" s="4" t="str">
        <f t="shared" si="56"/>
        <v>{"couname":"","img":"0","pty":"","artist":"","genres":"","duration":"","spotId":"","Items":["-SADNE-","-SLOWSS-","OTHR","OTHR","XT_OffAnimals"]},</v>
      </c>
      <c r="AA619" s="5" t="s">
        <v>5</v>
      </c>
      <c r="AB619" s="3" t="str">
        <f t="shared" si="57"/>
        <v>["-SADNE-","-SLOWSS-","OTHR","OTHR","XT_OffAnimals"]</v>
      </c>
      <c r="AC619" s="3">
        <f>_xlfn.XLOOKUP(A619,Album!A:A,Album!J:J)</f>
        <v>0</v>
      </c>
      <c r="AD619" s="3">
        <f>_xlfn.XLOOKUP(D619,Artists!A:A,Artists!B:B)</f>
        <v>0</v>
      </c>
      <c r="AE619" s="3">
        <f>_xlfn.XLOOKUP(D619,Artists!A:A,Artists!C:C)</f>
        <v>0</v>
      </c>
      <c r="AF619" s="3" t="str">
        <f t="shared" si="58"/>
        <v>OTHR</v>
      </c>
      <c r="AG619" s="3" t="str">
        <f t="shared" si="59"/>
        <v>OTHR</v>
      </c>
    </row>
    <row r="620" spans="24:33" x14ac:dyDescent="0.3">
      <c r="X620" s="3" t="str">
        <f t="shared" si="54"/>
        <v>-SADNE-</v>
      </c>
      <c r="Y620" s="3" t="str">
        <f t="shared" si="55"/>
        <v>-SLOWSS-</v>
      </c>
      <c r="Z620" s="4" t="str">
        <f t="shared" si="56"/>
        <v>{"couname":"","img":"0","pty":"","artist":"","genres":"","duration":"","spotId":"","Items":["-SADNE-","-SLOWSS-","OTHR","OTHR","XT_OffAnimals"]},</v>
      </c>
      <c r="AA620" s="5" t="s">
        <v>5</v>
      </c>
      <c r="AB620" s="3" t="str">
        <f t="shared" si="57"/>
        <v>["-SADNE-","-SLOWSS-","OTHR","OTHR","XT_OffAnimals"]</v>
      </c>
      <c r="AC620" s="3">
        <f>_xlfn.XLOOKUP(A620,Album!A:A,Album!J:J)</f>
        <v>0</v>
      </c>
      <c r="AD620" s="3">
        <f>_xlfn.XLOOKUP(D620,Artists!A:A,Artists!B:B)</f>
        <v>0</v>
      </c>
      <c r="AE620" s="3">
        <f>_xlfn.XLOOKUP(D620,Artists!A:A,Artists!C:C)</f>
        <v>0</v>
      </c>
      <c r="AF620" s="3" t="str">
        <f t="shared" si="58"/>
        <v>OTHR</v>
      </c>
      <c r="AG620" s="3" t="str">
        <f t="shared" si="59"/>
        <v>OTHR</v>
      </c>
    </row>
    <row r="621" spans="24:33" x14ac:dyDescent="0.3">
      <c r="X621" s="3" t="str">
        <f t="shared" si="54"/>
        <v>-SADNE-</v>
      </c>
      <c r="Y621" s="3" t="str">
        <f t="shared" si="55"/>
        <v>-SLOWSS-</v>
      </c>
      <c r="Z621" s="4" t="str">
        <f t="shared" si="56"/>
        <v>{"couname":"","img":"0","pty":"","artist":"","genres":"","duration":"","spotId":"","Items":["-SADNE-","-SLOWSS-","OTHR","OTHR","XT_OffAnimals"]},</v>
      </c>
      <c r="AA621" s="5" t="s">
        <v>5</v>
      </c>
      <c r="AB621" s="3" t="str">
        <f t="shared" si="57"/>
        <v>["-SADNE-","-SLOWSS-","OTHR","OTHR","XT_OffAnimals"]</v>
      </c>
      <c r="AC621" s="3">
        <f>_xlfn.XLOOKUP(A621,Album!A:A,Album!J:J)</f>
        <v>0</v>
      </c>
      <c r="AD621" s="3">
        <f>_xlfn.XLOOKUP(D621,Artists!A:A,Artists!B:B)</f>
        <v>0</v>
      </c>
      <c r="AE621" s="3">
        <f>_xlfn.XLOOKUP(D621,Artists!A:A,Artists!C:C)</f>
        <v>0</v>
      </c>
      <c r="AF621" s="3" t="str">
        <f t="shared" si="58"/>
        <v>OTHR</v>
      </c>
      <c r="AG621" s="3" t="str">
        <f t="shared" si="59"/>
        <v>OTHR</v>
      </c>
    </row>
    <row r="622" spans="24:33" x14ac:dyDescent="0.3">
      <c r="X622" s="3" t="str">
        <f t="shared" si="54"/>
        <v>-SADNE-</v>
      </c>
      <c r="Y622" s="3" t="str">
        <f t="shared" si="55"/>
        <v>-SLOWSS-</v>
      </c>
      <c r="Z622" s="4" t="str">
        <f t="shared" si="56"/>
        <v>{"couname":"","img":"0","pty":"","artist":"","genres":"","duration":"","spotId":"","Items":["-SADNE-","-SLOWSS-","OTHR","OTHR","XT_OffAnimals"]},</v>
      </c>
      <c r="AA622" s="5" t="s">
        <v>5</v>
      </c>
      <c r="AB622" s="3" t="str">
        <f t="shared" si="57"/>
        <v>["-SADNE-","-SLOWSS-","OTHR","OTHR","XT_OffAnimals"]</v>
      </c>
      <c r="AC622" s="3">
        <f>_xlfn.XLOOKUP(A622,Album!A:A,Album!J:J)</f>
        <v>0</v>
      </c>
      <c r="AD622" s="3">
        <f>_xlfn.XLOOKUP(D622,Artists!A:A,Artists!B:B)</f>
        <v>0</v>
      </c>
      <c r="AE622" s="3">
        <f>_xlfn.XLOOKUP(D622,Artists!A:A,Artists!C:C)</f>
        <v>0</v>
      </c>
      <c r="AF622" s="3" t="str">
        <f t="shared" si="58"/>
        <v>OTHR</v>
      </c>
      <c r="AG622" s="3" t="str">
        <f t="shared" si="59"/>
        <v>OTHR</v>
      </c>
    </row>
    <row r="623" spans="24:33" x14ac:dyDescent="0.3">
      <c r="X623" s="3" t="str">
        <f t="shared" si="54"/>
        <v>-SADNE-</v>
      </c>
      <c r="Y623" s="3" t="str">
        <f t="shared" si="55"/>
        <v>-SLOWSS-</v>
      </c>
      <c r="Z623" s="4" t="str">
        <f t="shared" si="56"/>
        <v>{"couname":"","img":"0","pty":"","artist":"","genres":"","duration":"","spotId":"","Items":["-SADNE-","-SLOWSS-","OTHR","OTHR","XT_OffAnimals"]},</v>
      </c>
      <c r="AA623" s="5" t="s">
        <v>5</v>
      </c>
      <c r="AB623" s="3" t="str">
        <f t="shared" si="57"/>
        <v>["-SADNE-","-SLOWSS-","OTHR","OTHR","XT_OffAnimals"]</v>
      </c>
      <c r="AC623" s="3">
        <f>_xlfn.XLOOKUP(A623,Album!A:A,Album!J:J)</f>
        <v>0</v>
      </c>
      <c r="AD623" s="3">
        <f>_xlfn.XLOOKUP(D623,Artists!A:A,Artists!B:B)</f>
        <v>0</v>
      </c>
      <c r="AE623" s="3">
        <f>_xlfn.XLOOKUP(D623,Artists!A:A,Artists!C:C)</f>
        <v>0</v>
      </c>
      <c r="AF623" s="3" t="str">
        <f t="shared" si="58"/>
        <v>OTHR</v>
      </c>
      <c r="AG623" s="3" t="str">
        <f t="shared" si="59"/>
        <v>OTHR</v>
      </c>
    </row>
    <row r="624" spans="24:33" x14ac:dyDescent="0.3">
      <c r="X624" s="3" t="str">
        <f t="shared" si="54"/>
        <v>-SADNE-</v>
      </c>
      <c r="Y624" s="3" t="str">
        <f t="shared" si="55"/>
        <v>-SLOWSS-</v>
      </c>
      <c r="Z624" s="4" t="str">
        <f t="shared" si="56"/>
        <v>{"couname":"","img":"0","pty":"","artist":"","genres":"","duration":"","spotId":"","Items":["-SADNE-","-SLOWSS-","OTHR","OTHR","XT_OffAnimals"]},</v>
      </c>
      <c r="AA624" s="5" t="s">
        <v>5</v>
      </c>
      <c r="AB624" s="3" t="str">
        <f t="shared" si="57"/>
        <v>["-SADNE-","-SLOWSS-","OTHR","OTHR","XT_OffAnimals"]</v>
      </c>
      <c r="AC624" s="3">
        <f>_xlfn.XLOOKUP(A624,Album!A:A,Album!J:J)</f>
        <v>0</v>
      </c>
      <c r="AD624" s="3">
        <f>_xlfn.XLOOKUP(D624,Artists!A:A,Artists!B:B)</f>
        <v>0</v>
      </c>
      <c r="AE624" s="3">
        <f>_xlfn.XLOOKUP(D624,Artists!A:A,Artists!C:C)</f>
        <v>0</v>
      </c>
      <c r="AF624" s="3" t="str">
        <f t="shared" si="58"/>
        <v>OTHR</v>
      </c>
      <c r="AG624" s="3" t="str">
        <f t="shared" si="59"/>
        <v>OTHR</v>
      </c>
    </row>
    <row r="625" spans="24:33" x14ac:dyDescent="0.3">
      <c r="X625" s="3" t="str">
        <f t="shared" si="54"/>
        <v>-SADNE-</v>
      </c>
      <c r="Y625" s="3" t="str">
        <f t="shared" si="55"/>
        <v>-SLOWSS-</v>
      </c>
      <c r="Z625" s="4" t="str">
        <f t="shared" si="56"/>
        <v>{"couname":"","img":"0","pty":"","artist":"","genres":"","duration":"","spotId":"","Items":["-SADNE-","-SLOWSS-","OTHR","OTHR","XT_OffAnimals"]},</v>
      </c>
      <c r="AA625" s="5" t="s">
        <v>5</v>
      </c>
      <c r="AB625" s="3" t="str">
        <f t="shared" si="57"/>
        <v>["-SADNE-","-SLOWSS-","OTHR","OTHR","XT_OffAnimals"]</v>
      </c>
      <c r="AC625" s="3">
        <f>_xlfn.XLOOKUP(A625,Album!A:A,Album!J:J)</f>
        <v>0</v>
      </c>
      <c r="AD625" s="3">
        <f>_xlfn.XLOOKUP(D625,Artists!A:A,Artists!B:B)</f>
        <v>0</v>
      </c>
      <c r="AE625" s="3">
        <f>_xlfn.XLOOKUP(D625,Artists!A:A,Artists!C:C)</f>
        <v>0</v>
      </c>
      <c r="AF625" s="3" t="str">
        <f t="shared" si="58"/>
        <v>OTHR</v>
      </c>
      <c r="AG625" s="3" t="str">
        <f t="shared" si="59"/>
        <v>OTHR</v>
      </c>
    </row>
    <row r="626" spans="24:33" x14ac:dyDescent="0.3">
      <c r="X626" s="3" t="str">
        <f t="shared" si="54"/>
        <v>-SADNE-</v>
      </c>
      <c r="Y626" s="3" t="str">
        <f t="shared" si="55"/>
        <v>-SLOWSS-</v>
      </c>
      <c r="Z626" s="4" t="str">
        <f t="shared" si="56"/>
        <v>{"couname":"","img":"0","pty":"","artist":"","genres":"","duration":"","spotId":"","Items":["-SADNE-","-SLOWSS-","OTHR","OTHR","XT_OffAnimals"]},</v>
      </c>
      <c r="AA626" s="5" t="s">
        <v>5</v>
      </c>
      <c r="AB626" s="3" t="str">
        <f t="shared" si="57"/>
        <v>["-SADNE-","-SLOWSS-","OTHR","OTHR","XT_OffAnimals"]</v>
      </c>
      <c r="AC626" s="3">
        <f>_xlfn.XLOOKUP(A626,Album!A:A,Album!J:J)</f>
        <v>0</v>
      </c>
      <c r="AD626" s="3">
        <f>_xlfn.XLOOKUP(D626,Artists!A:A,Artists!B:B)</f>
        <v>0</v>
      </c>
      <c r="AE626" s="3">
        <f>_xlfn.XLOOKUP(D626,Artists!A:A,Artists!C:C)</f>
        <v>0</v>
      </c>
      <c r="AF626" s="3" t="str">
        <f t="shared" si="58"/>
        <v>OTHR</v>
      </c>
      <c r="AG626" s="3" t="str">
        <f t="shared" si="59"/>
        <v>OTHR</v>
      </c>
    </row>
    <row r="627" spans="24:33" x14ac:dyDescent="0.3">
      <c r="X627" s="3" t="str">
        <f t="shared" si="54"/>
        <v>-SADNE-</v>
      </c>
      <c r="Y627" s="3" t="str">
        <f t="shared" si="55"/>
        <v>-SLOWSS-</v>
      </c>
      <c r="Z627" s="4" t="str">
        <f t="shared" si="56"/>
        <v>{"couname":"","img":"0","pty":"","artist":"","genres":"","duration":"","spotId":"","Items":["-SADNE-","-SLOWSS-","OTHR","OTHR","XT_OffAnimals"]},</v>
      </c>
      <c r="AA627" s="5" t="s">
        <v>5</v>
      </c>
      <c r="AB627" s="3" t="str">
        <f t="shared" si="57"/>
        <v>["-SADNE-","-SLOWSS-","OTHR","OTHR","XT_OffAnimals"]</v>
      </c>
      <c r="AC627" s="3">
        <f>_xlfn.XLOOKUP(A627,Album!A:A,Album!J:J)</f>
        <v>0</v>
      </c>
      <c r="AD627" s="3">
        <f>_xlfn.XLOOKUP(D627,Artists!A:A,Artists!B:B)</f>
        <v>0</v>
      </c>
      <c r="AE627" s="3">
        <f>_xlfn.XLOOKUP(D627,Artists!A:A,Artists!C:C)</f>
        <v>0</v>
      </c>
      <c r="AF627" s="3" t="str">
        <f t="shared" si="58"/>
        <v>OTHR</v>
      </c>
      <c r="AG627" s="3" t="str">
        <f t="shared" si="59"/>
        <v>OTHR</v>
      </c>
    </row>
    <row r="628" spans="24:33" x14ac:dyDescent="0.3">
      <c r="X628" s="3" t="str">
        <f t="shared" si="54"/>
        <v>-SADNE-</v>
      </c>
      <c r="Y628" s="3" t="str">
        <f t="shared" si="55"/>
        <v>-SLOWSS-</v>
      </c>
      <c r="Z628" s="4" t="str">
        <f t="shared" si="56"/>
        <v>{"couname":"","img":"0","pty":"","artist":"","genres":"","duration":"","spotId":"","Items":["-SADNE-","-SLOWSS-","OTHR","OTHR","XT_OffAnimals"]},</v>
      </c>
      <c r="AA628" s="5" t="s">
        <v>5</v>
      </c>
      <c r="AB628" s="3" t="str">
        <f t="shared" si="57"/>
        <v>["-SADNE-","-SLOWSS-","OTHR","OTHR","XT_OffAnimals"]</v>
      </c>
      <c r="AC628" s="3">
        <f>_xlfn.XLOOKUP(A628,Album!A:A,Album!J:J)</f>
        <v>0</v>
      </c>
      <c r="AD628" s="3">
        <f>_xlfn.XLOOKUP(D628,Artists!A:A,Artists!B:B)</f>
        <v>0</v>
      </c>
      <c r="AE628" s="3">
        <f>_xlfn.XLOOKUP(D628,Artists!A:A,Artists!C:C)</f>
        <v>0</v>
      </c>
      <c r="AF628" s="3" t="str">
        <f t="shared" si="58"/>
        <v>OTHR</v>
      </c>
      <c r="AG628" s="3" t="str">
        <f t="shared" si="59"/>
        <v>OTHR</v>
      </c>
    </row>
    <row r="629" spans="24:33" x14ac:dyDescent="0.3">
      <c r="X629" s="3" t="str">
        <f t="shared" si="54"/>
        <v>-SADNE-</v>
      </c>
      <c r="Y629" s="3" t="str">
        <f t="shared" si="55"/>
        <v>-SLOWSS-</v>
      </c>
      <c r="Z629" s="4" t="str">
        <f t="shared" si="56"/>
        <v>{"couname":"","img":"0","pty":"","artist":"","genres":"","duration":"","spotId":"","Items":["-SADNE-","-SLOWSS-","OTHR","OTHR","XT_OffAnimals"]},</v>
      </c>
      <c r="AA629" s="5" t="s">
        <v>5</v>
      </c>
      <c r="AB629" s="3" t="str">
        <f t="shared" si="57"/>
        <v>["-SADNE-","-SLOWSS-","OTHR","OTHR","XT_OffAnimals"]</v>
      </c>
      <c r="AC629" s="3">
        <f>_xlfn.XLOOKUP(A629,Album!A:A,Album!J:J)</f>
        <v>0</v>
      </c>
      <c r="AD629" s="3">
        <f>_xlfn.XLOOKUP(D629,Artists!A:A,Artists!B:B)</f>
        <v>0</v>
      </c>
      <c r="AE629" s="3">
        <f>_xlfn.XLOOKUP(D629,Artists!A:A,Artists!C:C)</f>
        <v>0</v>
      </c>
      <c r="AF629" s="3" t="str">
        <f t="shared" si="58"/>
        <v>OTHR</v>
      </c>
      <c r="AG629" s="3" t="str">
        <f t="shared" si="59"/>
        <v>OTHR</v>
      </c>
    </row>
    <row r="630" spans="24:33" x14ac:dyDescent="0.3">
      <c r="X630" s="3" t="str">
        <f t="shared" si="54"/>
        <v>-SADNE-</v>
      </c>
      <c r="Y630" s="3" t="str">
        <f t="shared" si="55"/>
        <v>-SLOWSS-</v>
      </c>
      <c r="Z630" s="4" t="str">
        <f t="shared" si="56"/>
        <v>{"couname":"","img":"0","pty":"","artist":"","genres":"","duration":"","spotId":"","Items":["-SADNE-","-SLOWSS-","OTHR","OTHR","XT_OffAnimals"]},</v>
      </c>
      <c r="AA630" s="5" t="s">
        <v>5</v>
      </c>
      <c r="AB630" s="3" t="str">
        <f t="shared" si="57"/>
        <v>["-SADNE-","-SLOWSS-","OTHR","OTHR","XT_OffAnimals"]</v>
      </c>
      <c r="AC630" s="3">
        <f>_xlfn.XLOOKUP(A630,Album!A:A,Album!J:J)</f>
        <v>0</v>
      </c>
      <c r="AD630" s="3">
        <f>_xlfn.XLOOKUP(D630,Artists!A:A,Artists!B:B)</f>
        <v>0</v>
      </c>
      <c r="AE630" s="3">
        <f>_xlfn.XLOOKUP(D630,Artists!A:A,Artists!C:C)</f>
        <v>0</v>
      </c>
      <c r="AF630" s="3" t="str">
        <f t="shared" si="58"/>
        <v>OTHR</v>
      </c>
      <c r="AG630" s="3" t="str">
        <f t="shared" si="59"/>
        <v>OTHR</v>
      </c>
    </row>
    <row r="631" spans="24:33" x14ac:dyDescent="0.3">
      <c r="X631" s="3" t="str">
        <f t="shared" si="54"/>
        <v>-SADNE-</v>
      </c>
      <c r="Y631" s="3" t="str">
        <f t="shared" si="55"/>
        <v>-SLOWSS-</v>
      </c>
      <c r="Z631" s="4" t="str">
        <f t="shared" si="56"/>
        <v>{"couname":"","img":"0","pty":"","artist":"","genres":"","duration":"","spotId":"","Items":["-SADNE-","-SLOWSS-","OTHR","OTHR","XT_OffAnimals"]},</v>
      </c>
      <c r="AA631" s="5" t="s">
        <v>5</v>
      </c>
      <c r="AB631" s="3" t="str">
        <f t="shared" si="57"/>
        <v>["-SADNE-","-SLOWSS-","OTHR","OTHR","XT_OffAnimals"]</v>
      </c>
      <c r="AC631" s="3">
        <f>_xlfn.XLOOKUP(A631,Album!A:A,Album!J:J)</f>
        <v>0</v>
      </c>
      <c r="AD631" s="3">
        <f>_xlfn.XLOOKUP(D631,Artists!A:A,Artists!B:B)</f>
        <v>0</v>
      </c>
      <c r="AE631" s="3">
        <f>_xlfn.XLOOKUP(D631,Artists!A:A,Artists!C:C)</f>
        <v>0</v>
      </c>
      <c r="AF631" s="3" t="str">
        <f t="shared" si="58"/>
        <v>OTHR</v>
      </c>
      <c r="AG631" s="3" t="str">
        <f t="shared" si="59"/>
        <v>OTHR</v>
      </c>
    </row>
    <row r="632" spans="24:33" x14ac:dyDescent="0.3">
      <c r="X632" s="3" t="str">
        <f t="shared" si="54"/>
        <v>-SADNE-</v>
      </c>
      <c r="Y632" s="3" t="str">
        <f t="shared" si="55"/>
        <v>-SLOWSS-</v>
      </c>
      <c r="Z632" s="4" t="str">
        <f t="shared" si="56"/>
        <v>{"couname":"","img":"0","pty":"","artist":"","genres":"","duration":"","spotId":"","Items":["-SADNE-","-SLOWSS-","OTHR","OTHR","XT_OffAnimals"]},</v>
      </c>
      <c r="AA632" s="5" t="s">
        <v>5</v>
      </c>
      <c r="AB632" s="3" t="str">
        <f t="shared" si="57"/>
        <v>["-SADNE-","-SLOWSS-","OTHR","OTHR","XT_OffAnimals"]</v>
      </c>
      <c r="AC632" s="3">
        <f>_xlfn.XLOOKUP(A632,Album!A:A,Album!J:J)</f>
        <v>0</v>
      </c>
      <c r="AD632" s="3">
        <f>_xlfn.XLOOKUP(D632,Artists!A:A,Artists!B:B)</f>
        <v>0</v>
      </c>
      <c r="AE632" s="3">
        <f>_xlfn.XLOOKUP(D632,Artists!A:A,Artists!C:C)</f>
        <v>0</v>
      </c>
      <c r="AF632" s="3" t="str">
        <f t="shared" si="58"/>
        <v>OTHR</v>
      </c>
      <c r="AG632" s="3" t="str">
        <f t="shared" si="59"/>
        <v>OTHR</v>
      </c>
    </row>
    <row r="633" spans="24:33" x14ac:dyDescent="0.3">
      <c r="X633" s="3" t="str">
        <f t="shared" si="54"/>
        <v>-SADNE-</v>
      </c>
      <c r="Y633" s="3" t="str">
        <f t="shared" si="55"/>
        <v>-SLOWSS-</v>
      </c>
      <c r="Z633" s="4" t="str">
        <f t="shared" si="56"/>
        <v>{"couname":"","img":"0","pty":"","artist":"","genres":"","duration":"","spotId":"","Items":["-SADNE-","-SLOWSS-","OTHR","OTHR","XT_OffAnimals"]},</v>
      </c>
      <c r="AA633" s="5" t="s">
        <v>5</v>
      </c>
      <c r="AB633" s="3" t="str">
        <f t="shared" si="57"/>
        <v>["-SADNE-","-SLOWSS-","OTHR","OTHR","XT_OffAnimals"]</v>
      </c>
      <c r="AC633" s="3">
        <f>_xlfn.XLOOKUP(A633,Album!A:A,Album!J:J)</f>
        <v>0</v>
      </c>
      <c r="AD633" s="3">
        <f>_xlfn.XLOOKUP(D633,Artists!A:A,Artists!B:B)</f>
        <v>0</v>
      </c>
      <c r="AE633" s="3">
        <f>_xlfn.XLOOKUP(D633,Artists!A:A,Artists!C:C)</f>
        <v>0</v>
      </c>
      <c r="AF633" s="3" t="str">
        <f t="shared" si="58"/>
        <v>OTHR</v>
      </c>
      <c r="AG633" s="3" t="str">
        <f t="shared" si="59"/>
        <v>OTHR</v>
      </c>
    </row>
    <row r="634" spans="24:33" x14ac:dyDescent="0.3">
      <c r="X634" s="3" t="str">
        <f t="shared" si="54"/>
        <v>-SADNE-</v>
      </c>
      <c r="Y634" s="3" t="str">
        <f t="shared" si="55"/>
        <v>-SLOWSS-</v>
      </c>
      <c r="Z634" s="4" t="str">
        <f t="shared" si="56"/>
        <v>{"couname":"","img":"0","pty":"","artist":"","genres":"","duration":"","spotId":"","Items":["-SADNE-","-SLOWSS-","OTHR","OTHR","XT_OffAnimals"]},</v>
      </c>
      <c r="AA634" s="5" t="s">
        <v>5</v>
      </c>
      <c r="AB634" s="3" t="str">
        <f t="shared" si="57"/>
        <v>["-SADNE-","-SLOWSS-","OTHR","OTHR","XT_OffAnimals"]</v>
      </c>
      <c r="AC634" s="3">
        <f>_xlfn.XLOOKUP(A634,Album!A:A,Album!J:J)</f>
        <v>0</v>
      </c>
      <c r="AD634" s="3">
        <f>_xlfn.XLOOKUP(D634,Artists!A:A,Artists!B:B)</f>
        <v>0</v>
      </c>
      <c r="AE634" s="3">
        <f>_xlfn.XLOOKUP(D634,Artists!A:A,Artists!C:C)</f>
        <v>0</v>
      </c>
      <c r="AF634" s="3" t="str">
        <f t="shared" si="58"/>
        <v>OTHR</v>
      </c>
      <c r="AG634" s="3" t="str">
        <f t="shared" si="59"/>
        <v>OTHR</v>
      </c>
    </row>
    <row r="635" spans="24:33" x14ac:dyDescent="0.3">
      <c r="X635" s="3" t="str">
        <f t="shared" si="54"/>
        <v>-SADNE-</v>
      </c>
      <c r="Y635" s="3" t="str">
        <f t="shared" si="55"/>
        <v>-SLOWSS-</v>
      </c>
      <c r="Z635" s="4" t="str">
        <f t="shared" si="56"/>
        <v>{"couname":"","img":"0","pty":"","artist":"","genres":"","duration":"","spotId":"","Items":["-SADNE-","-SLOWSS-","OTHR","OTHR","XT_OffAnimals"]},</v>
      </c>
      <c r="AA635" s="5" t="s">
        <v>5</v>
      </c>
      <c r="AB635" s="3" t="str">
        <f t="shared" si="57"/>
        <v>["-SADNE-","-SLOWSS-","OTHR","OTHR","XT_OffAnimals"]</v>
      </c>
      <c r="AC635" s="3">
        <f>_xlfn.XLOOKUP(A635,Album!A:A,Album!J:J)</f>
        <v>0</v>
      </c>
      <c r="AD635" s="3">
        <f>_xlfn.XLOOKUP(D635,Artists!A:A,Artists!B:B)</f>
        <v>0</v>
      </c>
      <c r="AE635" s="3">
        <f>_xlfn.XLOOKUP(D635,Artists!A:A,Artists!C:C)</f>
        <v>0</v>
      </c>
      <c r="AF635" s="3" t="str">
        <f t="shared" si="58"/>
        <v>OTHR</v>
      </c>
      <c r="AG635" s="3" t="str">
        <f t="shared" si="59"/>
        <v>OTHR</v>
      </c>
    </row>
    <row r="636" spans="24:33" x14ac:dyDescent="0.3">
      <c r="X636" s="3" t="str">
        <f t="shared" si="54"/>
        <v>-SADNE-</v>
      </c>
      <c r="Y636" s="3" t="str">
        <f t="shared" si="55"/>
        <v>-SLOWSS-</v>
      </c>
      <c r="Z636" s="4" t="str">
        <f t="shared" si="56"/>
        <v>{"couname":"","img":"0","pty":"","artist":"","genres":"","duration":"","spotId":"","Items":["-SADNE-","-SLOWSS-","OTHR","OTHR","XT_OffAnimals"]},</v>
      </c>
      <c r="AA636" s="5" t="s">
        <v>5</v>
      </c>
      <c r="AB636" s="3" t="str">
        <f t="shared" si="57"/>
        <v>["-SADNE-","-SLOWSS-","OTHR","OTHR","XT_OffAnimals"]</v>
      </c>
      <c r="AC636" s="3">
        <f>_xlfn.XLOOKUP(A636,Album!A:A,Album!J:J)</f>
        <v>0</v>
      </c>
      <c r="AD636" s="3">
        <f>_xlfn.XLOOKUP(D636,Artists!A:A,Artists!B:B)</f>
        <v>0</v>
      </c>
      <c r="AE636" s="3">
        <f>_xlfn.XLOOKUP(D636,Artists!A:A,Artists!C:C)</f>
        <v>0</v>
      </c>
      <c r="AF636" s="3" t="str">
        <f t="shared" si="58"/>
        <v>OTHR</v>
      </c>
      <c r="AG636" s="3" t="str">
        <f t="shared" si="59"/>
        <v>OTHR</v>
      </c>
    </row>
    <row r="637" spans="24:33" x14ac:dyDescent="0.3">
      <c r="X637" s="3" t="str">
        <f t="shared" si="54"/>
        <v>-SADNE-</v>
      </c>
      <c r="Y637" s="3" t="str">
        <f t="shared" si="55"/>
        <v>-SLOWSS-</v>
      </c>
      <c r="Z637" s="4" t="str">
        <f t="shared" si="56"/>
        <v>{"couname":"","img":"0","pty":"","artist":"","genres":"","duration":"","spotId":"","Items":["-SADNE-","-SLOWSS-","OTHR","OTHR","XT_OffAnimals"]},</v>
      </c>
      <c r="AA637" s="5" t="s">
        <v>5</v>
      </c>
      <c r="AB637" s="3" t="str">
        <f t="shared" si="57"/>
        <v>["-SADNE-","-SLOWSS-","OTHR","OTHR","XT_OffAnimals"]</v>
      </c>
      <c r="AC637" s="3">
        <f>_xlfn.XLOOKUP(A637,Album!A:A,Album!J:J)</f>
        <v>0</v>
      </c>
      <c r="AD637" s="3">
        <f>_xlfn.XLOOKUP(D637,Artists!A:A,Artists!B:B)</f>
        <v>0</v>
      </c>
      <c r="AE637" s="3">
        <f>_xlfn.XLOOKUP(D637,Artists!A:A,Artists!C:C)</f>
        <v>0</v>
      </c>
      <c r="AF637" s="3" t="str">
        <f t="shared" si="58"/>
        <v>OTHR</v>
      </c>
      <c r="AG637" s="3" t="str">
        <f t="shared" si="59"/>
        <v>OTHR</v>
      </c>
    </row>
    <row r="638" spans="24:33" x14ac:dyDescent="0.3">
      <c r="X638" s="3" t="str">
        <f t="shared" si="54"/>
        <v>-SADNE-</v>
      </c>
      <c r="Y638" s="3" t="str">
        <f t="shared" si="55"/>
        <v>-SLOWSS-</v>
      </c>
      <c r="Z638" s="4" t="str">
        <f t="shared" si="56"/>
        <v>{"couname":"","img":"0","pty":"","artist":"","genres":"","duration":"","spotId":"","Items":["-SADNE-","-SLOWSS-","OTHR","OTHR","XT_OffAnimals"]},</v>
      </c>
      <c r="AA638" s="5" t="s">
        <v>5</v>
      </c>
      <c r="AB638" s="3" t="str">
        <f t="shared" si="57"/>
        <v>["-SADNE-","-SLOWSS-","OTHR","OTHR","XT_OffAnimals"]</v>
      </c>
      <c r="AC638" s="3">
        <f>_xlfn.XLOOKUP(A638,Album!A:A,Album!J:J)</f>
        <v>0</v>
      </c>
      <c r="AD638" s="3">
        <f>_xlfn.XLOOKUP(D638,Artists!A:A,Artists!B:B)</f>
        <v>0</v>
      </c>
      <c r="AE638" s="3">
        <f>_xlfn.XLOOKUP(D638,Artists!A:A,Artists!C:C)</f>
        <v>0</v>
      </c>
      <c r="AF638" s="3" t="str">
        <f t="shared" si="58"/>
        <v>OTHR</v>
      </c>
      <c r="AG638" s="3" t="str">
        <f t="shared" si="59"/>
        <v>OTHR</v>
      </c>
    </row>
    <row r="639" spans="24:33" x14ac:dyDescent="0.3">
      <c r="X639" s="3" t="str">
        <f t="shared" si="54"/>
        <v>-SADNE-</v>
      </c>
      <c r="Y639" s="3" t="str">
        <f t="shared" si="55"/>
        <v>-SLOWSS-</v>
      </c>
      <c r="Z639" s="4" t="str">
        <f t="shared" si="56"/>
        <v>{"couname":"","img":"0","pty":"","artist":"","genres":"","duration":"","spotId":"","Items":["-SADNE-","-SLOWSS-","OTHR","OTHR","XT_OffAnimals"]},</v>
      </c>
      <c r="AA639" s="5" t="s">
        <v>5</v>
      </c>
      <c r="AB639" s="3" t="str">
        <f t="shared" si="57"/>
        <v>["-SADNE-","-SLOWSS-","OTHR","OTHR","XT_OffAnimals"]</v>
      </c>
      <c r="AC639" s="3">
        <f>_xlfn.XLOOKUP(A639,Album!A:A,Album!J:J)</f>
        <v>0</v>
      </c>
      <c r="AD639" s="3">
        <f>_xlfn.XLOOKUP(D639,Artists!A:A,Artists!B:B)</f>
        <v>0</v>
      </c>
      <c r="AE639" s="3">
        <f>_xlfn.XLOOKUP(D639,Artists!A:A,Artists!C:C)</f>
        <v>0</v>
      </c>
      <c r="AF639" s="3" t="str">
        <f t="shared" si="58"/>
        <v>OTHR</v>
      </c>
      <c r="AG639" s="3" t="str">
        <f t="shared" si="59"/>
        <v>OTHR</v>
      </c>
    </row>
    <row r="640" spans="24:33" x14ac:dyDescent="0.3">
      <c r="X640" s="3" t="str">
        <f t="shared" si="54"/>
        <v>-SADNE-</v>
      </c>
      <c r="Y640" s="3" t="str">
        <f t="shared" si="55"/>
        <v>-SLOWSS-</v>
      </c>
      <c r="Z640" s="4" t="str">
        <f t="shared" si="56"/>
        <v>{"couname":"","img":"0","pty":"","artist":"","genres":"","duration":"","spotId":"","Items":["-SADNE-","-SLOWSS-","OTHR","OTHR","XT_OffAnimals"]},</v>
      </c>
      <c r="AA640" s="5" t="s">
        <v>5</v>
      </c>
      <c r="AB640" s="3" t="str">
        <f t="shared" si="57"/>
        <v>["-SADNE-","-SLOWSS-","OTHR","OTHR","XT_OffAnimals"]</v>
      </c>
      <c r="AC640" s="3">
        <f>_xlfn.XLOOKUP(A640,Album!A:A,Album!J:J)</f>
        <v>0</v>
      </c>
      <c r="AD640" s="3">
        <f>_xlfn.XLOOKUP(D640,Artists!A:A,Artists!B:B)</f>
        <v>0</v>
      </c>
      <c r="AE640" s="3">
        <f>_xlfn.XLOOKUP(D640,Artists!A:A,Artists!C:C)</f>
        <v>0</v>
      </c>
      <c r="AF640" s="3" t="str">
        <f t="shared" si="58"/>
        <v>OTHR</v>
      </c>
      <c r="AG640" s="3" t="str">
        <f t="shared" si="59"/>
        <v>OTHR</v>
      </c>
    </row>
    <row r="641" spans="24:33" x14ac:dyDescent="0.3">
      <c r="X641" s="3" t="str">
        <f t="shared" si="54"/>
        <v>-SADNE-</v>
      </c>
      <c r="Y641" s="3" t="str">
        <f t="shared" si="55"/>
        <v>-SLOWSS-</v>
      </c>
      <c r="Z641" s="4" t="str">
        <f t="shared" si="56"/>
        <v>{"couname":"","img":"0","pty":"","artist":"","genres":"","duration":"","spotId":"","Items":["-SADNE-","-SLOWSS-","OTHR","OTHR","XT_OffAnimals"]},</v>
      </c>
      <c r="AA641" s="5" t="s">
        <v>5</v>
      </c>
      <c r="AB641" s="3" t="str">
        <f t="shared" si="57"/>
        <v>["-SADNE-","-SLOWSS-","OTHR","OTHR","XT_OffAnimals"]</v>
      </c>
      <c r="AC641" s="3">
        <f>_xlfn.XLOOKUP(A641,Album!A:A,Album!J:J)</f>
        <v>0</v>
      </c>
      <c r="AD641" s="3">
        <f>_xlfn.XLOOKUP(D641,Artists!A:A,Artists!B:B)</f>
        <v>0</v>
      </c>
      <c r="AE641" s="3">
        <f>_xlfn.XLOOKUP(D641,Artists!A:A,Artists!C:C)</f>
        <v>0</v>
      </c>
      <c r="AF641" s="3" t="str">
        <f t="shared" si="58"/>
        <v>OTHR</v>
      </c>
      <c r="AG641" s="3" t="str">
        <f t="shared" si="59"/>
        <v>OTHR</v>
      </c>
    </row>
    <row r="642" spans="24:33" x14ac:dyDescent="0.3">
      <c r="X642" s="3" t="str">
        <f t="shared" ref="X642:X705" si="60">IF(OR(U642&lt;0.301, AND(U642&lt;0.4, P642=0)), "-SADNE-", "-HAPPY-")</f>
        <v>-SADNE-</v>
      </c>
      <c r="Y642" s="3" t="str">
        <f t="shared" ref="Y642:Y705" si="61">IF(OR(AND(L642&lt;0.5,M642&lt;0.5),AND(L642&lt;0.45,V642&lt;100),AND(M642&lt;0.45,V642&lt;100),AND(U642&lt;0.39,V642&lt;100)),"-SLOWSS-","-ENERGY-")</f>
        <v>-SLOWSS-</v>
      </c>
      <c r="Z642" s="4" t="str">
        <f t="shared" si="56"/>
        <v>{"couname":"","img":"0","pty":"","artist":"","genres":"","duration":"","spotId":"","Items":["-SADNE-","-SLOWSS-","OTHR","OTHR","XT_OffAnimals"]},</v>
      </c>
      <c r="AA642" s="5" t="s">
        <v>5</v>
      </c>
      <c r="AB642" s="3" t="str">
        <f t="shared" si="57"/>
        <v>["-SADNE-","-SLOWSS-","OTHR","OTHR","XT_OffAnimals"]</v>
      </c>
      <c r="AC642" s="3">
        <f>_xlfn.XLOOKUP(A642,Album!A:A,Album!J:J)</f>
        <v>0</v>
      </c>
      <c r="AD642" s="3">
        <f>_xlfn.XLOOKUP(D642,Artists!A:A,Artists!B:B)</f>
        <v>0</v>
      </c>
      <c r="AE642" s="3">
        <f>_xlfn.XLOOKUP(D642,Artists!A:A,Artists!C:C)</f>
        <v>0</v>
      </c>
      <c r="AF642" s="3" t="str">
        <f t="shared" si="58"/>
        <v>OTHR</v>
      </c>
      <c r="AG642" s="3" t="str">
        <f t="shared" si="59"/>
        <v>OTHR</v>
      </c>
    </row>
    <row r="643" spans="24:33" x14ac:dyDescent="0.3">
      <c r="X643" s="3" t="str">
        <f t="shared" si="60"/>
        <v>-SADNE-</v>
      </c>
      <c r="Y643" s="3" t="str">
        <f t="shared" si="61"/>
        <v>-SLOWSS-</v>
      </c>
      <c r="Z643" s="4" t="str">
        <f t="shared" ref="Z643:Z706" si="62">"{"&amp;CHAR(34)&amp;"couname"&amp;CHAR(34)&amp;":"&amp;CHAR(34)&amp;B643&amp;CHAR(34)&amp;","&amp;CHAR(34)&amp;"img"&amp;CHAR(34)&amp;":"&amp;CHAR(34)&amp;AC643&amp;CHAR(34)&amp;","&amp;CHAR(34)&amp;"pty"&amp;CHAR(34)&amp;":"&amp;CHAR(34)&amp;G643&amp;CHAR(34)&amp;","&amp;CHAR(34)&amp;"artist"&amp;CHAR(34)&amp;":"&amp;CHAR(34)&amp;D643&amp;CHAR(34)&amp;","&amp;CHAR(34)&amp;"genres"&amp;CHAR(34)&amp;":"&amp;CHAR(34)&amp;J643&amp;CHAR(34)&amp;","&amp;CHAR(34)&amp;"duration"&amp;CHAR(34)&amp;":"&amp;CHAR(34)&amp;F643&amp;CHAR(34)&amp;","&amp;CHAR(34)&amp;"spotId"&amp;CHAR(34)&amp;":"&amp;CHAR(34)&amp;A643&amp;CHAR(34)&amp;","&amp;CHAR(34)&amp;"Items"&amp;CHAR(34)&amp;":"&amp;AB643&amp;"},"</f>
        <v>{"couname":"","img":"0","pty":"","artist":"","genres":"","duration":"","spotId":"","Items":["-SADNE-","-SLOWSS-","OTHR","OTHR","XT_OffAnimals"]},</v>
      </c>
      <c r="AA643" s="5" t="s">
        <v>5</v>
      </c>
      <c r="AB643" s="3" t="str">
        <f t="shared" ref="AB643:AB706" si="63" xml:space="preserve"> "[" &amp; _xlfn.TEXTJOIN(",",TRUE,CHAR(34) &amp; X643&amp; CHAR(34), CHAR(34) &amp; Y643 &amp; CHAR(34),  CHAR(34) &amp; AF643 &amp; CHAR(34), CHAR(34) &amp;AG643 &amp; CHAR(34), CHAR(34) &amp; AA643 &amp; CHAR(34)) &amp; "]"</f>
        <v>["-SADNE-","-SLOWSS-","OTHR","OTHR","XT_OffAnimals"]</v>
      </c>
      <c r="AC643" s="3">
        <f>_xlfn.XLOOKUP(A643,Album!A:A,Album!J:J)</f>
        <v>0</v>
      </c>
      <c r="AD643" s="3">
        <f>_xlfn.XLOOKUP(D643,Artists!A:A,Artists!B:B)</f>
        <v>0</v>
      </c>
      <c r="AE643" s="3">
        <f>_xlfn.XLOOKUP(D643,Artists!A:A,Artists!C:C)</f>
        <v>0</v>
      </c>
      <c r="AF643" s="3" t="str">
        <f t="shared" ref="AF643:AF706" si="64">IF(ISNUMBER(SEARCH("female", AD643)), "GIRL", IF(ISNUMBER(SEARCH("male", AD643)), "DUDE", "OTHR"))</f>
        <v>OTHR</v>
      </c>
      <c r="AG643" s="3" t="str">
        <f t="shared" ref="AG643:AG706" si="65">IF(ISNUMBER(SEARCH("band", AD643)), "BAND", IF(ISNUMBER(SEARCH("solo", AD643)), "SOLO", "OTHR"))</f>
        <v>OTHR</v>
      </c>
    </row>
    <row r="644" spans="24:33" x14ac:dyDescent="0.3">
      <c r="X644" s="3" t="str">
        <f t="shared" si="60"/>
        <v>-SADNE-</v>
      </c>
      <c r="Y644" s="3" t="str">
        <f t="shared" si="61"/>
        <v>-SLOWSS-</v>
      </c>
      <c r="Z644" s="4" t="str">
        <f t="shared" si="62"/>
        <v>{"couname":"","img":"0","pty":"","artist":"","genres":"","duration":"","spotId":"","Items":["-SADNE-","-SLOWSS-","OTHR","OTHR","XT_OffAnimals"]},</v>
      </c>
      <c r="AA644" s="5" t="s">
        <v>5</v>
      </c>
      <c r="AB644" s="3" t="str">
        <f t="shared" si="63"/>
        <v>["-SADNE-","-SLOWSS-","OTHR","OTHR","XT_OffAnimals"]</v>
      </c>
      <c r="AC644" s="3">
        <f>_xlfn.XLOOKUP(A644,Album!A:A,Album!J:J)</f>
        <v>0</v>
      </c>
      <c r="AD644" s="3">
        <f>_xlfn.XLOOKUP(D644,Artists!A:A,Artists!B:B)</f>
        <v>0</v>
      </c>
      <c r="AE644" s="3">
        <f>_xlfn.XLOOKUP(D644,Artists!A:A,Artists!C:C)</f>
        <v>0</v>
      </c>
      <c r="AF644" s="3" t="str">
        <f t="shared" si="64"/>
        <v>OTHR</v>
      </c>
      <c r="AG644" s="3" t="str">
        <f t="shared" si="65"/>
        <v>OTHR</v>
      </c>
    </row>
    <row r="645" spans="24:33" x14ac:dyDescent="0.3">
      <c r="X645" s="3" t="str">
        <f t="shared" si="60"/>
        <v>-SADNE-</v>
      </c>
      <c r="Y645" s="3" t="str">
        <f t="shared" si="61"/>
        <v>-SLOWSS-</v>
      </c>
      <c r="Z645" s="4" t="str">
        <f t="shared" si="62"/>
        <v>{"couname":"","img":"0","pty":"","artist":"","genres":"","duration":"","spotId":"","Items":["-SADNE-","-SLOWSS-","OTHR","OTHR","XT_OffAnimals"]},</v>
      </c>
      <c r="AA645" s="5" t="s">
        <v>5</v>
      </c>
      <c r="AB645" s="3" t="str">
        <f t="shared" si="63"/>
        <v>["-SADNE-","-SLOWSS-","OTHR","OTHR","XT_OffAnimals"]</v>
      </c>
      <c r="AC645" s="3">
        <f>_xlfn.XLOOKUP(A645,Album!A:A,Album!J:J)</f>
        <v>0</v>
      </c>
      <c r="AD645" s="3">
        <f>_xlfn.XLOOKUP(D645,Artists!A:A,Artists!B:B)</f>
        <v>0</v>
      </c>
      <c r="AE645" s="3">
        <f>_xlfn.XLOOKUP(D645,Artists!A:A,Artists!C:C)</f>
        <v>0</v>
      </c>
      <c r="AF645" s="3" t="str">
        <f t="shared" si="64"/>
        <v>OTHR</v>
      </c>
      <c r="AG645" s="3" t="str">
        <f t="shared" si="65"/>
        <v>OTHR</v>
      </c>
    </row>
    <row r="646" spans="24:33" x14ac:dyDescent="0.3">
      <c r="X646" s="3" t="str">
        <f t="shared" si="60"/>
        <v>-SADNE-</v>
      </c>
      <c r="Y646" s="3" t="str">
        <f t="shared" si="61"/>
        <v>-SLOWSS-</v>
      </c>
      <c r="Z646" s="4" t="str">
        <f t="shared" si="62"/>
        <v>{"couname":"","img":"0","pty":"","artist":"","genres":"","duration":"","spotId":"","Items":["-SADNE-","-SLOWSS-","OTHR","OTHR","XT_OffAnimals"]},</v>
      </c>
      <c r="AA646" s="5" t="s">
        <v>5</v>
      </c>
      <c r="AB646" s="3" t="str">
        <f t="shared" si="63"/>
        <v>["-SADNE-","-SLOWSS-","OTHR","OTHR","XT_OffAnimals"]</v>
      </c>
      <c r="AC646" s="3">
        <f>_xlfn.XLOOKUP(A646,Album!A:A,Album!J:J)</f>
        <v>0</v>
      </c>
      <c r="AD646" s="3">
        <f>_xlfn.XLOOKUP(D646,Artists!A:A,Artists!B:B)</f>
        <v>0</v>
      </c>
      <c r="AE646" s="3">
        <f>_xlfn.XLOOKUP(D646,Artists!A:A,Artists!C:C)</f>
        <v>0</v>
      </c>
      <c r="AF646" s="3" t="str">
        <f t="shared" si="64"/>
        <v>OTHR</v>
      </c>
      <c r="AG646" s="3" t="str">
        <f t="shared" si="65"/>
        <v>OTHR</v>
      </c>
    </row>
    <row r="647" spans="24:33" x14ac:dyDescent="0.3">
      <c r="X647" s="3" t="str">
        <f t="shared" si="60"/>
        <v>-SADNE-</v>
      </c>
      <c r="Y647" s="3" t="str">
        <f t="shared" si="61"/>
        <v>-SLOWSS-</v>
      </c>
      <c r="Z647" s="4" t="str">
        <f t="shared" si="62"/>
        <v>{"couname":"","img":"0","pty":"","artist":"","genres":"","duration":"","spotId":"","Items":["-SADNE-","-SLOWSS-","OTHR","OTHR","XT_OffAnimals"]},</v>
      </c>
      <c r="AA647" s="5" t="s">
        <v>5</v>
      </c>
      <c r="AB647" s="3" t="str">
        <f t="shared" si="63"/>
        <v>["-SADNE-","-SLOWSS-","OTHR","OTHR","XT_OffAnimals"]</v>
      </c>
      <c r="AC647" s="3">
        <f>_xlfn.XLOOKUP(A647,Album!A:A,Album!J:J)</f>
        <v>0</v>
      </c>
      <c r="AD647" s="3">
        <f>_xlfn.XLOOKUP(D647,Artists!A:A,Artists!B:B)</f>
        <v>0</v>
      </c>
      <c r="AE647" s="3">
        <f>_xlfn.XLOOKUP(D647,Artists!A:A,Artists!C:C)</f>
        <v>0</v>
      </c>
      <c r="AF647" s="3" t="str">
        <f t="shared" si="64"/>
        <v>OTHR</v>
      </c>
      <c r="AG647" s="3" t="str">
        <f t="shared" si="65"/>
        <v>OTHR</v>
      </c>
    </row>
    <row r="648" spans="24:33" x14ac:dyDescent="0.3">
      <c r="X648" s="3" t="str">
        <f t="shared" si="60"/>
        <v>-SADNE-</v>
      </c>
      <c r="Y648" s="3" t="str">
        <f t="shared" si="61"/>
        <v>-SLOWSS-</v>
      </c>
      <c r="Z648" s="4" t="str">
        <f t="shared" si="62"/>
        <v>{"couname":"","img":"0","pty":"","artist":"","genres":"","duration":"","spotId":"","Items":["-SADNE-","-SLOWSS-","OTHR","OTHR","XT_OffAnimals"]},</v>
      </c>
      <c r="AA648" s="5" t="s">
        <v>5</v>
      </c>
      <c r="AB648" s="3" t="str">
        <f t="shared" si="63"/>
        <v>["-SADNE-","-SLOWSS-","OTHR","OTHR","XT_OffAnimals"]</v>
      </c>
      <c r="AC648" s="3">
        <f>_xlfn.XLOOKUP(A648,Album!A:A,Album!J:J)</f>
        <v>0</v>
      </c>
      <c r="AD648" s="3">
        <f>_xlfn.XLOOKUP(D648,Artists!A:A,Artists!B:B)</f>
        <v>0</v>
      </c>
      <c r="AE648" s="3">
        <f>_xlfn.XLOOKUP(D648,Artists!A:A,Artists!C:C)</f>
        <v>0</v>
      </c>
      <c r="AF648" s="3" t="str">
        <f t="shared" si="64"/>
        <v>OTHR</v>
      </c>
      <c r="AG648" s="3" t="str">
        <f t="shared" si="65"/>
        <v>OTHR</v>
      </c>
    </row>
    <row r="649" spans="24:33" x14ac:dyDescent="0.3">
      <c r="X649" s="3" t="str">
        <f t="shared" si="60"/>
        <v>-SADNE-</v>
      </c>
      <c r="Y649" s="3" t="str">
        <f t="shared" si="61"/>
        <v>-SLOWSS-</v>
      </c>
      <c r="Z649" s="4" t="str">
        <f t="shared" si="62"/>
        <v>{"couname":"","img":"0","pty":"","artist":"","genres":"","duration":"","spotId":"","Items":["-SADNE-","-SLOWSS-","OTHR","OTHR","XT_OffAnimals"]},</v>
      </c>
      <c r="AA649" s="5" t="s">
        <v>5</v>
      </c>
      <c r="AB649" s="3" t="str">
        <f t="shared" si="63"/>
        <v>["-SADNE-","-SLOWSS-","OTHR","OTHR","XT_OffAnimals"]</v>
      </c>
      <c r="AC649" s="3">
        <f>_xlfn.XLOOKUP(A649,Album!A:A,Album!J:J)</f>
        <v>0</v>
      </c>
      <c r="AD649" s="3">
        <f>_xlfn.XLOOKUP(D649,Artists!A:A,Artists!B:B)</f>
        <v>0</v>
      </c>
      <c r="AE649" s="3">
        <f>_xlfn.XLOOKUP(D649,Artists!A:A,Artists!C:C)</f>
        <v>0</v>
      </c>
      <c r="AF649" s="3" t="str">
        <f t="shared" si="64"/>
        <v>OTHR</v>
      </c>
      <c r="AG649" s="3" t="str">
        <f t="shared" si="65"/>
        <v>OTHR</v>
      </c>
    </row>
    <row r="650" spans="24:33" x14ac:dyDescent="0.3">
      <c r="X650" s="3" t="str">
        <f t="shared" si="60"/>
        <v>-SADNE-</v>
      </c>
      <c r="Y650" s="3" t="str">
        <f t="shared" si="61"/>
        <v>-SLOWSS-</v>
      </c>
      <c r="Z650" s="4" t="str">
        <f t="shared" si="62"/>
        <v>{"couname":"","img":"0","pty":"","artist":"","genres":"","duration":"","spotId":"","Items":["-SADNE-","-SLOWSS-","OTHR","OTHR","XT_OffAnimals"]},</v>
      </c>
      <c r="AA650" s="5" t="s">
        <v>5</v>
      </c>
      <c r="AB650" s="3" t="str">
        <f t="shared" si="63"/>
        <v>["-SADNE-","-SLOWSS-","OTHR","OTHR","XT_OffAnimals"]</v>
      </c>
      <c r="AC650" s="3">
        <f>_xlfn.XLOOKUP(A650,Album!A:A,Album!J:J)</f>
        <v>0</v>
      </c>
      <c r="AD650" s="3">
        <f>_xlfn.XLOOKUP(D650,Artists!A:A,Artists!B:B)</f>
        <v>0</v>
      </c>
      <c r="AE650" s="3">
        <f>_xlfn.XLOOKUP(D650,Artists!A:A,Artists!C:C)</f>
        <v>0</v>
      </c>
      <c r="AF650" s="3" t="str">
        <f t="shared" si="64"/>
        <v>OTHR</v>
      </c>
      <c r="AG650" s="3" t="str">
        <f t="shared" si="65"/>
        <v>OTHR</v>
      </c>
    </row>
    <row r="651" spans="24:33" x14ac:dyDescent="0.3">
      <c r="X651" s="3" t="str">
        <f t="shared" si="60"/>
        <v>-SADNE-</v>
      </c>
      <c r="Y651" s="3" t="str">
        <f t="shared" si="61"/>
        <v>-SLOWSS-</v>
      </c>
      <c r="Z651" s="4" t="str">
        <f t="shared" si="62"/>
        <v>{"couname":"","img":"0","pty":"","artist":"","genres":"","duration":"","spotId":"","Items":["-SADNE-","-SLOWSS-","OTHR","OTHR","XT_OffAnimals"]},</v>
      </c>
      <c r="AA651" s="5" t="s">
        <v>5</v>
      </c>
      <c r="AB651" s="3" t="str">
        <f t="shared" si="63"/>
        <v>["-SADNE-","-SLOWSS-","OTHR","OTHR","XT_OffAnimals"]</v>
      </c>
      <c r="AC651" s="3">
        <f>_xlfn.XLOOKUP(A651,Album!A:A,Album!J:J)</f>
        <v>0</v>
      </c>
      <c r="AD651" s="3">
        <f>_xlfn.XLOOKUP(D651,Artists!A:A,Artists!B:B)</f>
        <v>0</v>
      </c>
      <c r="AE651" s="3">
        <f>_xlfn.XLOOKUP(D651,Artists!A:A,Artists!C:C)</f>
        <v>0</v>
      </c>
      <c r="AF651" s="3" t="str">
        <f t="shared" si="64"/>
        <v>OTHR</v>
      </c>
      <c r="AG651" s="3" t="str">
        <f t="shared" si="65"/>
        <v>OTHR</v>
      </c>
    </row>
    <row r="652" spans="24:33" x14ac:dyDescent="0.3">
      <c r="X652" s="3" t="str">
        <f t="shared" si="60"/>
        <v>-SADNE-</v>
      </c>
      <c r="Y652" s="3" t="str">
        <f t="shared" si="61"/>
        <v>-SLOWSS-</v>
      </c>
      <c r="Z652" s="4" t="str">
        <f t="shared" si="62"/>
        <v>{"couname":"","img":"0","pty":"","artist":"","genres":"","duration":"","spotId":"","Items":["-SADNE-","-SLOWSS-","OTHR","OTHR","XT_OffAnimals"]},</v>
      </c>
      <c r="AA652" s="5" t="s">
        <v>5</v>
      </c>
      <c r="AB652" s="3" t="str">
        <f t="shared" si="63"/>
        <v>["-SADNE-","-SLOWSS-","OTHR","OTHR","XT_OffAnimals"]</v>
      </c>
      <c r="AC652" s="3">
        <f>_xlfn.XLOOKUP(A652,Album!A:A,Album!J:J)</f>
        <v>0</v>
      </c>
      <c r="AD652" s="3">
        <f>_xlfn.XLOOKUP(D652,Artists!A:A,Artists!B:B)</f>
        <v>0</v>
      </c>
      <c r="AE652" s="3">
        <f>_xlfn.XLOOKUP(D652,Artists!A:A,Artists!C:C)</f>
        <v>0</v>
      </c>
      <c r="AF652" s="3" t="str">
        <f t="shared" si="64"/>
        <v>OTHR</v>
      </c>
      <c r="AG652" s="3" t="str">
        <f t="shared" si="65"/>
        <v>OTHR</v>
      </c>
    </row>
    <row r="653" spans="24:33" x14ac:dyDescent="0.3">
      <c r="X653" s="3" t="str">
        <f t="shared" si="60"/>
        <v>-SADNE-</v>
      </c>
      <c r="Y653" s="3" t="str">
        <f t="shared" si="61"/>
        <v>-SLOWSS-</v>
      </c>
      <c r="Z653" s="4" t="str">
        <f t="shared" si="62"/>
        <v>{"couname":"","img":"0","pty":"","artist":"","genres":"","duration":"","spotId":"","Items":["-SADNE-","-SLOWSS-","OTHR","OTHR","XT_OffAnimals"]},</v>
      </c>
      <c r="AA653" s="5" t="s">
        <v>5</v>
      </c>
      <c r="AB653" s="3" t="str">
        <f t="shared" si="63"/>
        <v>["-SADNE-","-SLOWSS-","OTHR","OTHR","XT_OffAnimals"]</v>
      </c>
      <c r="AC653" s="3">
        <f>_xlfn.XLOOKUP(A653,Album!A:A,Album!J:J)</f>
        <v>0</v>
      </c>
      <c r="AD653" s="3">
        <f>_xlfn.XLOOKUP(D653,Artists!A:A,Artists!B:B)</f>
        <v>0</v>
      </c>
      <c r="AE653" s="3">
        <f>_xlfn.XLOOKUP(D653,Artists!A:A,Artists!C:C)</f>
        <v>0</v>
      </c>
      <c r="AF653" s="3" t="str">
        <f t="shared" si="64"/>
        <v>OTHR</v>
      </c>
      <c r="AG653" s="3" t="str">
        <f t="shared" si="65"/>
        <v>OTHR</v>
      </c>
    </row>
    <row r="654" spans="24:33" x14ac:dyDescent="0.3">
      <c r="X654" s="3" t="str">
        <f t="shared" si="60"/>
        <v>-SADNE-</v>
      </c>
      <c r="Y654" s="3" t="str">
        <f t="shared" si="61"/>
        <v>-SLOWSS-</v>
      </c>
      <c r="Z654" s="4" t="str">
        <f t="shared" si="62"/>
        <v>{"couname":"","img":"0","pty":"","artist":"","genres":"","duration":"","spotId":"","Items":["-SADNE-","-SLOWSS-","OTHR","OTHR","XT_OffAnimals"]},</v>
      </c>
      <c r="AA654" s="5" t="s">
        <v>5</v>
      </c>
      <c r="AB654" s="3" t="str">
        <f t="shared" si="63"/>
        <v>["-SADNE-","-SLOWSS-","OTHR","OTHR","XT_OffAnimals"]</v>
      </c>
      <c r="AC654" s="3">
        <f>_xlfn.XLOOKUP(A654,Album!A:A,Album!J:J)</f>
        <v>0</v>
      </c>
      <c r="AD654" s="3">
        <f>_xlfn.XLOOKUP(D654,Artists!A:A,Artists!B:B)</f>
        <v>0</v>
      </c>
      <c r="AE654" s="3">
        <f>_xlfn.XLOOKUP(D654,Artists!A:A,Artists!C:C)</f>
        <v>0</v>
      </c>
      <c r="AF654" s="3" t="str">
        <f t="shared" si="64"/>
        <v>OTHR</v>
      </c>
      <c r="AG654" s="3" t="str">
        <f t="shared" si="65"/>
        <v>OTHR</v>
      </c>
    </row>
    <row r="655" spans="24:33" x14ac:dyDescent="0.3">
      <c r="X655" s="3" t="str">
        <f t="shared" si="60"/>
        <v>-SADNE-</v>
      </c>
      <c r="Y655" s="3" t="str">
        <f t="shared" si="61"/>
        <v>-SLOWSS-</v>
      </c>
      <c r="Z655" s="4" t="str">
        <f t="shared" si="62"/>
        <v>{"couname":"","img":"0","pty":"","artist":"","genres":"","duration":"","spotId":"","Items":["-SADNE-","-SLOWSS-","OTHR","OTHR","XT_OffAnimals"]},</v>
      </c>
      <c r="AA655" s="5" t="s">
        <v>5</v>
      </c>
      <c r="AB655" s="3" t="str">
        <f t="shared" si="63"/>
        <v>["-SADNE-","-SLOWSS-","OTHR","OTHR","XT_OffAnimals"]</v>
      </c>
      <c r="AC655" s="3">
        <f>_xlfn.XLOOKUP(A655,Album!A:A,Album!J:J)</f>
        <v>0</v>
      </c>
      <c r="AD655" s="3">
        <f>_xlfn.XLOOKUP(D655,Artists!A:A,Artists!B:B)</f>
        <v>0</v>
      </c>
      <c r="AE655" s="3">
        <f>_xlfn.XLOOKUP(D655,Artists!A:A,Artists!C:C)</f>
        <v>0</v>
      </c>
      <c r="AF655" s="3" t="str">
        <f t="shared" si="64"/>
        <v>OTHR</v>
      </c>
      <c r="AG655" s="3" t="str">
        <f t="shared" si="65"/>
        <v>OTHR</v>
      </c>
    </row>
    <row r="656" spans="24:33" x14ac:dyDescent="0.3">
      <c r="X656" s="3" t="str">
        <f t="shared" si="60"/>
        <v>-SADNE-</v>
      </c>
      <c r="Y656" s="3" t="str">
        <f t="shared" si="61"/>
        <v>-SLOWSS-</v>
      </c>
      <c r="Z656" s="4" t="str">
        <f t="shared" si="62"/>
        <v>{"couname":"","img":"0","pty":"","artist":"","genres":"","duration":"","spotId":"","Items":["-SADNE-","-SLOWSS-","OTHR","OTHR","XT_OffAnimals"]},</v>
      </c>
      <c r="AA656" s="5" t="s">
        <v>5</v>
      </c>
      <c r="AB656" s="3" t="str">
        <f t="shared" si="63"/>
        <v>["-SADNE-","-SLOWSS-","OTHR","OTHR","XT_OffAnimals"]</v>
      </c>
      <c r="AC656" s="3">
        <f>_xlfn.XLOOKUP(A656,Album!A:A,Album!J:J)</f>
        <v>0</v>
      </c>
      <c r="AD656" s="3">
        <f>_xlfn.XLOOKUP(D656,Artists!A:A,Artists!B:B)</f>
        <v>0</v>
      </c>
      <c r="AE656" s="3">
        <f>_xlfn.XLOOKUP(D656,Artists!A:A,Artists!C:C)</f>
        <v>0</v>
      </c>
      <c r="AF656" s="3" t="str">
        <f t="shared" si="64"/>
        <v>OTHR</v>
      </c>
      <c r="AG656" s="3" t="str">
        <f t="shared" si="65"/>
        <v>OTHR</v>
      </c>
    </row>
    <row r="657" spans="24:33" x14ac:dyDescent="0.3">
      <c r="X657" s="3" t="str">
        <f t="shared" si="60"/>
        <v>-SADNE-</v>
      </c>
      <c r="Y657" s="3" t="str">
        <f t="shared" si="61"/>
        <v>-SLOWSS-</v>
      </c>
      <c r="Z657" s="4" t="str">
        <f t="shared" si="62"/>
        <v>{"couname":"","img":"0","pty":"","artist":"","genres":"","duration":"","spotId":"","Items":["-SADNE-","-SLOWSS-","OTHR","OTHR","XT_OffAnimals"]},</v>
      </c>
      <c r="AA657" s="5" t="s">
        <v>5</v>
      </c>
      <c r="AB657" s="3" t="str">
        <f t="shared" si="63"/>
        <v>["-SADNE-","-SLOWSS-","OTHR","OTHR","XT_OffAnimals"]</v>
      </c>
      <c r="AC657" s="3">
        <f>_xlfn.XLOOKUP(A657,Album!A:A,Album!J:J)</f>
        <v>0</v>
      </c>
      <c r="AD657" s="3">
        <f>_xlfn.XLOOKUP(D657,Artists!A:A,Artists!B:B)</f>
        <v>0</v>
      </c>
      <c r="AE657" s="3">
        <f>_xlfn.XLOOKUP(D657,Artists!A:A,Artists!C:C)</f>
        <v>0</v>
      </c>
      <c r="AF657" s="3" t="str">
        <f t="shared" si="64"/>
        <v>OTHR</v>
      </c>
      <c r="AG657" s="3" t="str">
        <f t="shared" si="65"/>
        <v>OTHR</v>
      </c>
    </row>
    <row r="658" spans="24:33" x14ac:dyDescent="0.3">
      <c r="X658" s="3" t="str">
        <f t="shared" si="60"/>
        <v>-SADNE-</v>
      </c>
      <c r="Y658" s="3" t="str">
        <f t="shared" si="61"/>
        <v>-SLOWSS-</v>
      </c>
      <c r="Z658" s="4" t="str">
        <f t="shared" si="62"/>
        <v>{"couname":"","img":"0","pty":"","artist":"","genres":"","duration":"","spotId":"","Items":["-SADNE-","-SLOWSS-","OTHR","OTHR","XT_OffAnimals"]},</v>
      </c>
      <c r="AA658" s="5" t="s">
        <v>5</v>
      </c>
      <c r="AB658" s="3" t="str">
        <f t="shared" si="63"/>
        <v>["-SADNE-","-SLOWSS-","OTHR","OTHR","XT_OffAnimals"]</v>
      </c>
      <c r="AC658" s="3">
        <f>_xlfn.XLOOKUP(A658,Album!A:A,Album!J:J)</f>
        <v>0</v>
      </c>
      <c r="AD658" s="3">
        <f>_xlfn.XLOOKUP(D658,Artists!A:A,Artists!B:B)</f>
        <v>0</v>
      </c>
      <c r="AE658" s="3">
        <f>_xlfn.XLOOKUP(D658,Artists!A:A,Artists!C:C)</f>
        <v>0</v>
      </c>
      <c r="AF658" s="3" t="str">
        <f t="shared" si="64"/>
        <v>OTHR</v>
      </c>
      <c r="AG658" s="3" t="str">
        <f t="shared" si="65"/>
        <v>OTHR</v>
      </c>
    </row>
    <row r="659" spans="24:33" x14ac:dyDescent="0.3">
      <c r="X659" s="3" t="str">
        <f t="shared" si="60"/>
        <v>-SADNE-</v>
      </c>
      <c r="Y659" s="3" t="str">
        <f t="shared" si="61"/>
        <v>-SLOWSS-</v>
      </c>
      <c r="Z659" s="4" t="str">
        <f t="shared" si="62"/>
        <v>{"couname":"","img":"0","pty":"","artist":"","genres":"","duration":"","spotId":"","Items":["-SADNE-","-SLOWSS-","OTHR","OTHR","XT_OffAnimals"]},</v>
      </c>
      <c r="AA659" s="5" t="s">
        <v>5</v>
      </c>
      <c r="AB659" s="3" t="str">
        <f t="shared" si="63"/>
        <v>["-SADNE-","-SLOWSS-","OTHR","OTHR","XT_OffAnimals"]</v>
      </c>
      <c r="AC659" s="3">
        <f>_xlfn.XLOOKUP(A659,Album!A:A,Album!J:J)</f>
        <v>0</v>
      </c>
      <c r="AD659" s="3">
        <f>_xlfn.XLOOKUP(D659,Artists!A:A,Artists!B:B)</f>
        <v>0</v>
      </c>
      <c r="AE659" s="3">
        <f>_xlfn.XLOOKUP(D659,Artists!A:A,Artists!C:C)</f>
        <v>0</v>
      </c>
      <c r="AF659" s="3" t="str">
        <f t="shared" si="64"/>
        <v>OTHR</v>
      </c>
      <c r="AG659" s="3" t="str">
        <f t="shared" si="65"/>
        <v>OTHR</v>
      </c>
    </row>
    <row r="660" spans="24:33" x14ac:dyDescent="0.3">
      <c r="X660" s="3" t="str">
        <f t="shared" si="60"/>
        <v>-SADNE-</v>
      </c>
      <c r="Y660" s="3" t="str">
        <f t="shared" si="61"/>
        <v>-SLOWSS-</v>
      </c>
      <c r="Z660" s="4" t="str">
        <f t="shared" si="62"/>
        <v>{"couname":"","img":"0","pty":"","artist":"","genres":"","duration":"","spotId":"","Items":["-SADNE-","-SLOWSS-","OTHR","OTHR","XT_OffAnimals"]},</v>
      </c>
      <c r="AA660" s="5" t="s">
        <v>5</v>
      </c>
      <c r="AB660" s="3" t="str">
        <f t="shared" si="63"/>
        <v>["-SADNE-","-SLOWSS-","OTHR","OTHR","XT_OffAnimals"]</v>
      </c>
      <c r="AC660" s="3">
        <f>_xlfn.XLOOKUP(A660,Album!A:A,Album!J:J)</f>
        <v>0</v>
      </c>
      <c r="AD660" s="3">
        <f>_xlfn.XLOOKUP(D660,Artists!A:A,Artists!B:B)</f>
        <v>0</v>
      </c>
      <c r="AE660" s="3">
        <f>_xlfn.XLOOKUP(D660,Artists!A:A,Artists!C:C)</f>
        <v>0</v>
      </c>
      <c r="AF660" s="3" t="str">
        <f t="shared" si="64"/>
        <v>OTHR</v>
      </c>
      <c r="AG660" s="3" t="str">
        <f t="shared" si="65"/>
        <v>OTHR</v>
      </c>
    </row>
    <row r="661" spans="24:33" x14ac:dyDescent="0.3">
      <c r="X661" s="3" t="str">
        <f t="shared" si="60"/>
        <v>-SADNE-</v>
      </c>
      <c r="Y661" s="3" t="str">
        <f t="shared" si="61"/>
        <v>-SLOWSS-</v>
      </c>
      <c r="Z661" s="4" t="str">
        <f t="shared" si="62"/>
        <v>{"couname":"","img":"0","pty":"","artist":"","genres":"","duration":"","spotId":"","Items":["-SADNE-","-SLOWSS-","OTHR","OTHR","XT_OffAnimals"]},</v>
      </c>
      <c r="AA661" s="5" t="s">
        <v>5</v>
      </c>
      <c r="AB661" s="3" t="str">
        <f t="shared" si="63"/>
        <v>["-SADNE-","-SLOWSS-","OTHR","OTHR","XT_OffAnimals"]</v>
      </c>
      <c r="AC661" s="3">
        <f>_xlfn.XLOOKUP(A661,Album!A:A,Album!J:J)</f>
        <v>0</v>
      </c>
      <c r="AD661" s="3">
        <f>_xlfn.XLOOKUP(D661,Artists!A:A,Artists!B:B)</f>
        <v>0</v>
      </c>
      <c r="AE661" s="3">
        <f>_xlfn.XLOOKUP(D661,Artists!A:A,Artists!C:C)</f>
        <v>0</v>
      </c>
      <c r="AF661" s="3" t="str">
        <f t="shared" si="64"/>
        <v>OTHR</v>
      </c>
      <c r="AG661" s="3" t="str">
        <f t="shared" si="65"/>
        <v>OTHR</v>
      </c>
    </row>
    <row r="662" spans="24:33" x14ac:dyDescent="0.3">
      <c r="X662" s="3" t="str">
        <f t="shared" si="60"/>
        <v>-SADNE-</v>
      </c>
      <c r="Y662" s="3" t="str">
        <f t="shared" si="61"/>
        <v>-SLOWSS-</v>
      </c>
      <c r="Z662" s="4" t="str">
        <f t="shared" si="62"/>
        <v>{"couname":"","img":"0","pty":"","artist":"","genres":"","duration":"","spotId":"","Items":["-SADNE-","-SLOWSS-","OTHR","OTHR","XT_OffAnimals"]},</v>
      </c>
      <c r="AA662" s="5" t="s">
        <v>5</v>
      </c>
      <c r="AB662" s="3" t="str">
        <f t="shared" si="63"/>
        <v>["-SADNE-","-SLOWSS-","OTHR","OTHR","XT_OffAnimals"]</v>
      </c>
      <c r="AC662" s="3">
        <f>_xlfn.XLOOKUP(A662,Album!A:A,Album!J:J)</f>
        <v>0</v>
      </c>
      <c r="AD662" s="3">
        <f>_xlfn.XLOOKUP(D662,Artists!A:A,Artists!B:B)</f>
        <v>0</v>
      </c>
      <c r="AE662" s="3">
        <f>_xlfn.XLOOKUP(D662,Artists!A:A,Artists!C:C)</f>
        <v>0</v>
      </c>
      <c r="AF662" s="3" t="str">
        <f t="shared" si="64"/>
        <v>OTHR</v>
      </c>
      <c r="AG662" s="3" t="str">
        <f t="shared" si="65"/>
        <v>OTHR</v>
      </c>
    </row>
    <row r="663" spans="24:33" x14ac:dyDescent="0.3">
      <c r="X663" s="3" t="str">
        <f t="shared" si="60"/>
        <v>-SADNE-</v>
      </c>
      <c r="Y663" s="3" t="str">
        <f t="shared" si="61"/>
        <v>-SLOWSS-</v>
      </c>
      <c r="Z663" s="4" t="str">
        <f t="shared" si="62"/>
        <v>{"couname":"","img":"0","pty":"","artist":"","genres":"","duration":"","spotId":"","Items":["-SADNE-","-SLOWSS-","OTHR","OTHR","XT_OffAnimals"]},</v>
      </c>
      <c r="AA663" s="5" t="s">
        <v>5</v>
      </c>
      <c r="AB663" s="3" t="str">
        <f t="shared" si="63"/>
        <v>["-SADNE-","-SLOWSS-","OTHR","OTHR","XT_OffAnimals"]</v>
      </c>
      <c r="AC663" s="3">
        <f>_xlfn.XLOOKUP(A663,Album!A:A,Album!J:J)</f>
        <v>0</v>
      </c>
      <c r="AD663" s="3">
        <f>_xlfn.XLOOKUP(D663,Artists!A:A,Artists!B:B)</f>
        <v>0</v>
      </c>
      <c r="AE663" s="3">
        <f>_xlfn.XLOOKUP(D663,Artists!A:A,Artists!C:C)</f>
        <v>0</v>
      </c>
      <c r="AF663" s="3" t="str">
        <f t="shared" si="64"/>
        <v>OTHR</v>
      </c>
      <c r="AG663" s="3" t="str">
        <f t="shared" si="65"/>
        <v>OTHR</v>
      </c>
    </row>
    <row r="664" spans="24:33" x14ac:dyDescent="0.3">
      <c r="X664" s="3" t="str">
        <f t="shared" si="60"/>
        <v>-SADNE-</v>
      </c>
      <c r="Y664" s="3" t="str">
        <f t="shared" si="61"/>
        <v>-SLOWSS-</v>
      </c>
      <c r="Z664" s="4" t="str">
        <f t="shared" si="62"/>
        <v>{"couname":"","img":"0","pty":"","artist":"","genres":"","duration":"","spotId":"","Items":["-SADNE-","-SLOWSS-","OTHR","OTHR","XT_OffAnimals"]},</v>
      </c>
      <c r="AA664" s="5" t="s">
        <v>5</v>
      </c>
      <c r="AB664" s="3" t="str">
        <f t="shared" si="63"/>
        <v>["-SADNE-","-SLOWSS-","OTHR","OTHR","XT_OffAnimals"]</v>
      </c>
      <c r="AC664" s="3">
        <f>_xlfn.XLOOKUP(A664,Album!A:A,Album!J:J)</f>
        <v>0</v>
      </c>
      <c r="AD664" s="3">
        <f>_xlfn.XLOOKUP(D664,Artists!A:A,Artists!B:B)</f>
        <v>0</v>
      </c>
      <c r="AE664" s="3">
        <f>_xlfn.XLOOKUP(D664,Artists!A:A,Artists!C:C)</f>
        <v>0</v>
      </c>
      <c r="AF664" s="3" t="str">
        <f t="shared" si="64"/>
        <v>OTHR</v>
      </c>
      <c r="AG664" s="3" t="str">
        <f t="shared" si="65"/>
        <v>OTHR</v>
      </c>
    </row>
    <row r="665" spans="24:33" x14ac:dyDescent="0.3">
      <c r="X665" s="3" t="str">
        <f t="shared" si="60"/>
        <v>-SADNE-</v>
      </c>
      <c r="Y665" s="3" t="str">
        <f t="shared" si="61"/>
        <v>-SLOWSS-</v>
      </c>
      <c r="Z665" s="4" t="str">
        <f t="shared" si="62"/>
        <v>{"couname":"","img":"0","pty":"","artist":"","genres":"","duration":"","spotId":"","Items":["-SADNE-","-SLOWSS-","OTHR","OTHR","XT_OffAnimals"]},</v>
      </c>
      <c r="AA665" s="5" t="s">
        <v>5</v>
      </c>
      <c r="AB665" s="3" t="str">
        <f t="shared" si="63"/>
        <v>["-SADNE-","-SLOWSS-","OTHR","OTHR","XT_OffAnimals"]</v>
      </c>
      <c r="AC665" s="3">
        <f>_xlfn.XLOOKUP(A665,Album!A:A,Album!J:J)</f>
        <v>0</v>
      </c>
      <c r="AD665" s="3">
        <f>_xlfn.XLOOKUP(D665,Artists!A:A,Artists!B:B)</f>
        <v>0</v>
      </c>
      <c r="AE665" s="3">
        <f>_xlfn.XLOOKUP(D665,Artists!A:A,Artists!C:C)</f>
        <v>0</v>
      </c>
      <c r="AF665" s="3" t="str">
        <f t="shared" si="64"/>
        <v>OTHR</v>
      </c>
      <c r="AG665" s="3" t="str">
        <f t="shared" si="65"/>
        <v>OTHR</v>
      </c>
    </row>
    <row r="666" spans="24:33" x14ac:dyDescent="0.3">
      <c r="X666" s="3" t="str">
        <f t="shared" si="60"/>
        <v>-SADNE-</v>
      </c>
      <c r="Y666" s="3" t="str">
        <f t="shared" si="61"/>
        <v>-SLOWSS-</v>
      </c>
      <c r="Z666" s="4" t="str">
        <f t="shared" si="62"/>
        <v>{"couname":"","img":"0","pty":"","artist":"","genres":"","duration":"","spotId":"","Items":["-SADNE-","-SLOWSS-","OTHR","OTHR","XT_OffAnimals"]},</v>
      </c>
      <c r="AA666" s="5" t="s">
        <v>5</v>
      </c>
      <c r="AB666" s="3" t="str">
        <f t="shared" si="63"/>
        <v>["-SADNE-","-SLOWSS-","OTHR","OTHR","XT_OffAnimals"]</v>
      </c>
      <c r="AC666" s="3">
        <f>_xlfn.XLOOKUP(A666,Album!A:A,Album!J:J)</f>
        <v>0</v>
      </c>
      <c r="AD666" s="3">
        <f>_xlfn.XLOOKUP(D666,Artists!A:A,Artists!B:B)</f>
        <v>0</v>
      </c>
      <c r="AE666" s="3">
        <f>_xlfn.XLOOKUP(D666,Artists!A:A,Artists!C:C)</f>
        <v>0</v>
      </c>
      <c r="AF666" s="3" t="str">
        <f t="shared" si="64"/>
        <v>OTHR</v>
      </c>
      <c r="AG666" s="3" t="str">
        <f t="shared" si="65"/>
        <v>OTHR</v>
      </c>
    </row>
    <row r="667" spans="24:33" x14ac:dyDescent="0.3">
      <c r="X667" s="3" t="str">
        <f t="shared" si="60"/>
        <v>-SADNE-</v>
      </c>
      <c r="Y667" s="3" t="str">
        <f t="shared" si="61"/>
        <v>-SLOWSS-</v>
      </c>
      <c r="Z667" s="4" t="str">
        <f t="shared" si="62"/>
        <v>{"couname":"","img":"0","pty":"","artist":"","genres":"","duration":"","spotId":"","Items":["-SADNE-","-SLOWSS-","OTHR","OTHR","XT_OffAnimals"]},</v>
      </c>
      <c r="AA667" s="5" t="s">
        <v>5</v>
      </c>
      <c r="AB667" s="3" t="str">
        <f t="shared" si="63"/>
        <v>["-SADNE-","-SLOWSS-","OTHR","OTHR","XT_OffAnimals"]</v>
      </c>
      <c r="AC667" s="3">
        <f>_xlfn.XLOOKUP(A667,Album!A:A,Album!J:J)</f>
        <v>0</v>
      </c>
      <c r="AD667" s="3">
        <f>_xlfn.XLOOKUP(D667,Artists!A:A,Artists!B:B)</f>
        <v>0</v>
      </c>
      <c r="AE667" s="3">
        <f>_xlfn.XLOOKUP(D667,Artists!A:A,Artists!C:C)</f>
        <v>0</v>
      </c>
      <c r="AF667" s="3" t="str">
        <f t="shared" si="64"/>
        <v>OTHR</v>
      </c>
      <c r="AG667" s="3" t="str">
        <f t="shared" si="65"/>
        <v>OTHR</v>
      </c>
    </row>
    <row r="668" spans="24:33" x14ac:dyDescent="0.3">
      <c r="X668" s="3" t="str">
        <f t="shared" si="60"/>
        <v>-SADNE-</v>
      </c>
      <c r="Y668" s="3" t="str">
        <f t="shared" si="61"/>
        <v>-SLOWSS-</v>
      </c>
      <c r="Z668" s="4" t="str">
        <f t="shared" si="62"/>
        <v>{"couname":"","img":"0","pty":"","artist":"","genres":"","duration":"","spotId":"","Items":["-SADNE-","-SLOWSS-","OTHR","OTHR","XT_OffAnimals"]},</v>
      </c>
      <c r="AA668" s="5" t="s">
        <v>5</v>
      </c>
      <c r="AB668" s="3" t="str">
        <f t="shared" si="63"/>
        <v>["-SADNE-","-SLOWSS-","OTHR","OTHR","XT_OffAnimals"]</v>
      </c>
      <c r="AC668" s="3">
        <f>_xlfn.XLOOKUP(A668,Album!A:A,Album!J:J)</f>
        <v>0</v>
      </c>
      <c r="AD668" s="3">
        <f>_xlfn.XLOOKUP(D668,Artists!A:A,Artists!B:B)</f>
        <v>0</v>
      </c>
      <c r="AE668" s="3">
        <f>_xlfn.XLOOKUP(D668,Artists!A:A,Artists!C:C)</f>
        <v>0</v>
      </c>
      <c r="AF668" s="3" t="str">
        <f t="shared" si="64"/>
        <v>OTHR</v>
      </c>
      <c r="AG668" s="3" t="str">
        <f t="shared" si="65"/>
        <v>OTHR</v>
      </c>
    </row>
    <row r="669" spans="24:33" x14ac:dyDescent="0.3">
      <c r="X669" s="3" t="str">
        <f t="shared" si="60"/>
        <v>-SADNE-</v>
      </c>
      <c r="Y669" s="3" t="str">
        <f t="shared" si="61"/>
        <v>-SLOWSS-</v>
      </c>
      <c r="Z669" s="4" t="str">
        <f t="shared" si="62"/>
        <v>{"couname":"","img":"0","pty":"","artist":"","genres":"","duration":"","spotId":"","Items":["-SADNE-","-SLOWSS-","OTHR","OTHR","XT_OffAnimals"]},</v>
      </c>
      <c r="AA669" s="5" t="s">
        <v>5</v>
      </c>
      <c r="AB669" s="3" t="str">
        <f t="shared" si="63"/>
        <v>["-SADNE-","-SLOWSS-","OTHR","OTHR","XT_OffAnimals"]</v>
      </c>
      <c r="AC669" s="3">
        <f>_xlfn.XLOOKUP(A669,Album!A:A,Album!J:J)</f>
        <v>0</v>
      </c>
      <c r="AD669" s="3">
        <f>_xlfn.XLOOKUP(D669,Artists!A:A,Artists!B:B)</f>
        <v>0</v>
      </c>
      <c r="AE669" s="3">
        <f>_xlfn.XLOOKUP(D669,Artists!A:A,Artists!C:C)</f>
        <v>0</v>
      </c>
      <c r="AF669" s="3" t="str">
        <f t="shared" si="64"/>
        <v>OTHR</v>
      </c>
      <c r="AG669" s="3" t="str">
        <f t="shared" si="65"/>
        <v>OTHR</v>
      </c>
    </row>
    <row r="670" spans="24:33" x14ac:dyDescent="0.3">
      <c r="X670" s="3" t="str">
        <f t="shared" si="60"/>
        <v>-SADNE-</v>
      </c>
      <c r="Y670" s="3" t="str">
        <f t="shared" si="61"/>
        <v>-SLOWSS-</v>
      </c>
      <c r="Z670" s="4" t="str">
        <f t="shared" si="62"/>
        <v>{"couname":"","img":"0","pty":"","artist":"","genres":"","duration":"","spotId":"","Items":["-SADNE-","-SLOWSS-","OTHR","OTHR","XT_OffAnimals"]},</v>
      </c>
      <c r="AA670" s="5" t="s">
        <v>5</v>
      </c>
      <c r="AB670" s="3" t="str">
        <f t="shared" si="63"/>
        <v>["-SADNE-","-SLOWSS-","OTHR","OTHR","XT_OffAnimals"]</v>
      </c>
      <c r="AC670" s="3">
        <f>_xlfn.XLOOKUP(A670,Album!A:A,Album!J:J)</f>
        <v>0</v>
      </c>
      <c r="AD670" s="3">
        <f>_xlfn.XLOOKUP(D670,Artists!A:A,Artists!B:B)</f>
        <v>0</v>
      </c>
      <c r="AE670" s="3">
        <f>_xlfn.XLOOKUP(D670,Artists!A:A,Artists!C:C)</f>
        <v>0</v>
      </c>
      <c r="AF670" s="3" t="str">
        <f t="shared" si="64"/>
        <v>OTHR</v>
      </c>
      <c r="AG670" s="3" t="str">
        <f t="shared" si="65"/>
        <v>OTHR</v>
      </c>
    </row>
    <row r="671" spans="24:33" x14ac:dyDescent="0.3">
      <c r="X671" s="3" t="str">
        <f t="shared" si="60"/>
        <v>-SADNE-</v>
      </c>
      <c r="Y671" s="3" t="str">
        <f t="shared" si="61"/>
        <v>-SLOWSS-</v>
      </c>
      <c r="Z671" s="4" t="str">
        <f t="shared" si="62"/>
        <v>{"couname":"","img":"0","pty":"","artist":"","genres":"","duration":"","spotId":"","Items":["-SADNE-","-SLOWSS-","OTHR","OTHR","XT_OffAnimals"]},</v>
      </c>
      <c r="AA671" s="5" t="s">
        <v>5</v>
      </c>
      <c r="AB671" s="3" t="str">
        <f t="shared" si="63"/>
        <v>["-SADNE-","-SLOWSS-","OTHR","OTHR","XT_OffAnimals"]</v>
      </c>
      <c r="AC671" s="3">
        <f>_xlfn.XLOOKUP(A671,Album!A:A,Album!J:J)</f>
        <v>0</v>
      </c>
      <c r="AD671" s="3">
        <f>_xlfn.XLOOKUP(D671,Artists!A:A,Artists!B:B)</f>
        <v>0</v>
      </c>
      <c r="AE671" s="3">
        <f>_xlfn.XLOOKUP(D671,Artists!A:A,Artists!C:C)</f>
        <v>0</v>
      </c>
      <c r="AF671" s="3" t="str">
        <f t="shared" si="64"/>
        <v>OTHR</v>
      </c>
      <c r="AG671" s="3" t="str">
        <f t="shared" si="65"/>
        <v>OTHR</v>
      </c>
    </row>
    <row r="672" spans="24:33" x14ac:dyDescent="0.3">
      <c r="X672" s="3" t="str">
        <f t="shared" si="60"/>
        <v>-SADNE-</v>
      </c>
      <c r="Y672" s="3" t="str">
        <f t="shared" si="61"/>
        <v>-SLOWSS-</v>
      </c>
      <c r="Z672" s="4" t="str">
        <f t="shared" si="62"/>
        <v>{"couname":"","img":"0","pty":"","artist":"","genres":"","duration":"","spotId":"","Items":["-SADNE-","-SLOWSS-","OTHR","OTHR","XT_OffAnimals"]},</v>
      </c>
      <c r="AA672" s="5" t="s">
        <v>5</v>
      </c>
      <c r="AB672" s="3" t="str">
        <f t="shared" si="63"/>
        <v>["-SADNE-","-SLOWSS-","OTHR","OTHR","XT_OffAnimals"]</v>
      </c>
      <c r="AC672" s="3">
        <f>_xlfn.XLOOKUP(A672,Album!A:A,Album!J:J)</f>
        <v>0</v>
      </c>
      <c r="AD672" s="3">
        <f>_xlfn.XLOOKUP(D672,Artists!A:A,Artists!B:B)</f>
        <v>0</v>
      </c>
      <c r="AE672" s="3">
        <f>_xlfn.XLOOKUP(D672,Artists!A:A,Artists!C:C)</f>
        <v>0</v>
      </c>
      <c r="AF672" s="3" t="str">
        <f t="shared" si="64"/>
        <v>OTHR</v>
      </c>
      <c r="AG672" s="3" t="str">
        <f t="shared" si="65"/>
        <v>OTHR</v>
      </c>
    </row>
    <row r="673" spans="24:33" x14ac:dyDescent="0.3">
      <c r="X673" s="3" t="str">
        <f t="shared" si="60"/>
        <v>-SADNE-</v>
      </c>
      <c r="Y673" s="3" t="str">
        <f t="shared" si="61"/>
        <v>-SLOWSS-</v>
      </c>
      <c r="Z673" s="4" t="str">
        <f t="shared" si="62"/>
        <v>{"couname":"","img":"0","pty":"","artist":"","genres":"","duration":"","spotId":"","Items":["-SADNE-","-SLOWSS-","OTHR","OTHR","XT_OffAnimals"]},</v>
      </c>
      <c r="AA673" s="5" t="s">
        <v>5</v>
      </c>
      <c r="AB673" s="3" t="str">
        <f t="shared" si="63"/>
        <v>["-SADNE-","-SLOWSS-","OTHR","OTHR","XT_OffAnimals"]</v>
      </c>
      <c r="AC673" s="3">
        <f>_xlfn.XLOOKUP(A673,Album!A:A,Album!J:J)</f>
        <v>0</v>
      </c>
      <c r="AD673" s="3">
        <f>_xlfn.XLOOKUP(D673,Artists!A:A,Artists!B:B)</f>
        <v>0</v>
      </c>
      <c r="AE673" s="3">
        <f>_xlfn.XLOOKUP(D673,Artists!A:A,Artists!C:C)</f>
        <v>0</v>
      </c>
      <c r="AF673" s="3" t="str">
        <f t="shared" si="64"/>
        <v>OTHR</v>
      </c>
      <c r="AG673" s="3" t="str">
        <f t="shared" si="65"/>
        <v>OTHR</v>
      </c>
    </row>
    <row r="674" spans="24:33" x14ac:dyDescent="0.3">
      <c r="X674" s="3" t="str">
        <f t="shared" si="60"/>
        <v>-SADNE-</v>
      </c>
      <c r="Y674" s="3" t="str">
        <f t="shared" si="61"/>
        <v>-SLOWSS-</v>
      </c>
      <c r="Z674" s="4" t="str">
        <f t="shared" si="62"/>
        <v>{"couname":"","img":"0","pty":"","artist":"","genres":"","duration":"","spotId":"","Items":["-SADNE-","-SLOWSS-","OTHR","OTHR","XT_OffAnimals"]},</v>
      </c>
      <c r="AA674" s="5" t="s">
        <v>5</v>
      </c>
      <c r="AB674" s="3" t="str">
        <f t="shared" si="63"/>
        <v>["-SADNE-","-SLOWSS-","OTHR","OTHR","XT_OffAnimals"]</v>
      </c>
      <c r="AC674" s="3">
        <f>_xlfn.XLOOKUP(A674,Album!A:A,Album!J:J)</f>
        <v>0</v>
      </c>
      <c r="AD674" s="3">
        <f>_xlfn.XLOOKUP(D674,Artists!A:A,Artists!B:B)</f>
        <v>0</v>
      </c>
      <c r="AE674" s="3">
        <f>_xlfn.XLOOKUP(D674,Artists!A:A,Artists!C:C)</f>
        <v>0</v>
      </c>
      <c r="AF674" s="3" t="str">
        <f t="shared" si="64"/>
        <v>OTHR</v>
      </c>
      <c r="AG674" s="3" t="str">
        <f t="shared" si="65"/>
        <v>OTHR</v>
      </c>
    </row>
    <row r="675" spans="24:33" x14ac:dyDescent="0.3">
      <c r="X675" s="3" t="str">
        <f t="shared" si="60"/>
        <v>-SADNE-</v>
      </c>
      <c r="Y675" s="3" t="str">
        <f t="shared" si="61"/>
        <v>-SLOWSS-</v>
      </c>
      <c r="Z675" s="4" t="str">
        <f t="shared" si="62"/>
        <v>{"couname":"","img":"0","pty":"","artist":"","genres":"","duration":"","spotId":"","Items":["-SADNE-","-SLOWSS-","OTHR","OTHR","XT_OffAnimals"]},</v>
      </c>
      <c r="AA675" s="5" t="s">
        <v>5</v>
      </c>
      <c r="AB675" s="3" t="str">
        <f t="shared" si="63"/>
        <v>["-SADNE-","-SLOWSS-","OTHR","OTHR","XT_OffAnimals"]</v>
      </c>
      <c r="AC675" s="3">
        <f>_xlfn.XLOOKUP(A675,Album!A:A,Album!J:J)</f>
        <v>0</v>
      </c>
      <c r="AD675" s="3">
        <f>_xlfn.XLOOKUP(D675,Artists!A:A,Artists!B:B)</f>
        <v>0</v>
      </c>
      <c r="AE675" s="3">
        <f>_xlfn.XLOOKUP(D675,Artists!A:A,Artists!C:C)</f>
        <v>0</v>
      </c>
      <c r="AF675" s="3" t="str">
        <f t="shared" si="64"/>
        <v>OTHR</v>
      </c>
      <c r="AG675" s="3" t="str">
        <f t="shared" si="65"/>
        <v>OTHR</v>
      </c>
    </row>
    <row r="676" spans="24:33" x14ac:dyDescent="0.3">
      <c r="X676" s="3" t="str">
        <f t="shared" si="60"/>
        <v>-SADNE-</v>
      </c>
      <c r="Y676" s="3" t="str">
        <f t="shared" si="61"/>
        <v>-SLOWSS-</v>
      </c>
      <c r="Z676" s="4" t="str">
        <f t="shared" si="62"/>
        <v>{"couname":"","img":"0","pty":"","artist":"","genres":"","duration":"","spotId":"","Items":["-SADNE-","-SLOWSS-","OTHR","OTHR","XT_OffAnimals"]},</v>
      </c>
      <c r="AA676" s="5" t="s">
        <v>5</v>
      </c>
      <c r="AB676" s="3" t="str">
        <f t="shared" si="63"/>
        <v>["-SADNE-","-SLOWSS-","OTHR","OTHR","XT_OffAnimals"]</v>
      </c>
      <c r="AC676" s="3">
        <f>_xlfn.XLOOKUP(A676,Album!A:A,Album!J:J)</f>
        <v>0</v>
      </c>
      <c r="AD676" s="3">
        <f>_xlfn.XLOOKUP(D676,Artists!A:A,Artists!B:B)</f>
        <v>0</v>
      </c>
      <c r="AE676" s="3">
        <f>_xlfn.XLOOKUP(D676,Artists!A:A,Artists!C:C)</f>
        <v>0</v>
      </c>
      <c r="AF676" s="3" t="str">
        <f t="shared" si="64"/>
        <v>OTHR</v>
      </c>
      <c r="AG676" s="3" t="str">
        <f t="shared" si="65"/>
        <v>OTHR</v>
      </c>
    </row>
    <row r="677" spans="24:33" x14ac:dyDescent="0.3">
      <c r="X677" s="3" t="str">
        <f t="shared" si="60"/>
        <v>-SADNE-</v>
      </c>
      <c r="Y677" s="3" t="str">
        <f t="shared" si="61"/>
        <v>-SLOWSS-</v>
      </c>
      <c r="Z677" s="4" t="str">
        <f t="shared" si="62"/>
        <v>{"couname":"","img":"0","pty":"","artist":"","genres":"","duration":"","spotId":"","Items":["-SADNE-","-SLOWSS-","OTHR","OTHR","XT_OffAnimals"]},</v>
      </c>
      <c r="AA677" s="5" t="s">
        <v>5</v>
      </c>
      <c r="AB677" s="3" t="str">
        <f t="shared" si="63"/>
        <v>["-SADNE-","-SLOWSS-","OTHR","OTHR","XT_OffAnimals"]</v>
      </c>
      <c r="AC677" s="3">
        <f>_xlfn.XLOOKUP(A677,Album!A:A,Album!J:J)</f>
        <v>0</v>
      </c>
      <c r="AD677" s="3">
        <f>_xlfn.XLOOKUP(D677,Artists!A:A,Artists!B:B)</f>
        <v>0</v>
      </c>
      <c r="AE677" s="3">
        <f>_xlfn.XLOOKUP(D677,Artists!A:A,Artists!C:C)</f>
        <v>0</v>
      </c>
      <c r="AF677" s="3" t="str">
        <f t="shared" si="64"/>
        <v>OTHR</v>
      </c>
      <c r="AG677" s="3" t="str">
        <f t="shared" si="65"/>
        <v>OTHR</v>
      </c>
    </row>
    <row r="678" spans="24:33" x14ac:dyDescent="0.3">
      <c r="X678" s="3" t="str">
        <f t="shared" si="60"/>
        <v>-SADNE-</v>
      </c>
      <c r="Y678" s="3" t="str">
        <f t="shared" si="61"/>
        <v>-SLOWSS-</v>
      </c>
      <c r="Z678" s="4" t="str">
        <f t="shared" si="62"/>
        <v>{"couname":"","img":"0","pty":"","artist":"","genres":"","duration":"","spotId":"","Items":["-SADNE-","-SLOWSS-","OTHR","OTHR","XT_OffAnimals"]},</v>
      </c>
      <c r="AA678" s="5" t="s">
        <v>5</v>
      </c>
      <c r="AB678" s="3" t="str">
        <f t="shared" si="63"/>
        <v>["-SADNE-","-SLOWSS-","OTHR","OTHR","XT_OffAnimals"]</v>
      </c>
      <c r="AC678" s="3">
        <f>_xlfn.XLOOKUP(A678,Album!A:A,Album!J:J)</f>
        <v>0</v>
      </c>
      <c r="AD678" s="3">
        <f>_xlfn.XLOOKUP(D678,Artists!A:A,Artists!B:B)</f>
        <v>0</v>
      </c>
      <c r="AE678" s="3">
        <f>_xlfn.XLOOKUP(D678,Artists!A:A,Artists!C:C)</f>
        <v>0</v>
      </c>
      <c r="AF678" s="3" t="str">
        <f t="shared" si="64"/>
        <v>OTHR</v>
      </c>
      <c r="AG678" s="3" t="str">
        <f t="shared" si="65"/>
        <v>OTHR</v>
      </c>
    </row>
    <row r="679" spans="24:33" x14ac:dyDescent="0.3">
      <c r="X679" s="3" t="str">
        <f t="shared" si="60"/>
        <v>-SADNE-</v>
      </c>
      <c r="Y679" s="3" t="str">
        <f t="shared" si="61"/>
        <v>-SLOWSS-</v>
      </c>
      <c r="Z679" s="4" t="str">
        <f t="shared" si="62"/>
        <v>{"couname":"","img":"0","pty":"","artist":"","genres":"","duration":"","spotId":"","Items":["-SADNE-","-SLOWSS-","OTHR","OTHR","XT_OffAnimals"]},</v>
      </c>
      <c r="AA679" s="5" t="s">
        <v>5</v>
      </c>
      <c r="AB679" s="3" t="str">
        <f t="shared" si="63"/>
        <v>["-SADNE-","-SLOWSS-","OTHR","OTHR","XT_OffAnimals"]</v>
      </c>
      <c r="AC679" s="3">
        <f>_xlfn.XLOOKUP(A679,Album!A:A,Album!J:J)</f>
        <v>0</v>
      </c>
      <c r="AD679" s="3">
        <f>_xlfn.XLOOKUP(D679,Artists!A:A,Artists!B:B)</f>
        <v>0</v>
      </c>
      <c r="AE679" s="3">
        <f>_xlfn.XLOOKUP(D679,Artists!A:A,Artists!C:C)</f>
        <v>0</v>
      </c>
      <c r="AF679" s="3" t="str">
        <f t="shared" si="64"/>
        <v>OTHR</v>
      </c>
      <c r="AG679" s="3" t="str">
        <f t="shared" si="65"/>
        <v>OTHR</v>
      </c>
    </row>
    <row r="680" spans="24:33" x14ac:dyDescent="0.3">
      <c r="X680" s="3" t="str">
        <f t="shared" si="60"/>
        <v>-SADNE-</v>
      </c>
      <c r="Y680" s="3" t="str">
        <f t="shared" si="61"/>
        <v>-SLOWSS-</v>
      </c>
      <c r="Z680" s="4" t="str">
        <f t="shared" si="62"/>
        <v>{"couname":"","img":"0","pty":"","artist":"","genres":"","duration":"","spotId":"","Items":["-SADNE-","-SLOWSS-","OTHR","OTHR","XT_OffAnimals"]},</v>
      </c>
      <c r="AA680" s="5" t="s">
        <v>5</v>
      </c>
      <c r="AB680" s="3" t="str">
        <f t="shared" si="63"/>
        <v>["-SADNE-","-SLOWSS-","OTHR","OTHR","XT_OffAnimals"]</v>
      </c>
      <c r="AC680" s="3">
        <f>_xlfn.XLOOKUP(A680,Album!A:A,Album!J:J)</f>
        <v>0</v>
      </c>
      <c r="AD680" s="3">
        <f>_xlfn.XLOOKUP(D680,Artists!A:A,Artists!B:B)</f>
        <v>0</v>
      </c>
      <c r="AE680" s="3">
        <f>_xlfn.XLOOKUP(D680,Artists!A:A,Artists!C:C)</f>
        <v>0</v>
      </c>
      <c r="AF680" s="3" t="str">
        <f t="shared" si="64"/>
        <v>OTHR</v>
      </c>
      <c r="AG680" s="3" t="str">
        <f t="shared" si="65"/>
        <v>OTHR</v>
      </c>
    </row>
    <row r="681" spans="24:33" x14ac:dyDescent="0.3">
      <c r="X681" s="3" t="str">
        <f t="shared" si="60"/>
        <v>-SADNE-</v>
      </c>
      <c r="Y681" s="3" t="str">
        <f t="shared" si="61"/>
        <v>-SLOWSS-</v>
      </c>
      <c r="Z681" s="4" t="str">
        <f t="shared" si="62"/>
        <v>{"couname":"","img":"0","pty":"","artist":"","genres":"","duration":"","spotId":"","Items":["-SADNE-","-SLOWSS-","OTHR","OTHR","XT_OffAnimals"]},</v>
      </c>
      <c r="AA681" s="5" t="s">
        <v>5</v>
      </c>
      <c r="AB681" s="3" t="str">
        <f t="shared" si="63"/>
        <v>["-SADNE-","-SLOWSS-","OTHR","OTHR","XT_OffAnimals"]</v>
      </c>
      <c r="AC681" s="3">
        <f>_xlfn.XLOOKUP(A681,Album!A:A,Album!J:J)</f>
        <v>0</v>
      </c>
      <c r="AD681" s="3">
        <f>_xlfn.XLOOKUP(D681,Artists!A:A,Artists!B:B)</f>
        <v>0</v>
      </c>
      <c r="AE681" s="3">
        <f>_xlfn.XLOOKUP(D681,Artists!A:A,Artists!C:C)</f>
        <v>0</v>
      </c>
      <c r="AF681" s="3" t="str">
        <f t="shared" si="64"/>
        <v>OTHR</v>
      </c>
      <c r="AG681" s="3" t="str">
        <f t="shared" si="65"/>
        <v>OTHR</v>
      </c>
    </row>
    <row r="682" spans="24:33" x14ac:dyDescent="0.3">
      <c r="X682" s="3" t="str">
        <f t="shared" si="60"/>
        <v>-SADNE-</v>
      </c>
      <c r="Y682" s="3" t="str">
        <f t="shared" si="61"/>
        <v>-SLOWSS-</v>
      </c>
      <c r="Z682" s="4" t="str">
        <f t="shared" si="62"/>
        <v>{"couname":"","img":"0","pty":"","artist":"","genres":"","duration":"","spotId":"","Items":["-SADNE-","-SLOWSS-","OTHR","OTHR","XT_OffAnimals"]},</v>
      </c>
      <c r="AA682" s="5" t="s">
        <v>5</v>
      </c>
      <c r="AB682" s="3" t="str">
        <f t="shared" si="63"/>
        <v>["-SADNE-","-SLOWSS-","OTHR","OTHR","XT_OffAnimals"]</v>
      </c>
      <c r="AC682" s="3">
        <f>_xlfn.XLOOKUP(A682,Album!A:A,Album!J:J)</f>
        <v>0</v>
      </c>
      <c r="AD682" s="3">
        <f>_xlfn.XLOOKUP(D682,Artists!A:A,Artists!B:B)</f>
        <v>0</v>
      </c>
      <c r="AE682" s="3">
        <f>_xlfn.XLOOKUP(D682,Artists!A:A,Artists!C:C)</f>
        <v>0</v>
      </c>
      <c r="AF682" s="3" t="str">
        <f t="shared" si="64"/>
        <v>OTHR</v>
      </c>
      <c r="AG682" s="3" t="str">
        <f t="shared" si="65"/>
        <v>OTHR</v>
      </c>
    </row>
    <row r="683" spans="24:33" x14ac:dyDescent="0.3">
      <c r="X683" s="3" t="str">
        <f t="shared" si="60"/>
        <v>-SADNE-</v>
      </c>
      <c r="Y683" s="3" t="str">
        <f t="shared" si="61"/>
        <v>-SLOWSS-</v>
      </c>
      <c r="Z683" s="4" t="str">
        <f t="shared" si="62"/>
        <v>{"couname":"","img":"0","pty":"","artist":"","genres":"","duration":"","spotId":"","Items":["-SADNE-","-SLOWSS-","OTHR","OTHR","XT_OffAnimals"]},</v>
      </c>
      <c r="AA683" s="5" t="s">
        <v>5</v>
      </c>
      <c r="AB683" s="3" t="str">
        <f t="shared" si="63"/>
        <v>["-SADNE-","-SLOWSS-","OTHR","OTHR","XT_OffAnimals"]</v>
      </c>
      <c r="AC683" s="3">
        <f>_xlfn.XLOOKUP(A683,Album!A:A,Album!J:J)</f>
        <v>0</v>
      </c>
      <c r="AD683" s="3">
        <f>_xlfn.XLOOKUP(D683,Artists!A:A,Artists!B:B)</f>
        <v>0</v>
      </c>
      <c r="AE683" s="3">
        <f>_xlfn.XLOOKUP(D683,Artists!A:A,Artists!C:C)</f>
        <v>0</v>
      </c>
      <c r="AF683" s="3" t="str">
        <f t="shared" si="64"/>
        <v>OTHR</v>
      </c>
      <c r="AG683" s="3" t="str">
        <f t="shared" si="65"/>
        <v>OTHR</v>
      </c>
    </row>
    <row r="684" spans="24:33" x14ac:dyDescent="0.3">
      <c r="X684" s="3" t="str">
        <f t="shared" si="60"/>
        <v>-SADNE-</v>
      </c>
      <c r="Y684" s="3" t="str">
        <f t="shared" si="61"/>
        <v>-SLOWSS-</v>
      </c>
      <c r="Z684" s="4" t="str">
        <f t="shared" si="62"/>
        <v>{"couname":"","img":"0","pty":"","artist":"","genres":"","duration":"","spotId":"","Items":["-SADNE-","-SLOWSS-","OTHR","OTHR","XT_OffAnimals"]},</v>
      </c>
      <c r="AA684" s="5" t="s">
        <v>5</v>
      </c>
      <c r="AB684" s="3" t="str">
        <f t="shared" si="63"/>
        <v>["-SADNE-","-SLOWSS-","OTHR","OTHR","XT_OffAnimals"]</v>
      </c>
      <c r="AC684" s="3">
        <f>_xlfn.XLOOKUP(A684,Album!A:A,Album!J:J)</f>
        <v>0</v>
      </c>
      <c r="AD684" s="3">
        <f>_xlfn.XLOOKUP(D684,Artists!A:A,Artists!B:B)</f>
        <v>0</v>
      </c>
      <c r="AE684" s="3">
        <f>_xlfn.XLOOKUP(D684,Artists!A:A,Artists!C:C)</f>
        <v>0</v>
      </c>
      <c r="AF684" s="3" t="str">
        <f t="shared" si="64"/>
        <v>OTHR</v>
      </c>
      <c r="AG684" s="3" t="str">
        <f t="shared" si="65"/>
        <v>OTHR</v>
      </c>
    </row>
    <row r="685" spans="24:33" x14ac:dyDescent="0.3">
      <c r="X685" s="3" t="str">
        <f t="shared" si="60"/>
        <v>-SADNE-</v>
      </c>
      <c r="Y685" s="3" t="str">
        <f t="shared" si="61"/>
        <v>-SLOWSS-</v>
      </c>
      <c r="Z685" s="4" t="str">
        <f t="shared" si="62"/>
        <v>{"couname":"","img":"0","pty":"","artist":"","genres":"","duration":"","spotId":"","Items":["-SADNE-","-SLOWSS-","OTHR","OTHR","XT_OffAnimals"]},</v>
      </c>
      <c r="AA685" s="5" t="s">
        <v>5</v>
      </c>
      <c r="AB685" s="3" t="str">
        <f t="shared" si="63"/>
        <v>["-SADNE-","-SLOWSS-","OTHR","OTHR","XT_OffAnimals"]</v>
      </c>
      <c r="AC685" s="3">
        <f>_xlfn.XLOOKUP(A685,Album!A:A,Album!J:J)</f>
        <v>0</v>
      </c>
      <c r="AD685" s="3">
        <f>_xlfn.XLOOKUP(D685,Artists!A:A,Artists!B:B)</f>
        <v>0</v>
      </c>
      <c r="AE685" s="3">
        <f>_xlfn.XLOOKUP(D685,Artists!A:A,Artists!C:C)</f>
        <v>0</v>
      </c>
      <c r="AF685" s="3" t="str">
        <f t="shared" si="64"/>
        <v>OTHR</v>
      </c>
      <c r="AG685" s="3" t="str">
        <f t="shared" si="65"/>
        <v>OTHR</v>
      </c>
    </row>
    <row r="686" spans="24:33" x14ac:dyDescent="0.3">
      <c r="X686" s="3" t="str">
        <f t="shared" si="60"/>
        <v>-SADNE-</v>
      </c>
      <c r="Y686" s="3" t="str">
        <f t="shared" si="61"/>
        <v>-SLOWSS-</v>
      </c>
      <c r="Z686" s="4" t="str">
        <f t="shared" si="62"/>
        <v>{"couname":"","img":"0","pty":"","artist":"","genres":"","duration":"","spotId":"","Items":["-SADNE-","-SLOWSS-","OTHR","OTHR","XT_OffAnimals"]},</v>
      </c>
      <c r="AA686" s="5" t="s">
        <v>5</v>
      </c>
      <c r="AB686" s="3" t="str">
        <f t="shared" si="63"/>
        <v>["-SADNE-","-SLOWSS-","OTHR","OTHR","XT_OffAnimals"]</v>
      </c>
      <c r="AC686" s="3">
        <f>_xlfn.XLOOKUP(A686,Album!A:A,Album!J:J)</f>
        <v>0</v>
      </c>
      <c r="AD686" s="3">
        <f>_xlfn.XLOOKUP(D686,Artists!A:A,Artists!B:B)</f>
        <v>0</v>
      </c>
      <c r="AE686" s="3">
        <f>_xlfn.XLOOKUP(D686,Artists!A:A,Artists!C:C)</f>
        <v>0</v>
      </c>
      <c r="AF686" s="3" t="str">
        <f t="shared" si="64"/>
        <v>OTHR</v>
      </c>
      <c r="AG686" s="3" t="str">
        <f t="shared" si="65"/>
        <v>OTHR</v>
      </c>
    </row>
    <row r="687" spans="24:33" x14ac:dyDescent="0.3">
      <c r="X687" s="3" t="str">
        <f t="shared" si="60"/>
        <v>-SADNE-</v>
      </c>
      <c r="Y687" s="3" t="str">
        <f t="shared" si="61"/>
        <v>-SLOWSS-</v>
      </c>
      <c r="Z687" s="4" t="str">
        <f t="shared" si="62"/>
        <v>{"couname":"","img":"0","pty":"","artist":"","genres":"","duration":"","spotId":"","Items":["-SADNE-","-SLOWSS-","OTHR","OTHR","XT_OffAnimals"]},</v>
      </c>
      <c r="AA687" s="5" t="s">
        <v>5</v>
      </c>
      <c r="AB687" s="3" t="str">
        <f t="shared" si="63"/>
        <v>["-SADNE-","-SLOWSS-","OTHR","OTHR","XT_OffAnimals"]</v>
      </c>
      <c r="AC687" s="3">
        <f>_xlfn.XLOOKUP(A687,Album!A:A,Album!J:J)</f>
        <v>0</v>
      </c>
      <c r="AD687" s="3">
        <f>_xlfn.XLOOKUP(D687,Artists!A:A,Artists!B:B)</f>
        <v>0</v>
      </c>
      <c r="AE687" s="3">
        <f>_xlfn.XLOOKUP(D687,Artists!A:A,Artists!C:C)</f>
        <v>0</v>
      </c>
      <c r="AF687" s="3" t="str">
        <f t="shared" si="64"/>
        <v>OTHR</v>
      </c>
      <c r="AG687" s="3" t="str">
        <f t="shared" si="65"/>
        <v>OTHR</v>
      </c>
    </row>
    <row r="688" spans="24:33" x14ac:dyDescent="0.3">
      <c r="X688" s="3" t="str">
        <f t="shared" si="60"/>
        <v>-SADNE-</v>
      </c>
      <c r="Y688" s="3" t="str">
        <f t="shared" si="61"/>
        <v>-SLOWSS-</v>
      </c>
      <c r="Z688" s="4" t="str">
        <f t="shared" si="62"/>
        <v>{"couname":"","img":"0","pty":"","artist":"","genres":"","duration":"","spotId":"","Items":["-SADNE-","-SLOWSS-","OTHR","OTHR","XT_OffAnimals"]},</v>
      </c>
      <c r="AA688" s="5" t="s">
        <v>5</v>
      </c>
      <c r="AB688" s="3" t="str">
        <f t="shared" si="63"/>
        <v>["-SADNE-","-SLOWSS-","OTHR","OTHR","XT_OffAnimals"]</v>
      </c>
      <c r="AC688" s="3">
        <f>_xlfn.XLOOKUP(A688,Album!A:A,Album!J:J)</f>
        <v>0</v>
      </c>
      <c r="AD688" s="3">
        <f>_xlfn.XLOOKUP(D688,Artists!A:A,Artists!B:B)</f>
        <v>0</v>
      </c>
      <c r="AE688" s="3">
        <f>_xlfn.XLOOKUP(D688,Artists!A:A,Artists!C:C)</f>
        <v>0</v>
      </c>
      <c r="AF688" s="3" t="str">
        <f t="shared" si="64"/>
        <v>OTHR</v>
      </c>
      <c r="AG688" s="3" t="str">
        <f t="shared" si="65"/>
        <v>OTHR</v>
      </c>
    </row>
    <row r="689" spans="24:33" x14ac:dyDescent="0.3">
      <c r="X689" s="3" t="str">
        <f t="shared" si="60"/>
        <v>-SADNE-</v>
      </c>
      <c r="Y689" s="3" t="str">
        <f t="shared" si="61"/>
        <v>-SLOWSS-</v>
      </c>
      <c r="Z689" s="4" t="str">
        <f t="shared" si="62"/>
        <v>{"couname":"","img":"0","pty":"","artist":"","genres":"","duration":"","spotId":"","Items":["-SADNE-","-SLOWSS-","OTHR","OTHR","XT_OffAnimals"]},</v>
      </c>
      <c r="AA689" s="5" t="s">
        <v>5</v>
      </c>
      <c r="AB689" s="3" t="str">
        <f t="shared" si="63"/>
        <v>["-SADNE-","-SLOWSS-","OTHR","OTHR","XT_OffAnimals"]</v>
      </c>
      <c r="AC689" s="3">
        <f>_xlfn.XLOOKUP(A689,Album!A:A,Album!J:J)</f>
        <v>0</v>
      </c>
      <c r="AD689" s="3">
        <f>_xlfn.XLOOKUP(D689,Artists!A:A,Artists!B:B)</f>
        <v>0</v>
      </c>
      <c r="AE689" s="3">
        <f>_xlfn.XLOOKUP(D689,Artists!A:A,Artists!C:C)</f>
        <v>0</v>
      </c>
      <c r="AF689" s="3" t="str">
        <f t="shared" si="64"/>
        <v>OTHR</v>
      </c>
      <c r="AG689" s="3" t="str">
        <f t="shared" si="65"/>
        <v>OTHR</v>
      </c>
    </row>
    <row r="690" spans="24:33" x14ac:dyDescent="0.3">
      <c r="X690" s="3" t="str">
        <f t="shared" si="60"/>
        <v>-SADNE-</v>
      </c>
      <c r="Y690" s="3" t="str">
        <f t="shared" si="61"/>
        <v>-SLOWSS-</v>
      </c>
      <c r="Z690" s="4" t="str">
        <f t="shared" si="62"/>
        <v>{"couname":"","img":"0","pty":"","artist":"","genres":"","duration":"","spotId":"","Items":["-SADNE-","-SLOWSS-","OTHR","OTHR","XT_OffAnimals"]},</v>
      </c>
      <c r="AA690" s="5" t="s">
        <v>5</v>
      </c>
      <c r="AB690" s="3" t="str">
        <f t="shared" si="63"/>
        <v>["-SADNE-","-SLOWSS-","OTHR","OTHR","XT_OffAnimals"]</v>
      </c>
      <c r="AC690" s="3">
        <f>_xlfn.XLOOKUP(A690,Album!A:A,Album!J:J)</f>
        <v>0</v>
      </c>
      <c r="AD690" s="3">
        <f>_xlfn.XLOOKUP(D690,Artists!A:A,Artists!B:B)</f>
        <v>0</v>
      </c>
      <c r="AE690" s="3">
        <f>_xlfn.XLOOKUP(D690,Artists!A:A,Artists!C:C)</f>
        <v>0</v>
      </c>
      <c r="AF690" s="3" t="str">
        <f t="shared" si="64"/>
        <v>OTHR</v>
      </c>
      <c r="AG690" s="3" t="str">
        <f t="shared" si="65"/>
        <v>OTHR</v>
      </c>
    </row>
    <row r="691" spans="24:33" x14ac:dyDescent="0.3">
      <c r="X691" s="3" t="str">
        <f t="shared" si="60"/>
        <v>-SADNE-</v>
      </c>
      <c r="Y691" s="3" t="str">
        <f t="shared" si="61"/>
        <v>-SLOWSS-</v>
      </c>
      <c r="Z691" s="4" t="str">
        <f t="shared" si="62"/>
        <v>{"couname":"","img":"0","pty":"","artist":"","genres":"","duration":"","spotId":"","Items":["-SADNE-","-SLOWSS-","OTHR","OTHR","XT_OffAnimals"]},</v>
      </c>
      <c r="AA691" s="5" t="s">
        <v>5</v>
      </c>
      <c r="AB691" s="3" t="str">
        <f t="shared" si="63"/>
        <v>["-SADNE-","-SLOWSS-","OTHR","OTHR","XT_OffAnimals"]</v>
      </c>
      <c r="AC691" s="3">
        <f>_xlfn.XLOOKUP(A691,Album!A:A,Album!J:J)</f>
        <v>0</v>
      </c>
      <c r="AD691" s="3">
        <f>_xlfn.XLOOKUP(D691,Artists!A:A,Artists!B:B)</f>
        <v>0</v>
      </c>
      <c r="AE691" s="3">
        <f>_xlfn.XLOOKUP(D691,Artists!A:A,Artists!C:C)</f>
        <v>0</v>
      </c>
      <c r="AF691" s="3" t="str">
        <f t="shared" si="64"/>
        <v>OTHR</v>
      </c>
      <c r="AG691" s="3" t="str">
        <f t="shared" si="65"/>
        <v>OTHR</v>
      </c>
    </row>
    <row r="692" spans="24:33" x14ac:dyDescent="0.3">
      <c r="X692" s="3" t="str">
        <f t="shared" si="60"/>
        <v>-SADNE-</v>
      </c>
      <c r="Y692" s="3" t="str">
        <f t="shared" si="61"/>
        <v>-SLOWSS-</v>
      </c>
      <c r="Z692" s="4" t="str">
        <f t="shared" si="62"/>
        <v>{"couname":"","img":"0","pty":"","artist":"","genres":"","duration":"","spotId":"","Items":["-SADNE-","-SLOWSS-","OTHR","OTHR","XT_OffAnimals"]},</v>
      </c>
      <c r="AA692" s="5" t="s">
        <v>5</v>
      </c>
      <c r="AB692" s="3" t="str">
        <f t="shared" si="63"/>
        <v>["-SADNE-","-SLOWSS-","OTHR","OTHR","XT_OffAnimals"]</v>
      </c>
      <c r="AC692" s="3">
        <f>_xlfn.XLOOKUP(A692,Album!A:A,Album!J:J)</f>
        <v>0</v>
      </c>
      <c r="AD692" s="3">
        <f>_xlfn.XLOOKUP(D692,Artists!A:A,Artists!B:B)</f>
        <v>0</v>
      </c>
      <c r="AE692" s="3">
        <f>_xlfn.XLOOKUP(D692,Artists!A:A,Artists!C:C)</f>
        <v>0</v>
      </c>
      <c r="AF692" s="3" t="str">
        <f t="shared" si="64"/>
        <v>OTHR</v>
      </c>
      <c r="AG692" s="3" t="str">
        <f t="shared" si="65"/>
        <v>OTHR</v>
      </c>
    </row>
    <row r="693" spans="24:33" x14ac:dyDescent="0.3">
      <c r="X693" s="3" t="str">
        <f t="shared" si="60"/>
        <v>-SADNE-</v>
      </c>
      <c r="Y693" s="3" t="str">
        <f t="shared" si="61"/>
        <v>-SLOWSS-</v>
      </c>
      <c r="Z693" s="4" t="str">
        <f t="shared" si="62"/>
        <v>{"couname":"","img":"0","pty":"","artist":"","genres":"","duration":"","spotId":"","Items":["-SADNE-","-SLOWSS-","OTHR","OTHR","XT_OffAnimals"]},</v>
      </c>
      <c r="AA693" s="5" t="s">
        <v>5</v>
      </c>
      <c r="AB693" s="3" t="str">
        <f t="shared" si="63"/>
        <v>["-SADNE-","-SLOWSS-","OTHR","OTHR","XT_OffAnimals"]</v>
      </c>
      <c r="AC693" s="3">
        <f>_xlfn.XLOOKUP(A693,Album!A:A,Album!J:J)</f>
        <v>0</v>
      </c>
      <c r="AD693" s="3">
        <f>_xlfn.XLOOKUP(D693,Artists!A:A,Artists!B:B)</f>
        <v>0</v>
      </c>
      <c r="AE693" s="3">
        <f>_xlfn.XLOOKUP(D693,Artists!A:A,Artists!C:C)</f>
        <v>0</v>
      </c>
      <c r="AF693" s="3" t="str">
        <f t="shared" si="64"/>
        <v>OTHR</v>
      </c>
      <c r="AG693" s="3" t="str">
        <f t="shared" si="65"/>
        <v>OTHR</v>
      </c>
    </row>
    <row r="694" spans="24:33" x14ac:dyDescent="0.3">
      <c r="X694" s="3" t="str">
        <f t="shared" si="60"/>
        <v>-SADNE-</v>
      </c>
      <c r="Y694" s="3" t="str">
        <f t="shared" si="61"/>
        <v>-SLOWSS-</v>
      </c>
      <c r="Z694" s="4" t="str">
        <f t="shared" si="62"/>
        <v>{"couname":"","img":"0","pty":"","artist":"","genres":"","duration":"","spotId":"","Items":["-SADNE-","-SLOWSS-","OTHR","OTHR","XT_OffAnimals"]},</v>
      </c>
      <c r="AA694" s="5" t="s">
        <v>5</v>
      </c>
      <c r="AB694" s="3" t="str">
        <f t="shared" si="63"/>
        <v>["-SADNE-","-SLOWSS-","OTHR","OTHR","XT_OffAnimals"]</v>
      </c>
      <c r="AC694" s="3">
        <f>_xlfn.XLOOKUP(A694,Album!A:A,Album!J:J)</f>
        <v>0</v>
      </c>
      <c r="AD694" s="3">
        <f>_xlfn.XLOOKUP(D694,Artists!A:A,Artists!B:B)</f>
        <v>0</v>
      </c>
      <c r="AE694" s="3">
        <f>_xlfn.XLOOKUP(D694,Artists!A:A,Artists!C:C)</f>
        <v>0</v>
      </c>
      <c r="AF694" s="3" t="str">
        <f t="shared" si="64"/>
        <v>OTHR</v>
      </c>
      <c r="AG694" s="3" t="str">
        <f t="shared" si="65"/>
        <v>OTHR</v>
      </c>
    </row>
    <row r="695" spans="24:33" x14ac:dyDescent="0.3">
      <c r="X695" s="3" t="str">
        <f t="shared" si="60"/>
        <v>-SADNE-</v>
      </c>
      <c r="Y695" s="3" t="str">
        <f t="shared" si="61"/>
        <v>-SLOWSS-</v>
      </c>
      <c r="Z695" s="4" t="str">
        <f t="shared" si="62"/>
        <v>{"couname":"","img":"0","pty":"","artist":"","genres":"","duration":"","spotId":"","Items":["-SADNE-","-SLOWSS-","OTHR","OTHR","XT_OffAnimals"]},</v>
      </c>
      <c r="AA695" s="5" t="s">
        <v>5</v>
      </c>
      <c r="AB695" s="3" t="str">
        <f t="shared" si="63"/>
        <v>["-SADNE-","-SLOWSS-","OTHR","OTHR","XT_OffAnimals"]</v>
      </c>
      <c r="AC695" s="3">
        <f>_xlfn.XLOOKUP(A695,Album!A:A,Album!J:J)</f>
        <v>0</v>
      </c>
      <c r="AD695" s="3">
        <f>_xlfn.XLOOKUP(D695,Artists!A:A,Artists!B:B)</f>
        <v>0</v>
      </c>
      <c r="AE695" s="3">
        <f>_xlfn.XLOOKUP(D695,Artists!A:A,Artists!C:C)</f>
        <v>0</v>
      </c>
      <c r="AF695" s="3" t="str">
        <f t="shared" si="64"/>
        <v>OTHR</v>
      </c>
      <c r="AG695" s="3" t="str">
        <f t="shared" si="65"/>
        <v>OTHR</v>
      </c>
    </row>
    <row r="696" spans="24:33" x14ac:dyDescent="0.3">
      <c r="X696" s="3" t="str">
        <f t="shared" si="60"/>
        <v>-SADNE-</v>
      </c>
      <c r="Y696" s="3" t="str">
        <f t="shared" si="61"/>
        <v>-SLOWSS-</v>
      </c>
      <c r="Z696" s="4" t="str">
        <f t="shared" si="62"/>
        <v>{"couname":"","img":"0","pty":"","artist":"","genres":"","duration":"","spotId":"","Items":["-SADNE-","-SLOWSS-","OTHR","OTHR","XT_OffAnimals"]},</v>
      </c>
      <c r="AA696" s="5" t="s">
        <v>5</v>
      </c>
      <c r="AB696" s="3" t="str">
        <f t="shared" si="63"/>
        <v>["-SADNE-","-SLOWSS-","OTHR","OTHR","XT_OffAnimals"]</v>
      </c>
      <c r="AC696" s="3">
        <f>_xlfn.XLOOKUP(A696,Album!A:A,Album!J:J)</f>
        <v>0</v>
      </c>
      <c r="AD696" s="3">
        <f>_xlfn.XLOOKUP(D696,Artists!A:A,Artists!B:B)</f>
        <v>0</v>
      </c>
      <c r="AE696" s="3">
        <f>_xlfn.XLOOKUP(D696,Artists!A:A,Artists!C:C)</f>
        <v>0</v>
      </c>
      <c r="AF696" s="3" t="str">
        <f t="shared" si="64"/>
        <v>OTHR</v>
      </c>
      <c r="AG696" s="3" t="str">
        <f t="shared" si="65"/>
        <v>OTHR</v>
      </c>
    </row>
    <row r="697" spans="24:33" x14ac:dyDescent="0.3">
      <c r="X697" s="3" t="str">
        <f t="shared" si="60"/>
        <v>-SADNE-</v>
      </c>
      <c r="Y697" s="3" t="str">
        <f t="shared" si="61"/>
        <v>-SLOWSS-</v>
      </c>
      <c r="Z697" s="4" t="str">
        <f t="shared" si="62"/>
        <v>{"couname":"","img":"0","pty":"","artist":"","genres":"","duration":"","spotId":"","Items":["-SADNE-","-SLOWSS-","OTHR","OTHR","XT_OffAnimals"]},</v>
      </c>
      <c r="AA697" s="5" t="s">
        <v>5</v>
      </c>
      <c r="AB697" s="3" t="str">
        <f t="shared" si="63"/>
        <v>["-SADNE-","-SLOWSS-","OTHR","OTHR","XT_OffAnimals"]</v>
      </c>
      <c r="AC697" s="3">
        <f>_xlfn.XLOOKUP(A697,Album!A:A,Album!J:J)</f>
        <v>0</v>
      </c>
      <c r="AD697" s="3">
        <f>_xlfn.XLOOKUP(D697,Artists!A:A,Artists!B:B)</f>
        <v>0</v>
      </c>
      <c r="AE697" s="3">
        <f>_xlfn.XLOOKUP(D697,Artists!A:A,Artists!C:C)</f>
        <v>0</v>
      </c>
      <c r="AF697" s="3" t="str">
        <f t="shared" si="64"/>
        <v>OTHR</v>
      </c>
      <c r="AG697" s="3" t="str">
        <f t="shared" si="65"/>
        <v>OTHR</v>
      </c>
    </row>
    <row r="698" spans="24:33" x14ac:dyDescent="0.3">
      <c r="X698" s="3" t="str">
        <f t="shared" si="60"/>
        <v>-SADNE-</v>
      </c>
      <c r="Y698" s="3" t="str">
        <f t="shared" si="61"/>
        <v>-SLOWSS-</v>
      </c>
      <c r="Z698" s="4" t="str">
        <f t="shared" si="62"/>
        <v>{"couname":"","img":"0","pty":"","artist":"","genres":"","duration":"","spotId":"","Items":["-SADNE-","-SLOWSS-","OTHR","OTHR","XT_OffAnimals"]},</v>
      </c>
      <c r="AA698" s="5" t="s">
        <v>5</v>
      </c>
      <c r="AB698" s="3" t="str">
        <f t="shared" si="63"/>
        <v>["-SADNE-","-SLOWSS-","OTHR","OTHR","XT_OffAnimals"]</v>
      </c>
      <c r="AC698" s="3">
        <f>_xlfn.XLOOKUP(A698,Album!A:A,Album!J:J)</f>
        <v>0</v>
      </c>
      <c r="AD698" s="3">
        <f>_xlfn.XLOOKUP(D698,Artists!A:A,Artists!B:B)</f>
        <v>0</v>
      </c>
      <c r="AE698" s="3">
        <f>_xlfn.XLOOKUP(D698,Artists!A:A,Artists!C:C)</f>
        <v>0</v>
      </c>
      <c r="AF698" s="3" t="str">
        <f t="shared" si="64"/>
        <v>OTHR</v>
      </c>
      <c r="AG698" s="3" t="str">
        <f t="shared" si="65"/>
        <v>OTHR</v>
      </c>
    </row>
    <row r="699" spans="24:33" x14ac:dyDescent="0.3">
      <c r="X699" s="3" t="str">
        <f t="shared" si="60"/>
        <v>-SADNE-</v>
      </c>
      <c r="Y699" s="3" t="str">
        <f t="shared" si="61"/>
        <v>-SLOWSS-</v>
      </c>
      <c r="Z699" s="4" t="str">
        <f t="shared" si="62"/>
        <v>{"couname":"","img":"0","pty":"","artist":"","genres":"","duration":"","spotId":"","Items":["-SADNE-","-SLOWSS-","OTHR","OTHR","XT_OffAnimals"]},</v>
      </c>
      <c r="AA699" s="5" t="s">
        <v>5</v>
      </c>
      <c r="AB699" s="3" t="str">
        <f t="shared" si="63"/>
        <v>["-SADNE-","-SLOWSS-","OTHR","OTHR","XT_OffAnimals"]</v>
      </c>
      <c r="AC699" s="3">
        <f>_xlfn.XLOOKUP(A699,Album!A:A,Album!J:J)</f>
        <v>0</v>
      </c>
      <c r="AD699" s="3">
        <f>_xlfn.XLOOKUP(D699,Artists!A:A,Artists!B:B)</f>
        <v>0</v>
      </c>
      <c r="AE699" s="3">
        <f>_xlfn.XLOOKUP(D699,Artists!A:A,Artists!C:C)</f>
        <v>0</v>
      </c>
      <c r="AF699" s="3" t="str">
        <f t="shared" si="64"/>
        <v>OTHR</v>
      </c>
      <c r="AG699" s="3" t="str">
        <f t="shared" si="65"/>
        <v>OTHR</v>
      </c>
    </row>
    <row r="700" spans="24:33" x14ac:dyDescent="0.3">
      <c r="X700" s="3" t="str">
        <f t="shared" si="60"/>
        <v>-SADNE-</v>
      </c>
      <c r="Y700" s="3" t="str">
        <f t="shared" si="61"/>
        <v>-SLOWSS-</v>
      </c>
      <c r="Z700" s="4" t="str">
        <f t="shared" si="62"/>
        <v>{"couname":"","img":"0","pty":"","artist":"","genres":"","duration":"","spotId":"","Items":["-SADNE-","-SLOWSS-","OTHR","OTHR","XT_OffAnimals"]},</v>
      </c>
      <c r="AA700" s="5" t="s">
        <v>5</v>
      </c>
      <c r="AB700" s="3" t="str">
        <f t="shared" si="63"/>
        <v>["-SADNE-","-SLOWSS-","OTHR","OTHR","XT_OffAnimals"]</v>
      </c>
      <c r="AC700" s="3">
        <f>_xlfn.XLOOKUP(A700,Album!A:A,Album!J:J)</f>
        <v>0</v>
      </c>
      <c r="AD700" s="3">
        <f>_xlfn.XLOOKUP(D700,Artists!A:A,Artists!B:B)</f>
        <v>0</v>
      </c>
      <c r="AE700" s="3">
        <f>_xlfn.XLOOKUP(D700,Artists!A:A,Artists!C:C)</f>
        <v>0</v>
      </c>
      <c r="AF700" s="3" t="str">
        <f t="shared" si="64"/>
        <v>OTHR</v>
      </c>
      <c r="AG700" s="3" t="str">
        <f t="shared" si="65"/>
        <v>OTHR</v>
      </c>
    </row>
    <row r="701" spans="24:33" x14ac:dyDescent="0.3">
      <c r="X701" s="3" t="str">
        <f t="shared" si="60"/>
        <v>-SADNE-</v>
      </c>
      <c r="Y701" s="3" t="str">
        <f t="shared" si="61"/>
        <v>-SLOWSS-</v>
      </c>
      <c r="Z701" s="4" t="str">
        <f t="shared" si="62"/>
        <v>{"couname":"","img":"0","pty":"","artist":"","genres":"","duration":"","spotId":"","Items":["-SADNE-","-SLOWSS-","OTHR","OTHR","XT_OffAnimals"]},</v>
      </c>
      <c r="AA701" s="5" t="s">
        <v>5</v>
      </c>
      <c r="AB701" s="3" t="str">
        <f t="shared" si="63"/>
        <v>["-SADNE-","-SLOWSS-","OTHR","OTHR","XT_OffAnimals"]</v>
      </c>
      <c r="AC701" s="3">
        <f>_xlfn.XLOOKUP(A701,Album!A:A,Album!J:J)</f>
        <v>0</v>
      </c>
      <c r="AD701" s="3">
        <f>_xlfn.XLOOKUP(D701,Artists!A:A,Artists!B:B)</f>
        <v>0</v>
      </c>
      <c r="AE701" s="3">
        <f>_xlfn.XLOOKUP(D701,Artists!A:A,Artists!C:C)</f>
        <v>0</v>
      </c>
      <c r="AF701" s="3" t="str">
        <f t="shared" si="64"/>
        <v>OTHR</v>
      </c>
      <c r="AG701" s="3" t="str">
        <f t="shared" si="65"/>
        <v>OTHR</v>
      </c>
    </row>
    <row r="702" spans="24:33" x14ac:dyDescent="0.3">
      <c r="X702" s="3" t="str">
        <f t="shared" si="60"/>
        <v>-SADNE-</v>
      </c>
      <c r="Y702" s="3" t="str">
        <f t="shared" si="61"/>
        <v>-SLOWSS-</v>
      </c>
      <c r="Z702" s="4" t="str">
        <f t="shared" si="62"/>
        <v>{"couname":"","img":"0","pty":"","artist":"","genres":"","duration":"","spotId":"","Items":["-SADNE-","-SLOWSS-","OTHR","OTHR","XT_OffAnimals"]},</v>
      </c>
      <c r="AA702" s="5" t="s">
        <v>5</v>
      </c>
      <c r="AB702" s="3" t="str">
        <f t="shared" si="63"/>
        <v>["-SADNE-","-SLOWSS-","OTHR","OTHR","XT_OffAnimals"]</v>
      </c>
      <c r="AC702" s="3">
        <f>_xlfn.XLOOKUP(A702,Album!A:A,Album!J:J)</f>
        <v>0</v>
      </c>
      <c r="AD702" s="3">
        <f>_xlfn.XLOOKUP(D702,Artists!A:A,Artists!B:B)</f>
        <v>0</v>
      </c>
      <c r="AE702" s="3">
        <f>_xlfn.XLOOKUP(D702,Artists!A:A,Artists!C:C)</f>
        <v>0</v>
      </c>
      <c r="AF702" s="3" t="str">
        <f t="shared" si="64"/>
        <v>OTHR</v>
      </c>
      <c r="AG702" s="3" t="str">
        <f t="shared" si="65"/>
        <v>OTHR</v>
      </c>
    </row>
    <row r="703" spans="24:33" x14ac:dyDescent="0.3">
      <c r="X703" s="3" t="str">
        <f t="shared" si="60"/>
        <v>-SADNE-</v>
      </c>
      <c r="Y703" s="3" t="str">
        <f t="shared" si="61"/>
        <v>-SLOWSS-</v>
      </c>
      <c r="Z703" s="4" t="str">
        <f t="shared" si="62"/>
        <v>{"couname":"","img":"0","pty":"","artist":"","genres":"","duration":"","spotId":"","Items":["-SADNE-","-SLOWSS-","OTHR","OTHR","XT_OffAnimals"]},</v>
      </c>
      <c r="AA703" s="5" t="s">
        <v>5</v>
      </c>
      <c r="AB703" s="3" t="str">
        <f t="shared" si="63"/>
        <v>["-SADNE-","-SLOWSS-","OTHR","OTHR","XT_OffAnimals"]</v>
      </c>
      <c r="AC703" s="3">
        <f>_xlfn.XLOOKUP(A703,Album!A:A,Album!J:J)</f>
        <v>0</v>
      </c>
      <c r="AD703" s="3">
        <f>_xlfn.XLOOKUP(D703,Artists!A:A,Artists!B:B)</f>
        <v>0</v>
      </c>
      <c r="AE703" s="3">
        <f>_xlfn.XLOOKUP(D703,Artists!A:A,Artists!C:C)</f>
        <v>0</v>
      </c>
      <c r="AF703" s="3" t="str">
        <f t="shared" si="64"/>
        <v>OTHR</v>
      </c>
      <c r="AG703" s="3" t="str">
        <f t="shared" si="65"/>
        <v>OTHR</v>
      </c>
    </row>
    <row r="704" spans="24:33" x14ac:dyDescent="0.3">
      <c r="X704" s="3" t="str">
        <f t="shared" si="60"/>
        <v>-SADNE-</v>
      </c>
      <c r="Y704" s="3" t="str">
        <f t="shared" si="61"/>
        <v>-SLOWSS-</v>
      </c>
      <c r="Z704" s="4" t="str">
        <f t="shared" si="62"/>
        <v>{"couname":"","img":"0","pty":"","artist":"","genres":"","duration":"","spotId":"","Items":["-SADNE-","-SLOWSS-","OTHR","OTHR","XT_OffAnimals"]},</v>
      </c>
      <c r="AA704" s="5" t="s">
        <v>5</v>
      </c>
      <c r="AB704" s="3" t="str">
        <f t="shared" si="63"/>
        <v>["-SADNE-","-SLOWSS-","OTHR","OTHR","XT_OffAnimals"]</v>
      </c>
      <c r="AC704" s="3">
        <f>_xlfn.XLOOKUP(A704,Album!A:A,Album!J:J)</f>
        <v>0</v>
      </c>
      <c r="AD704" s="3">
        <f>_xlfn.XLOOKUP(D704,Artists!A:A,Artists!B:B)</f>
        <v>0</v>
      </c>
      <c r="AE704" s="3">
        <f>_xlfn.XLOOKUP(D704,Artists!A:A,Artists!C:C)</f>
        <v>0</v>
      </c>
      <c r="AF704" s="3" t="str">
        <f t="shared" si="64"/>
        <v>OTHR</v>
      </c>
      <c r="AG704" s="3" t="str">
        <f t="shared" si="65"/>
        <v>OTHR</v>
      </c>
    </row>
    <row r="705" spans="24:33" x14ac:dyDescent="0.3">
      <c r="X705" s="3" t="str">
        <f t="shared" si="60"/>
        <v>-SADNE-</v>
      </c>
      <c r="Y705" s="3" t="str">
        <f t="shared" si="61"/>
        <v>-SLOWSS-</v>
      </c>
      <c r="Z705" s="4" t="str">
        <f t="shared" si="62"/>
        <v>{"couname":"","img":"0","pty":"","artist":"","genres":"","duration":"","spotId":"","Items":["-SADNE-","-SLOWSS-","OTHR","OTHR","XT_OffAnimals"]},</v>
      </c>
      <c r="AA705" s="5" t="s">
        <v>5</v>
      </c>
      <c r="AB705" s="3" t="str">
        <f t="shared" si="63"/>
        <v>["-SADNE-","-SLOWSS-","OTHR","OTHR","XT_OffAnimals"]</v>
      </c>
      <c r="AC705" s="3">
        <f>_xlfn.XLOOKUP(A705,Album!A:A,Album!J:J)</f>
        <v>0</v>
      </c>
      <c r="AD705" s="3">
        <f>_xlfn.XLOOKUP(D705,Artists!A:A,Artists!B:B)</f>
        <v>0</v>
      </c>
      <c r="AE705" s="3">
        <f>_xlfn.XLOOKUP(D705,Artists!A:A,Artists!C:C)</f>
        <v>0</v>
      </c>
      <c r="AF705" s="3" t="str">
        <f t="shared" si="64"/>
        <v>OTHR</v>
      </c>
      <c r="AG705" s="3" t="str">
        <f t="shared" si="65"/>
        <v>OTHR</v>
      </c>
    </row>
    <row r="706" spans="24:33" x14ac:dyDescent="0.3">
      <c r="X706" s="3" t="str">
        <f t="shared" ref="X706:X769" si="66">IF(OR(U706&lt;0.301, AND(U706&lt;0.4, P706=0)), "-SADNE-", "-HAPPY-")</f>
        <v>-SADNE-</v>
      </c>
      <c r="Y706" s="3" t="str">
        <f t="shared" ref="Y706:Y769" si="67">IF(OR(AND(L706&lt;0.5,M706&lt;0.5),AND(L706&lt;0.45,V706&lt;100),AND(M706&lt;0.45,V706&lt;100),AND(U706&lt;0.39,V706&lt;100)),"-SLOWSS-","-ENERGY-")</f>
        <v>-SLOWSS-</v>
      </c>
      <c r="Z706" s="4" t="str">
        <f t="shared" si="62"/>
        <v>{"couname":"","img":"0","pty":"","artist":"","genres":"","duration":"","spotId":"","Items":["-SADNE-","-SLOWSS-","OTHR","OTHR","XT_OffAnimals"]},</v>
      </c>
      <c r="AA706" s="5" t="s">
        <v>5</v>
      </c>
      <c r="AB706" s="3" t="str">
        <f t="shared" si="63"/>
        <v>["-SADNE-","-SLOWSS-","OTHR","OTHR","XT_OffAnimals"]</v>
      </c>
      <c r="AC706" s="3">
        <f>_xlfn.XLOOKUP(A706,Album!A:A,Album!J:J)</f>
        <v>0</v>
      </c>
      <c r="AD706" s="3">
        <f>_xlfn.XLOOKUP(D706,Artists!A:A,Artists!B:B)</f>
        <v>0</v>
      </c>
      <c r="AE706" s="3">
        <f>_xlfn.XLOOKUP(D706,Artists!A:A,Artists!C:C)</f>
        <v>0</v>
      </c>
      <c r="AF706" s="3" t="str">
        <f t="shared" si="64"/>
        <v>OTHR</v>
      </c>
      <c r="AG706" s="3" t="str">
        <f t="shared" si="65"/>
        <v>OTHR</v>
      </c>
    </row>
    <row r="707" spans="24:33" x14ac:dyDescent="0.3">
      <c r="X707" s="3" t="str">
        <f t="shared" si="66"/>
        <v>-SADNE-</v>
      </c>
      <c r="Y707" s="3" t="str">
        <f t="shared" si="67"/>
        <v>-SLOWSS-</v>
      </c>
      <c r="Z707" s="4" t="str">
        <f t="shared" ref="Z707:Z770" si="68">"{"&amp;CHAR(34)&amp;"couname"&amp;CHAR(34)&amp;":"&amp;CHAR(34)&amp;B707&amp;CHAR(34)&amp;","&amp;CHAR(34)&amp;"img"&amp;CHAR(34)&amp;":"&amp;CHAR(34)&amp;AC707&amp;CHAR(34)&amp;","&amp;CHAR(34)&amp;"pty"&amp;CHAR(34)&amp;":"&amp;CHAR(34)&amp;G707&amp;CHAR(34)&amp;","&amp;CHAR(34)&amp;"artist"&amp;CHAR(34)&amp;":"&amp;CHAR(34)&amp;D707&amp;CHAR(34)&amp;","&amp;CHAR(34)&amp;"genres"&amp;CHAR(34)&amp;":"&amp;CHAR(34)&amp;J707&amp;CHAR(34)&amp;","&amp;CHAR(34)&amp;"duration"&amp;CHAR(34)&amp;":"&amp;CHAR(34)&amp;F707&amp;CHAR(34)&amp;","&amp;CHAR(34)&amp;"spotId"&amp;CHAR(34)&amp;":"&amp;CHAR(34)&amp;A707&amp;CHAR(34)&amp;","&amp;CHAR(34)&amp;"Items"&amp;CHAR(34)&amp;":"&amp;AB707&amp;"},"</f>
        <v>{"couname":"","img":"0","pty":"","artist":"","genres":"","duration":"","spotId":"","Items":["-SADNE-","-SLOWSS-","OTHR","OTHR","XT_OffAnimals"]},</v>
      </c>
      <c r="AA707" s="5" t="s">
        <v>5</v>
      </c>
      <c r="AB707" s="3" t="str">
        <f t="shared" ref="AB707:AB770" si="69" xml:space="preserve"> "[" &amp; _xlfn.TEXTJOIN(",",TRUE,CHAR(34) &amp; X707&amp; CHAR(34), CHAR(34) &amp; Y707 &amp; CHAR(34),  CHAR(34) &amp; AF707 &amp; CHAR(34), CHAR(34) &amp;AG707 &amp; CHAR(34), CHAR(34) &amp; AA707 &amp; CHAR(34)) &amp; "]"</f>
        <v>["-SADNE-","-SLOWSS-","OTHR","OTHR","XT_OffAnimals"]</v>
      </c>
      <c r="AC707" s="3">
        <f>_xlfn.XLOOKUP(A707,Album!A:A,Album!J:J)</f>
        <v>0</v>
      </c>
      <c r="AD707" s="3">
        <f>_xlfn.XLOOKUP(D707,Artists!A:A,Artists!B:B)</f>
        <v>0</v>
      </c>
      <c r="AE707" s="3">
        <f>_xlfn.XLOOKUP(D707,Artists!A:A,Artists!C:C)</f>
        <v>0</v>
      </c>
      <c r="AF707" s="3" t="str">
        <f t="shared" ref="AF707:AF770" si="70">IF(ISNUMBER(SEARCH("female", AD707)), "GIRL", IF(ISNUMBER(SEARCH("male", AD707)), "DUDE", "OTHR"))</f>
        <v>OTHR</v>
      </c>
      <c r="AG707" s="3" t="str">
        <f t="shared" ref="AG707:AG770" si="71">IF(ISNUMBER(SEARCH("band", AD707)), "BAND", IF(ISNUMBER(SEARCH("solo", AD707)), "SOLO", "OTHR"))</f>
        <v>OTHR</v>
      </c>
    </row>
    <row r="708" spans="24:33" x14ac:dyDescent="0.3">
      <c r="X708" s="3" t="str">
        <f t="shared" si="66"/>
        <v>-SADNE-</v>
      </c>
      <c r="Y708" s="3" t="str">
        <f t="shared" si="67"/>
        <v>-SLOWSS-</v>
      </c>
      <c r="Z708" s="4" t="str">
        <f t="shared" si="68"/>
        <v>{"couname":"","img":"0","pty":"","artist":"","genres":"","duration":"","spotId":"","Items":["-SADNE-","-SLOWSS-","OTHR","OTHR","XT_OffAnimals"]},</v>
      </c>
      <c r="AA708" s="5" t="s">
        <v>5</v>
      </c>
      <c r="AB708" s="3" t="str">
        <f t="shared" si="69"/>
        <v>["-SADNE-","-SLOWSS-","OTHR","OTHR","XT_OffAnimals"]</v>
      </c>
      <c r="AC708" s="3">
        <f>_xlfn.XLOOKUP(A708,Album!A:A,Album!J:J)</f>
        <v>0</v>
      </c>
      <c r="AD708" s="3">
        <f>_xlfn.XLOOKUP(D708,Artists!A:A,Artists!B:B)</f>
        <v>0</v>
      </c>
      <c r="AE708" s="3">
        <f>_xlfn.XLOOKUP(D708,Artists!A:A,Artists!C:C)</f>
        <v>0</v>
      </c>
      <c r="AF708" s="3" t="str">
        <f t="shared" si="70"/>
        <v>OTHR</v>
      </c>
      <c r="AG708" s="3" t="str">
        <f t="shared" si="71"/>
        <v>OTHR</v>
      </c>
    </row>
    <row r="709" spans="24:33" x14ac:dyDescent="0.3">
      <c r="X709" s="3" t="str">
        <f t="shared" si="66"/>
        <v>-SADNE-</v>
      </c>
      <c r="Y709" s="3" t="str">
        <f t="shared" si="67"/>
        <v>-SLOWSS-</v>
      </c>
      <c r="Z709" s="4" t="str">
        <f t="shared" si="68"/>
        <v>{"couname":"","img":"0","pty":"","artist":"","genres":"","duration":"","spotId":"","Items":["-SADNE-","-SLOWSS-","OTHR","OTHR","XT_OffAnimals"]},</v>
      </c>
      <c r="AA709" s="5" t="s">
        <v>5</v>
      </c>
      <c r="AB709" s="3" t="str">
        <f t="shared" si="69"/>
        <v>["-SADNE-","-SLOWSS-","OTHR","OTHR","XT_OffAnimals"]</v>
      </c>
      <c r="AC709" s="3">
        <f>_xlfn.XLOOKUP(A709,Album!A:A,Album!J:J)</f>
        <v>0</v>
      </c>
      <c r="AD709" s="3">
        <f>_xlfn.XLOOKUP(D709,Artists!A:A,Artists!B:B)</f>
        <v>0</v>
      </c>
      <c r="AE709" s="3">
        <f>_xlfn.XLOOKUP(D709,Artists!A:A,Artists!C:C)</f>
        <v>0</v>
      </c>
      <c r="AF709" s="3" t="str">
        <f t="shared" si="70"/>
        <v>OTHR</v>
      </c>
      <c r="AG709" s="3" t="str">
        <f t="shared" si="71"/>
        <v>OTHR</v>
      </c>
    </row>
    <row r="710" spans="24:33" x14ac:dyDescent="0.3">
      <c r="X710" s="3" t="str">
        <f t="shared" si="66"/>
        <v>-SADNE-</v>
      </c>
      <c r="Y710" s="3" t="str">
        <f t="shared" si="67"/>
        <v>-SLOWSS-</v>
      </c>
      <c r="Z710" s="4" t="str">
        <f t="shared" si="68"/>
        <v>{"couname":"","img":"0","pty":"","artist":"","genres":"","duration":"","spotId":"","Items":["-SADNE-","-SLOWSS-","OTHR","OTHR","XT_OffAnimals"]},</v>
      </c>
      <c r="AA710" s="5" t="s">
        <v>5</v>
      </c>
      <c r="AB710" s="3" t="str">
        <f t="shared" si="69"/>
        <v>["-SADNE-","-SLOWSS-","OTHR","OTHR","XT_OffAnimals"]</v>
      </c>
      <c r="AC710" s="3">
        <f>_xlfn.XLOOKUP(A710,Album!A:A,Album!J:J)</f>
        <v>0</v>
      </c>
      <c r="AD710" s="3">
        <f>_xlfn.XLOOKUP(D710,Artists!A:A,Artists!B:B)</f>
        <v>0</v>
      </c>
      <c r="AE710" s="3">
        <f>_xlfn.XLOOKUP(D710,Artists!A:A,Artists!C:C)</f>
        <v>0</v>
      </c>
      <c r="AF710" s="3" t="str">
        <f t="shared" si="70"/>
        <v>OTHR</v>
      </c>
      <c r="AG710" s="3" t="str">
        <f t="shared" si="71"/>
        <v>OTHR</v>
      </c>
    </row>
    <row r="711" spans="24:33" x14ac:dyDescent="0.3">
      <c r="X711" s="3" t="str">
        <f t="shared" si="66"/>
        <v>-SADNE-</v>
      </c>
      <c r="Y711" s="3" t="str">
        <f t="shared" si="67"/>
        <v>-SLOWSS-</v>
      </c>
      <c r="Z711" s="4" t="str">
        <f t="shared" si="68"/>
        <v>{"couname":"","img":"0","pty":"","artist":"","genres":"","duration":"","spotId":"","Items":["-SADNE-","-SLOWSS-","OTHR","OTHR","XT_OffAnimals"]},</v>
      </c>
      <c r="AA711" s="5" t="s">
        <v>5</v>
      </c>
      <c r="AB711" s="3" t="str">
        <f t="shared" si="69"/>
        <v>["-SADNE-","-SLOWSS-","OTHR","OTHR","XT_OffAnimals"]</v>
      </c>
      <c r="AC711" s="3">
        <f>_xlfn.XLOOKUP(A711,Album!A:A,Album!J:J)</f>
        <v>0</v>
      </c>
      <c r="AD711" s="3">
        <f>_xlfn.XLOOKUP(D711,Artists!A:A,Artists!B:B)</f>
        <v>0</v>
      </c>
      <c r="AE711" s="3">
        <f>_xlfn.XLOOKUP(D711,Artists!A:A,Artists!C:C)</f>
        <v>0</v>
      </c>
      <c r="AF711" s="3" t="str">
        <f t="shared" si="70"/>
        <v>OTHR</v>
      </c>
      <c r="AG711" s="3" t="str">
        <f t="shared" si="71"/>
        <v>OTHR</v>
      </c>
    </row>
    <row r="712" spans="24:33" x14ac:dyDescent="0.3">
      <c r="X712" s="3" t="str">
        <f t="shared" si="66"/>
        <v>-SADNE-</v>
      </c>
      <c r="Y712" s="3" t="str">
        <f t="shared" si="67"/>
        <v>-SLOWSS-</v>
      </c>
      <c r="Z712" s="4" t="str">
        <f t="shared" si="68"/>
        <v>{"couname":"","img":"0","pty":"","artist":"","genres":"","duration":"","spotId":"","Items":["-SADNE-","-SLOWSS-","OTHR","OTHR","XT_OffAnimals"]},</v>
      </c>
      <c r="AA712" s="5" t="s">
        <v>5</v>
      </c>
      <c r="AB712" s="3" t="str">
        <f t="shared" si="69"/>
        <v>["-SADNE-","-SLOWSS-","OTHR","OTHR","XT_OffAnimals"]</v>
      </c>
      <c r="AC712" s="3">
        <f>_xlfn.XLOOKUP(A712,Album!A:A,Album!J:J)</f>
        <v>0</v>
      </c>
      <c r="AD712" s="3">
        <f>_xlfn.XLOOKUP(D712,Artists!A:A,Artists!B:B)</f>
        <v>0</v>
      </c>
      <c r="AE712" s="3">
        <f>_xlfn.XLOOKUP(D712,Artists!A:A,Artists!C:C)</f>
        <v>0</v>
      </c>
      <c r="AF712" s="3" t="str">
        <f t="shared" si="70"/>
        <v>OTHR</v>
      </c>
      <c r="AG712" s="3" t="str">
        <f t="shared" si="71"/>
        <v>OTHR</v>
      </c>
    </row>
    <row r="713" spans="24:33" x14ac:dyDescent="0.3">
      <c r="X713" s="3" t="str">
        <f t="shared" si="66"/>
        <v>-SADNE-</v>
      </c>
      <c r="Y713" s="3" t="str">
        <f t="shared" si="67"/>
        <v>-SLOWSS-</v>
      </c>
      <c r="Z713" s="4" t="str">
        <f t="shared" si="68"/>
        <v>{"couname":"","img":"0","pty":"","artist":"","genres":"","duration":"","spotId":"","Items":["-SADNE-","-SLOWSS-","OTHR","OTHR","XT_OffAnimals"]},</v>
      </c>
      <c r="AA713" s="5" t="s">
        <v>5</v>
      </c>
      <c r="AB713" s="3" t="str">
        <f t="shared" si="69"/>
        <v>["-SADNE-","-SLOWSS-","OTHR","OTHR","XT_OffAnimals"]</v>
      </c>
      <c r="AC713" s="3">
        <f>_xlfn.XLOOKUP(A713,Album!A:A,Album!J:J)</f>
        <v>0</v>
      </c>
      <c r="AD713" s="3">
        <f>_xlfn.XLOOKUP(D713,Artists!A:A,Artists!B:B)</f>
        <v>0</v>
      </c>
      <c r="AE713" s="3">
        <f>_xlfn.XLOOKUP(D713,Artists!A:A,Artists!C:C)</f>
        <v>0</v>
      </c>
      <c r="AF713" s="3" t="str">
        <f t="shared" si="70"/>
        <v>OTHR</v>
      </c>
      <c r="AG713" s="3" t="str">
        <f t="shared" si="71"/>
        <v>OTHR</v>
      </c>
    </row>
    <row r="714" spans="24:33" x14ac:dyDescent="0.3">
      <c r="X714" s="3" t="str">
        <f t="shared" si="66"/>
        <v>-SADNE-</v>
      </c>
      <c r="Y714" s="3" t="str">
        <f t="shared" si="67"/>
        <v>-SLOWSS-</v>
      </c>
      <c r="Z714" s="4" t="str">
        <f t="shared" si="68"/>
        <v>{"couname":"","img":"0","pty":"","artist":"","genres":"","duration":"","spotId":"","Items":["-SADNE-","-SLOWSS-","OTHR","OTHR","XT_OffAnimals"]},</v>
      </c>
      <c r="AA714" s="5" t="s">
        <v>5</v>
      </c>
      <c r="AB714" s="3" t="str">
        <f t="shared" si="69"/>
        <v>["-SADNE-","-SLOWSS-","OTHR","OTHR","XT_OffAnimals"]</v>
      </c>
      <c r="AC714" s="3">
        <f>_xlfn.XLOOKUP(A714,Album!A:A,Album!J:J)</f>
        <v>0</v>
      </c>
      <c r="AD714" s="3">
        <f>_xlfn.XLOOKUP(D714,Artists!A:A,Artists!B:B)</f>
        <v>0</v>
      </c>
      <c r="AE714" s="3">
        <f>_xlfn.XLOOKUP(D714,Artists!A:A,Artists!C:C)</f>
        <v>0</v>
      </c>
      <c r="AF714" s="3" t="str">
        <f t="shared" si="70"/>
        <v>OTHR</v>
      </c>
      <c r="AG714" s="3" t="str">
        <f t="shared" si="71"/>
        <v>OTHR</v>
      </c>
    </row>
    <row r="715" spans="24:33" x14ac:dyDescent="0.3">
      <c r="X715" s="3" t="str">
        <f t="shared" si="66"/>
        <v>-SADNE-</v>
      </c>
      <c r="Y715" s="3" t="str">
        <f t="shared" si="67"/>
        <v>-SLOWSS-</v>
      </c>
      <c r="Z715" s="4" t="str">
        <f t="shared" si="68"/>
        <v>{"couname":"","img":"0","pty":"","artist":"","genres":"","duration":"","spotId":"","Items":["-SADNE-","-SLOWSS-","OTHR","OTHR","XT_OffAnimals"]},</v>
      </c>
      <c r="AA715" s="5" t="s">
        <v>5</v>
      </c>
      <c r="AB715" s="3" t="str">
        <f t="shared" si="69"/>
        <v>["-SADNE-","-SLOWSS-","OTHR","OTHR","XT_OffAnimals"]</v>
      </c>
      <c r="AC715" s="3">
        <f>_xlfn.XLOOKUP(A715,Album!A:A,Album!J:J)</f>
        <v>0</v>
      </c>
      <c r="AD715" s="3">
        <f>_xlfn.XLOOKUP(D715,Artists!A:A,Artists!B:B)</f>
        <v>0</v>
      </c>
      <c r="AE715" s="3">
        <f>_xlfn.XLOOKUP(D715,Artists!A:A,Artists!C:C)</f>
        <v>0</v>
      </c>
      <c r="AF715" s="3" t="str">
        <f t="shared" si="70"/>
        <v>OTHR</v>
      </c>
      <c r="AG715" s="3" t="str">
        <f t="shared" si="71"/>
        <v>OTHR</v>
      </c>
    </row>
    <row r="716" spans="24:33" x14ac:dyDescent="0.3">
      <c r="X716" s="3" t="str">
        <f t="shared" si="66"/>
        <v>-SADNE-</v>
      </c>
      <c r="Y716" s="3" t="str">
        <f t="shared" si="67"/>
        <v>-SLOWSS-</v>
      </c>
      <c r="Z716" s="4" t="str">
        <f t="shared" si="68"/>
        <v>{"couname":"","img":"0","pty":"","artist":"","genres":"","duration":"","spotId":"","Items":["-SADNE-","-SLOWSS-","OTHR","OTHR","XT_OffAnimals"]},</v>
      </c>
      <c r="AA716" s="5" t="s">
        <v>5</v>
      </c>
      <c r="AB716" s="3" t="str">
        <f t="shared" si="69"/>
        <v>["-SADNE-","-SLOWSS-","OTHR","OTHR","XT_OffAnimals"]</v>
      </c>
      <c r="AC716" s="3">
        <f>_xlfn.XLOOKUP(A716,Album!A:A,Album!J:J)</f>
        <v>0</v>
      </c>
      <c r="AD716" s="3">
        <f>_xlfn.XLOOKUP(D716,Artists!A:A,Artists!B:B)</f>
        <v>0</v>
      </c>
      <c r="AE716" s="3">
        <f>_xlfn.XLOOKUP(D716,Artists!A:A,Artists!C:C)</f>
        <v>0</v>
      </c>
      <c r="AF716" s="3" t="str">
        <f t="shared" si="70"/>
        <v>OTHR</v>
      </c>
      <c r="AG716" s="3" t="str">
        <f t="shared" si="71"/>
        <v>OTHR</v>
      </c>
    </row>
    <row r="717" spans="24:33" x14ac:dyDescent="0.3">
      <c r="X717" s="3" t="str">
        <f t="shared" si="66"/>
        <v>-SADNE-</v>
      </c>
      <c r="Y717" s="3" t="str">
        <f t="shared" si="67"/>
        <v>-SLOWSS-</v>
      </c>
      <c r="Z717" s="4" t="str">
        <f t="shared" si="68"/>
        <v>{"couname":"","img":"0","pty":"","artist":"","genres":"","duration":"","spotId":"","Items":["-SADNE-","-SLOWSS-","OTHR","OTHR","XT_OffAnimals"]},</v>
      </c>
      <c r="AA717" s="5" t="s">
        <v>5</v>
      </c>
      <c r="AB717" s="3" t="str">
        <f t="shared" si="69"/>
        <v>["-SADNE-","-SLOWSS-","OTHR","OTHR","XT_OffAnimals"]</v>
      </c>
      <c r="AC717" s="3">
        <f>_xlfn.XLOOKUP(A717,Album!A:A,Album!J:J)</f>
        <v>0</v>
      </c>
      <c r="AD717" s="3">
        <f>_xlfn.XLOOKUP(D717,Artists!A:A,Artists!B:B)</f>
        <v>0</v>
      </c>
      <c r="AE717" s="3">
        <f>_xlfn.XLOOKUP(D717,Artists!A:A,Artists!C:C)</f>
        <v>0</v>
      </c>
      <c r="AF717" s="3" t="str">
        <f t="shared" si="70"/>
        <v>OTHR</v>
      </c>
      <c r="AG717" s="3" t="str">
        <f t="shared" si="71"/>
        <v>OTHR</v>
      </c>
    </row>
    <row r="718" spans="24:33" x14ac:dyDescent="0.3">
      <c r="X718" s="3" t="str">
        <f t="shared" si="66"/>
        <v>-SADNE-</v>
      </c>
      <c r="Y718" s="3" t="str">
        <f t="shared" si="67"/>
        <v>-SLOWSS-</v>
      </c>
      <c r="Z718" s="4" t="str">
        <f t="shared" si="68"/>
        <v>{"couname":"","img":"0","pty":"","artist":"","genres":"","duration":"","spotId":"","Items":["-SADNE-","-SLOWSS-","OTHR","OTHR","XT_OffAnimals"]},</v>
      </c>
      <c r="AA718" s="5" t="s">
        <v>5</v>
      </c>
      <c r="AB718" s="3" t="str">
        <f t="shared" si="69"/>
        <v>["-SADNE-","-SLOWSS-","OTHR","OTHR","XT_OffAnimals"]</v>
      </c>
      <c r="AC718" s="3">
        <f>_xlfn.XLOOKUP(A718,Album!A:A,Album!J:J)</f>
        <v>0</v>
      </c>
      <c r="AD718" s="3">
        <f>_xlfn.XLOOKUP(D718,Artists!A:A,Artists!B:B)</f>
        <v>0</v>
      </c>
      <c r="AE718" s="3">
        <f>_xlfn.XLOOKUP(D718,Artists!A:A,Artists!C:C)</f>
        <v>0</v>
      </c>
      <c r="AF718" s="3" t="str">
        <f t="shared" si="70"/>
        <v>OTHR</v>
      </c>
      <c r="AG718" s="3" t="str">
        <f t="shared" si="71"/>
        <v>OTHR</v>
      </c>
    </row>
    <row r="719" spans="24:33" x14ac:dyDescent="0.3">
      <c r="X719" s="3" t="str">
        <f t="shared" si="66"/>
        <v>-SADNE-</v>
      </c>
      <c r="Y719" s="3" t="str">
        <f t="shared" si="67"/>
        <v>-SLOWSS-</v>
      </c>
      <c r="Z719" s="4" t="str">
        <f t="shared" si="68"/>
        <v>{"couname":"","img":"0","pty":"","artist":"","genres":"","duration":"","spotId":"","Items":["-SADNE-","-SLOWSS-","OTHR","OTHR","XT_OffAnimals"]},</v>
      </c>
      <c r="AA719" s="5" t="s">
        <v>5</v>
      </c>
      <c r="AB719" s="3" t="str">
        <f t="shared" si="69"/>
        <v>["-SADNE-","-SLOWSS-","OTHR","OTHR","XT_OffAnimals"]</v>
      </c>
      <c r="AC719" s="3">
        <f>_xlfn.XLOOKUP(A719,Album!A:A,Album!J:J)</f>
        <v>0</v>
      </c>
      <c r="AD719" s="3">
        <f>_xlfn.XLOOKUP(D719,Artists!A:A,Artists!B:B)</f>
        <v>0</v>
      </c>
      <c r="AE719" s="3">
        <f>_xlfn.XLOOKUP(D719,Artists!A:A,Artists!C:C)</f>
        <v>0</v>
      </c>
      <c r="AF719" s="3" t="str">
        <f t="shared" si="70"/>
        <v>OTHR</v>
      </c>
      <c r="AG719" s="3" t="str">
        <f t="shared" si="71"/>
        <v>OTHR</v>
      </c>
    </row>
    <row r="720" spans="24:33" x14ac:dyDescent="0.3">
      <c r="X720" s="3" t="str">
        <f t="shared" si="66"/>
        <v>-SADNE-</v>
      </c>
      <c r="Y720" s="3" t="str">
        <f t="shared" si="67"/>
        <v>-SLOWSS-</v>
      </c>
      <c r="Z720" s="4" t="str">
        <f t="shared" si="68"/>
        <v>{"couname":"","img":"0","pty":"","artist":"","genres":"","duration":"","spotId":"","Items":["-SADNE-","-SLOWSS-","OTHR","OTHR","XT_OffAnimals"]},</v>
      </c>
      <c r="AA720" s="5" t="s">
        <v>5</v>
      </c>
      <c r="AB720" s="3" t="str">
        <f t="shared" si="69"/>
        <v>["-SADNE-","-SLOWSS-","OTHR","OTHR","XT_OffAnimals"]</v>
      </c>
      <c r="AC720" s="3">
        <f>_xlfn.XLOOKUP(A720,Album!A:A,Album!J:J)</f>
        <v>0</v>
      </c>
      <c r="AD720" s="3">
        <f>_xlfn.XLOOKUP(D720,Artists!A:A,Artists!B:B)</f>
        <v>0</v>
      </c>
      <c r="AE720" s="3">
        <f>_xlfn.XLOOKUP(D720,Artists!A:A,Artists!C:C)</f>
        <v>0</v>
      </c>
      <c r="AF720" s="3" t="str">
        <f t="shared" si="70"/>
        <v>OTHR</v>
      </c>
      <c r="AG720" s="3" t="str">
        <f t="shared" si="71"/>
        <v>OTHR</v>
      </c>
    </row>
    <row r="721" spans="24:33" x14ac:dyDescent="0.3">
      <c r="X721" s="3" t="str">
        <f t="shared" si="66"/>
        <v>-SADNE-</v>
      </c>
      <c r="Y721" s="3" t="str">
        <f t="shared" si="67"/>
        <v>-SLOWSS-</v>
      </c>
      <c r="Z721" s="4" t="str">
        <f t="shared" si="68"/>
        <v>{"couname":"","img":"0","pty":"","artist":"","genres":"","duration":"","spotId":"","Items":["-SADNE-","-SLOWSS-","OTHR","OTHR","XT_OffAnimals"]},</v>
      </c>
      <c r="AA721" s="5" t="s">
        <v>5</v>
      </c>
      <c r="AB721" s="3" t="str">
        <f t="shared" si="69"/>
        <v>["-SADNE-","-SLOWSS-","OTHR","OTHR","XT_OffAnimals"]</v>
      </c>
      <c r="AC721" s="3">
        <f>_xlfn.XLOOKUP(A721,Album!A:A,Album!J:J)</f>
        <v>0</v>
      </c>
      <c r="AD721" s="3">
        <f>_xlfn.XLOOKUP(D721,Artists!A:A,Artists!B:B)</f>
        <v>0</v>
      </c>
      <c r="AE721" s="3">
        <f>_xlfn.XLOOKUP(D721,Artists!A:A,Artists!C:C)</f>
        <v>0</v>
      </c>
      <c r="AF721" s="3" t="str">
        <f t="shared" si="70"/>
        <v>OTHR</v>
      </c>
      <c r="AG721" s="3" t="str">
        <f t="shared" si="71"/>
        <v>OTHR</v>
      </c>
    </row>
    <row r="722" spans="24:33" x14ac:dyDescent="0.3">
      <c r="X722" s="3" t="str">
        <f t="shared" si="66"/>
        <v>-SADNE-</v>
      </c>
      <c r="Y722" s="3" t="str">
        <f t="shared" si="67"/>
        <v>-SLOWSS-</v>
      </c>
      <c r="Z722" s="4" t="str">
        <f t="shared" si="68"/>
        <v>{"couname":"","img":"0","pty":"","artist":"","genres":"","duration":"","spotId":"","Items":["-SADNE-","-SLOWSS-","OTHR","OTHR","XT_OffAnimals"]},</v>
      </c>
      <c r="AA722" s="5" t="s">
        <v>5</v>
      </c>
      <c r="AB722" s="3" t="str">
        <f t="shared" si="69"/>
        <v>["-SADNE-","-SLOWSS-","OTHR","OTHR","XT_OffAnimals"]</v>
      </c>
      <c r="AC722" s="3">
        <f>_xlfn.XLOOKUP(A722,Album!A:A,Album!J:J)</f>
        <v>0</v>
      </c>
      <c r="AD722" s="3">
        <f>_xlfn.XLOOKUP(D722,Artists!A:A,Artists!B:B)</f>
        <v>0</v>
      </c>
      <c r="AE722" s="3">
        <f>_xlfn.XLOOKUP(D722,Artists!A:A,Artists!C:C)</f>
        <v>0</v>
      </c>
      <c r="AF722" s="3" t="str">
        <f t="shared" si="70"/>
        <v>OTHR</v>
      </c>
      <c r="AG722" s="3" t="str">
        <f t="shared" si="71"/>
        <v>OTHR</v>
      </c>
    </row>
    <row r="723" spans="24:33" x14ac:dyDescent="0.3">
      <c r="X723" s="3" t="str">
        <f t="shared" si="66"/>
        <v>-SADNE-</v>
      </c>
      <c r="Y723" s="3" t="str">
        <f t="shared" si="67"/>
        <v>-SLOWSS-</v>
      </c>
      <c r="Z723" s="4" t="str">
        <f t="shared" si="68"/>
        <v>{"couname":"","img":"0","pty":"","artist":"","genres":"","duration":"","spotId":"","Items":["-SADNE-","-SLOWSS-","OTHR","OTHR","XT_OffAnimals"]},</v>
      </c>
      <c r="AA723" s="5" t="s">
        <v>5</v>
      </c>
      <c r="AB723" s="3" t="str">
        <f t="shared" si="69"/>
        <v>["-SADNE-","-SLOWSS-","OTHR","OTHR","XT_OffAnimals"]</v>
      </c>
      <c r="AC723" s="3">
        <f>_xlfn.XLOOKUP(A723,Album!A:A,Album!J:J)</f>
        <v>0</v>
      </c>
      <c r="AD723" s="3">
        <f>_xlfn.XLOOKUP(D723,Artists!A:A,Artists!B:B)</f>
        <v>0</v>
      </c>
      <c r="AE723" s="3">
        <f>_xlfn.XLOOKUP(D723,Artists!A:A,Artists!C:C)</f>
        <v>0</v>
      </c>
      <c r="AF723" s="3" t="str">
        <f t="shared" si="70"/>
        <v>OTHR</v>
      </c>
      <c r="AG723" s="3" t="str">
        <f t="shared" si="71"/>
        <v>OTHR</v>
      </c>
    </row>
    <row r="724" spans="24:33" x14ac:dyDescent="0.3">
      <c r="X724" s="3" t="str">
        <f t="shared" si="66"/>
        <v>-SADNE-</v>
      </c>
      <c r="Y724" s="3" t="str">
        <f t="shared" si="67"/>
        <v>-SLOWSS-</v>
      </c>
      <c r="Z724" s="4" t="str">
        <f t="shared" si="68"/>
        <v>{"couname":"","img":"0","pty":"","artist":"","genres":"","duration":"","spotId":"","Items":["-SADNE-","-SLOWSS-","OTHR","OTHR","XT_OffAnimals"]},</v>
      </c>
      <c r="AA724" s="5" t="s">
        <v>5</v>
      </c>
      <c r="AB724" s="3" t="str">
        <f t="shared" si="69"/>
        <v>["-SADNE-","-SLOWSS-","OTHR","OTHR","XT_OffAnimals"]</v>
      </c>
      <c r="AC724" s="3">
        <f>_xlfn.XLOOKUP(A724,Album!A:A,Album!J:J)</f>
        <v>0</v>
      </c>
      <c r="AD724" s="3">
        <f>_xlfn.XLOOKUP(D724,Artists!A:A,Artists!B:B)</f>
        <v>0</v>
      </c>
      <c r="AE724" s="3">
        <f>_xlfn.XLOOKUP(D724,Artists!A:A,Artists!C:C)</f>
        <v>0</v>
      </c>
      <c r="AF724" s="3" t="str">
        <f t="shared" si="70"/>
        <v>OTHR</v>
      </c>
      <c r="AG724" s="3" t="str">
        <f t="shared" si="71"/>
        <v>OTHR</v>
      </c>
    </row>
    <row r="725" spans="24:33" x14ac:dyDescent="0.3">
      <c r="X725" s="3" t="str">
        <f t="shared" si="66"/>
        <v>-SADNE-</v>
      </c>
      <c r="Y725" s="3" t="str">
        <f t="shared" si="67"/>
        <v>-SLOWSS-</v>
      </c>
      <c r="Z725" s="4" t="str">
        <f t="shared" si="68"/>
        <v>{"couname":"","img":"0","pty":"","artist":"","genres":"","duration":"","spotId":"","Items":["-SADNE-","-SLOWSS-","OTHR","OTHR","XT_OffAnimals"]},</v>
      </c>
      <c r="AA725" s="5" t="s">
        <v>5</v>
      </c>
      <c r="AB725" s="3" t="str">
        <f t="shared" si="69"/>
        <v>["-SADNE-","-SLOWSS-","OTHR","OTHR","XT_OffAnimals"]</v>
      </c>
      <c r="AC725" s="3">
        <f>_xlfn.XLOOKUP(A725,Album!A:A,Album!J:J)</f>
        <v>0</v>
      </c>
      <c r="AD725" s="3">
        <f>_xlfn.XLOOKUP(D725,Artists!A:A,Artists!B:B)</f>
        <v>0</v>
      </c>
      <c r="AE725" s="3">
        <f>_xlfn.XLOOKUP(D725,Artists!A:A,Artists!C:C)</f>
        <v>0</v>
      </c>
      <c r="AF725" s="3" t="str">
        <f t="shared" si="70"/>
        <v>OTHR</v>
      </c>
      <c r="AG725" s="3" t="str">
        <f t="shared" si="71"/>
        <v>OTHR</v>
      </c>
    </row>
    <row r="726" spans="24:33" x14ac:dyDescent="0.3">
      <c r="X726" s="3" t="str">
        <f t="shared" si="66"/>
        <v>-SADNE-</v>
      </c>
      <c r="Y726" s="3" t="str">
        <f t="shared" si="67"/>
        <v>-SLOWSS-</v>
      </c>
      <c r="Z726" s="4" t="str">
        <f t="shared" si="68"/>
        <v>{"couname":"","img":"0","pty":"","artist":"","genres":"","duration":"","spotId":"","Items":["-SADNE-","-SLOWSS-","OTHR","OTHR","XT_OffAnimals"]},</v>
      </c>
      <c r="AA726" s="5" t="s">
        <v>5</v>
      </c>
      <c r="AB726" s="3" t="str">
        <f t="shared" si="69"/>
        <v>["-SADNE-","-SLOWSS-","OTHR","OTHR","XT_OffAnimals"]</v>
      </c>
      <c r="AC726" s="3">
        <f>_xlfn.XLOOKUP(A726,Album!A:A,Album!J:J)</f>
        <v>0</v>
      </c>
      <c r="AD726" s="3">
        <f>_xlfn.XLOOKUP(D726,Artists!A:A,Artists!B:B)</f>
        <v>0</v>
      </c>
      <c r="AE726" s="3">
        <f>_xlfn.XLOOKUP(D726,Artists!A:A,Artists!C:C)</f>
        <v>0</v>
      </c>
      <c r="AF726" s="3" t="str">
        <f t="shared" si="70"/>
        <v>OTHR</v>
      </c>
      <c r="AG726" s="3" t="str">
        <f t="shared" si="71"/>
        <v>OTHR</v>
      </c>
    </row>
    <row r="727" spans="24:33" x14ac:dyDescent="0.3">
      <c r="X727" s="3" t="str">
        <f t="shared" si="66"/>
        <v>-SADNE-</v>
      </c>
      <c r="Y727" s="3" t="str">
        <f t="shared" si="67"/>
        <v>-SLOWSS-</v>
      </c>
      <c r="Z727" s="4" t="str">
        <f t="shared" si="68"/>
        <v>{"couname":"","img":"0","pty":"","artist":"","genres":"","duration":"","spotId":"","Items":["-SADNE-","-SLOWSS-","OTHR","OTHR","XT_OffAnimals"]},</v>
      </c>
      <c r="AA727" s="5" t="s">
        <v>5</v>
      </c>
      <c r="AB727" s="3" t="str">
        <f t="shared" si="69"/>
        <v>["-SADNE-","-SLOWSS-","OTHR","OTHR","XT_OffAnimals"]</v>
      </c>
      <c r="AC727" s="3">
        <f>_xlfn.XLOOKUP(A727,Album!A:A,Album!J:J)</f>
        <v>0</v>
      </c>
      <c r="AD727" s="3">
        <f>_xlfn.XLOOKUP(D727,Artists!A:A,Artists!B:B)</f>
        <v>0</v>
      </c>
      <c r="AE727" s="3">
        <f>_xlfn.XLOOKUP(D727,Artists!A:A,Artists!C:C)</f>
        <v>0</v>
      </c>
      <c r="AF727" s="3" t="str">
        <f t="shared" si="70"/>
        <v>OTHR</v>
      </c>
      <c r="AG727" s="3" t="str">
        <f t="shared" si="71"/>
        <v>OTHR</v>
      </c>
    </row>
    <row r="728" spans="24:33" x14ac:dyDescent="0.3">
      <c r="X728" s="3" t="str">
        <f t="shared" si="66"/>
        <v>-SADNE-</v>
      </c>
      <c r="Y728" s="3" t="str">
        <f t="shared" si="67"/>
        <v>-SLOWSS-</v>
      </c>
      <c r="Z728" s="4" t="str">
        <f t="shared" si="68"/>
        <v>{"couname":"","img":"0","pty":"","artist":"","genres":"","duration":"","spotId":"","Items":["-SADNE-","-SLOWSS-","OTHR","OTHR","XT_OffAnimals"]},</v>
      </c>
      <c r="AA728" s="5" t="s">
        <v>5</v>
      </c>
      <c r="AB728" s="3" t="str">
        <f t="shared" si="69"/>
        <v>["-SADNE-","-SLOWSS-","OTHR","OTHR","XT_OffAnimals"]</v>
      </c>
      <c r="AC728" s="3">
        <f>_xlfn.XLOOKUP(A728,Album!A:A,Album!J:J)</f>
        <v>0</v>
      </c>
      <c r="AD728" s="3">
        <f>_xlfn.XLOOKUP(D728,Artists!A:A,Artists!B:B)</f>
        <v>0</v>
      </c>
      <c r="AE728" s="3">
        <f>_xlfn.XLOOKUP(D728,Artists!A:A,Artists!C:C)</f>
        <v>0</v>
      </c>
      <c r="AF728" s="3" t="str">
        <f t="shared" si="70"/>
        <v>OTHR</v>
      </c>
      <c r="AG728" s="3" t="str">
        <f t="shared" si="71"/>
        <v>OTHR</v>
      </c>
    </row>
    <row r="729" spans="24:33" x14ac:dyDescent="0.3">
      <c r="X729" s="3" t="str">
        <f t="shared" si="66"/>
        <v>-SADNE-</v>
      </c>
      <c r="Y729" s="3" t="str">
        <f t="shared" si="67"/>
        <v>-SLOWSS-</v>
      </c>
      <c r="Z729" s="4" t="str">
        <f t="shared" si="68"/>
        <v>{"couname":"","img":"0","pty":"","artist":"","genres":"","duration":"","spotId":"","Items":["-SADNE-","-SLOWSS-","OTHR","OTHR","XT_OffAnimals"]},</v>
      </c>
      <c r="AA729" s="5" t="s">
        <v>5</v>
      </c>
      <c r="AB729" s="3" t="str">
        <f t="shared" si="69"/>
        <v>["-SADNE-","-SLOWSS-","OTHR","OTHR","XT_OffAnimals"]</v>
      </c>
      <c r="AC729" s="3">
        <f>_xlfn.XLOOKUP(A729,Album!A:A,Album!J:J)</f>
        <v>0</v>
      </c>
      <c r="AD729" s="3">
        <f>_xlfn.XLOOKUP(D729,Artists!A:A,Artists!B:B)</f>
        <v>0</v>
      </c>
      <c r="AE729" s="3">
        <f>_xlfn.XLOOKUP(D729,Artists!A:A,Artists!C:C)</f>
        <v>0</v>
      </c>
      <c r="AF729" s="3" t="str">
        <f t="shared" si="70"/>
        <v>OTHR</v>
      </c>
      <c r="AG729" s="3" t="str">
        <f t="shared" si="71"/>
        <v>OTHR</v>
      </c>
    </row>
    <row r="730" spans="24:33" x14ac:dyDescent="0.3">
      <c r="X730" s="3" t="str">
        <f t="shared" si="66"/>
        <v>-SADNE-</v>
      </c>
      <c r="Y730" s="3" t="str">
        <f t="shared" si="67"/>
        <v>-SLOWSS-</v>
      </c>
      <c r="Z730" s="4" t="str">
        <f t="shared" si="68"/>
        <v>{"couname":"","img":"0","pty":"","artist":"","genres":"","duration":"","spotId":"","Items":["-SADNE-","-SLOWSS-","OTHR","OTHR","XT_OffAnimals"]},</v>
      </c>
      <c r="AA730" s="5" t="s">
        <v>5</v>
      </c>
      <c r="AB730" s="3" t="str">
        <f t="shared" si="69"/>
        <v>["-SADNE-","-SLOWSS-","OTHR","OTHR","XT_OffAnimals"]</v>
      </c>
      <c r="AC730" s="3">
        <f>_xlfn.XLOOKUP(A730,Album!A:A,Album!J:J)</f>
        <v>0</v>
      </c>
      <c r="AD730" s="3">
        <f>_xlfn.XLOOKUP(D730,Artists!A:A,Artists!B:B)</f>
        <v>0</v>
      </c>
      <c r="AE730" s="3">
        <f>_xlfn.XLOOKUP(D730,Artists!A:A,Artists!C:C)</f>
        <v>0</v>
      </c>
      <c r="AF730" s="3" t="str">
        <f t="shared" si="70"/>
        <v>OTHR</v>
      </c>
      <c r="AG730" s="3" t="str">
        <f t="shared" si="71"/>
        <v>OTHR</v>
      </c>
    </row>
    <row r="731" spans="24:33" x14ac:dyDescent="0.3">
      <c r="X731" s="3" t="str">
        <f t="shared" si="66"/>
        <v>-SADNE-</v>
      </c>
      <c r="Y731" s="3" t="str">
        <f t="shared" si="67"/>
        <v>-SLOWSS-</v>
      </c>
      <c r="Z731" s="4" t="str">
        <f t="shared" si="68"/>
        <v>{"couname":"","img":"0","pty":"","artist":"","genres":"","duration":"","spotId":"","Items":["-SADNE-","-SLOWSS-","OTHR","OTHR","XT_OffAnimals"]},</v>
      </c>
      <c r="AA731" s="5" t="s">
        <v>5</v>
      </c>
      <c r="AB731" s="3" t="str">
        <f t="shared" si="69"/>
        <v>["-SADNE-","-SLOWSS-","OTHR","OTHR","XT_OffAnimals"]</v>
      </c>
      <c r="AC731" s="3">
        <f>_xlfn.XLOOKUP(A731,Album!A:A,Album!J:J)</f>
        <v>0</v>
      </c>
      <c r="AD731" s="3">
        <f>_xlfn.XLOOKUP(D731,Artists!A:A,Artists!B:B)</f>
        <v>0</v>
      </c>
      <c r="AE731" s="3">
        <f>_xlfn.XLOOKUP(D731,Artists!A:A,Artists!C:C)</f>
        <v>0</v>
      </c>
      <c r="AF731" s="3" t="str">
        <f t="shared" si="70"/>
        <v>OTHR</v>
      </c>
      <c r="AG731" s="3" t="str">
        <f t="shared" si="71"/>
        <v>OTHR</v>
      </c>
    </row>
    <row r="732" spans="24:33" x14ac:dyDescent="0.3">
      <c r="X732" s="3" t="str">
        <f t="shared" si="66"/>
        <v>-SADNE-</v>
      </c>
      <c r="Y732" s="3" t="str">
        <f t="shared" si="67"/>
        <v>-SLOWSS-</v>
      </c>
      <c r="Z732" s="4" t="str">
        <f t="shared" si="68"/>
        <v>{"couname":"","img":"0","pty":"","artist":"","genres":"","duration":"","spotId":"","Items":["-SADNE-","-SLOWSS-","OTHR","OTHR","XT_OffAnimals"]},</v>
      </c>
      <c r="AA732" s="5" t="s">
        <v>5</v>
      </c>
      <c r="AB732" s="3" t="str">
        <f t="shared" si="69"/>
        <v>["-SADNE-","-SLOWSS-","OTHR","OTHR","XT_OffAnimals"]</v>
      </c>
      <c r="AC732" s="3">
        <f>_xlfn.XLOOKUP(A732,Album!A:A,Album!J:J)</f>
        <v>0</v>
      </c>
      <c r="AD732" s="3">
        <f>_xlfn.XLOOKUP(D732,Artists!A:A,Artists!B:B)</f>
        <v>0</v>
      </c>
      <c r="AE732" s="3">
        <f>_xlfn.XLOOKUP(D732,Artists!A:A,Artists!C:C)</f>
        <v>0</v>
      </c>
      <c r="AF732" s="3" t="str">
        <f t="shared" si="70"/>
        <v>OTHR</v>
      </c>
      <c r="AG732" s="3" t="str">
        <f t="shared" si="71"/>
        <v>OTHR</v>
      </c>
    </row>
    <row r="733" spans="24:33" x14ac:dyDescent="0.3">
      <c r="X733" s="3" t="str">
        <f t="shared" si="66"/>
        <v>-SADNE-</v>
      </c>
      <c r="Y733" s="3" t="str">
        <f t="shared" si="67"/>
        <v>-SLOWSS-</v>
      </c>
      <c r="Z733" s="4" t="str">
        <f t="shared" si="68"/>
        <v>{"couname":"","img":"0","pty":"","artist":"","genres":"","duration":"","spotId":"","Items":["-SADNE-","-SLOWSS-","OTHR","OTHR","XT_OffAnimals"]},</v>
      </c>
      <c r="AA733" s="5" t="s">
        <v>5</v>
      </c>
      <c r="AB733" s="3" t="str">
        <f t="shared" si="69"/>
        <v>["-SADNE-","-SLOWSS-","OTHR","OTHR","XT_OffAnimals"]</v>
      </c>
      <c r="AC733" s="3">
        <f>_xlfn.XLOOKUP(A733,Album!A:A,Album!J:J)</f>
        <v>0</v>
      </c>
      <c r="AD733" s="3">
        <f>_xlfn.XLOOKUP(D733,Artists!A:A,Artists!B:B)</f>
        <v>0</v>
      </c>
      <c r="AE733" s="3">
        <f>_xlfn.XLOOKUP(D733,Artists!A:A,Artists!C:C)</f>
        <v>0</v>
      </c>
      <c r="AF733" s="3" t="str">
        <f t="shared" si="70"/>
        <v>OTHR</v>
      </c>
      <c r="AG733" s="3" t="str">
        <f t="shared" si="71"/>
        <v>OTHR</v>
      </c>
    </row>
    <row r="734" spans="24:33" x14ac:dyDescent="0.3">
      <c r="X734" s="3" t="str">
        <f t="shared" si="66"/>
        <v>-SADNE-</v>
      </c>
      <c r="Y734" s="3" t="str">
        <f t="shared" si="67"/>
        <v>-SLOWSS-</v>
      </c>
      <c r="Z734" s="4" t="str">
        <f t="shared" si="68"/>
        <v>{"couname":"","img":"0","pty":"","artist":"","genres":"","duration":"","spotId":"","Items":["-SADNE-","-SLOWSS-","OTHR","OTHR","XT_OffAnimals"]},</v>
      </c>
      <c r="AA734" s="5" t="s">
        <v>5</v>
      </c>
      <c r="AB734" s="3" t="str">
        <f t="shared" si="69"/>
        <v>["-SADNE-","-SLOWSS-","OTHR","OTHR","XT_OffAnimals"]</v>
      </c>
      <c r="AC734" s="3">
        <f>_xlfn.XLOOKUP(A734,Album!A:A,Album!J:J)</f>
        <v>0</v>
      </c>
      <c r="AD734" s="3">
        <f>_xlfn.XLOOKUP(D734,Artists!A:A,Artists!B:B)</f>
        <v>0</v>
      </c>
      <c r="AE734" s="3">
        <f>_xlfn.XLOOKUP(D734,Artists!A:A,Artists!C:C)</f>
        <v>0</v>
      </c>
      <c r="AF734" s="3" t="str">
        <f t="shared" si="70"/>
        <v>OTHR</v>
      </c>
      <c r="AG734" s="3" t="str">
        <f t="shared" si="71"/>
        <v>OTHR</v>
      </c>
    </row>
    <row r="735" spans="24:33" x14ac:dyDescent="0.3">
      <c r="X735" s="3" t="str">
        <f t="shared" si="66"/>
        <v>-SADNE-</v>
      </c>
      <c r="Y735" s="3" t="str">
        <f t="shared" si="67"/>
        <v>-SLOWSS-</v>
      </c>
      <c r="Z735" s="4" t="str">
        <f t="shared" si="68"/>
        <v>{"couname":"","img":"0","pty":"","artist":"","genres":"","duration":"","spotId":"","Items":["-SADNE-","-SLOWSS-","OTHR","OTHR","XT_OffAnimals"]},</v>
      </c>
      <c r="AA735" s="5" t="s">
        <v>5</v>
      </c>
      <c r="AB735" s="3" t="str">
        <f t="shared" si="69"/>
        <v>["-SADNE-","-SLOWSS-","OTHR","OTHR","XT_OffAnimals"]</v>
      </c>
      <c r="AC735" s="3">
        <f>_xlfn.XLOOKUP(A735,Album!A:A,Album!J:J)</f>
        <v>0</v>
      </c>
      <c r="AD735" s="3">
        <f>_xlfn.XLOOKUP(D735,Artists!A:A,Artists!B:B)</f>
        <v>0</v>
      </c>
      <c r="AE735" s="3">
        <f>_xlfn.XLOOKUP(D735,Artists!A:A,Artists!C:C)</f>
        <v>0</v>
      </c>
      <c r="AF735" s="3" t="str">
        <f t="shared" si="70"/>
        <v>OTHR</v>
      </c>
      <c r="AG735" s="3" t="str">
        <f t="shared" si="71"/>
        <v>OTHR</v>
      </c>
    </row>
    <row r="736" spans="24:33" x14ac:dyDescent="0.3">
      <c r="X736" s="3" t="str">
        <f t="shared" si="66"/>
        <v>-SADNE-</v>
      </c>
      <c r="Y736" s="3" t="str">
        <f t="shared" si="67"/>
        <v>-SLOWSS-</v>
      </c>
      <c r="Z736" s="4" t="str">
        <f t="shared" si="68"/>
        <v>{"couname":"","img":"0","pty":"","artist":"","genres":"","duration":"","spotId":"","Items":["-SADNE-","-SLOWSS-","OTHR","OTHR","XT_OffAnimals"]},</v>
      </c>
      <c r="AA736" s="5" t="s">
        <v>5</v>
      </c>
      <c r="AB736" s="3" t="str">
        <f t="shared" si="69"/>
        <v>["-SADNE-","-SLOWSS-","OTHR","OTHR","XT_OffAnimals"]</v>
      </c>
      <c r="AC736" s="3">
        <f>_xlfn.XLOOKUP(A736,Album!A:A,Album!J:J)</f>
        <v>0</v>
      </c>
      <c r="AD736" s="3">
        <f>_xlfn.XLOOKUP(D736,Artists!A:A,Artists!B:B)</f>
        <v>0</v>
      </c>
      <c r="AE736" s="3">
        <f>_xlfn.XLOOKUP(D736,Artists!A:A,Artists!C:C)</f>
        <v>0</v>
      </c>
      <c r="AF736" s="3" t="str">
        <f t="shared" si="70"/>
        <v>OTHR</v>
      </c>
      <c r="AG736" s="3" t="str">
        <f t="shared" si="71"/>
        <v>OTHR</v>
      </c>
    </row>
    <row r="737" spans="24:33" x14ac:dyDescent="0.3">
      <c r="X737" s="3" t="str">
        <f t="shared" si="66"/>
        <v>-SADNE-</v>
      </c>
      <c r="Y737" s="3" t="str">
        <f t="shared" si="67"/>
        <v>-SLOWSS-</v>
      </c>
      <c r="Z737" s="4" t="str">
        <f t="shared" si="68"/>
        <v>{"couname":"","img":"0","pty":"","artist":"","genres":"","duration":"","spotId":"","Items":["-SADNE-","-SLOWSS-","OTHR","OTHR","XT_OffAnimals"]},</v>
      </c>
      <c r="AA737" s="5" t="s">
        <v>5</v>
      </c>
      <c r="AB737" s="3" t="str">
        <f t="shared" si="69"/>
        <v>["-SADNE-","-SLOWSS-","OTHR","OTHR","XT_OffAnimals"]</v>
      </c>
      <c r="AC737" s="3">
        <f>_xlfn.XLOOKUP(A737,Album!A:A,Album!J:J)</f>
        <v>0</v>
      </c>
      <c r="AD737" s="3">
        <f>_xlfn.XLOOKUP(D737,Artists!A:A,Artists!B:B)</f>
        <v>0</v>
      </c>
      <c r="AE737" s="3">
        <f>_xlfn.XLOOKUP(D737,Artists!A:A,Artists!C:C)</f>
        <v>0</v>
      </c>
      <c r="AF737" s="3" t="str">
        <f t="shared" si="70"/>
        <v>OTHR</v>
      </c>
      <c r="AG737" s="3" t="str">
        <f t="shared" si="71"/>
        <v>OTHR</v>
      </c>
    </row>
    <row r="738" spans="24:33" x14ac:dyDescent="0.3">
      <c r="X738" s="3" t="str">
        <f t="shared" si="66"/>
        <v>-SADNE-</v>
      </c>
      <c r="Y738" s="3" t="str">
        <f t="shared" si="67"/>
        <v>-SLOWSS-</v>
      </c>
      <c r="Z738" s="4" t="str">
        <f t="shared" si="68"/>
        <v>{"couname":"","img":"0","pty":"","artist":"","genres":"","duration":"","spotId":"","Items":["-SADNE-","-SLOWSS-","OTHR","OTHR","XT_OffAnimals"]},</v>
      </c>
      <c r="AA738" s="5" t="s">
        <v>5</v>
      </c>
      <c r="AB738" s="3" t="str">
        <f t="shared" si="69"/>
        <v>["-SADNE-","-SLOWSS-","OTHR","OTHR","XT_OffAnimals"]</v>
      </c>
      <c r="AC738" s="3">
        <f>_xlfn.XLOOKUP(A738,Album!A:A,Album!J:J)</f>
        <v>0</v>
      </c>
      <c r="AD738" s="3">
        <f>_xlfn.XLOOKUP(D738,Artists!A:A,Artists!B:B)</f>
        <v>0</v>
      </c>
      <c r="AE738" s="3">
        <f>_xlfn.XLOOKUP(D738,Artists!A:A,Artists!C:C)</f>
        <v>0</v>
      </c>
      <c r="AF738" s="3" t="str">
        <f t="shared" si="70"/>
        <v>OTHR</v>
      </c>
      <c r="AG738" s="3" t="str">
        <f t="shared" si="71"/>
        <v>OTHR</v>
      </c>
    </row>
    <row r="739" spans="24:33" x14ac:dyDescent="0.3">
      <c r="X739" s="3" t="str">
        <f t="shared" si="66"/>
        <v>-SADNE-</v>
      </c>
      <c r="Y739" s="3" t="str">
        <f t="shared" si="67"/>
        <v>-SLOWSS-</v>
      </c>
      <c r="Z739" s="4" t="str">
        <f t="shared" si="68"/>
        <v>{"couname":"","img":"0","pty":"","artist":"","genres":"","duration":"","spotId":"","Items":["-SADNE-","-SLOWSS-","OTHR","OTHR","XT_OffAnimals"]},</v>
      </c>
      <c r="AA739" s="5" t="s">
        <v>5</v>
      </c>
      <c r="AB739" s="3" t="str">
        <f t="shared" si="69"/>
        <v>["-SADNE-","-SLOWSS-","OTHR","OTHR","XT_OffAnimals"]</v>
      </c>
      <c r="AC739" s="3">
        <f>_xlfn.XLOOKUP(A739,Album!A:A,Album!J:J)</f>
        <v>0</v>
      </c>
      <c r="AD739" s="3">
        <f>_xlfn.XLOOKUP(D739,Artists!A:A,Artists!B:B)</f>
        <v>0</v>
      </c>
      <c r="AE739" s="3">
        <f>_xlfn.XLOOKUP(D739,Artists!A:A,Artists!C:C)</f>
        <v>0</v>
      </c>
      <c r="AF739" s="3" t="str">
        <f t="shared" si="70"/>
        <v>OTHR</v>
      </c>
      <c r="AG739" s="3" t="str">
        <f t="shared" si="71"/>
        <v>OTHR</v>
      </c>
    </row>
    <row r="740" spans="24:33" x14ac:dyDescent="0.3">
      <c r="X740" s="3" t="str">
        <f t="shared" si="66"/>
        <v>-SADNE-</v>
      </c>
      <c r="Y740" s="3" t="str">
        <f t="shared" si="67"/>
        <v>-SLOWSS-</v>
      </c>
      <c r="Z740" s="4" t="str">
        <f t="shared" si="68"/>
        <v>{"couname":"","img":"0","pty":"","artist":"","genres":"","duration":"","spotId":"","Items":["-SADNE-","-SLOWSS-","OTHR","OTHR","XT_OffAnimals"]},</v>
      </c>
      <c r="AA740" s="5" t="s">
        <v>5</v>
      </c>
      <c r="AB740" s="3" t="str">
        <f t="shared" si="69"/>
        <v>["-SADNE-","-SLOWSS-","OTHR","OTHR","XT_OffAnimals"]</v>
      </c>
      <c r="AC740" s="3">
        <f>_xlfn.XLOOKUP(A740,Album!A:A,Album!J:J)</f>
        <v>0</v>
      </c>
      <c r="AD740" s="3">
        <f>_xlfn.XLOOKUP(D740,Artists!A:A,Artists!B:B)</f>
        <v>0</v>
      </c>
      <c r="AE740" s="3">
        <f>_xlfn.XLOOKUP(D740,Artists!A:A,Artists!C:C)</f>
        <v>0</v>
      </c>
      <c r="AF740" s="3" t="str">
        <f t="shared" si="70"/>
        <v>OTHR</v>
      </c>
      <c r="AG740" s="3" t="str">
        <f t="shared" si="71"/>
        <v>OTHR</v>
      </c>
    </row>
    <row r="741" spans="24:33" x14ac:dyDescent="0.3">
      <c r="X741" s="3" t="str">
        <f t="shared" si="66"/>
        <v>-SADNE-</v>
      </c>
      <c r="Y741" s="3" t="str">
        <f t="shared" si="67"/>
        <v>-SLOWSS-</v>
      </c>
      <c r="Z741" s="4" t="str">
        <f t="shared" si="68"/>
        <v>{"couname":"","img":"0","pty":"","artist":"","genres":"","duration":"","spotId":"","Items":["-SADNE-","-SLOWSS-","OTHR","OTHR","XT_OffAnimals"]},</v>
      </c>
      <c r="AA741" s="5" t="s">
        <v>5</v>
      </c>
      <c r="AB741" s="3" t="str">
        <f t="shared" si="69"/>
        <v>["-SADNE-","-SLOWSS-","OTHR","OTHR","XT_OffAnimals"]</v>
      </c>
      <c r="AC741" s="3">
        <f>_xlfn.XLOOKUP(A741,Album!A:A,Album!J:J)</f>
        <v>0</v>
      </c>
      <c r="AD741" s="3">
        <f>_xlfn.XLOOKUP(D741,Artists!A:A,Artists!B:B)</f>
        <v>0</v>
      </c>
      <c r="AE741" s="3">
        <f>_xlfn.XLOOKUP(D741,Artists!A:A,Artists!C:C)</f>
        <v>0</v>
      </c>
      <c r="AF741" s="3" t="str">
        <f t="shared" si="70"/>
        <v>OTHR</v>
      </c>
      <c r="AG741" s="3" t="str">
        <f t="shared" si="71"/>
        <v>OTHR</v>
      </c>
    </row>
    <row r="742" spans="24:33" x14ac:dyDescent="0.3">
      <c r="X742" s="3" t="str">
        <f t="shared" si="66"/>
        <v>-SADNE-</v>
      </c>
      <c r="Y742" s="3" t="str">
        <f t="shared" si="67"/>
        <v>-SLOWSS-</v>
      </c>
      <c r="Z742" s="4" t="str">
        <f t="shared" si="68"/>
        <v>{"couname":"","img":"0","pty":"","artist":"","genres":"","duration":"","spotId":"","Items":["-SADNE-","-SLOWSS-","OTHR","OTHR","XT_OffAnimals"]},</v>
      </c>
      <c r="AA742" s="5" t="s">
        <v>5</v>
      </c>
      <c r="AB742" s="3" t="str">
        <f t="shared" si="69"/>
        <v>["-SADNE-","-SLOWSS-","OTHR","OTHR","XT_OffAnimals"]</v>
      </c>
      <c r="AC742" s="3">
        <f>_xlfn.XLOOKUP(A742,Album!A:A,Album!J:J)</f>
        <v>0</v>
      </c>
      <c r="AD742" s="3">
        <f>_xlfn.XLOOKUP(D742,Artists!A:A,Artists!B:B)</f>
        <v>0</v>
      </c>
      <c r="AE742" s="3">
        <f>_xlfn.XLOOKUP(D742,Artists!A:A,Artists!C:C)</f>
        <v>0</v>
      </c>
      <c r="AF742" s="3" t="str">
        <f t="shared" si="70"/>
        <v>OTHR</v>
      </c>
      <c r="AG742" s="3" t="str">
        <f t="shared" si="71"/>
        <v>OTHR</v>
      </c>
    </row>
    <row r="743" spans="24:33" x14ac:dyDescent="0.3">
      <c r="X743" s="3" t="str">
        <f t="shared" si="66"/>
        <v>-SADNE-</v>
      </c>
      <c r="Y743" s="3" t="str">
        <f t="shared" si="67"/>
        <v>-SLOWSS-</v>
      </c>
      <c r="Z743" s="4" t="str">
        <f t="shared" si="68"/>
        <v>{"couname":"","img":"0","pty":"","artist":"","genres":"","duration":"","spotId":"","Items":["-SADNE-","-SLOWSS-","OTHR","OTHR","XT_OffAnimals"]},</v>
      </c>
      <c r="AA743" s="5" t="s">
        <v>5</v>
      </c>
      <c r="AB743" s="3" t="str">
        <f t="shared" si="69"/>
        <v>["-SADNE-","-SLOWSS-","OTHR","OTHR","XT_OffAnimals"]</v>
      </c>
      <c r="AC743" s="3">
        <f>_xlfn.XLOOKUP(A743,Album!A:A,Album!J:J)</f>
        <v>0</v>
      </c>
      <c r="AD743" s="3">
        <f>_xlfn.XLOOKUP(D743,Artists!A:A,Artists!B:B)</f>
        <v>0</v>
      </c>
      <c r="AE743" s="3">
        <f>_xlfn.XLOOKUP(D743,Artists!A:A,Artists!C:C)</f>
        <v>0</v>
      </c>
      <c r="AF743" s="3" t="str">
        <f t="shared" si="70"/>
        <v>OTHR</v>
      </c>
      <c r="AG743" s="3" t="str">
        <f t="shared" si="71"/>
        <v>OTHR</v>
      </c>
    </row>
    <row r="744" spans="24:33" x14ac:dyDescent="0.3">
      <c r="X744" s="3" t="str">
        <f t="shared" si="66"/>
        <v>-SADNE-</v>
      </c>
      <c r="Y744" s="3" t="str">
        <f t="shared" si="67"/>
        <v>-SLOWSS-</v>
      </c>
      <c r="Z744" s="4" t="str">
        <f t="shared" si="68"/>
        <v>{"couname":"","img":"0","pty":"","artist":"","genres":"","duration":"","spotId":"","Items":["-SADNE-","-SLOWSS-","OTHR","OTHR","XT_OffAnimals"]},</v>
      </c>
      <c r="AA744" s="5" t="s">
        <v>5</v>
      </c>
      <c r="AB744" s="3" t="str">
        <f t="shared" si="69"/>
        <v>["-SADNE-","-SLOWSS-","OTHR","OTHR","XT_OffAnimals"]</v>
      </c>
      <c r="AC744" s="3">
        <f>_xlfn.XLOOKUP(A744,Album!A:A,Album!J:J)</f>
        <v>0</v>
      </c>
      <c r="AD744" s="3">
        <f>_xlfn.XLOOKUP(D744,Artists!A:A,Artists!B:B)</f>
        <v>0</v>
      </c>
      <c r="AE744" s="3">
        <f>_xlfn.XLOOKUP(D744,Artists!A:A,Artists!C:C)</f>
        <v>0</v>
      </c>
      <c r="AF744" s="3" t="str">
        <f t="shared" si="70"/>
        <v>OTHR</v>
      </c>
      <c r="AG744" s="3" t="str">
        <f t="shared" si="71"/>
        <v>OTHR</v>
      </c>
    </row>
    <row r="745" spans="24:33" x14ac:dyDescent="0.3">
      <c r="X745" s="3" t="str">
        <f t="shared" si="66"/>
        <v>-SADNE-</v>
      </c>
      <c r="Y745" s="3" t="str">
        <f t="shared" si="67"/>
        <v>-SLOWSS-</v>
      </c>
      <c r="Z745" s="4" t="str">
        <f t="shared" si="68"/>
        <v>{"couname":"","img":"0","pty":"","artist":"","genres":"","duration":"","spotId":"","Items":["-SADNE-","-SLOWSS-","OTHR","OTHR","XT_OffAnimals"]},</v>
      </c>
      <c r="AA745" s="5" t="s">
        <v>5</v>
      </c>
      <c r="AB745" s="3" t="str">
        <f t="shared" si="69"/>
        <v>["-SADNE-","-SLOWSS-","OTHR","OTHR","XT_OffAnimals"]</v>
      </c>
      <c r="AC745" s="3">
        <f>_xlfn.XLOOKUP(A745,Album!A:A,Album!J:J)</f>
        <v>0</v>
      </c>
      <c r="AD745" s="3">
        <f>_xlfn.XLOOKUP(D745,Artists!A:A,Artists!B:B)</f>
        <v>0</v>
      </c>
      <c r="AE745" s="3">
        <f>_xlfn.XLOOKUP(D745,Artists!A:A,Artists!C:C)</f>
        <v>0</v>
      </c>
      <c r="AF745" s="3" t="str">
        <f t="shared" si="70"/>
        <v>OTHR</v>
      </c>
      <c r="AG745" s="3" t="str">
        <f t="shared" si="71"/>
        <v>OTHR</v>
      </c>
    </row>
    <row r="746" spans="24:33" x14ac:dyDescent="0.3">
      <c r="X746" s="3" t="str">
        <f t="shared" si="66"/>
        <v>-SADNE-</v>
      </c>
      <c r="Y746" s="3" t="str">
        <f t="shared" si="67"/>
        <v>-SLOWSS-</v>
      </c>
      <c r="Z746" s="4" t="str">
        <f t="shared" si="68"/>
        <v>{"couname":"","img":"0","pty":"","artist":"","genres":"","duration":"","spotId":"","Items":["-SADNE-","-SLOWSS-","OTHR","OTHR","XT_OffAnimals"]},</v>
      </c>
      <c r="AA746" s="5" t="s">
        <v>5</v>
      </c>
      <c r="AB746" s="3" t="str">
        <f t="shared" si="69"/>
        <v>["-SADNE-","-SLOWSS-","OTHR","OTHR","XT_OffAnimals"]</v>
      </c>
      <c r="AC746" s="3">
        <f>_xlfn.XLOOKUP(A746,Album!A:A,Album!J:J)</f>
        <v>0</v>
      </c>
      <c r="AD746" s="3">
        <f>_xlfn.XLOOKUP(D746,Artists!A:A,Artists!B:B)</f>
        <v>0</v>
      </c>
      <c r="AE746" s="3">
        <f>_xlfn.XLOOKUP(D746,Artists!A:A,Artists!C:C)</f>
        <v>0</v>
      </c>
      <c r="AF746" s="3" t="str">
        <f t="shared" si="70"/>
        <v>OTHR</v>
      </c>
      <c r="AG746" s="3" t="str">
        <f t="shared" si="71"/>
        <v>OTHR</v>
      </c>
    </row>
    <row r="747" spans="24:33" x14ac:dyDescent="0.3">
      <c r="X747" s="3" t="str">
        <f t="shared" si="66"/>
        <v>-SADNE-</v>
      </c>
      <c r="Y747" s="3" t="str">
        <f t="shared" si="67"/>
        <v>-SLOWSS-</v>
      </c>
      <c r="Z747" s="4" t="str">
        <f t="shared" si="68"/>
        <v>{"couname":"","img":"0","pty":"","artist":"","genres":"","duration":"","spotId":"","Items":["-SADNE-","-SLOWSS-","OTHR","OTHR","XT_OffAnimals"]},</v>
      </c>
      <c r="AA747" s="5" t="s">
        <v>5</v>
      </c>
      <c r="AB747" s="3" t="str">
        <f t="shared" si="69"/>
        <v>["-SADNE-","-SLOWSS-","OTHR","OTHR","XT_OffAnimals"]</v>
      </c>
      <c r="AC747" s="3">
        <f>_xlfn.XLOOKUP(A747,Album!A:A,Album!J:J)</f>
        <v>0</v>
      </c>
      <c r="AD747" s="3">
        <f>_xlfn.XLOOKUP(D747,Artists!A:A,Artists!B:B)</f>
        <v>0</v>
      </c>
      <c r="AE747" s="3">
        <f>_xlfn.XLOOKUP(D747,Artists!A:A,Artists!C:C)</f>
        <v>0</v>
      </c>
      <c r="AF747" s="3" t="str">
        <f t="shared" si="70"/>
        <v>OTHR</v>
      </c>
      <c r="AG747" s="3" t="str">
        <f t="shared" si="71"/>
        <v>OTHR</v>
      </c>
    </row>
    <row r="748" spans="24:33" x14ac:dyDescent="0.3">
      <c r="X748" s="3" t="str">
        <f t="shared" si="66"/>
        <v>-SADNE-</v>
      </c>
      <c r="Y748" s="3" t="str">
        <f t="shared" si="67"/>
        <v>-SLOWSS-</v>
      </c>
      <c r="Z748" s="4" t="str">
        <f t="shared" si="68"/>
        <v>{"couname":"","img":"0","pty":"","artist":"","genres":"","duration":"","spotId":"","Items":["-SADNE-","-SLOWSS-","OTHR","OTHR","XT_OffAnimals"]},</v>
      </c>
      <c r="AA748" s="5" t="s">
        <v>5</v>
      </c>
      <c r="AB748" s="3" t="str">
        <f t="shared" si="69"/>
        <v>["-SADNE-","-SLOWSS-","OTHR","OTHR","XT_OffAnimals"]</v>
      </c>
      <c r="AC748" s="3">
        <f>_xlfn.XLOOKUP(A748,Album!A:A,Album!J:J)</f>
        <v>0</v>
      </c>
      <c r="AD748" s="3">
        <f>_xlfn.XLOOKUP(D748,Artists!A:A,Artists!B:B)</f>
        <v>0</v>
      </c>
      <c r="AE748" s="3">
        <f>_xlfn.XLOOKUP(D748,Artists!A:A,Artists!C:C)</f>
        <v>0</v>
      </c>
      <c r="AF748" s="3" t="str">
        <f t="shared" si="70"/>
        <v>OTHR</v>
      </c>
      <c r="AG748" s="3" t="str">
        <f t="shared" si="71"/>
        <v>OTHR</v>
      </c>
    </row>
    <row r="749" spans="24:33" x14ac:dyDescent="0.3">
      <c r="X749" s="3" t="str">
        <f t="shared" si="66"/>
        <v>-SADNE-</v>
      </c>
      <c r="Y749" s="3" t="str">
        <f t="shared" si="67"/>
        <v>-SLOWSS-</v>
      </c>
      <c r="Z749" s="4" t="str">
        <f t="shared" si="68"/>
        <v>{"couname":"","img":"0","pty":"","artist":"","genres":"","duration":"","spotId":"","Items":["-SADNE-","-SLOWSS-","OTHR","OTHR","XT_OffAnimals"]},</v>
      </c>
      <c r="AA749" s="5" t="s">
        <v>5</v>
      </c>
      <c r="AB749" s="3" t="str">
        <f t="shared" si="69"/>
        <v>["-SADNE-","-SLOWSS-","OTHR","OTHR","XT_OffAnimals"]</v>
      </c>
      <c r="AC749" s="3">
        <f>_xlfn.XLOOKUP(A749,Album!A:A,Album!J:J)</f>
        <v>0</v>
      </c>
      <c r="AD749" s="3">
        <f>_xlfn.XLOOKUP(D749,Artists!A:A,Artists!B:B)</f>
        <v>0</v>
      </c>
      <c r="AE749" s="3">
        <f>_xlfn.XLOOKUP(D749,Artists!A:A,Artists!C:C)</f>
        <v>0</v>
      </c>
      <c r="AF749" s="3" t="str">
        <f t="shared" si="70"/>
        <v>OTHR</v>
      </c>
      <c r="AG749" s="3" t="str">
        <f t="shared" si="71"/>
        <v>OTHR</v>
      </c>
    </row>
    <row r="750" spans="24:33" x14ac:dyDescent="0.3">
      <c r="X750" s="3" t="str">
        <f t="shared" si="66"/>
        <v>-SADNE-</v>
      </c>
      <c r="Y750" s="3" t="str">
        <f t="shared" si="67"/>
        <v>-SLOWSS-</v>
      </c>
      <c r="Z750" s="4" t="str">
        <f t="shared" si="68"/>
        <v>{"couname":"","img":"0","pty":"","artist":"","genres":"","duration":"","spotId":"","Items":["-SADNE-","-SLOWSS-","OTHR","OTHR","XT_OffAnimals"]},</v>
      </c>
      <c r="AA750" s="5" t="s">
        <v>5</v>
      </c>
      <c r="AB750" s="3" t="str">
        <f t="shared" si="69"/>
        <v>["-SADNE-","-SLOWSS-","OTHR","OTHR","XT_OffAnimals"]</v>
      </c>
      <c r="AC750" s="3">
        <f>_xlfn.XLOOKUP(A750,Album!A:A,Album!J:J)</f>
        <v>0</v>
      </c>
      <c r="AD750" s="3">
        <f>_xlfn.XLOOKUP(D750,Artists!A:A,Artists!B:B)</f>
        <v>0</v>
      </c>
      <c r="AE750" s="3">
        <f>_xlfn.XLOOKUP(D750,Artists!A:A,Artists!C:C)</f>
        <v>0</v>
      </c>
      <c r="AF750" s="3" t="str">
        <f t="shared" si="70"/>
        <v>OTHR</v>
      </c>
      <c r="AG750" s="3" t="str">
        <f t="shared" si="71"/>
        <v>OTHR</v>
      </c>
    </row>
    <row r="751" spans="24:33" x14ac:dyDescent="0.3">
      <c r="X751" s="3" t="str">
        <f t="shared" si="66"/>
        <v>-SADNE-</v>
      </c>
      <c r="Y751" s="3" t="str">
        <f t="shared" si="67"/>
        <v>-SLOWSS-</v>
      </c>
      <c r="Z751" s="4" t="str">
        <f t="shared" si="68"/>
        <v>{"couname":"","img":"0","pty":"","artist":"","genres":"","duration":"","spotId":"","Items":["-SADNE-","-SLOWSS-","OTHR","OTHR","XT_OffAnimals"]},</v>
      </c>
      <c r="AA751" s="5" t="s">
        <v>5</v>
      </c>
      <c r="AB751" s="3" t="str">
        <f t="shared" si="69"/>
        <v>["-SADNE-","-SLOWSS-","OTHR","OTHR","XT_OffAnimals"]</v>
      </c>
      <c r="AC751" s="3">
        <f>_xlfn.XLOOKUP(A751,Album!A:A,Album!J:J)</f>
        <v>0</v>
      </c>
      <c r="AD751" s="3">
        <f>_xlfn.XLOOKUP(D751,Artists!A:A,Artists!B:B)</f>
        <v>0</v>
      </c>
      <c r="AE751" s="3">
        <f>_xlfn.XLOOKUP(D751,Artists!A:A,Artists!C:C)</f>
        <v>0</v>
      </c>
      <c r="AF751" s="3" t="str">
        <f t="shared" si="70"/>
        <v>OTHR</v>
      </c>
      <c r="AG751" s="3" t="str">
        <f t="shared" si="71"/>
        <v>OTHR</v>
      </c>
    </row>
    <row r="752" spans="24:33" x14ac:dyDescent="0.3">
      <c r="X752" s="3" t="str">
        <f t="shared" si="66"/>
        <v>-SADNE-</v>
      </c>
      <c r="Y752" s="3" t="str">
        <f t="shared" si="67"/>
        <v>-SLOWSS-</v>
      </c>
      <c r="Z752" s="4" t="str">
        <f t="shared" si="68"/>
        <v>{"couname":"","img":"0","pty":"","artist":"","genres":"","duration":"","spotId":"","Items":["-SADNE-","-SLOWSS-","OTHR","OTHR","XT_OffAnimals"]},</v>
      </c>
      <c r="AA752" s="5" t="s">
        <v>5</v>
      </c>
      <c r="AB752" s="3" t="str">
        <f t="shared" si="69"/>
        <v>["-SADNE-","-SLOWSS-","OTHR","OTHR","XT_OffAnimals"]</v>
      </c>
      <c r="AC752" s="3">
        <f>_xlfn.XLOOKUP(A752,Album!A:A,Album!J:J)</f>
        <v>0</v>
      </c>
      <c r="AD752" s="3">
        <f>_xlfn.XLOOKUP(D752,Artists!A:A,Artists!B:B)</f>
        <v>0</v>
      </c>
      <c r="AE752" s="3">
        <f>_xlfn.XLOOKUP(D752,Artists!A:A,Artists!C:C)</f>
        <v>0</v>
      </c>
      <c r="AF752" s="3" t="str">
        <f t="shared" si="70"/>
        <v>OTHR</v>
      </c>
      <c r="AG752" s="3" t="str">
        <f t="shared" si="71"/>
        <v>OTHR</v>
      </c>
    </row>
    <row r="753" spans="24:33" x14ac:dyDescent="0.3">
      <c r="X753" s="3" t="str">
        <f t="shared" si="66"/>
        <v>-SADNE-</v>
      </c>
      <c r="Y753" s="3" t="str">
        <f t="shared" si="67"/>
        <v>-SLOWSS-</v>
      </c>
      <c r="Z753" s="4" t="str">
        <f t="shared" si="68"/>
        <v>{"couname":"","img":"0","pty":"","artist":"","genres":"","duration":"","spotId":"","Items":["-SADNE-","-SLOWSS-","OTHR","OTHR","XT_OffAnimals"]},</v>
      </c>
      <c r="AA753" s="5" t="s">
        <v>5</v>
      </c>
      <c r="AB753" s="3" t="str">
        <f t="shared" si="69"/>
        <v>["-SADNE-","-SLOWSS-","OTHR","OTHR","XT_OffAnimals"]</v>
      </c>
      <c r="AC753" s="3">
        <f>_xlfn.XLOOKUP(A753,Album!A:A,Album!J:J)</f>
        <v>0</v>
      </c>
      <c r="AD753" s="3">
        <f>_xlfn.XLOOKUP(D753,Artists!A:A,Artists!B:B)</f>
        <v>0</v>
      </c>
      <c r="AE753" s="3">
        <f>_xlfn.XLOOKUP(D753,Artists!A:A,Artists!C:C)</f>
        <v>0</v>
      </c>
      <c r="AF753" s="3" t="str">
        <f t="shared" si="70"/>
        <v>OTHR</v>
      </c>
      <c r="AG753" s="3" t="str">
        <f t="shared" si="71"/>
        <v>OTHR</v>
      </c>
    </row>
    <row r="754" spans="24:33" x14ac:dyDescent="0.3">
      <c r="X754" s="3" t="str">
        <f t="shared" si="66"/>
        <v>-SADNE-</v>
      </c>
      <c r="Y754" s="3" t="str">
        <f t="shared" si="67"/>
        <v>-SLOWSS-</v>
      </c>
      <c r="Z754" s="4" t="str">
        <f t="shared" si="68"/>
        <v>{"couname":"","img":"0","pty":"","artist":"","genres":"","duration":"","spotId":"","Items":["-SADNE-","-SLOWSS-","OTHR","OTHR","XT_OffAnimals"]},</v>
      </c>
      <c r="AA754" s="5" t="s">
        <v>5</v>
      </c>
      <c r="AB754" s="3" t="str">
        <f t="shared" si="69"/>
        <v>["-SADNE-","-SLOWSS-","OTHR","OTHR","XT_OffAnimals"]</v>
      </c>
      <c r="AC754" s="3">
        <f>_xlfn.XLOOKUP(A754,Album!A:A,Album!J:J)</f>
        <v>0</v>
      </c>
      <c r="AD754" s="3">
        <f>_xlfn.XLOOKUP(D754,Artists!A:A,Artists!B:B)</f>
        <v>0</v>
      </c>
      <c r="AE754" s="3">
        <f>_xlfn.XLOOKUP(D754,Artists!A:A,Artists!C:C)</f>
        <v>0</v>
      </c>
      <c r="AF754" s="3" t="str">
        <f t="shared" si="70"/>
        <v>OTHR</v>
      </c>
      <c r="AG754" s="3" t="str">
        <f t="shared" si="71"/>
        <v>OTHR</v>
      </c>
    </row>
    <row r="755" spans="24:33" x14ac:dyDescent="0.3">
      <c r="X755" s="3" t="str">
        <f t="shared" si="66"/>
        <v>-SADNE-</v>
      </c>
      <c r="Y755" s="3" t="str">
        <f t="shared" si="67"/>
        <v>-SLOWSS-</v>
      </c>
      <c r="Z755" s="4" t="str">
        <f t="shared" si="68"/>
        <v>{"couname":"","img":"0","pty":"","artist":"","genres":"","duration":"","spotId":"","Items":["-SADNE-","-SLOWSS-","OTHR","OTHR","XT_OffAnimals"]},</v>
      </c>
      <c r="AA755" s="5" t="s">
        <v>5</v>
      </c>
      <c r="AB755" s="3" t="str">
        <f t="shared" si="69"/>
        <v>["-SADNE-","-SLOWSS-","OTHR","OTHR","XT_OffAnimals"]</v>
      </c>
      <c r="AC755" s="3">
        <f>_xlfn.XLOOKUP(A755,Album!A:A,Album!J:J)</f>
        <v>0</v>
      </c>
      <c r="AD755" s="3">
        <f>_xlfn.XLOOKUP(D755,Artists!A:A,Artists!B:B)</f>
        <v>0</v>
      </c>
      <c r="AE755" s="3">
        <f>_xlfn.XLOOKUP(D755,Artists!A:A,Artists!C:C)</f>
        <v>0</v>
      </c>
      <c r="AF755" s="3" t="str">
        <f t="shared" si="70"/>
        <v>OTHR</v>
      </c>
      <c r="AG755" s="3" t="str">
        <f t="shared" si="71"/>
        <v>OTHR</v>
      </c>
    </row>
    <row r="756" spans="24:33" x14ac:dyDescent="0.3">
      <c r="X756" s="3" t="str">
        <f t="shared" si="66"/>
        <v>-SADNE-</v>
      </c>
      <c r="Y756" s="3" t="str">
        <f t="shared" si="67"/>
        <v>-SLOWSS-</v>
      </c>
      <c r="Z756" s="4" t="str">
        <f t="shared" si="68"/>
        <v>{"couname":"","img":"0","pty":"","artist":"","genres":"","duration":"","spotId":"","Items":["-SADNE-","-SLOWSS-","OTHR","OTHR","XT_OffAnimals"]},</v>
      </c>
      <c r="AA756" s="5" t="s">
        <v>5</v>
      </c>
      <c r="AB756" s="3" t="str">
        <f t="shared" si="69"/>
        <v>["-SADNE-","-SLOWSS-","OTHR","OTHR","XT_OffAnimals"]</v>
      </c>
      <c r="AC756" s="3">
        <f>_xlfn.XLOOKUP(A756,Album!A:A,Album!J:J)</f>
        <v>0</v>
      </c>
      <c r="AD756" s="3">
        <f>_xlfn.XLOOKUP(D756,Artists!A:A,Artists!B:B)</f>
        <v>0</v>
      </c>
      <c r="AE756" s="3">
        <f>_xlfn.XLOOKUP(D756,Artists!A:A,Artists!C:C)</f>
        <v>0</v>
      </c>
      <c r="AF756" s="3" t="str">
        <f t="shared" si="70"/>
        <v>OTHR</v>
      </c>
      <c r="AG756" s="3" t="str">
        <f t="shared" si="71"/>
        <v>OTHR</v>
      </c>
    </row>
    <row r="757" spans="24:33" x14ac:dyDescent="0.3">
      <c r="X757" s="3" t="str">
        <f t="shared" si="66"/>
        <v>-SADNE-</v>
      </c>
      <c r="Y757" s="3" t="str">
        <f t="shared" si="67"/>
        <v>-SLOWSS-</v>
      </c>
      <c r="Z757" s="4" t="str">
        <f t="shared" si="68"/>
        <v>{"couname":"","img":"0","pty":"","artist":"","genres":"","duration":"","spotId":"","Items":["-SADNE-","-SLOWSS-","OTHR","OTHR","XT_OffAnimals"]},</v>
      </c>
      <c r="AA757" s="5" t="s">
        <v>5</v>
      </c>
      <c r="AB757" s="3" t="str">
        <f t="shared" si="69"/>
        <v>["-SADNE-","-SLOWSS-","OTHR","OTHR","XT_OffAnimals"]</v>
      </c>
      <c r="AC757" s="3">
        <f>_xlfn.XLOOKUP(A757,Album!A:A,Album!J:J)</f>
        <v>0</v>
      </c>
      <c r="AD757" s="3">
        <f>_xlfn.XLOOKUP(D757,Artists!A:A,Artists!B:B)</f>
        <v>0</v>
      </c>
      <c r="AE757" s="3">
        <f>_xlfn.XLOOKUP(D757,Artists!A:A,Artists!C:C)</f>
        <v>0</v>
      </c>
      <c r="AF757" s="3" t="str">
        <f t="shared" si="70"/>
        <v>OTHR</v>
      </c>
      <c r="AG757" s="3" t="str">
        <f t="shared" si="71"/>
        <v>OTHR</v>
      </c>
    </row>
    <row r="758" spans="24:33" x14ac:dyDescent="0.3">
      <c r="X758" s="3" t="str">
        <f t="shared" si="66"/>
        <v>-SADNE-</v>
      </c>
      <c r="Y758" s="3" t="str">
        <f t="shared" si="67"/>
        <v>-SLOWSS-</v>
      </c>
      <c r="Z758" s="4" t="str">
        <f t="shared" si="68"/>
        <v>{"couname":"","img":"0","pty":"","artist":"","genres":"","duration":"","spotId":"","Items":["-SADNE-","-SLOWSS-","OTHR","OTHR","XT_OffAnimals"]},</v>
      </c>
      <c r="AA758" s="5" t="s">
        <v>5</v>
      </c>
      <c r="AB758" s="3" t="str">
        <f t="shared" si="69"/>
        <v>["-SADNE-","-SLOWSS-","OTHR","OTHR","XT_OffAnimals"]</v>
      </c>
      <c r="AC758" s="3">
        <f>_xlfn.XLOOKUP(A758,Album!A:A,Album!J:J)</f>
        <v>0</v>
      </c>
      <c r="AD758" s="3">
        <f>_xlfn.XLOOKUP(D758,Artists!A:A,Artists!B:B)</f>
        <v>0</v>
      </c>
      <c r="AE758" s="3">
        <f>_xlfn.XLOOKUP(D758,Artists!A:A,Artists!C:C)</f>
        <v>0</v>
      </c>
      <c r="AF758" s="3" t="str">
        <f t="shared" si="70"/>
        <v>OTHR</v>
      </c>
      <c r="AG758" s="3" t="str">
        <f t="shared" si="71"/>
        <v>OTHR</v>
      </c>
    </row>
    <row r="759" spans="24:33" x14ac:dyDescent="0.3">
      <c r="X759" s="3" t="str">
        <f t="shared" si="66"/>
        <v>-SADNE-</v>
      </c>
      <c r="Y759" s="3" t="str">
        <f t="shared" si="67"/>
        <v>-SLOWSS-</v>
      </c>
      <c r="Z759" s="4" t="str">
        <f t="shared" si="68"/>
        <v>{"couname":"","img":"0","pty":"","artist":"","genres":"","duration":"","spotId":"","Items":["-SADNE-","-SLOWSS-","OTHR","OTHR","XT_OffAnimals"]},</v>
      </c>
      <c r="AA759" s="5" t="s">
        <v>5</v>
      </c>
      <c r="AB759" s="3" t="str">
        <f t="shared" si="69"/>
        <v>["-SADNE-","-SLOWSS-","OTHR","OTHR","XT_OffAnimals"]</v>
      </c>
      <c r="AC759" s="3">
        <f>_xlfn.XLOOKUP(A759,Album!A:A,Album!J:J)</f>
        <v>0</v>
      </c>
      <c r="AD759" s="3">
        <f>_xlfn.XLOOKUP(D759,Artists!A:A,Artists!B:B)</f>
        <v>0</v>
      </c>
      <c r="AE759" s="3">
        <f>_xlfn.XLOOKUP(D759,Artists!A:A,Artists!C:C)</f>
        <v>0</v>
      </c>
      <c r="AF759" s="3" t="str">
        <f t="shared" si="70"/>
        <v>OTHR</v>
      </c>
      <c r="AG759" s="3" t="str">
        <f t="shared" si="71"/>
        <v>OTHR</v>
      </c>
    </row>
    <row r="760" spans="24:33" x14ac:dyDescent="0.3">
      <c r="X760" s="3" t="str">
        <f t="shared" si="66"/>
        <v>-SADNE-</v>
      </c>
      <c r="Y760" s="3" t="str">
        <f t="shared" si="67"/>
        <v>-SLOWSS-</v>
      </c>
      <c r="Z760" s="4" t="str">
        <f t="shared" si="68"/>
        <v>{"couname":"","img":"0","pty":"","artist":"","genres":"","duration":"","spotId":"","Items":["-SADNE-","-SLOWSS-","OTHR","OTHR","XT_OffAnimals"]},</v>
      </c>
      <c r="AA760" s="5" t="s">
        <v>5</v>
      </c>
      <c r="AB760" s="3" t="str">
        <f t="shared" si="69"/>
        <v>["-SADNE-","-SLOWSS-","OTHR","OTHR","XT_OffAnimals"]</v>
      </c>
      <c r="AC760" s="3">
        <f>_xlfn.XLOOKUP(A760,Album!A:A,Album!J:J)</f>
        <v>0</v>
      </c>
      <c r="AD760" s="3">
        <f>_xlfn.XLOOKUP(D760,Artists!A:A,Artists!B:B)</f>
        <v>0</v>
      </c>
      <c r="AE760" s="3">
        <f>_xlfn.XLOOKUP(D760,Artists!A:A,Artists!C:C)</f>
        <v>0</v>
      </c>
      <c r="AF760" s="3" t="str">
        <f t="shared" si="70"/>
        <v>OTHR</v>
      </c>
      <c r="AG760" s="3" t="str">
        <f t="shared" si="71"/>
        <v>OTHR</v>
      </c>
    </row>
    <row r="761" spans="24:33" x14ac:dyDescent="0.3">
      <c r="X761" s="3" t="str">
        <f t="shared" si="66"/>
        <v>-SADNE-</v>
      </c>
      <c r="Y761" s="3" t="str">
        <f t="shared" si="67"/>
        <v>-SLOWSS-</v>
      </c>
      <c r="Z761" s="4" t="str">
        <f t="shared" si="68"/>
        <v>{"couname":"","img":"0","pty":"","artist":"","genres":"","duration":"","spotId":"","Items":["-SADNE-","-SLOWSS-","OTHR","OTHR","XT_OffAnimals"]},</v>
      </c>
      <c r="AA761" s="5" t="s">
        <v>5</v>
      </c>
      <c r="AB761" s="3" t="str">
        <f t="shared" si="69"/>
        <v>["-SADNE-","-SLOWSS-","OTHR","OTHR","XT_OffAnimals"]</v>
      </c>
      <c r="AC761" s="3">
        <f>_xlfn.XLOOKUP(A761,Album!A:A,Album!J:J)</f>
        <v>0</v>
      </c>
      <c r="AD761" s="3">
        <f>_xlfn.XLOOKUP(D761,Artists!A:A,Artists!B:B)</f>
        <v>0</v>
      </c>
      <c r="AE761" s="3">
        <f>_xlfn.XLOOKUP(D761,Artists!A:A,Artists!C:C)</f>
        <v>0</v>
      </c>
      <c r="AF761" s="3" t="str">
        <f t="shared" si="70"/>
        <v>OTHR</v>
      </c>
      <c r="AG761" s="3" t="str">
        <f t="shared" si="71"/>
        <v>OTHR</v>
      </c>
    </row>
    <row r="762" spans="24:33" x14ac:dyDescent="0.3">
      <c r="X762" s="3" t="str">
        <f t="shared" si="66"/>
        <v>-SADNE-</v>
      </c>
      <c r="Y762" s="3" t="str">
        <f t="shared" si="67"/>
        <v>-SLOWSS-</v>
      </c>
      <c r="Z762" s="4" t="str">
        <f t="shared" si="68"/>
        <v>{"couname":"","img":"0","pty":"","artist":"","genres":"","duration":"","spotId":"","Items":["-SADNE-","-SLOWSS-","OTHR","OTHR","XT_OffAnimals"]},</v>
      </c>
      <c r="AA762" s="5" t="s">
        <v>5</v>
      </c>
      <c r="AB762" s="3" t="str">
        <f t="shared" si="69"/>
        <v>["-SADNE-","-SLOWSS-","OTHR","OTHR","XT_OffAnimals"]</v>
      </c>
      <c r="AC762" s="3">
        <f>_xlfn.XLOOKUP(A762,Album!A:A,Album!J:J)</f>
        <v>0</v>
      </c>
      <c r="AD762" s="3">
        <f>_xlfn.XLOOKUP(D762,Artists!A:A,Artists!B:B)</f>
        <v>0</v>
      </c>
      <c r="AE762" s="3">
        <f>_xlfn.XLOOKUP(D762,Artists!A:A,Artists!C:C)</f>
        <v>0</v>
      </c>
      <c r="AF762" s="3" t="str">
        <f t="shared" si="70"/>
        <v>OTHR</v>
      </c>
      <c r="AG762" s="3" t="str">
        <f t="shared" si="71"/>
        <v>OTHR</v>
      </c>
    </row>
    <row r="763" spans="24:33" x14ac:dyDescent="0.3">
      <c r="X763" s="3" t="str">
        <f t="shared" si="66"/>
        <v>-SADNE-</v>
      </c>
      <c r="Y763" s="3" t="str">
        <f t="shared" si="67"/>
        <v>-SLOWSS-</v>
      </c>
      <c r="Z763" s="4" t="str">
        <f t="shared" si="68"/>
        <v>{"couname":"","img":"0","pty":"","artist":"","genres":"","duration":"","spotId":"","Items":["-SADNE-","-SLOWSS-","OTHR","OTHR","XT_OffAnimals"]},</v>
      </c>
      <c r="AA763" s="5" t="s">
        <v>5</v>
      </c>
      <c r="AB763" s="3" t="str">
        <f t="shared" si="69"/>
        <v>["-SADNE-","-SLOWSS-","OTHR","OTHR","XT_OffAnimals"]</v>
      </c>
      <c r="AC763" s="3">
        <f>_xlfn.XLOOKUP(A763,Album!A:A,Album!J:J)</f>
        <v>0</v>
      </c>
      <c r="AD763" s="3">
        <f>_xlfn.XLOOKUP(D763,Artists!A:A,Artists!B:B)</f>
        <v>0</v>
      </c>
      <c r="AE763" s="3">
        <f>_xlfn.XLOOKUP(D763,Artists!A:A,Artists!C:C)</f>
        <v>0</v>
      </c>
      <c r="AF763" s="3" t="str">
        <f t="shared" si="70"/>
        <v>OTHR</v>
      </c>
      <c r="AG763" s="3" t="str">
        <f t="shared" si="71"/>
        <v>OTHR</v>
      </c>
    </row>
    <row r="764" spans="24:33" x14ac:dyDescent="0.3">
      <c r="X764" s="3" t="str">
        <f t="shared" si="66"/>
        <v>-SADNE-</v>
      </c>
      <c r="Y764" s="3" t="str">
        <f t="shared" si="67"/>
        <v>-SLOWSS-</v>
      </c>
      <c r="Z764" s="4" t="str">
        <f t="shared" si="68"/>
        <v>{"couname":"","img":"0","pty":"","artist":"","genres":"","duration":"","spotId":"","Items":["-SADNE-","-SLOWSS-","OTHR","OTHR","XT_OffAnimals"]},</v>
      </c>
      <c r="AA764" s="5" t="s">
        <v>5</v>
      </c>
      <c r="AB764" s="3" t="str">
        <f t="shared" si="69"/>
        <v>["-SADNE-","-SLOWSS-","OTHR","OTHR","XT_OffAnimals"]</v>
      </c>
      <c r="AC764" s="3">
        <f>_xlfn.XLOOKUP(A764,Album!A:A,Album!J:J)</f>
        <v>0</v>
      </c>
      <c r="AD764" s="3">
        <f>_xlfn.XLOOKUP(D764,Artists!A:A,Artists!B:B)</f>
        <v>0</v>
      </c>
      <c r="AE764" s="3">
        <f>_xlfn.XLOOKUP(D764,Artists!A:A,Artists!C:C)</f>
        <v>0</v>
      </c>
      <c r="AF764" s="3" t="str">
        <f t="shared" si="70"/>
        <v>OTHR</v>
      </c>
      <c r="AG764" s="3" t="str">
        <f t="shared" si="71"/>
        <v>OTHR</v>
      </c>
    </row>
    <row r="765" spans="24:33" x14ac:dyDescent="0.3">
      <c r="X765" s="3" t="str">
        <f t="shared" si="66"/>
        <v>-SADNE-</v>
      </c>
      <c r="Y765" s="3" t="str">
        <f t="shared" si="67"/>
        <v>-SLOWSS-</v>
      </c>
      <c r="Z765" s="4" t="str">
        <f t="shared" si="68"/>
        <v>{"couname":"","img":"0","pty":"","artist":"","genres":"","duration":"","spotId":"","Items":["-SADNE-","-SLOWSS-","OTHR","OTHR","XT_OffAnimals"]},</v>
      </c>
      <c r="AA765" s="5" t="s">
        <v>5</v>
      </c>
      <c r="AB765" s="3" t="str">
        <f t="shared" si="69"/>
        <v>["-SADNE-","-SLOWSS-","OTHR","OTHR","XT_OffAnimals"]</v>
      </c>
      <c r="AC765" s="3">
        <f>_xlfn.XLOOKUP(A765,Album!A:A,Album!J:J)</f>
        <v>0</v>
      </c>
      <c r="AD765" s="3">
        <f>_xlfn.XLOOKUP(D765,Artists!A:A,Artists!B:B)</f>
        <v>0</v>
      </c>
      <c r="AE765" s="3">
        <f>_xlfn.XLOOKUP(D765,Artists!A:A,Artists!C:C)</f>
        <v>0</v>
      </c>
      <c r="AF765" s="3" t="str">
        <f t="shared" si="70"/>
        <v>OTHR</v>
      </c>
      <c r="AG765" s="3" t="str">
        <f t="shared" si="71"/>
        <v>OTHR</v>
      </c>
    </row>
    <row r="766" spans="24:33" x14ac:dyDescent="0.3">
      <c r="X766" s="3" t="str">
        <f t="shared" si="66"/>
        <v>-SADNE-</v>
      </c>
      <c r="Y766" s="3" t="str">
        <f t="shared" si="67"/>
        <v>-SLOWSS-</v>
      </c>
      <c r="Z766" s="4" t="str">
        <f t="shared" si="68"/>
        <v>{"couname":"","img":"0","pty":"","artist":"","genres":"","duration":"","spotId":"","Items":["-SADNE-","-SLOWSS-","OTHR","OTHR","XT_OffAnimals"]},</v>
      </c>
      <c r="AA766" s="5" t="s">
        <v>5</v>
      </c>
      <c r="AB766" s="3" t="str">
        <f t="shared" si="69"/>
        <v>["-SADNE-","-SLOWSS-","OTHR","OTHR","XT_OffAnimals"]</v>
      </c>
      <c r="AC766" s="3">
        <f>_xlfn.XLOOKUP(A766,Album!A:A,Album!J:J)</f>
        <v>0</v>
      </c>
      <c r="AD766" s="3">
        <f>_xlfn.XLOOKUP(D766,Artists!A:A,Artists!B:B)</f>
        <v>0</v>
      </c>
      <c r="AE766" s="3">
        <f>_xlfn.XLOOKUP(D766,Artists!A:A,Artists!C:C)</f>
        <v>0</v>
      </c>
      <c r="AF766" s="3" t="str">
        <f t="shared" si="70"/>
        <v>OTHR</v>
      </c>
      <c r="AG766" s="3" t="str">
        <f t="shared" si="71"/>
        <v>OTHR</v>
      </c>
    </row>
    <row r="767" spans="24:33" x14ac:dyDescent="0.3">
      <c r="X767" s="3" t="str">
        <f t="shared" si="66"/>
        <v>-SADNE-</v>
      </c>
      <c r="Y767" s="3" t="str">
        <f t="shared" si="67"/>
        <v>-SLOWSS-</v>
      </c>
      <c r="Z767" s="4" t="str">
        <f t="shared" si="68"/>
        <v>{"couname":"","img":"0","pty":"","artist":"","genres":"","duration":"","spotId":"","Items":["-SADNE-","-SLOWSS-","OTHR","OTHR","XT_OffAnimals"]},</v>
      </c>
      <c r="AA767" s="5" t="s">
        <v>5</v>
      </c>
      <c r="AB767" s="3" t="str">
        <f t="shared" si="69"/>
        <v>["-SADNE-","-SLOWSS-","OTHR","OTHR","XT_OffAnimals"]</v>
      </c>
      <c r="AC767" s="3">
        <f>_xlfn.XLOOKUP(A767,Album!A:A,Album!J:J)</f>
        <v>0</v>
      </c>
      <c r="AD767" s="3">
        <f>_xlfn.XLOOKUP(D767,Artists!A:A,Artists!B:B)</f>
        <v>0</v>
      </c>
      <c r="AE767" s="3">
        <f>_xlfn.XLOOKUP(D767,Artists!A:A,Artists!C:C)</f>
        <v>0</v>
      </c>
      <c r="AF767" s="3" t="str">
        <f t="shared" si="70"/>
        <v>OTHR</v>
      </c>
      <c r="AG767" s="3" t="str">
        <f t="shared" si="71"/>
        <v>OTHR</v>
      </c>
    </row>
    <row r="768" spans="24:33" x14ac:dyDescent="0.3">
      <c r="X768" s="3" t="str">
        <f t="shared" si="66"/>
        <v>-SADNE-</v>
      </c>
      <c r="Y768" s="3" t="str">
        <f t="shared" si="67"/>
        <v>-SLOWSS-</v>
      </c>
      <c r="Z768" s="4" t="str">
        <f t="shared" si="68"/>
        <v>{"couname":"","img":"0","pty":"","artist":"","genres":"","duration":"","spotId":"","Items":["-SADNE-","-SLOWSS-","OTHR","OTHR","XT_OffAnimals"]},</v>
      </c>
      <c r="AA768" s="5" t="s">
        <v>5</v>
      </c>
      <c r="AB768" s="3" t="str">
        <f t="shared" si="69"/>
        <v>["-SADNE-","-SLOWSS-","OTHR","OTHR","XT_OffAnimals"]</v>
      </c>
      <c r="AC768" s="3">
        <f>_xlfn.XLOOKUP(A768,Album!A:A,Album!J:J)</f>
        <v>0</v>
      </c>
      <c r="AD768" s="3">
        <f>_xlfn.XLOOKUP(D768,Artists!A:A,Artists!B:B)</f>
        <v>0</v>
      </c>
      <c r="AE768" s="3">
        <f>_xlfn.XLOOKUP(D768,Artists!A:A,Artists!C:C)</f>
        <v>0</v>
      </c>
      <c r="AF768" s="3" t="str">
        <f t="shared" si="70"/>
        <v>OTHR</v>
      </c>
      <c r="AG768" s="3" t="str">
        <f t="shared" si="71"/>
        <v>OTHR</v>
      </c>
    </row>
    <row r="769" spans="24:33" x14ac:dyDescent="0.3">
      <c r="X769" s="3" t="str">
        <f t="shared" si="66"/>
        <v>-SADNE-</v>
      </c>
      <c r="Y769" s="3" t="str">
        <f t="shared" si="67"/>
        <v>-SLOWSS-</v>
      </c>
      <c r="Z769" s="4" t="str">
        <f t="shared" si="68"/>
        <v>{"couname":"","img":"0","pty":"","artist":"","genres":"","duration":"","spotId":"","Items":["-SADNE-","-SLOWSS-","OTHR","OTHR","XT_OffAnimals"]},</v>
      </c>
      <c r="AA769" s="5" t="s">
        <v>5</v>
      </c>
      <c r="AB769" s="3" t="str">
        <f t="shared" si="69"/>
        <v>["-SADNE-","-SLOWSS-","OTHR","OTHR","XT_OffAnimals"]</v>
      </c>
      <c r="AC769" s="3">
        <f>_xlfn.XLOOKUP(A769,Album!A:A,Album!J:J)</f>
        <v>0</v>
      </c>
      <c r="AD769" s="3">
        <f>_xlfn.XLOOKUP(D769,Artists!A:A,Artists!B:B)</f>
        <v>0</v>
      </c>
      <c r="AE769" s="3">
        <f>_xlfn.XLOOKUP(D769,Artists!A:A,Artists!C:C)</f>
        <v>0</v>
      </c>
      <c r="AF769" s="3" t="str">
        <f t="shared" si="70"/>
        <v>OTHR</v>
      </c>
      <c r="AG769" s="3" t="str">
        <f t="shared" si="71"/>
        <v>OTHR</v>
      </c>
    </row>
    <row r="770" spans="24:33" x14ac:dyDescent="0.3">
      <c r="X770" s="3" t="str">
        <f t="shared" ref="X770:X833" si="72">IF(OR(U770&lt;0.301, AND(U770&lt;0.4, P770=0)), "-SADNE-", "-HAPPY-")</f>
        <v>-SADNE-</v>
      </c>
      <c r="Y770" s="3" t="str">
        <f t="shared" ref="Y770:Y833" si="73">IF(OR(AND(L770&lt;0.5,M770&lt;0.5),AND(L770&lt;0.45,V770&lt;100),AND(M770&lt;0.45,V770&lt;100),AND(U770&lt;0.39,V770&lt;100)),"-SLOWSS-","-ENERGY-")</f>
        <v>-SLOWSS-</v>
      </c>
      <c r="Z770" s="4" t="str">
        <f t="shared" si="68"/>
        <v>{"couname":"","img":"0","pty":"","artist":"","genres":"","duration":"","spotId":"","Items":["-SADNE-","-SLOWSS-","OTHR","OTHR","XT_OffAnimals"]},</v>
      </c>
      <c r="AA770" s="5" t="s">
        <v>5</v>
      </c>
      <c r="AB770" s="3" t="str">
        <f t="shared" si="69"/>
        <v>["-SADNE-","-SLOWSS-","OTHR","OTHR","XT_OffAnimals"]</v>
      </c>
      <c r="AC770" s="3">
        <f>_xlfn.XLOOKUP(A770,Album!A:A,Album!J:J)</f>
        <v>0</v>
      </c>
      <c r="AD770" s="3">
        <f>_xlfn.XLOOKUP(D770,Artists!A:A,Artists!B:B)</f>
        <v>0</v>
      </c>
      <c r="AE770" s="3">
        <f>_xlfn.XLOOKUP(D770,Artists!A:A,Artists!C:C)</f>
        <v>0</v>
      </c>
      <c r="AF770" s="3" t="str">
        <f t="shared" si="70"/>
        <v>OTHR</v>
      </c>
      <c r="AG770" s="3" t="str">
        <f t="shared" si="71"/>
        <v>OTHR</v>
      </c>
    </row>
    <row r="771" spans="24:33" x14ac:dyDescent="0.3">
      <c r="X771" s="3" t="str">
        <f t="shared" si="72"/>
        <v>-SADNE-</v>
      </c>
      <c r="Y771" s="3" t="str">
        <f t="shared" si="73"/>
        <v>-SLOWSS-</v>
      </c>
      <c r="Z771" s="4" t="str">
        <f t="shared" ref="Z771:Z834" si="74">"{"&amp;CHAR(34)&amp;"couname"&amp;CHAR(34)&amp;":"&amp;CHAR(34)&amp;B771&amp;CHAR(34)&amp;","&amp;CHAR(34)&amp;"img"&amp;CHAR(34)&amp;":"&amp;CHAR(34)&amp;AC771&amp;CHAR(34)&amp;","&amp;CHAR(34)&amp;"pty"&amp;CHAR(34)&amp;":"&amp;CHAR(34)&amp;G771&amp;CHAR(34)&amp;","&amp;CHAR(34)&amp;"artist"&amp;CHAR(34)&amp;":"&amp;CHAR(34)&amp;D771&amp;CHAR(34)&amp;","&amp;CHAR(34)&amp;"genres"&amp;CHAR(34)&amp;":"&amp;CHAR(34)&amp;J771&amp;CHAR(34)&amp;","&amp;CHAR(34)&amp;"duration"&amp;CHAR(34)&amp;":"&amp;CHAR(34)&amp;F771&amp;CHAR(34)&amp;","&amp;CHAR(34)&amp;"spotId"&amp;CHAR(34)&amp;":"&amp;CHAR(34)&amp;A771&amp;CHAR(34)&amp;","&amp;CHAR(34)&amp;"Items"&amp;CHAR(34)&amp;":"&amp;AB771&amp;"},"</f>
        <v>{"couname":"","img":"0","pty":"","artist":"","genres":"","duration":"","spotId":"","Items":["-SADNE-","-SLOWSS-","OTHR","OTHR","XT_OffAnimals"]},</v>
      </c>
      <c r="AA771" s="5" t="s">
        <v>5</v>
      </c>
      <c r="AB771" s="3" t="str">
        <f t="shared" ref="AB771:AB834" si="75" xml:space="preserve"> "[" &amp; _xlfn.TEXTJOIN(",",TRUE,CHAR(34) &amp; X771&amp; CHAR(34), CHAR(34) &amp; Y771 &amp; CHAR(34),  CHAR(34) &amp; AF771 &amp; CHAR(34), CHAR(34) &amp;AG771 &amp; CHAR(34), CHAR(34) &amp; AA771 &amp; CHAR(34)) &amp; "]"</f>
        <v>["-SADNE-","-SLOWSS-","OTHR","OTHR","XT_OffAnimals"]</v>
      </c>
      <c r="AC771" s="3">
        <f>_xlfn.XLOOKUP(A771,Album!A:A,Album!J:J)</f>
        <v>0</v>
      </c>
      <c r="AD771" s="3">
        <f>_xlfn.XLOOKUP(D771,Artists!A:A,Artists!B:B)</f>
        <v>0</v>
      </c>
      <c r="AE771" s="3">
        <f>_xlfn.XLOOKUP(D771,Artists!A:A,Artists!C:C)</f>
        <v>0</v>
      </c>
      <c r="AF771" s="3" t="str">
        <f t="shared" ref="AF771:AF834" si="76">IF(ISNUMBER(SEARCH("female", AD771)), "GIRL", IF(ISNUMBER(SEARCH("male", AD771)), "DUDE", "OTHR"))</f>
        <v>OTHR</v>
      </c>
      <c r="AG771" s="3" t="str">
        <f t="shared" ref="AG771:AG834" si="77">IF(ISNUMBER(SEARCH("band", AD771)), "BAND", IF(ISNUMBER(SEARCH("solo", AD771)), "SOLO", "OTHR"))</f>
        <v>OTHR</v>
      </c>
    </row>
    <row r="772" spans="24:33" x14ac:dyDescent="0.3">
      <c r="X772" s="3" t="str">
        <f t="shared" si="72"/>
        <v>-SADNE-</v>
      </c>
      <c r="Y772" s="3" t="str">
        <f t="shared" si="73"/>
        <v>-SLOWSS-</v>
      </c>
      <c r="Z772" s="4" t="str">
        <f t="shared" si="74"/>
        <v>{"couname":"","img":"0","pty":"","artist":"","genres":"","duration":"","spotId":"","Items":["-SADNE-","-SLOWSS-","OTHR","OTHR","XT_OffAnimals"]},</v>
      </c>
      <c r="AA772" s="5" t="s">
        <v>5</v>
      </c>
      <c r="AB772" s="3" t="str">
        <f t="shared" si="75"/>
        <v>["-SADNE-","-SLOWSS-","OTHR","OTHR","XT_OffAnimals"]</v>
      </c>
      <c r="AC772" s="3">
        <f>_xlfn.XLOOKUP(A772,Album!A:A,Album!J:J)</f>
        <v>0</v>
      </c>
      <c r="AD772" s="3">
        <f>_xlfn.XLOOKUP(D772,Artists!A:A,Artists!B:B)</f>
        <v>0</v>
      </c>
      <c r="AE772" s="3">
        <f>_xlfn.XLOOKUP(D772,Artists!A:A,Artists!C:C)</f>
        <v>0</v>
      </c>
      <c r="AF772" s="3" t="str">
        <f t="shared" si="76"/>
        <v>OTHR</v>
      </c>
      <c r="AG772" s="3" t="str">
        <f t="shared" si="77"/>
        <v>OTHR</v>
      </c>
    </row>
    <row r="773" spans="24:33" x14ac:dyDescent="0.3">
      <c r="X773" s="3" t="str">
        <f t="shared" si="72"/>
        <v>-SADNE-</v>
      </c>
      <c r="Y773" s="3" t="str">
        <f t="shared" si="73"/>
        <v>-SLOWSS-</v>
      </c>
      <c r="Z773" s="4" t="str">
        <f t="shared" si="74"/>
        <v>{"couname":"","img":"0","pty":"","artist":"","genres":"","duration":"","spotId":"","Items":["-SADNE-","-SLOWSS-","OTHR","OTHR","XT_OffAnimals"]},</v>
      </c>
      <c r="AA773" s="5" t="s">
        <v>5</v>
      </c>
      <c r="AB773" s="3" t="str">
        <f t="shared" si="75"/>
        <v>["-SADNE-","-SLOWSS-","OTHR","OTHR","XT_OffAnimals"]</v>
      </c>
      <c r="AC773" s="3">
        <f>_xlfn.XLOOKUP(A773,Album!A:A,Album!J:J)</f>
        <v>0</v>
      </c>
      <c r="AD773" s="3">
        <f>_xlfn.XLOOKUP(D773,Artists!A:A,Artists!B:B)</f>
        <v>0</v>
      </c>
      <c r="AE773" s="3">
        <f>_xlfn.XLOOKUP(D773,Artists!A:A,Artists!C:C)</f>
        <v>0</v>
      </c>
      <c r="AF773" s="3" t="str">
        <f t="shared" si="76"/>
        <v>OTHR</v>
      </c>
      <c r="AG773" s="3" t="str">
        <f t="shared" si="77"/>
        <v>OTHR</v>
      </c>
    </row>
    <row r="774" spans="24:33" x14ac:dyDescent="0.3">
      <c r="X774" s="3" t="str">
        <f t="shared" si="72"/>
        <v>-SADNE-</v>
      </c>
      <c r="Y774" s="3" t="str">
        <f t="shared" si="73"/>
        <v>-SLOWSS-</v>
      </c>
      <c r="Z774" s="4" t="str">
        <f t="shared" si="74"/>
        <v>{"couname":"","img":"0","pty":"","artist":"","genres":"","duration":"","spotId":"","Items":["-SADNE-","-SLOWSS-","OTHR","OTHR","XT_OffAnimals"]},</v>
      </c>
      <c r="AA774" s="5" t="s">
        <v>5</v>
      </c>
      <c r="AB774" s="3" t="str">
        <f t="shared" si="75"/>
        <v>["-SADNE-","-SLOWSS-","OTHR","OTHR","XT_OffAnimals"]</v>
      </c>
      <c r="AC774" s="3">
        <f>_xlfn.XLOOKUP(A774,Album!A:A,Album!J:J)</f>
        <v>0</v>
      </c>
      <c r="AD774" s="3">
        <f>_xlfn.XLOOKUP(D774,Artists!A:A,Artists!B:B)</f>
        <v>0</v>
      </c>
      <c r="AE774" s="3">
        <f>_xlfn.XLOOKUP(D774,Artists!A:A,Artists!C:C)</f>
        <v>0</v>
      </c>
      <c r="AF774" s="3" t="str">
        <f t="shared" si="76"/>
        <v>OTHR</v>
      </c>
      <c r="AG774" s="3" t="str">
        <f t="shared" si="77"/>
        <v>OTHR</v>
      </c>
    </row>
    <row r="775" spans="24:33" x14ac:dyDescent="0.3">
      <c r="X775" s="3" t="str">
        <f t="shared" si="72"/>
        <v>-SADNE-</v>
      </c>
      <c r="Y775" s="3" t="str">
        <f t="shared" si="73"/>
        <v>-SLOWSS-</v>
      </c>
      <c r="Z775" s="4" t="str">
        <f t="shared" si="74"/>
        <v>{"couname":"","img":"0","pty":"","artist":"","genres":"","duration":"","spotId":"","Items":["-SADNE-","-SLOWSS-","OTHR","OTHR","XT_OffAnimals"]},</v>
      </c>
      <c r="AA775" s="5" t="s">
        <v>5</v>
      </c>
      <c r="AB775" s="3" t="str">
        <f t="shared" si="75"/>
        <v>["-SADNE-","-SLOWSS-","OTHR","OTHR","XT_OffAnimals"]</v>
      </c>
      <c r="AC775" s="3">
        <f>_xlfn.XLOOKUP(A775,Album!A:A,Album!J:J)</f>
        <v>0</v>
      </c>
      <c r="AD775" s="3">
        <f>_xlfn.XLOOKUP(D775,Artists!A:A,Artists!B:B)</f>
        <v>0</v>
      </c>
      <c r="AE775" s="3">
        <f>_xlfn.XLOOKUP(D775,Artists!A:A,Artists!C:C)</f>
        <v>0</v>
      </c>
      <c r="AF775" s="3" t="str">
        <f t="shared" si="76"/>
        <v>OTHR</v>
      </c>
      <c r="AG775" s="3" t="str">
        <f t="shared" si="77"/>
        <v>OTHR</v>
      </c>
    </row>
    <row r="776" spans="24:33" x14ac:dyDescent="0.3">
      <c r="X776" s="3" t="str">
        <f t="shared" si="72"/>
        <v>-SADNE-</v>
      </c>
      <c r="Y776" s="3" t="str">
        <f t="shared" si="73"/>
        <v>-SLOWSS-</v>
      </c>
      <c r="Z776" s="4" t="str">
        <f t="shared" si="74"/>
        <v>{"couname":"","img":"0","pty":"","artist":"","genres":"","duration":"","spotId":"","Items":["-SADNE-","-SLOWSS-","OTHR","OTHR","XT_OffAnimals"]},</v>
      </c>
      <c r="AA776" s="5" t="s">
        <v>5</v>
      </c>
      <c r="AB776" s="3" t="str">
        <f t="shared" si="75"/>
        <v>["-SADNE-","-SLOWSS-","OTHR","OTHR","XT_OffAnimals"]</v>
      </c>
      <c r="AC776" s="3">
        <f>_xlfn.XLOOKUP(A776,Album!A:A,Album!J:J)</f>
        <v>0</v>
      </c>
      <c r="AD776" s="3">
        <f>_xlfn.XLOOKUP(D776,Artists!A:A,Artists!B:B)</f>
        <v>0</v>
      </c>
      <c r="AE776" s="3">
        <f>_xlfn.XLOOKUP(D776,Artists!A:A,Artists!C:C)</f>
        <v>0</v>
      </c>
      <c r="AF776" s="3" t="str">
        <f t="shared" si="76"/>
        <v>OTHR</v>
      </c>
      <c r="AG776" s="3" t="str">
        <f t="shared" si="77"/>
        <v>OTHR</v>
      </c>
    </row>
    <row r="777" spans="24:33" x14ac:dyDescent="0.3">
      <c r="X777" s="3" t="str">
        <f t="shared" si="72"/>
        <v>-SADNE-</v>
      </c>
      <c r="Y777" s="3" t="str">
        <f t="shared" si="73"/>
        <v>-SLOWSS-</v>
      </c>
      <c r="Z777" s="4" t="str">
        <f t="shared" si="74"/>
        <v>{"couname":"","img":"0","pty":"","artist":"","genres":"","duration":"","spotId":"","Items":["-SADNE-","-SLOWSS-","OTHR","OTHR","XT_OffAnimals"]},</v>
      </c>
      <c r="AA777" s="5" t="s">
        <v>5</v>
      </c>
      <c r="AB777" s="3" t="str">
        <f t="shared" si="75"/>
        <v>["-SADNE-","-SLOWSS-","OTHR","OTHR","XT_OffAnimals"]</v>
      </c>
      <c r="AC777" s="3">
        <f>_xlfn.XLOOKUP(A777,Album!A:A,Album!J:J)</f>
        <v>0</v>
      </c>
      <c r="AD777" s="3">
        <f>_xlfn.XLOOKUP(D777,Artists!A:A,Artists!B:B)</f>
        <v>0</v>
      </c>
      <c r="AE777" s="3">
        <f>_xlfn.XLOOKUP(D777,Artists!A:A,Artists!C:C)</f>
        <v>0</v>
      </c>
      <c r="AF777" s="3" t="str">
        <f t="shared" si="76"/>
        <v>OTHR</v>
      </c>
      <c r="AG777" s="3" t="str">
        <f t="shared" si="77"/>
        <v>OTHR</v>
      </c>
    </row>
    <row r="778" spans="24:33" x14ac:dyDescent="0.3">
      <c r="X778" s="3" t="str">
        <f t="shared" si="72"/>
        <v>-SADNE-</v>
      </c>
      <c r="Y778" s="3" t="str">
        <f t="shared" si="73"/>
        <v>-SLOWSS-</v>
      </c>
      <c r="Z778" s="4" t="str">
        <f t="shared" si="74"/>
        <v>{"couname":"","img":"0","pty":"","artist":"","genres":"","duration":"","spotId":"","Items":["-SADNE-","-SLOWSS-","OTHR","OTHR","XT_OffAnimals"]},</v>
      </c>
      <c r="AA778" s="5" t="s">
        <v>5</v>
      </c>
      <c r="AB778" s="3" t="str">
        <f t="shared" si="75"/>
        <v>["-SADNE-","-SLOWSS-","OTHR","OTHR","XT_OffAnimals"]</v>
      </c>
      <c r="AC778" s="3">
        <f>_xlfn.XLOOKUP(A778,Album!A:A,Album!J:J)</f>
        <v>0</v>
      </c>
      <c r="AD778" s="3">
        <f>_xlfn.XLOOKUP(D778,Artists!A:A,Artists!B:B)</f>
        <v>0</v>
      </c>
      <c r="AE778" s="3">
        <f>_xlfn.XLOOKUP(D778,Artists!A:A,Artists!C:C)</f>
        <v>0</v>
      </c>
      <c r="AF778" s="3" t="str">
        <f t="shared" si="76"/>
        <v>OTHR</v>
      </c>
      <c r="AG778" s="3" t="str">
        <f t="shared" si="77"/>
        <v>OTHR</v>
      </c>
    </row>
    <row r="779" spans="24:33" x14ac:dyDescent="0.3">
      <c r="X779" s="3" t="str">
        <f t="shared" si="72"/>
        <v>-SADNE-</v>
      </c>
      <c r="Y779" s="3" t="str">
        <f t="shared" si="73"/>
        <v>-SLOWSS-</v>
      </c>
      <c r="Z779" s="4" t="str">
        <f t="shared" si="74"/>
        <v>{"couname":"","img":"0","pty":"","artist":"","genres":"","duration":"","spotId":"","Items":["-SADNE-","-SLOWSS-","OTHR","OTHR","XT_OffAnimals"]},</v>
      </c>
      <c r="AA779" s="5" t="s">
        <v>5</v>
      </c>
      <c r="AB779" s="3" t="str">
        <f t="shared" si="75"/>
        <v>["-SADNE-","-SLOWSS-","OTHR","OTHR","XT_OffAnimals"]</v>
      </c>
      <c r="AC779" s="3">
        <f>_xlfn.XLOOKUP(A779,Album!A:A,Album!J:J)</f>
        <v>0</v>
      </c>
      <c r="AD779" s="3">
        <f>_xlfn.XLOOKUP(D779,Artists!A:A,Artists!B:B)</f>
        <v>0</v>
      </c>
      <c r="AE779" s="3">
        <f>_xlfn.XLOOKUP(D779,Artists!A:A,Artists!C:C)</f>
        <v>0</v>
      </c>
      <c r="AF779" s="3" t="str">
        <f t="shared" si="76"/>
        <v>OTHR</v>
      </c>
      <c r="AG779" s="3" t="str">
        <f t="shared" si="77"/>
        <v>OTHR</v>
      </c>
    </row>
    <row r="780" spans="24:33" x14ac:dyDescent="0.3">
      <c r="X780" s="3" t="str">
        <f t="shared" si="72"/>
        <v>-SADNE-</v>
      </c>
      <c r="Y780" s="3" t="str">
        <f t="shared" si="73"/>
        <v>-SLOWSS-</v>
      </c>
      <c r="Z780" s="4" t="str">
        <f t="shared" si="74"/>
        <v>{"couname":"","img":"0","pty":"","artist":"","genres":"","duration":"","spotId":"","Items":["-SADNE-","-SLOWSS-","OTHR","OTHR","XT_OffAnimals"]},</v>
      </c>
      <c r="AA780" s="5" t="s">
        <v>5</v>
      </c>
      <c r="AB780" s="3" t="str">
        <f t="shared" si="75"/>
        <v>["-SADNE-","-SLOWSS-","OTHR","OTHR","XT_OffAnimals"]</v>
      </c>
      <c r="AC780" s="3">
        <f>_xlfn.XLOOKUP(A780,Album!A:A,Album!J:J)</f>
        <v>0</v>
      </c>
      <c r="AD780" s="3">
        <f>_xlfn.XLOOKUP(D780,Artists!A:A,Artists!B:B)</f>
        <v>0</v>
      </c>
      <c r="AE780" s="3">
        <f>_xlfn.XLOOKUP(D780,Artists!A:A,Artists!C:C)</f>
        <v>0</v>
      </c>
      <c r="AF780" s="3" t="str">
        <f t="shared" si="76"/>
        <v>OTHR</v>
      </c>
      <c r="AG780" s="3" t="str">
        <f t="shared" si="77"/>
        <v>OTHR</v>
      </c>
    </row>
    <row r="781" spans="24:33" x14ac:dyDescent="0.3">
      <c r="X781" s="3" t="str">
        <f t="shared" si="72"/>
        <v>-SADNE-</v>
      </c>
      <c r="Y781" s="3" t="str">
        <f t="shared" si="73"/>
        <v>-SLOWSS-</v>
      </c>
      <c r="Z781" s="4" t="str">
        <f t="shared" si="74"/>
        <v>{"couname":"","img":"0","pty":"","artist":"","genres":"","duration":"","spotId":"","Items":["-SADNE-","-SLOWSS-","OTHR","OTHR","XT_OffAnimals"]},</v>
      </c>
      <c r="AA781" s="5" t="s">
        <v>5</v>
      </c>
      <c r="AB781" s="3" t="str">
        <f t="shared" si="75"/>
        <v>["-SADNE-","-SLOWSS-","OTHR","OTHR","XT_OffAnimals"]</v>
      </c>
      <c r="AC781" s="3">
        <f>_xlfn.XLOOKUP(A781,Album!A:A,Album!J:J)</f>
        <v>0</v>
      </c>
      <c r="AD781" s="3">
        <f>_xlfn.XLOOKUP(D781,Artists!A:A,Artists!B:B)</f>
        <v>0</v>
      </c>
      <c r="AE781" s="3">
        <f>_xlfn.XLOOKUP(D781,Artists!A:A,Artists!C:C)</f>
        <v>0</v>
      </c>
      <c r="AF781" s="3" t="str">
        <f t="shared" si="76"/>
        <v>OTHR</v>
      </c>
      <c r="AG781" s="3" t="str">
        <f t="shared" si="77"/>
        <v>OTHR</v>
      </c>
    </row>
    <row r="782" spans="24:33" x14ac:dyDescent="0.3">
      <c r="X782" s="3" t="str">
        <f t="shared" si="72"/>
        <v>-SADNE-</v>
      </c>
      <c r="Y782" s="3" t="str">
        <f t="shared" si="73"/>
        <v>-SLOWSS-</v>
      </c>
      <c r="Z782" s="4" t="str">
        <f t="shared" si="74"/>
        <v>{"couname":"","img":"0","pty":"","artist":"","genres":"","duration":"","spotId":"","Items":["-SADNE-","-SLOWSS-","OTHR","OTHR","XT_OffAnimals"]},</v>
      </c>
      <c r="AA782" s="5" t="s">
        <v>5</v>
      </c>
      <c r="AB782" s="3" t="str">
        <f t="shared" si="75"/>
        <v>["-SADNE-","-SLOWSS-","OTHR","OTHR","XT_OffAnimals"]</v>
      </c>
      <c r="AC782" s="3">
        <f>_xlfn.XLOOKUP(A782,Album!A:A,Album!J:J)</f>
        <v>0</v>
      </c>
      <c r="AD782" s="3">
        <f>_xlfn.XLOOKUP(D782,Artists!A:A,Artists!B:B)</f>
        <v>0</v>
      </c>
      <c r="AE782" s="3">
        <f>_xlfn.XLOOKUP(D782,Artists!A:A,Artists!C:C)</f>
        <v>0</v>
      </c>
      <c r="AF782" s="3" t="str">
        <f t="shared" si="76"/>
        <v>OTHR</v>
      </c>
      <c r="AG782" s="3" t="str">
        <f t="shared" si="77"/>
        <v>OTHR</v>
      </c>
    </row>
    <row r="783" spans="24:33" x14ac:dyDescent="0.3">
      <c r="X783" s="3" t="str">
        <f t="shared" si="72"/>
        <v>-SADNE-</v>
      </c>
      <c r="Y783" s="3" t="str">
        <f t="shared" si="73"/>
        <v>-SLOWSS-</v>
      </c>
      <c r="Z783" s="4" t="str">
        <f t="shared" si="74"/>
        <v>{"couname":"","img":"0","pty":"","artist":"","genres":"","duration":"","spotId":"","Items":["-SADNE-","-SLOWSS-","OTHR","OTHR","XT_OffAnimals"]},</v>
      </c>
      <c r="AA783" s="5" t="s">
        <v>5</v>
      </c>
      <c r="AB783" s="3" t="str">
        <f t="shared" si="75"/>
        <v>["-SADNE-","-SLOWSS-","OTHR","OTHR","XT_OffAnimals"]</v>
      </c>
      <c r="AC783" s="3">
        <f>_xlfn.XLOOKUP(A783,Album!A:A,Album!J:J)</f>
        <v>0</v>
      </c>
      <c r="AD783" s="3">
        <f>_xlfn.XLOOKUP(D783,Artists!A:A,Artists!B:B)</f>
        <v>0</v>
      </c>
      <c r="AE783" s="3">
        <f>_xlfn.XLOOKUP(D783,Artists!A:A,Artists!C:C)</f>
        <v>0</v>
      </c>
      <c r="AF783" s="3" t="str">
        <f t="shared" si="76"/>
        <v>OTHR</v>
      </c>
      <c r="AG783" s="3" t="str">
        <f t="shared" si="77"/>
        <v>OTHR</v>
      </c>
    </row>
    <row r="784" spans="24:33" x14ac:dyDescent="0.3">
      <c r="X784" s="3" t="str">
        <f t="shared" si="72"/>
        <v>-SADNE-</v>
      </c>
      <c r="Y784" s="3" t="str">
        <f t="shared" si="73"/>
        <v>-SLOWSS-</v>
      </c>
      <c r="Z784" s="4" t="str">
        <f t="shared" si="74"/>
        <v>{"couname":"","img":"0","pty":"","artist":"","genres":"","duration":"","spotId":"","Items":["-SADNE-","-SLOWSS-","OTHR","OTHR","XT_OffAnimals"]},</v>
      </c>
      <c r="AA784" s="5" t="s">
        <v>5</v>
      </c>
      <c r="AB784" s="3" t="str">
        <f t="shared" si="75"/>
        <v>["-SADNE-","-SLOWSS-","OTHR","OTHR","XT_OffAnimals"]</v>
      </c>
      <c r="AC784" s="3">
        <f>_xlfn.XLOOKUP(A784,Album!A:A,Album!J:J)</f>
        <v>0</v>
      </c>
      <c r="AD784" s="3">
        <f>_xlfn.XLOOKUP(D784,Artists!A:A,Artists!B:B)</f>
        <v>0</v>
      </c>
      <c r="AE784" s="3">
        <f>_xlfn.XLOOKUP(D784,Artists!A:A,Artists!C:C)</f>
        <v>0</v>
      </c>
      <c r="AF784" s="3" t="str">
        <f t="shared" si="76"/>
        <v>OTHR</v>
      </c>
      <c r="AG784" s="3" t="str">
        <f t="shared" si="77"/>
        <v>OTHR</v>
      </c>
    </row>
    <row r="785" spans="24:33" x14ac:dyDescent="0.3">
      <c r="X785" s="3" t="str">
        <f t="shared" si="72"/>
        <v>-SADNE-</v>
      </c>
      <c r="Y785" s="3" t="str">
        <f t="shared" si="73"/>
        <v>-SLOWSS-</v>
      </c>
      <c r="Z785" s="4" t="str">
        <f t="shared" si="74"/>
        <v>{"couname":"","img":"0","pty":"","artist":"","genres":"","duration":"","spotId":"","Items":["-SADNE-","-SLOWSS-","OTHR","OTHR","XT_OffAnimals"]},</v>
      </c>
      <c r="AA785" s="5" t="s">
        <v>5</v>
      </c>
      <c r="AB785" s="3" t="str">
        <f t="shared" si="75"/>
        <v>["-SADNE-","-SLOWSS-","OTHR","OTHR","XT_OffAnimals"]</v>
      </c>
      <c r="AC785" s="3">
        <f>_xlfn.XLOOKUP(A785,Album!A:A,Album!J:J)</f>
        <v>0</v>
      </c>
      <c r="AD785" s="3">
        <f>_xlfn.XLOOKUP(D785,Artists!A:A,Artists!B:B)</f>
        <v>0</v>
      </c>
      <c r="AE785" s="3">
        <f>_xlfn.XLOOKUP(D785,Artists!A:A,Artists!C:C)</f>
        <v>0</v>
      </c>
      <c r="AF785" s="3" t="str">
        <f t="shared" si="76"/>
        <v>OTHR</v>
      </c>
      <c r="AG785" s="3" t="str">
        <f t="shared" si="77"/>
        <v>OTHR</v>
      </c>
    </row>
    <row r="786" spans="24:33" x14ac:dyDescent="0.3">
      <c r="X786" s="3" t="str">
        <f t="shared" si="72"/>
        <v>-SADNE-</v>
      </c>
      <c r="Y786" s="3" t="str">
        <f t="shared" si="73"/>
        <v>-SLOWSS-</v>
      </c>
      <c r="Z786" s="4" t="str">
        <f t="shared" si="74"/>
        <v>{"couname":"","img":"0","pty":"","artist":"","genres":"","duration":"","spotId":"","Items":["-SADNE-","-SLOWSS-","OTHR","OTHR","XT_OffAnimals"]},</v>
      </c>
      <c r="AA786" s="5" t="s">
        <v>5</v>
      </c>
      <c r="AB786" s="3" t="str">
        <f t="shared" si="75"/>
        <v>["-SADNE-","-SLOWSS-","OTHR","OTHR","XT_OffAnimals"]</v>
      </c>
      <c r="AC786" s="3">
        <f>_xlfn.XLOOKUP(A786,Album!A:A,Album!J:J)</f>
        <v>0</v>
      </c>
      <c r="AD786" s="3">
        <f>_xlfn.XLOOKUP(D786,Artists!A:A,Artists!B:B)</f>
        <v>0</v>
      </c>
      <c r="AE786" s="3">
        <f>_xlfn.XLOOKUP(D786,Artists!A:A,Artists!C:C)</f>
        <v>0</v>
      </c>
      <c r="AF786" s="3" t="str">
        <f t="shared" si="76"/>
        <v>OTHR</v>
      </c>
      <c r="AG786" s="3" t="str">
        <f t="shared" si="77"/>
        <v>OTHR</v>
      </c>
    </row>
    <row r="787" spans="24:33" x14ac:dyDescent="0.3">
      <c r="X787" s="3" t="str">
        <f t="shared" si="72"/>
        <v>-SADNE-</v>
      </c>
      <c r="Y787" s="3" t="str">
        <f t="shared" si="73"/>
        <v>-SLOWSS-</v>
      </c>
      <c r="Z787" s="4" t="str">
        <f t="shared" si="74"/>
        <v>{"couname":"","img":"0","pty":"","artist":"","genres":"","duration":"","spotId":"","Items":["-SADNE-","-SLOWSS-","OTHR","OTHR","XT_OffAnimals"]},</v>
      </c>
      <c r="AA787" s="5" t="s">
        <v>5</v>
      </c>
      <c r="AB787" s="3" t="str">
        <f t="shared" si="75"/>
        <v>["-SADNE-","-SLOWSS-","OTHR","OTHR","XT_OffAnimals"]</v>
      </c>
      <c r="AC787" s="3">
        <f>_xlfn.XLOOKUP(A787,Album!A:A,Album!J:J)</f>
        <v>0</v>
      </c>
      <c r="AD787" s="3">
        <f>_xlfn.XLOOKUP(D787,Artists!A:A,Artists!B:B)</f>
        <v>0</v>
      </c>
      <c r="AE787" s="3">
        <f>_xlfn.XLOOKUP(D787,Artists!A:A,Artists!C:C)</f>
        <v>0</v>
      </c>
      <c r="AF787" s="3" t="str">
        <f t="shared" si="76"/>
        <v>OTHR</v>
      </c>
      <c r="AG787" s="3" t="str">
        <f t="shared" si="77"/>
        <v>OTHR</v>
      </c>
    </row>
    <row r="788" spans="24:33" x14ac:dyDescent="0.3">
      <c r="X788" s="3" t="str">
        <f t="shared" si="72"/>
        <v>-SADNE-</v>
      </c>
      <c r="Y788" s="3" t="str">
        <f t="shared" si="73"/>
        <v>-SLOWSS-</v>
      </c>
      <c r="Z788" s="4" t="str">
        <f t="shared" si="74"/>
        <v>{"couname":"","img":"0","pty":"","artist":"","genres":"","duration":"","spotId":"","Items":["-SADNE-","-SLOWSS-","OTHR","OTHR","XT_OffAnimals"]},</v>
      </c>
      <c r="AA788" s="5" t="s">
        <v>5</v>
      </c>
      <c r="AB788" s="3" t="str">
        <f t="shared" si="75"/>
        <v>["-SADNE-","-SLOWSS-","OTHR","OTHR","XT_OffAnimals"]</v>
      </c>
      <c r="AC788" s="3">
        <f>_xlfn.XLOOKUP(A788,Album!A:A,Album!J:J)</f>
        <v>0</v>
      </c>
      <c r="AD788" s="3">
        <f>_xlfn.XLOOKUP(D788,Artists!A:A,Artists!B:B)</f>
        <v>0</v>
      </c>
      <c r="AE788" s="3">
        <f>_xlfn.XLOOKUP(D788,Artists!A:A,Artists!C:C)</f>
        <v>0</v>
      </c>
      <c r="AF788" s="3" t="str">
        <f t="shared" si="76"/>
        <v>OTHR</v>
      </c>
      <c r="AG788" s="3" t="str">
        <f t="shared" si="77"/>
        <v>OTHR</v>
      </c>
    </row>
    <row r="789" spans="24:33" x14ac:dyDescent="0.3">
      <c r="X789" s="3" t="str">
        <f t="shared" si="72"/>
        <v>-SADNE-</v>
      </c>
      <c r="Y789" s="3" t="str">
        <f t="shared" si="73"/>
        <v>-SLOWSS-</v>
      </c>
      <c r="Z789" s="4" t="str">
        <f t="shared" si="74"/>
        <v>{"couname":"","img":"0","pty":"","artist":"","genres":"","duration":"","spotId":"","Items":["-SADNE-","-SLOWSS-","OTHR","OTHR","XT_OffAnimals"]},</v>
      </c>
      <c r="AA789" s="5" t="s">
        <v>5</v>
      </c>
      <c r="AB789" s="3" t="str">
        <f t="shared" si="75"/>
        <v>["-SADNE-","-SLOWSS-","OTHR","OTHR","XT_OffAnimals"]</v>
      </c>
      <c r="AC789" s="3">
        <f>_xlfn.XLOOKUP(A789,Album!A:A,Album!J:J)</f>
        <v>0</v>
      </c>
      <c r="AD789" s="3">
        <f>_xlfn.XLOOKUP(D789,Artists!A:A,Artists!B:B)</f>
        <v>0</v>
      </c>
      <c r="AE789" s="3">
        <f>_xlfn.XLOOKUP(D789,Artists!A:A,Artists!C:C)</f>
        <v>0</v>
      </c>
      <c r="AF789" s="3" t="str">
        <f t="shared" si="76"/>
        <v>OTHR</v>
      </c>
      <c r="AG789" s="3" t="str">
        <f t="shared" si="77"/>
        <v>OTHR</v>
      </c>
    </row>
    <row r="790" spans="24:33" x14ac:dyDescent="0.3">
      <c r="X790" s="3" t="str">
        <f t="shared" si="72"/>
        <v>-SADNE-</v>
      </c>
      <c r="Y790" s="3" t="str">
        <f t="shared" si="73"/>
        <v>-SLOWSS-</v>
      </c>
      <c r="Z790" s="4" t="str">
        <f t="shared" si="74"/>
        <v>{"couname":"","img":"0","pty":"","artist":"","genres":"","duration":"","spotId":"","Items":["-SADNE-","-SLOWSS-","OTHR","OTHR","XT_OffAnimals"]},</v>
      </c>
      <c r="AA790" s="5" t="s">
        <v>5</v>
      </c>
      <c r="AB790" s="3" t="str">
        <f t="shared" si="75"/>
        <v>["-SADNE-","-SLOWSS-","OTHR","OTHR","XT_OffAnimals"]</v>
      </c>
      <c r="AC790" s="3">
        <f>_xlfn.XLOOKUP(A790,Album!A:A,Album!J:J)</f>
        <v>0</v>
      </c>
      <c r="AD790" s="3">
        <f>_xlfn.XLOOKUP(D790,Artists!A:A,Artists!B:B)</f>
        <v>0</v>
      </c>
      <c r="AE790" s="3">
        <f>_xlfn.XLOOKUP(D790,Artists!A:A,Artists!C:C)</f>
        <v>0</v>
      </c>
      <c r="AF790" s="3" t="str">
        <f t="shared" si="76"/>
        <v>OTHR</v>
      </c>
      <c r="AG790" s="3" t="str">
        <f t="shared" si="77"/>
        <v>OTHR</v>
      </c>
    </row>
    <row r="791" spans="24:33" x14ac:dyDescent="0.3">
      <c r="X791" s="3" t="str">
        <f t="shared" si="72"/>
        <v>-SADNE-</v>
      </c>
      <c r="Y791" s="3" t="str">
        <f t="shared" si="73"/>
        <v>-SLOWSS-</v>
      </c>
      <c r="Z791" s="4" t="str">
        <f t="shared" si="74"/>
        <v>{"couname":"","img":"0","pty":"","artist":"","genres":"","duration":"","spotId":"","Items":["-SADNE-","-SLOWSS-","OTHR","OTHR","XT_OffAnimals"]},</v>
      </c>
      <c r="AA791" s="5" t="s">
        <v>5</v>
      </c>
      <c r="AB791" s="3" t="str">
        <f t="shared" si="75"/>
        <v>["-SADNE-","-SLOWSS-","OTHR","OTHR","XT_OffAnimals"]</v>
      </c>
      <c r="AC791" s="3">
        <f>_xlfn.XLOOKUP(A791,Album!A:A,Album!J:J)</f>
        <v>0</v>
      </c>
      <c r="AD791" s="3">
        <f>_xlfn.XLOOKUP(D791,Artists!A:A,Artists!B:B)</f>
        <v>0</v>
      </c>
      <c r="AE791" s="3">
        <f>_xlfn.XLOOKUP(D791,Artists!A:A,Artists!C:C)</f>
        <v>0</v>
      </c>
      <c r="AF791" s="3" t="str">
        <f t="shared" si="76"/>
        <v>OTHR</v>
      </c>
      <c r="AG791" s="3" t="str">
        <f t="shared" si="77"/>
        <v>OTHR</v>
      </c>
    </row>
    <row r="792" spans="24:33" x14ac:dyDescent="0.3">
      <c r="X792" s="3" t="str">
        <f t="shared" si="72"/>
        <v>-SADNE-</v>
      </c>
      <c r="Y792" s="3" t="str">
        <f t="shared" si="73"/>
        <v>-SLOWSS-</v>
      </c>
      <c r="Z792" s="4" t="str">
        <f t="shared" si="74"/>
        <v>{"couname":"","img":"0","pty":"","artist":"","genres":"","duration":"","spotId":"","Items":["-SADNE-","-SLOWSS-","OTHR","OTHR","XT_OffAnimals"]},</v>
      </c>
      <c r="AA792" s="5" t="s">
        <v>5</v>
      </c>
      <c r="AB792" s="3" t="str">
        <f t="shared" si="75"/>
        <v>["-SADNE-","-SLOWSS-","OTHR","OTHR","XT_OffAnimals"]</v>
      </c>
      <c r="AC792" s="3">
        <f>_xlfn.XLOOKUP(A792,Album!A:A,Album!J:J)</f>
        <v>0</v>
      </c>
      <c r="AD792" s="3">
        <f>_xlfn.XLOOKUP(D792,Artists!A:A,Artists!B:B)</f>
        <v>0</v>
      </c>
      <c r="AE792" s="3">
        <f>_xlfn.XLOOKUP(D792,Artists!A:A,Artists!C:C)</f>
        <v>0</v>
      </c>
      <c r="AF792" s="3" t="str">
        <f t="shared" si="76"/>
        <v>OTHR</v>
      </c>
      <c r="AG792" s="3" t="str">
        <f t="shared" si="77"/>
        <v>OTHR</v>
      </c>
    </row>
    <row r="793" spans="24:33" x14ac:dyDescent="0.3">
      <c r="X793" s="3" t="str">
        <f t="shared" si="72"/>
        <v>-SADNE-</v>
      </c>
      <c r="Y793" s="3" t="str">
        <f t="shared" si="73"/>
        <v>-SLOWSS-</v>
      </c>
      <c r="Z793" s="4" t="str">
        <f t="shared" si="74"/>
        <v>{"couname":"","img":"0","pty":"","artist":"","genres":"","duration":"","spotId":"","Items":["-SADNE-","-SLOWSS-","OTHR","OTHR","XT_OffAnimals"]},</v>
      </c>
      <c r="AA793" s="5" t="s">
        <v>5</v>
      </c>
      <c r="AB793" s="3" t="str">
        <f t="shared" si="75"/>
        <v>["-SADNE-","-SLOWSS-","OTHR","OTHR","XT_OffAnimals"]</v>
      </c>
      <c r="AC793" s="3">
        <f>_xlfn.XLOOKUP(A793,Album!A:A,Album!J:J)</f>
        <v>0</v>
      </c>
      <c r="AD793" s="3">
        <f>_xlfn.XLOOKUP(D793,Artists!A:A,Artists!B:B)</f>
        <v>0</v>
      </c>
      <c r="AE793" s="3">
        <f>_xlfn.XLOOKUP(D793,Artists!A:A,Artists!C:C)</f>
        <v>0</v>
      </c>
      <c r="AF793" s="3" t="str">
        <f t="shared" si="76"/>
        <v>OTHR</v>
      </c>
      <c r="AG793" s="3" t="str">
        <f t="shared" si="77"/>
        <v>OTHR</v>
      </c>
    </row>
    <row r="794" spans="24:33" x14ac:dyDescent="0.3">
      <c r="X794" s="3" t="str">
        <f t="shared" si="72"/>
        <v>-SADNE-</v>
      </c>
      <c r="Y794" s="3" t="str">
        <f t="shared" si="73"/>
        <v>-SLOWSS-</v>
      </c>
      <c r="Z794" s="4" t="str">
        <f t="shared" si="74"/>
        <v>{"couname":"","img":"0","pty":"","artist":"","genres":"","duration":"","spotId":"","Items":["-SADNE-","-SLOWSS-","OTHR","OTHR","XT_OffAnimals"]},</v>
      </c>
      <c r="AA794" s="5" t="s">
        <v>5</v>
      </c>
      <c r="AB794" s="3" t="str">
        <f t="shared" si="75"/>
        <v>["-SADNE-","-SLOWSS-","OTHR","OTHR","XT_OffAnimals"]</v>
      </c>
      <c r="AC794" s="3">
        <f>_xlfn.XLOOKUP(A794,Album!A:A,Album!J:J)</f>
        <v>0</v>
      </c>
      <c r="AD794" s="3">
        <f>_xlfn.XLOOKUP(D794,Artists!A:A,Artists!B:B)</f>
        <v>0</v>
      </c>
      <c r="AE794" s="3">
        <f>_xlfn.XLOOKUP(D794,Artists!A:A,Artists!C:C)</f>
        <v>0</v>
      </c>
      <c r="AF794" s="3" t="str">
        <f t="shared" si="76"/>
        <v>OTHR</v>
      </c>
      <c r="AG794" s="3" t="str">
        <f t="shared" si="77"/>
        <v>OTHR</v>
      </c>
    </row>
    <row r="795" spans="24:33" x14ac:dyDescent="0.3">
      <c r="X795" s="3" t="str">
        <f t="shared" si="72"/>
        <v>-SADNE-</v>
      </c>
      <c r="Y795" s="3" t="str">
        <f t="shared" si="73"/>
        <v>-SLOWSS-</v>
      </c>
      <c r="Z795" s="4" t="str">
        <f t="shared" si="74"/>
        <v>{"couname":"","img":"0","pty":"","artist":"","genres":"","duration":"","spotId":"","Items":["-SADNE-","-SLOWSS-","OTHR","OTHR","XT_OffAnimals"]},</v>
      </c>
      <c r="AA795" s="5" t="s">
        <v>5</v>
      </c>
      <c r="AB795" s="3" t="str">
        <f t="shared" si="75"/>
        <v>["-SADNE-","-SLOWSS-","OTHR","OTHR","XT_OffAnimals"]</v>
      </c>
      <c r="AC795" s="3">
        <f>_xlfn.XLOOKUP(A795,Album!A:A,Album!J:J)</f>
        <v>0</v>
      </c>
      <c r="AD795" s="3">
        <f>_xlfn.XLOOKUP(D795,Artists!A:A,Artists!B:B)</f>
        <v>0</v>
      </c>
      <c r="AE795" s="3">
        <f>_xlfn.XLOOKUP(D795,Artists!A:A,Artists!C:C)</f>
        <v>0</v>
      </c>
      <c r="AF795" s="3" t="str">
        <f t="shared" si="76"/>
        <v>OTHR</v>
      </c>
      <c r="AG795" s="3" t="str">
        <f t="shared" si="77"/>
        <v>OTHR</v>
      </c>
    </row>
    <row r="796" spans="24:33" x14ac:dyDescent="0.3">
      <c r="X796" s="3" t="str">
        <f t="shared" si="72"/>
        <v>-SADNE-</v>
      </c>
      <c r="Y796" s="3" t="str">
        <f t="shared" si="73"/>
        <v>-SLOWSS-</v>
      </c>
      <c r="Z796" s="4" t="str">
        <f t="shared" si="74"/>
        <v>{"couname":"","img":"0","pty":"","artist":"","genres":"","duration":"","spotId":"","Items":["-SADNE-","-SLOWSS-","OTHR","OTHR","XT_OffAnimals"]},</v>
      </c>
      <c r="AA796" s="5" t="s">
        <v>5</v>
      </c>
      <c r="AB796" s="3" t="str">
        <f t="shared" si="75"/>
        <v>["-SADNE-","-SLOWSS-","OTHR","OTHR","XT_OffAnimals"]</v>
      </c>
      <c r="AC796" s="3">
        <f>_xlfn.XLOOKUP(A796,Album!A:A,Album!J:J)</f>
        <v>0</v>
      </c>
      <c r="AD796" s="3">
        <f>_xlfn.XLOOKUP(D796,Artists!A:A,Artists!B:B)</f>
        <v>0</v>
      </c>
      <c r="AE796" s="3">
        <f>_xlfn.XLOOKUP(D796,Artists!A:A,Artists!C:C)</f>
        <v>0</v>
      </c>
      <c r="AF796" s="3" t="str">
        <f t="shared" si="76"/>
        <v>OTHR</v>
      </c>
      <c r="AG796" s="3" t="str">
        <f t="shared" si="77"/>
        <v>OTHR</v>
      </c>
    </row>
    <row r="797" spans="24:33" x14ac:dyDescent="0.3">
      <c r="X797" s="3" t="str">
        <f t="shared" si="72"/>
        <v>-SADNE-</v>
      </c>
      <c r="Y797" s="3" t="str">
        <f t="shared" si="73"/>
        <v>-SLOWSS-</v>
      </c>
      <c r="Z797" s="4" t="str">
        <f t="shared" si="74"/>
        <v>{"couname":"","img":"0","pty":"","artist":"","genres":"","duration":"","spotId":"","Items":["-SADNE-","-SLOWSS-","OTHR","OTHR","XT_OffAnimals"]},</v>
      </c>
      <c r="AA797" s="5" t="s">
        <v>5</v>
      </c>
      <c r="AB797" s="3" t="str">
        <f t="shared" si="75"/>
        <v>["-SADNE-","-SLOWSS-","OTHR","OTHR","XT_OffAnimals"]</v>
      </c>
      <c r="AC797" s="3">
        <f>_xlfn.XLOOKUP(A797,Album!A:A,Album!J:J)</f>
        <v>0</v>
      </c>
      <c r="AD797" s="3">
        <f>_xlfn.XLOOKUP(D797,Artists!A:A,Artists!B:B)</f>
        <v>0</v>
      </c>
      <c r="AE797" s="3">
        <f>_xlfn.XLOOKUP(D797,Artists!A:A,Artists!C:C)</f>
        <v>0</v>
      </c>
      <c r="AF797" s="3" t="str">
        <f t="shared" si="76"/>
        <v>OTHR</v>
      </c>
      <c r="AG797" s="3" t="str">
        <f t="shared" si="77"/>
        <v>OTHR</v>
      </c>
    </row>
    <row r="798" spans="24:33" x14ac:dyDescent="0.3">
      <c r="X798" s="3" t="str">
        <f t="shared" si="72"/>
        <v>-SADNE-</v>
      </c>
      <c r="Y798" s="3" t="str">
        <f t="shared" si="73"/>
        <v>-SLOWSS-</v>
      </c>
      <c r="Z798" s="4" t="str">
        <f t="shared" si="74"/>
        <v>{"couname":"","img":"0","pty":"","artist":"","genres":"","duration":"","spotId":"","Items":["-SADNE-","-SLOWSS-","OTHR","OTHR","XT_OffAnimals"]},</v>
      </c>
      <c r="AA798" s="5" t="s">
        <v>5</v>
      </c>
      <c r="AB798" s="3" t="str">
        <f t="shared" si="75"/>
        <v>["-SADNE-","-SLOWSS-","OTHR","OTHR","XT_OffAnimals"]</v>
      </c>
      <c r="AC798" s="3">
        <f>_xlfn.XLOOKUP(A798,Album!A:A,Album!J:J)</f>
        <v>0</v>
      </c>
      <c r="AD798" s="3">
        <f>_xlfn.XLOOKUP(D798,Artists!A:A,Artists!B:B)</f>
        <v>0</v>
      </c>
      <c r="AE798" s="3">
        <f>_xlfn.XLOOKUP(D798,Artists!A:A,Artists!C:C)</f>
        <v>0</v>
      </c>
      <c r="AF798" s="3" t="str">
        <f t="shared" si="76"/>
        <v>OTHR</v>
      </c>
      <c r="AG798" s="3" t="str">
        <f t="shared" si="77"/>
        <v>OTHR</v>
      </c>
    </row>
    <row r="799" spans="24:33" x14ac:dyDescent="0.3">
      <c r="X799" s="3" t="str">
        <f t="shared" si="72"/>
        <v>-SADNE-</v>
      </c>
      <c r="Y799" s="3" t="str">
        <f t="shared" si="73"/>
        <v>-SLOWSS-</v>
      </c>
      <c r="Z799" s="4" t="str">
        <f t="shared" si="74"/>
        <v>{"couname":"","img":"0","pty":"","artist":"","genres":"","duration":"","spotId":"","Items":["-SADNE-","-SLOWSS-","OTHR","OTHR","XT_OffAnimals"]},</v>
      </c>
      <c r="AA799" s="5" t="s">
        <v>5</v>
      </c>
      <c r="AB799" s="3" t="str">
        <f t="shared" si="75"/>
        <v>["-SADNE-","-SLOWSS-","OTHR","OTHR","XT_OffAnimals"]</v>
      </c>
      <c r="AC799" s="3">
        <f>_xlfn.XLOOKUP(A799,Album!A:A,Album!J:J)</f>
        <v>0</v>
      </c>
      <c r="AD799" s="3">
        <f>_xlfn.XLOOKUP(D799,Artists!A:A,Artists!B:B)</f>
        <v>0</v>
      </c>
      <c r="AE799" s="3">
        <f>_xlfn.XLOOKUP(D799,Artists!A:A,Artists!C:C)</f>
        <v>0</v>
      </c>
      <c r="AF799" s="3" t="str">
        <f t="shared" si="76"/>
        <v>OTHR</v>
      </c>
      <c r="AG799" s="3" t="str">
        <f t="shared" si="77"/>
        <v>OTHR</v>
      </c>
    </row>
    <row r="800" spans="24:33" x14ac:dyDescent="0.3">
      <c r="X800" s="3" t="str">
        <f t="shared" si="72"/>
        <v>-SADNE-</v>
      </c>
      <c r="Y800" s="3" t="str">
        <f t="shared" si="73"/>
        <v>-SLOWSS-</v>
      </c>
      <c r="Z800" s="4" t="str">
        <f t="shared" si="74"/>
        <v>{"couname":"","img":"0","pty":"","artist":"","genres":"","duration":"","spotId":"","Items":["-SADNE-","-SLOWSS-","OTHR","OTHR","XT_OffAnimals"]},</v>
      </c>
      <c r="AA800" s="5" t="s">
        <v>5</v>
      </c>
      <c r="AB800" s="3" t="str">
        <f t="shared" si="75"/>
        <v>["-SADNE-","-SLOWSS-","OTHR","OTHR","XT_OffAnimals"]</v>
      </c>
      <c r="AC800" s="3">
        <f>_xlfn.XLOOKUP(A800,Album!A:A,Album!J:J)</f>
        <v>0</v>
      </c>
      <c r="AD800" s="3">
        <f>_xlfn.XLOOKUP(D800,Artists!A:A,Artists!B:B)</f>
        <v>0</v>
      </c>
      <c r="AE800" s="3">
        <f>_xlfn.XLOOKUP(D800,Artists!A:A,Artists!C:C)</f>
        <v>0</v>
      </c>
      <c r="AF800" s="3" t="str">
        <f t="shared" si="76"/>
        <v>OTHR</v>
      </c>
      <c r="AG800" s="3" t="str">
        <f t="shared" si="77"/>
        <v>OTHR</v>
      </c>
    </row>
    <row r="801" spans="24:33" x14ac:dyDescent="0.3">
      <c r="X801" s="3" t="str">
        <f t="shared" si="72"/>
        <v>-SADNE-</v>
      </c>
      <c r="Y801" s="3" t="str">
        <f t="shared" si="73"/>
        <v>-SLOWSS-</v>
      </c>
      <c r="Z801" s="4" t="str">
        <f t="shared" si="74"/>
        <v>{"couname":"","img":"0","pty":"","artist":"","genres":"","duration":"","spotId":"","Items":["-SADNE-","-SLOWSS-","OTHR","OTHR","XT_OffAnimals"]},</v>
      </c>
      <c r="AA801" s="5" t="s">
        <v>5</v>
      </c>
      <c r="AB801" s="3" t="str">
        <f t="shared" si="75"/>
        <v>["-SADNE-","-SLOWSS-","OTHR","OTHR","XT_OffAnimals"]</v>
      </c>
      <c r="AC801" s="3">
        <f>_xlfn.XLOOKUP(A801,Album!A:A,Album!J:J)</f>
        <v>0</v>
      </c>
      <c r="AD801" s="3">
        <f>_xlfn.XLOOKUP(D801,Artists!A:A,Artists!B:B)</f>
        <v>0</v>
      </c>
      <c r="AE801" s="3">
        <f>_xlfn.XLOOKUP(D801,Artists!A:A,Artists!C:C)</f>
        <v>0</v>
      </c>
      <c r="AF801" s="3" t="str">
        <f t="shared" si="76"/>
        <v>OTHR</v>
      </c>
      <c r="AG801" s="3" t="str">
        <f t="shared" si="77"/>
        <v>OTHR</v>
      </c>
    </row>
    <row r="802" spans="24:33" x14ac:dyDescent="0.3">
      <c r="X802" s="3" t="str">
        <f t="shared" si="72"/>
        <v>-SADNE-</v>
      </c>
      <c r="Y802" s="3" t="str">
        <f t="shared" si="73"/>
        <v>-SLOWSS-</v>
      </c>
      <c r="Z802" s="4" t="str">
        <f t="shared" si="74"/>
        <v>{"couname":"","img":"0","pty":"","artist":"","genres":"","duration":"","spotId":"","Items":["-SADNE-","-SLOWSS-","OTHR","OTHR","XT_OffAnimals"]},</v>
      </c>
      <c r="AA802" s="5" t="s">
        <v>5</v>
      </c>
      <c r="AB802" s="3" t="str">
        <f t="shared" si="75"/>
        <v>["-SADNE-","-SLOWSS-","OTHR","OTHR","XT_OffAnimals"]</v>
      </c>
      <c r="AC802" s="3">
        <f>_xlfn.XLOOKUP(A802,Album!A:A,Album!J:J)</f>
        <v>0</v>
      </c>
      <c r="AD802" s="3">
        <f>_xlfn.XLOOKUP(D802,Artists!A:A,Artists!B:B)</f>
        <v>0</v>
      </c>
      <c r="AE802" s="3">
        <f>_xlfn.XLOOKUP(D802,Artists!A:A,Artists!C:C)</f>
        <v>0</v>
      </c>
      <c r="AF802" s="3" t="str">
        <f t="shared" si="76"/>
        <v>OTHR</v>
      </c>
      <c r="AG802" s="3" t="str">
        <f t="shared" si="77"/>
        <v>OTHR</v>
      </c>
    </row>
    <row r="803" spans="24:33" x14ac:dyDescent="0.3">
      <c r="X803" s="3" t="str">
        <f t="shared" si="72"/>
        <v>-SADNE-</v>
      </c>
      <c r="Y803" s="3" t="str">
        <f t="shared" si="73"/>
        <v>-SLOWSS-</v>
      </c>
      <c r="Z803" s="4" t="str">
        <f t="shared" si="74"/>
        <v>{"couname":"","img":"0","pty":"","artist":"","genres":"","duration":"","spotId":"","Items":["-SADNE-","-SLOWSS-","OTHR","OTHR","XT_OffAnimals"]},</v>
      </c>
      <c r="AA803" s="5" t="s">
        <v>5</v>
      </c>
      <c r="AB803" s="3" t="str">
        <f t="shared" si="75"/>
        <v>["-SADNE-","-SLOWSS-","OTHR","OTHR","XT_OffAnimals"]</v>
      </c>
      <c r="AC803" s="3">
        <f>_xlfn.XLOOKUP(A803,Album!A:A,Album!J:J)</f>
        <v>0</v>
      </c>
      <c r="AD803" s="3">
        <f>_xlfn.XLOOKUP(D803,Artists!A:A,Artists!B:B)</f>
        <v>0</v>
      </c>
      <c r="AE803" s="3">
        <f>_xlfn.XLOOKUP(D803,Artists!A:A,Artists!C:C)</f>
        <v>0</v>
      </c>
      <c r="AF803" s="3" t="str">
        <f t="shared" si="76"/>
        <v>OTHR</v>
      </c>
      <c r="AG803" s="3" t="str">
        <f t="shared" si="77"/>
        <v>OTHR</v>
      </c>
    </row>
    <row r="804" spans="24:33" x14ac:dyDescent="0.3">
      <c r="X804" s="3" t="str">
        <f t="shared" si="72"/>
        <v>-SADNE-</v>
      </c>
      <c r="Y804" s="3" t="str">
        <f t="shared" si="73"/>
        <v>-SLOWSS-</v>
      </c>
      <c r="Z804" s="4" t="str">
        <f t="shared" si="74"/>
        <v>{"couname":"","img":"0","pty":"","artist":"","genres":"","duration":"","spotId":"","Items":["-SADNE-","-SLOWSS-","OTHR","OTHR","XT_OffAnimals"]},</v>
      </c>
      <c r="AA804" s="5" t="s">
        <v>5</v>
      </c>
      <c r="AB804" s="3" t="str">
        <f t="shared" si="75"/>
        <v>["-SADNE-","-SLOWSS-","OTHR","OTHR","XT_OffAnimals"]</v>
      </c>
      <c r="AC804" s="3">
        <f>_xlfn.XLOOKUP(A804,Album!A:A,Album!J:J)</f>
        <v>0</v>
      </c>
      <c r="AD804" s="3">
        <f>_xlfn.XLOOKUP(D804,Artists!A:A,Artists!B:B)</f>
        <v>0</v>
      </c>
      <c r="AE804" s="3">
        <f>_xlfn.XLOOKUP(D804,Artists!A:A,Artists!C:C)</f>
        <v>0</v>
      </c>
      <c r="AF804" s="3" t="str">
        <f t="shared" si="76"/>
        <v>OTHR</v>
      </c>
      <c r="AG804" s="3" t="str">
        <f t="shared" si="77"/>
        <v>OTHR</v>
      </c>
    </row>
    <row r="805" spans="24:33" x14ac:dyDescent="0.3">
      <c r="X805" s="3" t="str">
        <f t="shared" si="72"/>
        <v>-SADNE-</v>
      </c>
      <c r="Y805" s="3" t="str">
        <f t="shared" si="73"/>
        <v>-SLOWSS-</v>
      </c>
      <c r="Z805" s="4" t="str">
        <f t="shared" si="74"/>
        <v>{"couname":"","img":"0","pty":"","artist":"","genres":"","duration":"","spotId":"","Items":["-SADNE-","-SLOWSS-","OTHR","OTHR","XT_OffAnimals"]},</v>
      </c>
      <c r="AA805" s="5" t="s">
        <v>5</v>
      </c>
      <c r="AB805" s="3" t="str">
        <f t="shared" si="75"/>
        <v>["-SADNE-","-SLOWSS-","OTHR","OTHR","XT_OffAnimals"]</v>
      </c>
      <c r="AC805" s="3">
        <f>_xlfn.XLOOKUP(A805,Album!A:A,Album!J:J)</f>
        <v>0</v>
      </c>
      <c r="AD805" s="3">
        <f>_xlfn.XLOOKUP(D805,Artists!A:A,Artists!B:B)</f>
        <v>0</v>
      </c>
      <c r="AE805" s="3">
        <f>_xlfn.XLOOKUP(D805,Artists!A:A,Artists!C:C)</f>
        <v>0</v>
      </c>
      <c r="AF805" s="3" t="str">
        <f t="shared" si="76"/>
        <v>OTHR</v>
      </c>
      <c r="AG805" s="3" t="str">
        <f t="shared" si="77"/>
        <v>OTHR</v>
      </c>
    </row>
    <row r="806" spans="24:33" x14ac:dyDescent="0.3">
      <c r="X806" s="3" t="str">
        <f t="shared" si="72"/>
        <v>-SADNE-</v>
      </c>
      <c r="Y806" s="3" t="str">
        <f t="shared" si="73"/>
        <v>-SLOWSS-</v>
      </c>
      <c r="Z806" s="4" t="str">
        <f t="shared" si="74"/>
        <v>{"couname":"","img":"0","pty":"","artist":"","genres":"","duration":"","spotId":"","Items":["-SADNE-","-SLOWSS-","OTHR","OTHR","XT_OffAnimals"]},</v>
      </c>
      <c r="AA806" s="5" t="s">
        <v>5</v>
      </c>
      <c r="AB806" s="3" t="str">
        <f t="shared" si="75"/>
        <v>["-SADNE-","-SLOWSS-","OTHR","OTHR","XT_OffAnimals"]</v>
      </c>
      <c r="AC806" s="3">
        <f>_xlfn.XLOOKUP(A806,Album!A:A,Album!J:J)</f>
        <v>0</v>
      </c>
      <c r="AD806" s="3">
        <f>_xlfn.XLOOKUP(D806,Artists!A:A,Artists!B:B)</f>
        <v>0</v>
      </c>
      <c r="AE806" s="3">
        <f>_xlfn.XLOOKUP(D806,Artists!A:A,Artists!C:C)</f>
        <v>0</v>
      </c>
      <c r="AF806" s="3" t="str">
        <f t="shared" si="76"/>
        <v>OTHR</v>
      </c>
      <c r="AG806" s="3" t="str">
        <f t="shared" si="77"/>
        <v>OTHR</v>
      </c>
    </row>
    <row r="807" spans="24:33" x14ac:dyDescent="0.3">
      <c r="X807" s="3" t="str">
        <f t="shared" si="72"/>
        <v>-SADNE-</v>
      </c>
      <c r="Y807" s="3" t="str">
        <f t="shared" si="73"/>
        <v>-SLOWSS-</v>
      </c>
      <c r="Z807" s="4" t="str">
        <f t="shared" si="74"/>
        <v>{"couname":"","img":"0","pty":"","artist":"","genres":"","duration":"","spotId":"","Items":["-SADNE-","-SLOWSS-","OTHR","OTHR","XT_OffAnimals"]},</v>
      </c>
      <c r="AA807" s="5" t="s">
        <v>5</v>
      </c>
      <c r="AB807" s="3" t="str">
        <f t="shared" si="75"/>
        <v>["-SADNE-","-SLOWSS-","OTHR","OTHR","XT_OffAnimals"]</v>
      </c>
      <c r="AC807" s="3">
        <f>_xlfn.XLOOKUP(A807,Album!A:A,Album!J:J)</f>
        <v>0</v>
      </c>
      <c r="AD807" s="3">
        <f>_xlfn.XLOOKUP(D807,Artists!A:A,Artists!B:B)</f>
        <v>0</v>
      </c>
      <c r="AE807" s="3">
        <f>_xlfn.XLOOKUP(D807,Artists!A:A,Artists!C:C)</f>
        <v>0</v>
      </c>
      <c r="AF807" s="3" t="str">
        <f t="shared" si="76"/>
        <v>OTHR</v>
      </c>
      <c r="AG807" s="3" t="str">
        <f t="shared" si="77"/>
        <v>OTHR</v>
      </c>
    </row>
    <row r="808" spans="24:33" x14ac:dyDescent="0.3">
      <c r="X808" s="3" t="str">
        <f t="shared" si="72"/>
        <v>-SADNE-</v>
      </c>
      <c r="Y808" s="3" t="str">
        <f t="shared" si="73"/>
        <v>-SLOWSS-</v>
      </c>
      <c r="Z808" s="4" t="str">
        <f t="shared" si="74"/>
        <v>{"couname":"","img":"0","pty":"","artist":"","genres":"","duration":"","spotId":"","Items":["-SADNE-","-SLOWSS-","OTHR","OTHR","XT_OffAnimals"]},</v>
      </c>
      <c r="AA808" s="5" t="s">
        <v>5</v>
      </c>
      <c r="AB808" s="3" t="str">
        <f t="shared" si="75"/>
        <v>["-SADNE-","-SLOWSS-","OTHR","OTHR","XT_OffAnimals"]</v>
      </c>
      <c r="AC808" s="3">
        <f>_xlfn.XLOOKUP(A808,Album!A:A,Album!J:J)</f>
        <v>0</v>
      </c>
      <c r="AD808" s="3">
        <f>_xlfn.XLOOKUP(D808,Artists!A:A,Artists!B:B)</f>
        <v>0</v>
      </c>
      <c r="AE808" s="3">
        <f>_xlfn.XLOOKUP(D808,Artists!A:A,Artists!C:C)</f>
        <v>0</v>
      </c>
      <c r="AF808" s="3" t="str">
        <f t="shared" si="76"/>
        <v>OTHR</v>
      </c>
      <c r="AG808" s="3" t="str">
        <f t="shared" si="77"/>
        <v>OTHR</v>
      </c>
    </row>
    <row r="809" spans="24:33" x14ac:dyDescent="0.3">
      <c r="X809" s="3" t="str">
        <f t="shared" si="72"/>
        <v>-SADNE-</v>
      </c>
      <c r="Y809" s="3" t="str">
        <f t="shared" si="73"/>
        <v>-SLOWSS-</v>
      </c>
      <c r="Z809" s="4" t="str">
        <f t="shared" si="74"/>
        <v>{"couname":"","img":"0","pty":"","artist":"","genres":"","duration":"","spotId":"","Items":["-SADNE-","-SLOWSS-","OTHR","OTHR","XT_OffAnimals"]},</v>
      </c>
      <c r="AA809" s="5" t="s">
        <v>5</v>
      </c>
      <c r="AB809" s="3" t="str">
        <f t="shared" si="75"/>
        <v>["-SADNE-","-SLOWSS-","OTHR","OTHR","XT_OffAnimals"]</v>
      </c>
      <c r="AC809" s="3">
        <f>_xlfn.XLOOKUP(A809,Album!A:A,Album!J:J)</f>
        <v>0</v>
      </c>
      <c r="AD809" s="3">
        <f>_xlfn.XLOOKUP(D809,Artists!A:A,Artists!B:B)</f>
        <v>0</v>
      </c>
      <c r="AE809" s="3">
        <f>_xlfn.XLOOKUP(D809,Artists!A:A,Artists!C:C)</f>
        <v>0</v>
      </c>
      <c r="AF809" s="3" t="str">
        <f t="shared" si="76"/>
        <v>OTHR</v>
      </c>
      <c r="AG809" s="3" t="str">
        <f t="shared" si="77"/>
        <v>OTHR</v>
      </c>
    </row>
    <row r="810" spans="24:33" x14ac:dyDescent="0.3">
      <c r="X810" s="3" t="str">
        <f t="shared" si="72"/>
        <v>-SADNE-</v>
      </c>
      <c r="Y810" s="3" t="str">
        <f t="shared" si="73"/>
        <v>-SLOWSS-</v>
      </c>
      <c r="Z810" s="4" t="str">
        <f t="shared" si="74"/>
        <v>{"couname":"","img":"0","pty":"","artist":"","genres":"","duration":"","spotId":"","Items":["-SADNE-","-SLOWSS-","OTHR","OTHR","XT_OffAnimals"]},</v>
      </c>
      <c r="AA810" s="5" t="s">
        <v>5</v>
      </c>
      <c r="AB810" s="3" t="str">
        <f t="shared" si="75"/>
        <v>["-SADNE-","-SLOWSS-","OTHR","OTHR","XT_OffAnimals"]</v>
      </c>
      <c r="AC810" s="3">
        <f>_xlfn.XLOOKUP(A810,Album!A:A,Album!J:J)</f>
        <v>0</v>
      </c>
      <c r="AD810" s="3">
        <f>_xlfn.XLOOKUP(D810,Artists!A:A,Artists!B:B)</f>
        <v>0</v>
      </c>
      <c r="AE810" s="3">
        <f>_xlfn.XLOOKUP(D810,Artists!A:A,Artists!C:C)</f>
        <v>0</v>
      </c>
      <c r="AF810" s="3" t="str">
        <f t="shared" si="76"/>
        <v>OTHR</v>
      </c>
      <c r="AG810" s="3" t="str">
        <f t="shared" si="77"/>
        <v>OTHR</v>
      </c>
    </row>
    <row r="811" spans="24:33" x14ac:dyDescent="0.3">
      <c r="X811" s="3" t="str">
        <f t="shared" si="72"/>
        <v>-SADNE-</v>
      </c>
      <c r="Y811" s="3" t="str">
        <f t="shared" si="73"/>
        <v>-SLOWSS-</v>
      </c>
      <c r="Z811" s="4" t="str">
        <f t="shared" si="74"/>
        <v>{"couname":"","img":"0","pty":"","artist":"","genres":"","duration":"","spotId":"","Items":["-SADNE-","-SLOWSS-","OTHR","OTHR","XT_OffAnimals"]},</v>
      </c>
      <c r="AA811" s="5" t="s">
        <v>5</v>
      </c>
      <c r="AB811" s="3" t="str">
        <f t="shared" si="75"/>
        <v>["-SADNE-","-SLOWSS-","OTHR","OTHR","XT_OffAnimals"]</v>
      </c>
      <c r="AC811" s="3">
        <f>_xlfn.XLOOKUP(A811,Album!A:A,Album!J:J)</f>
        <v>0</v>
      </c>
      <c r="AD811" s="3">
        <f>_xlfn.XLOOKUP(D811,Artists!A:A,Artists!B:B)</f>
        <v>0</v>
      </c>
      <c r="AE811" s="3">
        <f>_xlfn.XLOOKUP(D811,Artists!A:A,Artists!C:C)</f>
        <v>0</v>
      </c>
      <c r="AF811" s="3" t="str">
        <f t="shared" si="76"/>
        <v>OTHR</v>
      </c>
      <c r="AG811" s="3" t="str">
        <f t="shared" si="77"/>
        <v>OTHR</v>
      </c>
    </row>
    <row r="812" spans="24:33" x14ac:dyDescent="0.3">
      <c r="X812" s="3" t="str">
        <f t="shared" si="72"/>
        <v>-SADNE-</v>
      </c>
      <c r="Y812" s="3" t="str">
        <f t="shared" si="73"/>
        <v>-SLOWSS-</v>
      </c>
      <c r="Z812" s="4" t="str">
        <f t="shared" si="74"/>
        <v>{"couname":"","img":"0","pty":"","artist":"","genres":"","duration":"","spotId":"","Items":["-SADNE-","-SLOWSS-","OTHR","OTHR","XT_OffAnimals"]},</v>
      </c>
      <c r="AA812" s="5" t="s">
        <v>5</v>
      </c>
      <c r="AB812" s="3" t="str">
        <f t="shared" si="75"/>
        <v>["-SADNE-","-SLOWSS-","OTHR","OTHR","XT_OffAnimals"]</v>
      </c>
      <c r="AC812" s="3">
        <f>_xlfn.XLOOKUP(A812,Album!A:A,Album!J:J)</f>
        <v>0</v>
      </c>
      <c r="AD812" s="3">
        <f>_xlfn.XLOOKUP(D812,Artists!A:A,Artists!B:B)</f>
        <v>0</v>
      </c>
      <c r="AE812" s="3">
        <f>_xlfn.XLOOKUP(D812,Artists!A:A,Artists!C:C)</f>
        <v>0</v>
      </c>
      <c r="AF812" s="3" t="str">
        <f t="shared" si="76"/>
        <v>OTHR</v>
      </c>
      <c r="AG812" s="3" t="str">
        <f t="shared" si="77"/>
        <v>OTHR</v>
      </c>
    </row>
    <row r="813" spans="24:33" x14ac:dyDescent="0.3">
      <c r="X813" s="3" t="str">
        <f t="shared" si="72"/>
        <v>-SADNE-</v>
      </c>
      <c r="Y813" s="3" t="str">
        <f t="shared" si="73"/>
        <v>-SLOWSS-</v>
      </c>
      <c r="Z813" s="4" t="str">
        <f t="shared" si="74"/>
        <v>{"couname":"","img":"0","pty":"","artist":"","genres":"","duration":"","spotId":"","Items":["-SADNE-","-SLOWSS-","OTHR","OTHR","XT_OffAnimals"]},</v>
      </c>
      <c r="AA813" s="5" t="s">
        <v>5</v>
      </c>
      <c r="AB813" s="3" t="str">
        <f t="shared" si="75"/>
        <v>["-SADNE-","-SLOWSS-","OTHR","OTHR","XT_OffAnimals"]</v>
      </c>
      <c r="AC813" s="3">
        <f>_xlfn.XLOOKUP(A813,Album!A:A,Album!J:J)</f>
        <v>0</v>
      </c>
      <c r="AD813" s="3">
        <f>_xlfn.XLOOKUP(D813,Artists!A:A,Artists!B:B)</f>
        <v>0</v>
      </c>
      <c r="AE813" s="3">
        <f>_xlfn.XLOOKUP(D813,Artists!A:A,Artists!C:C)</f>
        <v>0</v>
      </c>
      <c r="AF813" s="3" t="str">
        <f t="shared" si="76"/>
        <v>OTHR</v>
      </c>
      <c r="AG813" s="3" t="str">
        <f t="shared" si="77"/>
        <v>OTHR</v>
      </c>
    </row>
    <row r="814" spans="24:33" x14ac:dyDescent="0.3">
      <c r="X814" s="3" t="str">
        <f t="shared" si="72"/>
        <v>-SADNE-</v>
      </c>
      <c r="Y814" s="3" t="str">
        <f t="shared" si="73"/>
        <v>-SLOWSS-</v>
      </c>
      <c r="Z814" s="4" t="str">
        <f t="shared" si="74"/>
        <v>{"couname":"","img":"0","pty":"","artist":"","genres":"","duration":"","spotId":"","Items":["-SADNE-","-SLOWSS-","OTHR","OTHR","XT_OffAnimals"]},</v>
      </c>
      <c r="AA814" s="5" t="s">
        <v>5</v>
      </c>
      <c r="AB814" s="3" t="str">
        <f t="shared" si="75"/>
        <v>["-SADNE-","-SLOWSS-","OTHR","OTHR","XT_OffAnimals"]</v>
      </c>
      <c r="AC814" s="3">
        <f>_xlfn.XLOOKUP(A814,Album!A:A,Album!J:J)</f>
        <v>0</v>
      </c>
      <c r="AD814" s="3">
        <f>_xlfn.XLOOKUP(D814,Artists!A:A,Artists!B:B)</f>
        <v>0</v>
      </c>
      <c r="AE814" s="3">
        <f>_xlfn.XLOOKUP(D814,Artists!A:A,Artists!C:C)</f>
        <v>0</v>
      </c>
      <c r="AF814" s="3" t="str">
        <f t="shared" si="76"/>
        <v>OTHR</v>
      </c>
      <c r="AG814" s="3" t="str">
        <f t="shared" si="77"/>
        <v>OTHR</v>
      </c>
    </row>
    <row r="815" spans="24:33" x14ac:dyDescent="0.3">
      <c r="X815" s="3" t="str">
        <f t="shared" si="72"/>
        <v>-SADNE-</v>
      </c>
      <c r="Y815" s="3" t="str">
        <f t="shared" si="73"/>
        <v>-SLOWSS-</v>
      </c>
      <c r="Z815" s="4" t="str">
        <f t="shared" si="74"/>
        <v>{"couname":"","img":"0","pty":"","artist":"","genres":"","duration":"","spotId":"","Items":["-SADNE-","-SLOWSS-","OTHR","OTHR","XT_OffAnimals"]},</v>
      </c>
      <c r="AA815" s="5" t="s">
        <v>5</v>
      </c>
      <c r="AB815" s="3" t="str">
        <f t="shared" si="75"/>
        <v>["-SADNE-","-SLOWSS-","OTHR","OTHR","XT_OffAnimals"]</v>
      </c>
      <c r="AC815" s="3">
        <f>_xlfn.XLOOKUP(A815,Album!A:A,Album!J:J)</f>
        <v>0</v>
      </c>
      <c r="AD815" s="3">
        <f>_xlfn.XLOOKUP(D815,Artists!A:A,Artists!B:B)</f>
        <v>0</v>
      </c>
      <c r="AE815" s="3">
        <f>_xlfn.XLOOKUP(D815,Artists!A:A,Artists!C:C)</f>
        <v>0</v>
      </c>
      <c r="AF815" s="3" t="str">
        <f t="shared" si="76"/>
        <v>OTHR</v>
      </c>
      <c r="AG815" s="3" t="str">
        <f t="shared" si="77"/>
        <v>OTHR</v>
      </c>
    </row>
    <row r="816" spans="24:33" x14ac:dyDescent="0.3">
      <c r="X816" s="3" t="str">
        <f t="shared" si="72"/>
        <v>-SADNE-</v>
      </c>
      <c r="Y816" s="3" t="str">
        <f t="shared" si="73"/>
        <v>-SLOWSS-</v>
      </c>
      <c r="Z816" s="4" t="str">
        <f t="shared" si="74"/>
        <v>{"couname":"","img":"0","pty":"","artist":"","genres":"","duration":"","spotId":"","Items":["-SADNE-","-SLOWSS-","OTHR","OTHR","XT_OffAnimals"]},</v>
      </c>
      <c r="AA816" s="5" t="s">
        <v>5</v>
      </c>
      <c r="AB816" s="3" t="str">
        <f t="shared" si="75"/>
        <v>["-SADNE-","-SLOWSS-","OTHR","OTHR","XT_OffAnimals"]</v>
      </c>
      <c r="AC816" s="3">
        <f>_xlfn.XLOOKUP(A816,Album!A:A,Album!J:J)</f>
        <v>0</v>
      </c>
      <c r="AD816" s="3">
        <f>_xlfn.XLOOKUP(D816,Artists!A:A,Artists!B:B)</f>
        <v>0</v>
      </c>
      <c r="AE816" s="3">
        <f>_xlfn.XLOOKUP(D816,Artists!A:A,Artists!C:C)</f>
        <v>0</v>
      </c>
      <c r="AF816" s="3" t="str">
        <f t="shared" si="76"/>
        <v>OTHR</v>
      </c>
      <c r="AG816" s="3" t="str">
        <f t="shared" si="77"/>
        <v>OTHR</v>
      </c>
    </row>
    <row r="817" spans="24:33" x14ac:dyDescent="0.3">
      <c r="X817" s="3" t="str">
        <f t="shared" si="72"/>
        <v>-SADNE-</v>
      </c>
      <c r="Y817" s="3" t="str">
        <f t="shared" si="73"/>
        <v>-SLOWSS-</v>
      </c>
      <c r="Z817" s="4" t="str">
        <f t="shared" si="74"/>
        <v>{"couname":"","img":"0","pty":"","artist":"","genres":"","duration":"","spotId":"","Items":["-SADNE-","-SLOWSS-","OTHR","OTHR","XT_OffAnimals"]},</v>
      </c>
      <c r="AA817" s="5" t="s">
        <v>5</v>
      </c>
      <c r="AB817" s="3" t="str">
        <f t="shared" si="75"/>
        <v>["-SADNE-","-SLOWSS-","OTHR","OTHR","XT_OffAnimals"]</v>
      </c>
      <c r="AC817" s="3">
        <f>_xlfn.XLOOKUP(A817,Album!A:A,Album!J:J)</f>
        <v>0</v>
      </c>
      <c r="AD817" s="3">
        <f>_xlfn.XLOOKUP(D817,Artists!A:A,Artists!B:B)</f>
        <v>0</v>
      </c>
      <c r="AE817" s="3">
        <f>_xlfn.XLOOKUP(D817,Artists!A:A,Artists!C:C)</f>
        <v>0</v>
      </c>
      <c r="AF817" s="3" t="str">
        <f t="shared" si="76"/>
        <v>OTHR</v>
      </c>
      <c r="AG817" s="3" t="str">
        <f t="shared" si="77"/>
        <v>OTHR</v>
      </c>
    </row>
    <row r="818" spans="24:33" x14ac:dyDescent="0.3">
      <c r="X818" s="3" t="str">
        <f t="shared" si="72"/>
        <v>-SADNE-</v>
      </c>
      <c r="Y818" s="3" t="str">
        <f t="shared" si="73"/>
        <v>-SLOWSS-</v>
      </c>
      <c r="Z818" s="4" t="str">
        <f t="shared" si="74"/>
        <v>{"couname":"","img":"0","pty":"","artist":"","genres":"","duration":"","spotId":"","Items":["-SADNE-","-SLOWSS-","OTHR","OTHR","XT_OffAnimals"]},</v>
      </c>
      <c r="AA818" s="5" t="s">
        <v>5</v>
      </c>
      <c r="AB818" s="3" t="str">
        <f t="shared" si="75"/>
        <v>["-SADNE-","-SLOWSS-","OTHR","OTHR","XT_OffAnimals"]</v>
      </c>
      <c r="AC818" s="3">
        <f>_xlfn.XLOOKUP(A818,Album!A:A,Album!J:J)</f>
        <v>0</v>
      </c>
      <c r="AD818" s="3">
        <f>_xlfn.XLOOKUP(D818,Artists!A:A,Artists!B:B)</f>
        <v>0</v>
      </c>
      <c r="AE818" s="3">
        <f>_xlfn.XLOOKUP(D818,Artists!A:A,Artists!C:C)</f>
        <v>0</v>
      </c>
      <c r="AF818" s="3" t="str">
        <f t="shared" si="76"/>
        <v>OTHR</v>
      </c>
      <c r="AG818" s="3" t="str">
        <f t="shared" si="77"/>
        <v>OTHR</v>
      </c>
    </row>
    <row r="819" spans="24:33" x14ac:dyDescent="0.3">
      <c r="X819" s="3" t="str">
        <f t="shared" si="72"/>
        <v>-SADNE-</v>
      </c>
      <c r="Y819" s="3" t="str">
        <f t="shared" si="73"/>
        <v>-SLOWSS-</v>
      </c>
      <c r="Z819" s="4" t="str">
        <f t="shared" si="74"/>
        <v>{"couname":"","img":"0","pty":"","artist":"","genres":"","duration":"","spotId":"","Items":["-SADNE-","-SLOWSS-","OTHR","OTHR","XT_OffAnimals"]},</v>
      </c>
      <c r="AA819" s="5" t="s">
        <v>5</v>
      </c>
      <c r="AB819" s="3" t="str">
        <f t="shared" si="75"/>
        <v>["-SADNE-","-SLOWSS-","OTHR","OTHR","XT_OffAnimals"]</v>
      </c>
      <c r="AC819" s="3">
        <f>_xlfn.XLOOKUP(A819,Album!A:A,Album!J:J)</f>
        <v>0</v>
      </c>
      <c r="AD819" s="3">
        <f>_xlfn.XLOOKUP(D819,Artists!A:A,Artists!B:B)</f>
        <v>0</v>
      </c>
      <c r="AE819" s="3">
        <f>_xlfn.XLOOKUP(D819,Artists!A:A,Artists!C:C)</f>
        <v>0</v>
      </c>
      <c r="AF819" s="3" t="str">
        <f t="shared" si="76"/>
        <v>OTHR</v>
      </c>
      <c r="AG819" s="3" t="str">
        <f t="shared" si="77"/>
        <v>OTHR</v>
      </c>
    </row>
    <row r="820" spans="24:33" x14ac:dyDescent="0.3">
      <c r="X820" s="3" t="str">
        <f t="shared" si="72"/>
        <v>-SADNE-</v>
      </c>
      <c r="Y820" s="3" t="str">
        <f t="shared" si="73"/>
        <v>-SLOWSS-</v>
      </c>
      <c r="Z820" s="4" t="str">
        <f t="shared" si="74"/>
        <v>{"couname":"","img":"0","pty":"","artist":"","genres":"","duration":"","spotId":"","Items":["-SADNE-","-SLOWSS-","OTHR","OTHR","XT_OffAnimals"]},</v>
      </c>
      <c r="AA820" s="5" t="s">
        <v>5</v>
      </c>
      <c r="AB820" s="3" t="str">
        <f t="shared" si="75"/>
        <v>["-SADNE-","-SLOWSS-","OTHR","OTHR","XT_OffAnimals"]</v>
      </c>
      <c r="AC820" s="3">
        <f>_xlfn.XLOOKUP(A820,Album!A:A,Album!J:J)</f>
        <v>0</v>
      </c>
      <c r="AD820" s="3">
        <f>_xlfn.XLOOKUP(D820,Artists!A:A,Artists!B:B)</f>
        <v>0</v>
      </c>
      <c r="AE820" s="3">
        <f>_xlfn.XLOOKUP(D820,Artists!A:A,Artists!C:C)</f>
        <v>0</v>
      </c>
      <c r="AF820" s="3" t="str">
        <f t="shared" si="76"/>
        <v>OTHR</v>
      </c>
      <c r="AG820" s="3" t="str">
        <f t="shared" si="77"/>
        <v>OTHR</v>
      </c>
    </row>
    <row r="821" spans="24:33" x14ac:dyDescent="0.3">
      <c r="X821" s="3" t="str">
        <f t="shared" si="72"/>
        <v>-SADNE-</v>
      </c>
      <c r="Y821" s="3" t="str">
        <f t="shared" si="73"/>
        <v>-SLOWSS-</v>
      </c>
      <c r="Z821" s="4" t="str">
        <f t="shared" si="74"/>
        <v>{"couname":"","img":"0","pty":"","artist":"","genres":"","duration":"","spotId":"","Items":["-SADNE-","-SLOWSS-","OTHR","OTHR","XT_OffAnimals"]},</v>
      </c>
      <c r="AA821" s="5" t="s">
        <v>5</v>
      </c>
      <c r="AB821" s="3" t="str">
        <f t="shared" si="75"/>
        <v>["-SADNE-","-SLOWSS-","OTHR","OTHR","XT_OffAnimals"]</v>
      </c>
      <c r="AC821" s="3">
        <f>_xlfn.XLOOKUP(A821,Album!A:A,Album!J:J)</f>
        <v>0</v>
      </c>
      <c r="AD821" s="3">
        <f>_xlfn.XLOOKUP(D821,Artists!A:A,Artists!B:B)</f>
        <v>0</v>
      </c>
      <c r="AE821" s="3">
        <f>_xlfn.XLOOKUP(D821,Artists!A:A,Artists!C:C)</f>
        <v>0</v>
      </c>
      <c r="AF821" s="3" t="str">
        <f t="shared" si="76"/>
        <v>OTHR</v>
      </c>
      <c r="AG821" s="3" t="str">
        <f t="shared" si="77"/>
        <v>OTHR</v>
      </c>
    </row>
    <row r="822" spans="24:33" x14ac:dyDescent="0.3">
      <c r="X822" s="3" t="str">
        <f t="shared" si="72"/>
        <v>-SADNE-</v>
      </c>
      <c r="Y822" s="3" t="str">
        <f t="shared" si="73"/>
        <v>-SLOWSS-</v>
      </c>
      <c r="Z822" s="4" t="str">
        <f t="shared" si="74"/>
        <v>{"couname":"","img":"0","pty":"","artist":"","genres":"","duration":"","spotId":"","Items":["-SADNE-","-SLOWSS-","OTHR","OTHR","XT_OffAnimals"]},</v>
      </c>
      <c r="AA822" s="5" t="s">
        <v>5</v>
      </c>
      <c r="AB822" s="3" t="str">
        <f t="shared" si="75"/>
        <v>["-SADNE-","-SLOWSS-","OTHR","OTHR","XT_OffAnimals"]</v>
      </c>
      <c r="AC822" s="3">
        <f>_xlfn.XLOOKUP(A822,Album!A:A,Album!J:J)</f>
        <v>0</v>
      </c>
      <c r="AD822" s="3">
        <f>_xlfn.XLOOKUP(D822,Artists!A:A,Artists!B:B)</f>
        <v>0</v>
      </c>
      <c r="AE822" s="3">
        <f>_xlfn.XLOOKUP(D822,Artists!A:A,Artists!C:C)</f>
        <v>0</v>
      </c>
      <c r="AF822" s="3" t="str">
        <f t="shared" si="76"/>
        <v>OTHR</v>
      </c>
      <c r="AG822" s="3" t="str">
        <f t="shared" si="77"/>
        <v>OTHR</v>
      </c>
    </row>
    <row r="823" spans="24:33" x14ac:dyDescent="0.3">
      <c r="X823" s="3" t="str">
        <f t="shared" si="72"/>
        <v>-SADNE-</v>
      </c>
      <c r="Y823" s="3" t="str">
        <f t="shared" si="73"/>
        <v>-SLOWSS-</v>
      </c>
      <c r="Z823" s="4" t="str">
        <f t="shared" si="74"/>
        <v>{"couname":"","img":"0","pty":"","artist":"","genres":"","duration":"","spotId":"","Items":["-SADNE-","-SLOWSS-","OTHR","OTHR","XT_OffAnimals"]},</v>
      </c>
      <c r="AA823" s="5" t="s">
        <v>5</v>
      </c>
      <c r="AB823" s="3" t="str">
        <f t="shared" si="75"/>
        <v>["-SADNE-","-SLOWSS-","OTHR","OTHR","XT_OffAnimals"]</v>
      </c>
      <c r="AC823" s="3">
        <f>_xlfn.XLOOKUP(A823,Album!A:A,Album!J:J)</f>
        <v>0</v>
      </c>
      <c r="AD823" s="3">
        <f>_xlfn.XLOOKUP(D823,Artists!A:A,Artists!B:B)</f>
        <v>0</v>
      </c>
      <c r="AE823" s="3">
        <f>_xlfn.XLOOKUP(D823,Artists!A:A,Artists!C:C)</f>
        <v>0</v>
      </c>
      <c r="AF823" s="3" t="str">
        <f t="shared" si="76"/>
        <v>OTHR</v>
      </c>
      <c r="AG823" s="3" t="str">
        <f t="shared" si="77"/>
        <v>OTHR</v>
      </c>
    </row>
    <row r="824" spans="24:33" x14ac:dyDescent="0.3">
      <c r="X824" s="3" t="str">
        <f t="shared" si="72"/>
        <v>-SADNE-</v>
      </c>
      <c r="Y824" s="3" t="str">
        <f t="shared" si="73"/>
        <v>-SLOWSS-</v>
      </c>
      <c r="Z824" s="4" t="str">
        <f t="shared" si="74"/>
        <v>{"couname":"","img":"0","pty":"","artist":"","genres":"","duration":"","spotId":"","Items":["-SADNE-","-SLOWSS-","OTHR","OTHR","XT_OffAnimals"]},</v>
      </c>
      <c r="AA824" s="5" t="s">
        <v>5</v>
      </c>
      <c r="AB824" s="3" t="str">
        <f t="shared" si="75"/>
        <v>["-SADNE-","-SLOWSS-","OTHR","OTHR","XT_OffAnimals"]</v>
      </c>
      <c r="AC824" s="3">
        <f>_xlfn.XLOOKUP(A824,Album!A:A,Album!J:J)</f>
        <v>0</v>
      </c>
      <c r="AD824" s="3">
        <f>_xlfn.XLOOKUP(D824,Artists!A:A,Artists!B:B)</f>
        <v>0</v>
      </c>
      <c r="AE824" s="3">
        <f>_xlfn.XLOOKUP(D824,Artists!A:A,Artists!C:C)</f>
        <v>0</v>
      </c>
      <c r="AF824" s="3" t="str">
        <f t="shared" si="76"/>
        <v>OTHR</v>
      </c>
      <c r="AG824" s="3" t="str">
        <f t="shared" si="77"/>
        <v>OTHR</v>
      </c>
    </row>
    <row r="825" spans="24:33" x14ac:dyDescent="0.3">
      <c r="X825" s="3" t="str">
        <f t="shared" si="72"/>
        <v>-SADNE-</v>
      </c>
      <c r="Y825" s="3" t="str">
        <f t="shared" si="73"/>
        <v>-SLOWSS-</v>
      </c>
      <c r="Z825" s="4" t="str">
        <f t="shared" si="74"/>
        <v>{"couname":"","img":"0","pty":"","artist":"","genres":"","duration":"","spotId":"","Items":["-SADNE-","-SLOWSS-","OTHR","OTHR","XT_OffAnimals"]},</v>
      </c>
      <c r="AA825" s="5" t="s">
        <v>5</v>
      </c>
      <c r="AB825" s="3" t="str">
        <f t="shared" si="75"/>
        <v>["-SADNE-","-SLOWSS-","OTHR","OTHR","XT_OffAnimals"]</v>
      </c>
      <c r="AC825" s="3">
        <f>_xlfn.XLOOKUP(A825,Album!A:A,Album!J:J)</f>
        <v>0</v>
      </c>
      <c r="AD825" s="3">
        <f>_xlfn.XLOOKUP(D825,Artists!A:A,Artists!B:B)</f>
        <v>0</v>
      </c>
      <c r="AE825" s="3">
        <f>_xlfn.XLOOKUP(D825,Artists!A:A,Artists!C:C)</f>
        <v>0</v>
      </c>
      <c r="AF825" s="3" t="str">
        <f t="shared" si="76"/>
        <v>OTHR</v>
      </c>
      <c r="AG825" s="3" t="str">
        <f t="shared" si="77"/>
        <v>OTHR</v>
      </c>
    </row>
    <row r="826" spans="24:33" x14ac:dyDescent="0.3">
      <c r="X826" s="3" t="str">
        <f t="shared" si="72"/>
        <v>-SADNE-</v>
      </c>
      <c r="Y826" s="3" t="str">
        <f t="shared" si="73"/>
        <v>-SLOWSS-</v>
      </c>
      <c r="Z826" s="4" t="str">
        <f t="shared" si="74"/>
        <v>{"couname":"","img":"0","pty":"","artist":"","genres":"","duration":"","spotId":"","Items":["-SADNE-","-SLOWSS-","OTHR","OTHR","XT_OffAnimals"]},</v>
      </c>
      <c r="AA826" s="5" t="s">
        <v>5</v>
      </c>
      <c r="AB826" s="3" t="str">
        <f t="shared" si="75"/>
        <v>["-SADNE-","-SLOWSS-","OTHR","OTHR","XT_OffAnimals"]</v>
      </c>
      <c r="AC826" s="3">
        <f>_xlfn.XLOOKUP(A826,Album!A:A,Album!J:J)</f>
        <v>0</v>
      </c>
      <c r="AD826" s="3">
        <f>_xlfn.XLOOKUP(D826,Artists!A:A,Artists!B:B)</f>
        <v>0</v>
      </c>
      <c r="AE826" s="3">
        <f>_xlfn.XLOOKUP(D826,Artists!A:A,Artists!C:C)</f>
        <v>0</v>
      </c>
      <c r="AF826" s="3" t="str">
        <f t="shared" si="76"/>
        <v>OTHR</v>
      </c>
      <c r="AG826" s="3" t="str">
        <f t="shared" si="77"/>
        <v>OTHR</v>
      </c>
    </row>
    <row r="827" spans="24:33" x14ac:dyDescent="0.3">
      <c r="X827" s="3" t="str">
        <f t="shared" si="72"/>
        <v>-SADNE-</v>
      </c>
      <c r="Y827" s="3" t="str">
        <f t="shared" si="73"/>
        <v>-SLOWSS-</v>
      </c>
      <c r="Z827" s="4" t="str">
        <f t="shared" si="74"/>
        <v>{"couname":"","img":"0","pty":"","artist":"","genres":"","duration":"","spotId":"","Items":["-SADNE-","-SLOWSS-","OTHR","OTHR","XT_OffAnimals"]},</v>
      </c>
      <c r="AA827" s="5" t="s">
        <v>5</v>
      </c>
      <c r="AB827" s="3" t="str">
        <f t="shared" si="75"/>
        <v>["-SADNE-","-SLOWSS-","OTHR","OTHR","XT_OffAnimals"]</v>
      </c>
      <c r="AC827" s="3">
        <f>_xlfn.XLOOKUP(A827,Album!A:A,Album!J:J)</f>
        <v>0</v>
      </c>
      <c r="AD827" s="3">
        <f>_xlfn.XLOOKUP(D827,Artists!A:A,Artists!B:B)</f>
        <v>0</v>
      </c>
      <c r="AE827" s="3">
        <f>_xlfn.XLOOKUP(D827,Artists!A:A,Artists!C:C)</f>
        <v>0</v>
      </c>
      <c r="AF827" s="3" t="str">
        <f t="shared" si="76"/>
        <v>OTHR</v>
      </c>
      <c r="AG827" s="3" t="str">
        <f t="shared" si="77"/>
        <v>OTHR</v>
      </c>
    </row>
    <row r="828" spans="24:33" x14ac:dyDescent="0.3">
      <c r="X828" s="3" t="str">
        <f t="shared" si="72"/>
        <v>-SADNE-</v>
      </c>
      <c r="Y828" s="3" t="str">
        <f t="shared" si="73"/>
        <v>-SLOWSS-</v>
      </c>
      <c r="Z828" s="4" t="str">
        <f t="shared" si="74"/>
        <v>{"couname":"","img":"0","pty":"","artist":"","genres":"","duration":"","spotId":"","Items":["-SADNE-","-SLOWSS-","OTHR","OTHR","XT_OffAnimals"]},</v>
      </c>
      <c r="AA828" s="5" t="s">
        <v>5</v>
      </c>
      <c r="AB828" s="3" t="str">
        <f t="shared" si="75"/>
        <v>["-SADNE-","-SLOWSS-","OTHR","OTHR","XT_OffAnimals"]</v>
      </c>
      <c r="AC828" s="3">
        <f>_xlfn.XLOOKUP(A828,Album!A:A,Album!J:J)</f>
        <v>0</v>
      </c>
      <c r="AD828" s="3">
        <f>_xlfn.XLOOKUP(D828,Artists!A:A,Artists!B:B)</f>
        <v>0</v>
      </c>
      <c r="AE828" s="3">
        <f>_xlfn.XLOOKUP(D828,Artists!A:A,Artists!C:C)</f>
        <v>0</v>
      </c>
      <c r="AF828" s="3" t="str">
        <f t="shared" si="76"/>
        <v>OTHR</v>
      </c>
      <c r="AG828" s="3" t="str">
        <f t="shared" si="77"/>
        <v>OTHR</v>
      </c>
    </row>
    <row r="829" spans="24:33" x14ac:dyDescent="0.3">
      <c r="X829" s="3" t="str">
        <f t="shared" si="72"/>
        <v>-SADNE-</v>
      </c>
      <c r="Y829" s="3" t="str">
        <f t="shared" si="73"/>
        <v>-SLOWSS-</v>
      </c>
      <c r="Z829" s="4" t="str">
        <f t="shared" si="74"/>
        <v>{"couname":"","img":"0","pty":"","artist":"","genres":"","duration":"","spotId":"","Items":["-SADNE-","-SLOWSS-","OTHR","OTHR","XT_OffAnimals"]},</v>
      </c>
      <c r="AA829" s="5" t="s">
        <v>5</v>
      </c>
      <c r="AB829" s="3" t="str">
        <f t="shared" si="75"/>
        <v>["-SADNE-","-SLOWSS-","OTHR","OTHR","XT_OffAnimals"]</v>
      </c>
      <c r="AC829" s="3">
        <f>_xlfn.XLOOKUP(A829,Album!A:A,Album!J:J)</f>
        <v>0</v>
      </c>
      <c r="AD829" s="3">
        <f>_xlfn.XLOOKUP(D829,Artists!A:A,Artists!B:B)</f>
        <v>0</v>
      </c>
      <c r="AE829" s="3">
        <f>_xlfn.XLOOKUP(D829,Artists!A:A,Artists!C:C)</f>
        <v>0</v>
      </c>
      <c r="AF829" s="3" t="str">
        <f t="shared" si="76"/>
        <v>OTHR</v>
      </c>
      <c r="AG829" s="3" t="str">
        <f t="shared" si="77"/>
        <v>OTHR</v>
      </c>
    </row>
    <row r="830" spans="24:33" x14ac:dyDescent="0.3">
      <c r="X830" s="3" t="str">
        <f t="shared" si="72"/>
        <v>-SADNE-</v>
      </c>
      <c r="Y830" s="3" t="str">
        <f t="shared" si="73"/>
        <v>-SLOWSS-</v>
      </c>
      <c r="Z830" s="4" t="str">
        <f t="shared" si="74"/>
        <v>{"couname":"","img":"0","pty":"","artist":"","genres":"","duration":"","spotId":"","Items":["-SADNE-","-SLOWSS-","OTHR","OTHR","XT_OffAnimals"]},</v>
      </c>
      <c r="AA830" s="5" t="s">
        <v>5</v>
      </c>
      <c r="AB830" s="3" t="str">
        <f t="shared" si="75"/>
        <v>["-SADNE-","-SLOWSS-","OTHR","OTHR","XT_OffAnimals"]</v>
      </c>
      <c r="AC830" s="3">
        <f>_xlfn.XLOOKUP(A830,Album!A:A,Album!J:J)</f>
        <v>0</v>
      </c>
      <c r="AD830" s="3">
        <f>_xlfn.XLOOKUP(D830,Artists!A:A,Artists!B:B)</f>
        <v>0</v>
      </c>
      <c r="AE830" s="3">
        <f>_xlfn.XLOOKUP(D830,Artists!A:A,Artists!C:C)</f>
        <v>0</v>
      </c>
      <c r="AF830" s="3" t="str">
        <f t="shared" si="76"/>
        <v>OTHR</v>
      </c>
      <c r="AG830" s="3" t="str">
        <f t="shared" si="77"/>
        <v>OTHR</v>
      </c>
    </row>
    <row r="831" spans="24:33" x14ac:dyDescent="0.3">
      <c r="X831" s="3" t="str">
        <f t="shared" si="72"/>
        <v>-SADNE-</v>
      </c>
      <c r="Y831" s="3" t="str">
        <f t="shared" si="73"/>
        <v>-SLOWSS-</v>
      </c>
      <c r="Z831" s="4" t="str">
        <f t="shared" si="74"/>
        <v>{"couname":"","img":"0","pty":"","artist":"","genres":"","duration":"","spotId":"","Items":["-SADNE-","-SLOWSS-","OTHR","OTHR","XT_OffAnimals"]},</v>
      </c>
      <c r="AA831" s="5" t="s">
        <v>5</v>
      </c>
      <c r="AB831" s="3" t="str">
        <f t="shared" si="75"/>
        <v>["-SADNE-","-SLOWSS-","OTHR","OTHR","XT_OffAnimals"]</v>
      </c>
      <c r="AC831" s="3">
        <f>_xlfn.XLOOKUP(A831,Album!A:A,Album!J:J)</f>
        <v>0</v>
      </c>
      <c r="AD831" s="3">
        <f>_xlfn.XLOOKUP(D831,Artists!A:A,Artists!B:B)</f>
        <v>0</v>
      </c>
      <c r="AE831" s="3">
        <f>_xlfn.XLOOKUP(D831,Artists!A:A,Artists!C:C)</f>
        <v>0</v>
      </c>
      <c r="AF831" s="3" t="str">
        <f t="shared" si="76"/>
        <v>OTHR</v>
      </c>
      <c r="AG831" s="3" t="str">
        <f t="shared" si="77"/>
        <v>OTHR</v>
      </c>
    </row>
    <row r="832" spans="24:33" x14ac:dyDescent="0.3">
      <c r="X832" s="3" t="str">
        <f t="shared" si="72"/>
        <v>-SADNE-</v>
      </c>
      <c r="Y832" s="3" t="str">
        <f t="shared" si="73"/>
        <v>-SLOWSS-</v>
      </c>
      <c r="Z832" s="4" t="str">
        <f t="shared" si="74"/>
        <v>{"couname":"","img":"0","pty":"","artist":"","genres":"","duration":"","spotId":"","Items":["-SADNE-","-SLOWSS-","OTHR","OTHR","XT_OffAnimals"]},</v>
      </c>
      <c r="AA832" s="5" t="s">
        <v>5</v>
      </c>
      <c r="AB832" s="3" t="str">
        <f t="shared" si="75"/>
        <v>["-SADNE-","-SLOWSS-","OTHR","OTHR","XT_OffAnimals"]</v>
      </c>
      <c r="AC832" s="3">
        <f>_xlfn.XLOOKUP(A832,Album!A:A,Album!J:J)</f>
        <v>0</v>
      </c>
      <c r="AD832" s="3">
        <f>_xlfn.XLOOKUP(D832,Artists!A:A,Artists!B:B)</f>
        <v>0</v>
      </c>
      <c r="AE832" s="3">
        <f>_xlfn.XLOOKUP(D832,Artists!A:A,Artists!C:C)</f>
        <v>0</v>
      </c>
      <c r="AF832" s="3" t="str">
        <f t="shared" si="76"/>
        <v>OTHR</v>
      </c>
      <c r="AG832" s="3" t="str">
        <f t="shared" si="77"/>
        <v>OTHR</v>
      </c>
    </row>
    <row r="833" spans="24:33" x14ac:dyDescent="0.3">
      <c r="X833" s="3" t="str">
        <f t="shared" si="72"/>
        <v>-SADNE-</v>
      </c>
      <c r="Y833" s="3" t="str">
        <f t="shared" si="73"/>
        <v>-SLOWSS-</v>
      </c>
      <c r="Z833" s="4" t="str">
        <f t="shared" si="74"/>
        <v>{"couname":"","img":"0","pty":"","artist":"","genres":"","duration":"","spotId":"","Items":["-SADNE-","-SLOWSS-","OTHR","OTHR","XT_OffAnimals"]},</v>
      </c>
      <c r="AA833" s="5" t="s">
        <v>5</v>
      </c>
      <c r="AB833" s="3" t="str">
        <f t="shared" si="75"/>
        <v>["-SADNE-","-SLOWSS-","OTHR","OTHR","XT_OffAnimals"]</v>
      </c>
      <c r="AC833" s="3">
        <f>_xlfn.XLOOKUP(A833,Album!A:A,Album!J:J)</f>
        <v>0</v>
      </c>
      <c r="AD833" s="3">
        <f>_xlfn.XLOOKUP(D833,Artists!A:A,Artists!B:B)</f>
        <v>0</v>
      </c>
      <c r="AE833" s="3">
        <f>_xlfn.XLOOKUP(D833,Artists!A:A,Artists!C:C)</f>
        <v>0</v>
      </c>
      <c r="AF833" s="3" t="str">
        <f t="shared" si="76"/>
        <v>OTHR</v>
      </c>
      <c r="AG833" s="3" t="str">
        <f t="shared" si="77"/>
        <v>OTHR</v>
      </c>
    </row>
    <row r="834" spans="24:33" x14ac:dyDescent="0.3">
      <c r="X834" s="3" t="str">
        <f t="shared" ref="X834:X897" si="78">IF(OR(U834&lt;0.301, AND(U834&lt;0.4, P834=0)), "-SADNE-", "-HAPPY-")</f>
        <v>-SADNE-</v>
      </c>
      <c r="Y834" s="3" t="str">
        <f t="shared" ref="Y834:Y897" si="79">IF(OR(AND(L834&lt;0.5,M834&lt;0.5),AND(L834&lt;0.45,V834&lt;100),AND(M834&lt;0.45,V834&lt;100),AND(U834&lt;0.39,V834&lt;100)),"-SLOWSS-","-ENERGY-")</f>
        <v>-SLOWSS-</v>
      </c>
      <c r="Z834" s="4" t="str">
        <f t="shared" si="74"/>
        <v>{"couname":"","img":"0","pty":"","artist":"","genres":"","duration":"","spotId":"","Items":["-SADNE-","-SLOWSS-","OTHR","OTHR","XT_OffAnimals"]},</v>
      </c>
      <c r="AA834" s="5" t="s">
        <v>5</v>
      </c>
      <c r="AB834" s="3" t="str">
        <f t="shared" si="75"/>
        <v>["-SADNE-","-SLOWSS-","OTHR","OTHR","XT_OffAnimals"]</v>
      </c>
      <c r="AC834" s="3">
        <f>_xlfn.XLOOKUP(A834,Album!A:A,Album!J:J)</f>
        <v>0</v>
      </c>
      <c r="AD834" s="3">
        <f>_xlfn.XLOOKUP(D834,Artists!A:A,Artists!B:B)</f>
        <v>0</v>
      </c>
      <c r="AE834" s="3">
        <f>_xlfn.XLOOKUP(D834,Artists!A:A,Artists!C:C)</f>
        <v>0</v>
      </c>
      <c r="AF834" s="3" t="str">
        <f t="shared" si="76"/>
        <v>OTHR</v>
      </c>
      <c r="AG834" s="3" t="str">
        <f t="shared" si="77"/>
        <v>OTHR</v>
      </c>
    </row>
    <row r="835" spans="24:33" x14ac:dyDescent="0.3">
      <c r="X835" s="3" t="str">
        <f t="shared" si="78"/>
        <v>-SADNE-</v>
      </c>
      <c r="Y835" s="3" t="str">
        <f t="shared" si="79"/>
        <v>-SLOWSS-</v>
      </c>
      <c r="Z835" s="4" t="str">
        <f t="shared" ref="Z835:Z898" si="80">"{"&amp;CHAR(34)&amp;"couname"&amp;CHAR(34)&amp;":"&amp;CHAR(34)&amp;B835&amp;CHAR(34)&amp;","&amp;CHAR(34)&amp;"img"&amp;CHAR(34)&amp;":"&amp;CHAR(34)&amp;AC835&amp;CHAR(34)&amp;","&amp;CHAR(34)&amp;"pty"&amp;CHAR(34)&amp;":"&amp;CHAR(34)&amp;G835&amp;CHAR(34)&amp;","&amp;CHAR(34)&amp;"artist"&amp;CHAR(34)&amp;":"&amp;CHAR(34)&amp;D835&amp;CHAR(34)&amp;","&amp;CHAR(34)&amp;"genres"&amp;CHAR(34)&amp;":"&amp;CHAR(34)&amp;J835&amp;CHAR(34)&amp;","&amp;CHAR(34)&amp;"duration"&amp;CHAR(34)&amp;":"&amp;CHAR(34)&amp;F835&amp;CHAR(34)&amp;","&amp;CHAR(34)&amp;"spotId"&amp;CHAR(34)&amp;":"&amp;CHAR(34)&amp;A835&amp;CHAR(34)&amp;","&amp;CHAR(34)&amp;"Items"&amp;CHAR(34)&amp;":"&amp;AB835&amp;"},"</f>
        <v>{"couname":"","img":"0","pty":"","artist":"","genres":"","duration":"","spotId":"","Items":["-SADNE-","-SLOWSS-","OTHR","OTHR","XT_OffAnimals"]},</v>
      </c>
      <c r="AA835" s="5" t="s">
        <v>5</v>
      </c>
      <c r="AB835" s="3" t="str">
        <f t="shared" ref="AB835:AB898" si="81" xml:space="preserve"> "[" &amp; _xlfn.TEXTJOIN(",",TRUE,CHAR(34) &amp; X835&amp; CHAR(34), CHAR(34) &amp; Y835 &amp; CHAR(34),  CHAR(34) &amp; AF835 &amp; CHAR(34), CHAR(34) &amp;AG835 &amp; CHAR(34), CHAR(34) &amp; AA835 &amp; CHAR(34)) &amp; "]"</f>
        <v>["-SADNE-","-SLOWSS-","OTHR","OTHR","XT_OffAnimals"]</v>
      </c>
      <c r="AC835" s="3">
        <f>_xlfn.XLOOKUP(A835,Album!A:A,Album!J:J)</f>
        <v>0</v>
      </c>
      <c r="AD835" s="3">
        <f>_xlfn.XLOOKUP(D835,Artists!A:A,Artists!B:B)</f>
        <v>0</v>
      </c>
      <c r="AE835" s="3">
        <f>_xlfn.XLOOKUP(D835,Artists!A:A,Artists!C:C)</f>
        <v>0</v>
      </c>
      <c r="AF835" s="3" t="str">
        <f t="shared" ref="AF835:AF898" si="82">IF(ISNUMBER(SEARCH("female", AD835)), "GIRL", IF(ISNUMBER(SEARCH("male", AD835)), "DUDE", "OTHR"))</f>
        <v>OTHR</v>
      </c>
      <c r="AG835" s="3" t="str">
        <f t="shared" ref="AG835:AG898" si="83">IF(ISNUMBER(SEARCH("band", AD835)), "BAND", IF(ISNUMBER(SEARCH("solo", AD835)), "SOLO", "OTHR"))</f>
        <v>OTHR</v>
      </c>
    </row>
    <row r="836" spans="24:33" x14ac:dyDescent="0.3">
      <c r="X836" s="3" t="str">
        <f t="shared" si="78"/>
        <v>-SADNE-</v>
      </c>
      <c r="Y836" s="3" t="str">
        <f t="shared" si="79"/>
        <v>-SLOWSS-</v>
      </c>
      <c r="Z836" s="4" t="str">
        <f t="shared" si="80"/>
        <v>{"couname":"","img":"0","pty":"","artist":"","genres":"","duration":"","spotId":"","Items":["-SADNE-","-SLOWSS-","OTHR","OTHR","XT_OffAnimals"]},</v>
      </c>
      <c r="AA836" s="5" t="s">
        <v>5</v>
      </c>
      <c r="AB836" s="3" t="str">
        <f t="shared" si="81"/>
        <v>["-SADNE-","-SLOWSS-","OTHR","OTHR","XT_OffAnimals"]</v>
      </c>
      <c r="AC836" s="3">
        <f>_xlfn.XLOOKUP(A836,Album!A:A,Album!J:J)</f>
        <v>0</v>
      </c>
      <c r="AD836" s="3">
        <f>_xlfn.XLOOKUP(D836,Artists!A:A,Artists!B:B)</f>
        <v>0</v>
      </c>
      <c r="AE836" s="3">
        <f>_xlfn.XLOOKUP(D836,Artists!A:A,Artists!C:C)</f>
        <v>0</v>
      </c>
      <c r="AF836" s="3" t="str">
        <f t="shared" si="82"/>
        <v>OTHR</v>
      </c>
      <c r="AG836" s="3" t="str">
        <f t="shared" si="83"/>
        <v>OTHR</v>
      </c>
    </row>
    <row r="837" spans="24:33" x14ac:dyDescent="0.3">
      <c r="X837" s="3" t="str">
        <f t="shared" si="78"/>
        <v>-SADNE-</v>
      </c>
      <c r="Y837" s="3" t="str">
        <f t="shared" si="79"/>
        <v>-SLOWSS-</v>
      </c>
      <c r="Z837" s="4" t="str">
        <f t="shared" si="80"/>
        <v>{"couname":"","img":"0","pty":"","artist":"","genres":"","duration":"","spotId":"","Items":["-SADNE-","-SLOWSS-","OTHR","OTHR","XT_OffAnimals"]},</v>
      </c>
      <c r="AA837" s="5" t="s">
        <v>5</v>
      </c>
      <c r="AB837" s="3" t="str">
        <f t="shared" si="81"/>
        <v>["-SADNE-","-SLOWSS-","OTHR","OTHR","XT_OffAnimals"]</v>
      </c>
      <c r="AC837" s="3">
        <f>_xlfn.XLOOKUP(A837,Album!A:A,Album!J:J)</f>
        <v>0</v>
      </c>
      <c r="AD837" s="3">
        <f>_xlfn.XLOOKUP(D837,Artists!A:A,Artists!B:B)</f>
        <v>0</v>
      </c>
      <c r="AE837" s="3">
        <f>_xlfn.XLOOKUP(D837,Artists!A:A,Artists!C:C)</f>
        <v>0</v>
      </c>
      <c r="AF837" s="3" t="str">
        <f t="shared" si="82"/>
        <v>OTHR</v>
      </c>
      <c r="AG837" s="3" t="str">
        <f t="shared" si="83"/>
        <v>OTHR</v>
      </c>
    </row>
    <row r="838" spans="24:33" x14ac:dyDescent="0.3">
      <c r="X838" s="3" t="str">
        <f t="shared" si="78"/>
        <v>-SADNE-</v>
      </c>
      <c r="Y838" s="3" t="str">
        <f t="shared" si="79"/>
        <v>-SLOWSS-</v>
      </c>
      <c r="Z838" s="4" t="str">
        <f t="shared" si="80"/>
        <v>{"couname":"","img":"0","pty":"","artist":"","genres":"","duration":"","spotId":"","Items":["-SADNE-","-SLOWSS-","OTHR","OTHR","XT_OffAnimals"]},</v>
      </c>
      <c r="AA838" s="5" t="s">
        <v>5</v>
      </c>
      <c r="AB838" s="3" t="str">
        <f t="shared" si="81"/>
        <v>["-SADNE-","-SLOWSS-","OTHR","OTHR","XT_OffAnimals"]</v>
      </c>
      <c r="AC838" s="3">
        <f>_xlfn.XLOOKUP(A838,Album!A:A,Album!J:J)</f>
        <v>0</v>
      </c>
      <c r="AD838" s="3">
        <f>_xlfn.XLOOKUP(D838,Artists!A:A,Artists!B:B)</f>
        <v>0</v>
      </c>
      <c r="AE838" s="3">
        <f>_xlfn.XLOOKUP(D838,Artists!A:A,Artists!C:C)</f>
        <v>0</v>
      </c>
      <c r="AF838" s="3" t="str">
        <f t="shared" si="82"/>
        <v>OTHR</v>
      </c>
      <c r="AG838" s="3" t="str">
        <f t="shared" si="83"/>
        <v>OTHR</v>
      </c>
    </row>
    <row r="839" spans="24:33" x14ac:dyDescent="0.3">
      <c r="X839" s="3" t="str">
        <f t="shared" si="78"/>
        <v>-SADNE-</v>
      </c>
      <c r="Y839" s="3" t="str">
        <f t="shared" si="79"/>
        <v>-SLOWSS-</v>
      </c>
      <c r="Z839" s="4" t="str">
        <f t="shared" si="80"/>
        <v>{"couname":"","img":"0","pty":"","artist":"","genres":"","duration":"","spotId":"","Items":["-SADNE-","-SLOWSS-","OTHR","OTHR","XT_OffAnimals"]},</v>
      </c>
      <c r="AA839" s="5" t="s">
        <v>5</v>
      </c>
      <c r="AB839" s="3" t="str">
        <f t="shared" si="81"/>
        <v>["-SADNE-","-SLOWSS-","OTHR","OTHR","XT_OffAnimals"]</v>
      </c>
      <c r="AC839" s="3">
        <f>_xlfn.XLOOKUP(A839,Album!A:A,Album!J:J)</f>
        <v>0</v>
      </c>
      <c r="AD839" s="3">
        <f>_xlfn.XLOOKUP(D839,Artists!A:A,Artists!B:B)</f>
        <v>0</v>
      </c>
      <c r="AE839" s="3">
        <f>_xlfn.XLOOKUP(D839,Artists!A:A,Artists!C:C)</f>
        <v>0</v>
      </c>
      <c r="AF839" s="3" t="str">
        <f t="shared" si="82"/>
        <v>OTHR</v>
      </c>
      <c r="AG839" s="3" t="str">
        <f t="shared" si="83"/>
        <v>OTHR</v>
      </c>
    </row>
    <row r="840" spans="24:33" x14ac:dyDescent="0.3">
      <c r="X840" s="3" t="str">
        <f t="shared" si="78"/>
        <v>-SADNE-</v>
      </c>
      <c r="Y840" s="3" t="str">
        <f t="shared" si="79"/>
        <v>-SLOWSS-</v>
      </c>
      <c r="Z840" s="4" t="str">
        <f t="shared" si="80"/>
        <v>{"couname":"","img":"0","pty":"","artist":"","genres":"","duration":"","spotId":"","Items":["-SADNE-","-SLOWSS-","OTHR","OTHR","XT_OffAnimals"]},</v>
      </c>
      <c r="AA840" s="5" t="s">
        <v>5</v>
      </c>
      <c r="AB840" s="3" t="str">
        <f t="shared" si="81"/>
        <v>["-SADNE-","-SLOWSS-","OTHR","OTHR","XT_OffAnimals"]</v>
      </c>
      <c r="AC840" s="3">
        <f>_xlfn.XLOOKUP(A840,Album!A:A,Album!J:J)</f>
        <v>0</v>
      </c>
      <c r="AD840" s="3">
        <f>_xlfn.XLOOKUP(D840,Artists!A:A,Artists!B:B)</f>
        <v>0</v>
      </c>
      <c r="AE840" s="3">
        <f>_xlfn.XLOOKUP(D840,Artists!A:A,Artists!C:C)</f>
        <v>0</v>
      </c>
      <c r="AF840" s="3" t="str">
        <f t="shared" si="82"/>
        <v>OTHR</v>
      </c>
      <c r="AG840" s="3" t="str">
        <f t="shared" si="83"/>
        <v>OTHR</v>
      </c>
    </row>
    <row r="841" spans="24:33" x14ac:dyDescent="0.3">
      <c r="X841" s="3" t="str">
        <f t="shared" si="78"/>
        <v>-SADNE-</v>
      </c>
      <c r="Y841" s="3" t="str">
        <f t="shared" si="79"/>
        <v>-SLOWSS-</v>
      </c>
      <c r="Z841" s="4" t="str">
        <f t="shared" si="80"/>
        <v>{"couname":"","img":"0","pty":"","artist":"","genres":"","duration":"","spotId":"","Items":["-SADNE-","-SLOWSS-","OTHR","OTHR","XT_OffAnimals"]},</v>
      </c>
      <c r="AA841" s="5" t="s">
        <v>5</v>
      </c>
      <c r="AB841" s="3" t="str">
        <f t="shared" si="81"/>
        <v>["-SADNE-","-SLOWSS-","OTHR","OTHR","XT_OffAnimals"]</v>
      </c>
      <c r="AC841" s="3">
        <f>_xlfn.XLOOKUP(A841,Album!A:A,Album!J:J)</f>
        <v>0</v>
      </c>
      <c r="AD841" s="3">
        <f>_xlfn.XLOOKUP(D841,Artists!A:A,Artists!B:B)</f>
        <v>0</v>
      </c>
      <c r="AE841" s="3">
        <f>_xlfn.XLOOKUP(D841,Artists!A:A,Artists!C:C)</f>
        <v>0</v>
      </c>
      <c r="AF841" s="3" t="str">
        <f t="shared" si="82"/>
        <v>OTHR</v>
      </c>
      <c r="AG841" s="3" t="str">
        <f t="shared" si="83"/>
        <v>OTHR</v>
      </c>
    </row>
    <row r="842" spans="24:33" x14ac:dyDescent="0.3">
      <c r="X842" s="3" t="str">
        <f t="shared" si="78"/>
        <v>-SADNE-</v>
      </c>
      <c r="Y842" s="3" t="str">
        <f t="shared" si="79"/>
        <v>-SLOWSS-</v>
      </c>
      <c r="Z842" s="4" t="str">
        <f t="shared" si="80"/>
        <v>{"couname":"","img":"0","pty":"","artist":"","genres":"","duration":"","spotId":"","Items":["-SADNE-","-SLOWSS-","OTHR","OTHR","XT_OffAnimals"]},</v>
      </c>
      <c r="AA842" s="5" t="s">
        <v>5</v>
      </c>
      <c r="AB842" s="3" t="str">
        <f t="shared" si="81"/>
        <v>["-SADNE-","-SLOWSS-","OTHR","OTHR","XT_OffAnimals"]</v>
      </c>
      <c r="AC842" s="3">
        <f>_xlfn.XLOOKUP(A842,Album!A:A,Album!J:J)</f>
        <v>0</v>
      </c>
      <c r="AD842" s="3">
        <f>_xlfn.XLOOKUP(D842,Artists!A:A,Artists!B:B)</f>
        <v>0</v>
      </c>
      <c r="AE842" s="3">
        <f>_xlfn.XLOOKUP(D842,Artists!A:A,Artists!C:C)</f>
        <v>0</v>
      </c>
      <c r="AF842" s="3" t="str">
        <f t="shared" si="82"/>
        <v>OTHR</v>
      </c>
      <c r="AG842" s="3" t="str">
        <f t="shared" si="83"/>
        <v>OTHR</v>
      </c>
    </row>
    <row r="843" spans="24:33" x14ac:dyDescent="0.3">
      <c r="X843" s="3" t="str">
        <f t="shared" si="78"/>
        <v>-SADNE-</v>
      </c>
      <c r="Y843" s="3" t="str">
        <f t="shared" si="79"/>
        <v>-SLOWSS-</v>
      </c>
      <c r="Z843" s="4" t="str">
        <f t="shared" si="80"/>
        <v>{"couname":"","img":"0","pty":"","artist":"","genres":"","duration":"","spotId":"","Items":["-SADNE-","-SLOWSS-","OTHR","OTHR","XT_OffAnimals"]},</v>
      </c>
      <c r="AA843" s="5" t="s">
        <v>5</v>
      </c>
      <c r="AB843" s="3" t="str">
        <f t="shared" si="81"/>
        <v>["-SADNE-","-SLOWSS-","OTHR","OTHR","XT_OffAnimals"]</v>
      </c>
      <c r="AC843" s="3">
        <f>_xlfn.XLOOKUP(A843,Album!A:A,Album!J:J)</f>
        <v>0</v>
      </c>
      <c r="AD843" s="3">
        <f>_xlfn.XLOOKUP(D843,Artists!A:A,Artists!B:B)</f>
        <v>0</v>
      </c>
      <c r="AE843" s="3">
        <f>_xlfn.XLOOKUP(D843,Artists!A:A,Artists!C:C)</f>
        <v>0</v>
      </c>
      <c r="AF843" s="3" t="str">
        <f t="shared" si="82"/>
        <v>OTHR</v>
      </c>
      <c r="AG843" s="3" t="str">
        <f t="shared" si="83"/>
        <v>OTHR</v>
      </c>
    </row>
    <row r="844" spans="24:33" x14ac:dyDescent="0.3">
      <c r="X844" s="3" t="str">
        <f t="shared" si="78"/>
        <v>-SADNE-</v>
      </c>
      <c r="Y844" s="3" t="str">
        <f t="shared" si="79"/>
        <v>-SLOWSS-</v>
      </c>
      <c r="Z844" s="4" t="str">
        <f t="shared" si="80"/>
        <v>{"couname":"","img":"0","pty":"","artist":"","genres":"","duration":"","spotId":"","Items":["-SADNE-","-SLOWSS-","OTHR","OTHR","XT_OffAnimals"]},</v>
      </c>
      <c r="AA844" s="5" t="s">
        <v>5</v>
      </c>
      <c r="AB844" s="3" t="str">
        <f t="shared" si="81"/>
        <v>["-SADNE-","-SLOWSS-","OTHR","OTHR","XT_OffAnimals"]</v>
      </c>
      <c r="AC844" s="3">
        <f>_xlfn.XLOOKUP(A844,Album!A:A,Album!J:J)</f>
        <v>0</v>
      </c>
      <c r="AD844" s="3">
        <f>_xlfn.XLOOKUP(D844,Artists!A:A,Artists!B:B)</f>
        <v>0</v>
      </c>
      <c r="AE844" s="3">
        <f>_xlfn.XLOOKUP(D844,Artists!A:A,Artists!C:C)</f>
        <v>0</v>
      </c>
      <c r="AF844" s="3" t="str">
        <f t="shared" si="82"/>
        <v>OTHR</v>
      </c>
      <c r="AG844" s="3" t="str">
        <f t="shared" si="83"/>
        <v>OTHR</v>
      </c>
    </row>
    <row r="845" spans="24:33" x14ac:dyDescent="0.3">
      <c r="X845" s="3" t="str">
        <f t="shared" si="78"/>
        <v>-SADNE-</v>
      </c>
      <c r="Y845" s="3" t="str">
        <f t="shared" si="79"/>
        <v>-SLOWSS-</v>
      </c>
      <c r="Z845" s="4" t="str">
        <f t="shared" si="80"/>
        <v>{"couname":"","img":"0","pty":"","artist":"","genres":"","duration":"","spotId":"","Items":["-SADNE-","-SLOWSS-","OTHR","OTHR","XT_OffAnimals"]},</v>
      </c>
      <c r="AA845" s="5" t="s">
        <v>5</v>
      </c>
      <c r="AB845" s="3" t="str">
        <f t="shared" si="81"/>
        <v>["-SADNE-","-SLOWSS-","OTHR","OTHR","XT_OffAnimals"]</v>
      </c>
      <c r="AC845" s="3">
        <f>_xlfn.XLOOKUP(A845,Album!A:A,Album!J:J)</f>
        <v>0</v>
      </c>
      <c r="AD845" s="3">
        <f>_xlfn.XLOOKUP(D845,Artists!A:A,Artists!B:B)</f>
        <v>0</v>
      </c>
      <c r="AE845" s="3">
        <f>_xlfn.XLOOKUP(D845,Artists!A:A,Artists!C:C)</f>
        <v>0</v>
      </c>
      <c r="AF845" s="3" t="str">
        <f t="shared" si="82"/>
        <v>OTHR</v>
      </c>
      <c r="AG845" s="3" t="str">
        <f t="shared" si="83"/>
        <v>OTHR</v>
      </c>
    </row>
    <row r="846" spans="24:33" x14ac:dyDescent="0.3">
      <c r="X846" s="3" t="str">
        <f t="shared" si="78"/>
        <v>-SADNE-</v>
      </c>
      <c r="Y846" s="3" t="str">
        <f t="shared" si="79"/>
        <v>-SLOWSS-</v>
      </c>
      <c r="Z846" s="4" t="str">
        <f t="shared" si="80"/>
        <v>{"couname":"","img":"0","pty":"","artist":"","genres":"","duration":"","spotId":"","Items":["-SADNE-","-SLOWSS-","OTHR","OTHR","XT_OffAnimals"]},</v>
      </c>
      <c r="AA846" s="5" t="s">
        <v>5</v>
      </c>
      <c r="AB846" s="3" t="str">
        <f t="shared" si="81"/>
        <v>["-SADNE-","-SLOWSS-","OTHR","OTHR","XT_OffAnimals"]</v>
      </c>
      <c r="AC846" s="3">
        <f>_xlfn.XLOOKUP(A846,Album!A:A,Album!J:J)</f>
        <v>0</v>
      </c>
      <c r="AD846" s="3">
        <f>_xlfn.XLOOKUP(D846,Artists!A:A,Artists!B:B)</f>
        <v>0</v>
      </c>
      <c r="AE846" s="3">
        <f>_xlfn.XLOOKUP(D846,Artists!A:A,Artists!C:C)</f>
        <v>0</v>
      </c>
      <c r="AF846" s="3" t="str">
        <f t="shared" si="82"/>
        <v>OTHR</v>
      </c>
      <c r="AG846" s="3" t="str">
        <f t="shared" si="83"/>
        <v>OTHR</v>
      </c>
    </row>
    <row r="847" spans="24:33" x14ac:dyDescent="0.3">
      <c r="X847" s="3" t="str">
        <f t="shared" si="78"/>
        <v>-SADNE-</v>
      </c>
      <c r="Y847" s="3" t="str">
        <f t="shared" si="79"/>
        <v>-SLOWSS-</v>
      </c>
      <c r="Z847" s="4" t="str">
        <f t="shared" si="80"/>
        <v>{"couname":"","img":"0","pty":"","artist":"","genres":"","duration":"","spotId":"","Items":["-SADNE-","-SLOWSS-","OTHR","OTHR","XT_OffAnimals"]},</v>
      </c>
      <c r="AA847" s="5" t="s">
        <v>5</v>
      </c>
      <c r="AB847" s="3" t="str">
        <f t="shared" si="81"/>
        <v>["-SADNE-","-SLOWSS-","OTHR","OTHR","XT_OffAnimals"]</v>
      </c>
      <c r="AC847" s="3">
        <f>_xlfn.XLOOKUP(A847,Album!A:A,Album!J:J)</f>
        <v>0</v>
      </c>
      <c r="AD847" s="3">
        <f>_xlfn.XLOOKUP(D847,Artists!A:A,Artists!B:B)</f>
        <v>0</v>
      </c>
      <c r="AE847" s="3">
        <f>_xlfn.XLOOKUP(D847,Artists!A:A,Artists!C:C)</f>
        <v>0</v>
      </c>
      <c r="AF847" s="3" t="str">
        <f t="shared" si="82"/>
        <v>OTHR</v>
      </c>
      <c r="AG847" s="3" t="str">
        <f t="shared" si="83"/>
        <v>OTHR</v>
      </c>
    </row>
    <row r="848" spans="24:33" x14ac:dyDescent="0.3">
      <c r="X848" s="3" t="str">
        <f t="shared" si="78"/>
        <v>-SADNE-</v>
      </c>
      <c r="Y848" s="3" t="str">
        <f t="shared" si="79"/>
        <v>-SLOWSS-</v>
      </c>
      <c r="Z848" s="4" t="str">
        <f t="shared" si="80"/>
        <v>{"couname":"","img":"0","pty":"","artist":"","genres":"","duration":"","spotId":"","Items":["-SADNE-","-SLOWSS-","OTHR","OTHR","XT_OffAnimals"]},</v>
      </c>
      <c r="AA848" s="5" t="s">
        <v>5</v>
      </c>
      <c r="AB848" s="3" t="str">
        <f t="shared" si="81"/>
        <v>["-SADNE-","-SLOWSS-","OTHR","OTHR","XT_OffAnimals"]</v>
      </c>
      <c r="AC848" s="3">
        <f>_xlfn.XLOOKUP(A848,Album!A:A,Album!J:J)</f>
        <v>0</v>
      </c>
      <c r="AD848" s="3">
        <f>_xlfn.XLOOKUP(D848,Artists!A:A,Artists!B:B)</f>
        <v>0</v>
      </c>
      <c r="AE848" s="3">
        <f>_xlfn.XLOOKUP(D848,Artists!A:A,Artists!C:C)</f>
        <v>0</v>
      </c>
      <c r="AF848" s="3" t="str">
        <f t="shared" si="82"/>
        <v>OTHR</v>
      </c>
      <c r="AG848" s="3" t="str">
        <f t="shared" si="83"/>
        <v>OTHR</v>
      </c>
    </row>
    <row r="849" spans="24:33" x14ac:dyDescent="0.3">
      <c r="X849" s="3" t="str">
        <f t="shared" si="78"/>
        <v>-SADNE-</v>
      </c>
      <c r="Y849" s="3" t="str">
        <f t="shared" si="79"/>
        <v>-SLOWSS-</v>
      </c>
      <c r="Z849" s="4" t="str">
        <f t="shared" si="80"/>
        <v>{"couname":"","img":"0","pty":"","artist":"","genres":"","duration":"","spotId":"","Items":["-SADNE-","-SLOWSS-","OTHR","OTHR","XT_OffAnimals"]},</v>
      </c>
      <c r="AA849" s="5" t="s">
        <v>5</v>
      </c>
      <c r="AB849" s="3" t="str">
        <f t="shared" si="81"/>
        <v>["-SADNE-","-SLOWSS-","OTHR","OTHR","XT_OffAnimals"]</v>
      </c>
      <c r="AC849" s="3">
        <f>_xlfn.XLOOKUP(A849,Album!A:A,Album!J:J)</f>
        <v>0</v>
      </c>
      <c r="AD849" s="3">
        <f>_xlfn.XLOOKUP(D849,Artists!A:A,Artists!B:B)</f>
        <v>0</v>
      </c>
      <c r="AE849" s="3">
        <f>_xlfn.XLOOKUP(D849,Artists!A:A,Artists!C:C)</f>
        <v>0</v>
      </c>
      <c r="AF849" s="3" t="str">
        <f t="shared" si="82"/>
        <v>OTHR</v>
      </c>
      <c r="AG849" s="3" t="str">
        <f t="shared" si="83"/>
        <v>OTHR</v>
      </c>
    </row>
    <row r="850" spans="24:33" x14ac:dyDescent="0.3">
      <c r="X850" s="3" t="str">
        <f t="shared" si="78"/>
        <v>-SADNE-</v>
      </c>
      <c r="Y850" s="3" t="str">
        <f t="shared" si="79"/>
        <v>-SLOWSS-</v>
      </c>
      <c r="Z850" s="4" t="str">
        <f t="shared" si="80"/>
        <v>{"couname":"","img":"0","pty":"","artist":"","genres":"","duration":"","spotId":"","Items":["-SADNE-","-SLOWSS-","OTHR","OTHR","XT_OffAnimals"]},</v>
      </c>
      <c r="AA850" s="5" t="s">
        <v>5</v>
      </c>
      <c r="AB850" s="3" t="str">
        <f t="shared" si="81"/>
        <v>["-SADNE-","-SLOWSS-","OTHR","OTHR","XT_OffAnimals"]</v>
      </c>
      <c r="AC850" s="3">
        <f>_xlfn.XLOOKUP(A850,Album!A:A,Album!J:J)</f>
        <v>0</v>
      </c>
      <c r="AD850" s="3">
        <f>_xlfn.XLOOKUP(D850,Artists!A:A,Artists!B:B)</f>
        <v>0</v>
      </c>
      <c r="AE850" s="3">
        <f>_xlfn.XLOOKUP(D850,Artists!A:A,Artists!C:C)</f>
        <v>0</v>
      </c>
      <c r="AF850" s="3" t="str">
        <f t="shared" si="82"/>
        <v>OTHR</v>
      </c>
      <c r="AG850" s="3" t="str">
        <f t="shared" si="83"/>
        <v>OTHR</v>
      </c>
    </row>
    <row r="851" spans="24:33" x14ac:dyDescent="0.3">
      <c r="X851" s="3" t="str">
        <f t="shared" si="78"/>
        <v>-SADNE-</v>
      </c>
      <c r="Y851" s="3" t="str">
        <f t="shared" si="79"/>
        <v>-SLOWSS-</v>
      </c>
      <c r="Z851" s="4" t="str">
        <f t="shared" si="80"/>
        <v>{"couname":"","img":"0","pty":"","artist":"","genres":"","duration":"","spotId":"","Items":["-SADNE-","-SLOWSS-","OTHR","OTHR","XT_OffAnimals"]},</v>
      </c>
      <c r="AA851" s="5" t="s">
        <v>5</v>
      </c>
      <c r="AB851" s="3" t="str">
        <f t="shared" si="81"/>
        <v>["-SADNE-","-SLOWSS-","OTHR","OTHR","XT_OffAnimals"]</v>
      </c>
      <c r="AC851" s="3">
        <f>_xlfn.XLOOKUP(A851,Album!A:A,Album!J:J)</f>
        <v>0</v>
      </c>
      <c r="AD851" s="3">
        <f>_xlfn.XLOOKUP(D851,Artists!A:A,Artists!B:B)</f>
        <v>0</v>
      </c>
      <c r="AE851" s="3">
        <f>_xlfn.XLOOKUP(D851,Artists!A:A,Artists!C:C)</f>
        <v>0</v>
      </c>
      <c r="AF851" s="3" t="str">
        <f t="shared" si="82"/>
        <v>OTHR</v>
      </c>
      <c r="AG851" s="3" t="str">
        <f t="shared" si="83"/>
        <v>OTHR</v>
      </c>
    </row>
    <row r="852" spans="24:33" x14ac:dyDescent="0.3">
      <c r="X852" s="3" t="str">
        <f t="shared" si="78"/>
        <v>-SADNE-</v>
      </c>
      <c r="Y852" s="3" t="str">
        <f t="shared" si="79"/>
        <v>-SLOWSS-</v>
      </c>
      <c r="Z852" s="4" t="str">
        <f t="shared" si="80"/>
        <v>{"couname":"","img":"0","pty":"","artist":"","genres":"","duration":"","spotId":"","Items":["-SADNE-","-SLOWSS-","OTHR","OTHR","XT_OffAnimals"]},</v>
      </c>
      <c r="AA852" s="5" t="s">
        <v>5</v>
      </c>
      <c r="AB852" s="3" t="str">
        <f t="shared" si="81"/>
        <v>["-SADNE-","-SLOWSS-","OTHR","OTHR","XT_OffAnimals"]</v>
      </c>
      <c r="AC852" s="3">
        <f>_xlfn.XLOOKUP(A852,Album!A:A,Album!J:J)</f>
        <v>0</v>
      </c>
      <c r="AD852" s="3">
        <f>_xlfn.XLOOKUP(D852,Artists!A:A,Artists!B:B)</f>
        <v>0</v>
      </c>
      <c r="AE852" s="3">
        <f>_xlfn.XLOOKUP(D852,Artists!A:A,Artists!C:C)</f>
        <v>0</v>
      </c>
      <c r="AF852" s="3" t="str">
        <f t="shared" si="82"/>
        <v>OTHR</v>
      </c>
      <c r="AG852" s="3" t="str">
        <f t="shared" si="83"/>
        <v>OTHR</v>
      </c>
    </row>
    <row r="853" spans="24:33" x14ac:dyDescent="0.3">
      <c r="X853" s="3" t="str">
        <f t="shared" si="78"/>
        <v>-SADNE-</v>
      </c>
      <c r="Y853" s="3" t="str">
        <f t="shared" si="79"/>
        <v>-SLOWSS-</v>
      </c>
      <c r="Z853" s="4" t="str">
        <f t="shared" si="80"/>
        <v>{"couname":"","img":"0","pty":"","artist":"","genres":"","duration":"","spotId":"","Items":["-SADNE-","-SLOWSS-","OTHR","OTHR","XT_OffAnimals"]},</v>
      </c>
      <c r="AA853" s="5" t="s">
        <v>5</v>
      </c>
      <c r="AB853" s="3" t="str">
        <f t="shared" si="81"/>
        <v>["-SADNE-","-SLOWSS-","OTHR","OTHR","XT_OffAnimals"]</v>
      </c>
      <c r="AC853" s="3">
        <f>_xlfn.XLOOKUP(A853,Album!A:A,Album!J:J)</f>
        <v>0</v>
      </c>
      <c r="AD853" s="3">
        <f>_xlfn.XLOOKUP(D853,Artists!A:A,Artists!B:B)</f>
        <v>0</v>
      </c>
      <c r="AE853" s="3">
        <f>_xlfn.XLOOKUP(D853,Artists!A:A,Artists!C:C)</f>
        <v>0</v>
      </c>
      <c r="AF853" s="3" t="str">
        <f t="shared" si="82"/>
        <v>OTHR</v>
      </c>
      <c r="AG853" s="3" t="str">
        <f t="shared" si="83"/>
        <v>OTHR</v>
      </c>
    </row>
    <row r="854" spans="24:33" x14ac:dyDescent="0.3">
      <c r="X854" s="3" t="str">
        <f t="shared" si="78"/>
        <v>-SADNE-</v>
      </c>
      <c r="Y854" s="3" t="str">
        <f t="shared" si="79"/>
        <v>-SLOWSS-</v>
      </c>
      <c r="Z854" s="4" t="str">
        <f t="shared" si="80"/>
        <v>{"couname":"","img":"0","pty":"","artist":"","genres":"","duration":"","spotId":"","Items":["-SADNE-","-SLOWSS-","OTHR","OTHR","XT_OffAnimals"]},</v>
      </c>
      <c r="AA854" s="5" t="s">
        <v>5</v>
      </c>
      <c r="AB854" s="3" t="str">
        <f t="shared" si="81"/>
        <v>["-SADNE-","-SLOWSS-","OTHR","OTHR","XT_OffAnimals"]</v>
      </c>
      <c r="AC854" s="3">
        <f>_xlfn.XLOOKUP(A854,Album!A:A,Album!J:J)</f>
        <v>0</v>
      </c>
      <c r="AD854" s="3">
        <f>_xlfn.XLOOKUP(D854,Artists!A:A,Artists!B:B)</f>
        <v>0</v>
      </c>
      <c r="AE854" s="3">
        <f>_xlfn.XLOOKUP(D854,Artists!A:A,Artists!C:C)</f>
        <v>0</v>
      </c>
      <c r="AF854" s="3" t="str">
        <f t="shared" si="82"/>
        <v>OTHR</v>
      </c>
      <c r="AG854" s="3" t="str">
        <f t="shared" si="83"/>
        <v>OTHR</v>
      </c>
    </row>
    <row r="855" spans="24:33" x14ac:dyDescent="0.3">
      <c r="X855" s="3" t="str">
        <f t="shared" si="78"/>
        <v>-SADNE-</v>
      </c>
      <c r="Y855" s="3" t="str">
        <f t="shared" si="79"/>
        <v>-SLOWSS-</v>
      </c>
      <c r="Z855" s="4" t="str">
        <f t="shared" si="80"/>
        <v>{"couname":"","img":"0","pty":"","artist":"","genres":"","duration":"","spotId":"","Items":["-SADNE-","-SLOWSS-","OTHR","OTHR","XT_OffAnimals"]},</v>
      </c>
      <c r="AA855" s="5" t="s">
        <v>5</v>
      </c>
      <c r="AB855" s="3" t="str">
        <f t="shared" si="81"/>
        <v>["-SADNE-","-SLOWSS-","OTHR","OTHR","XT_OffAnimals"]</v>
      </c>
      <c r="AC855" s="3">
        <f>_xlfn.XLOOKUP(A855,Album!A:A,Album!J:J)</f>
        <v>0</v>
      </c>
      <c r="AD855" s="3">
        <f>_xlfn.XLOOKUP(D855,Artists!A:A,Artists!B:B)</f>
        <v>0</v>
      </c>
      <c r="AE855" s="3">
        <f>_xlfn.XLOOKUP(D855,Artists!A:A,Artists!C:C)</f>
        <v>0</v>
      </c>
      <c r="AF855" s="3" t="str">
        <f t="shared" si="82"/>
        <v>OTHR</v>
      </c>
      <c r="AG855" s="3" t="str">
        <f t="shared" si="83"/>
        <v>OTHR</v>
      </c>
    </row>
    <row r="856" spans="24:33" x14ac:dyDescent="0.3">
      <c r="X856" s="3" t="str">
        <f t="shared" si="78"/>
        <v>-SADNE-</v>
      </c>
      <c r="Y856" s="3" t="str">
        <f t="shared" si="79"/>
        <v>-SLOWSS-</v>
      </c>
      <c r="Z856" s="4" t="str">
        <f t="shared" si="80"/>
        <v>{"couname":"","img":"0","pty":"","artist":"","genres":"","duration":"","spotId":"","Items":["-SADNE-","-SLOWSS-","OTHR","OTHR","XT_OffAnimals"]},</v>
      </c>
      <c r="AA856" s="5" t="s">
        <v>5</v>
      </c>
      <c r="AB856" s="3" t="str">
        <f t="shared" si="81"/>
        <v>["-SADNE-","-SLOWSS-","OTHR","OTHR","XT_OffAnimals"]</v>
      </c>
      <c r="AC856" s="3">
        <f>_xlfn.XLOOKUP(A856,Album!A:A,Album!J:J)</f>
        <v>0</v>
      </c>
      <c r="AD856" s="3">
        <f>_xlfn.XLOOKUP(D856,Artists!A:A,Artists!B:B)</f>
        <v>0</v>
      </c>
      <c r="AE856" s="3">
        <f>_xlfn.XLOOKUP(D856,Artists!A:A,Artists!C:C)</f>
        <v>0</v>
      </c>
      <c r="AF856" s="3" t="str">
        <f t="shared" si="82"/>
        <v>OTHR</v>
      </c>
      <c r="AG856" s="3" t="str">
        <f t="shared" si="83"/>
        <v>OTHR</v>
      </c>
    </row>
    <row r="857" spans="24:33" x14ac:dyDescent="0.3">
      <c r="X857" s="3" t="str">
        <f t="shared" si="78"/>
        <v>-SADNE-</v>
      </c>
      <c r="Y857" s="3" t="str">
        <f t="shared" si="79"/>
        <v>-SLOWSS-</v>
      </c>
      <c r="Z857" s="4" t="str">
        <f t="shared" si="80"/>
        <v>{"couname":"","img":"0","pty":"","artist":"","genres":"","duration":"","spotId":"","Items":["-SADNE-","-SLOWSS-","OTHR","OTHR","XT_OffAnimals"]},</v>
      </c>
      <c r="AA857" s="5" t="s">
        <v>5</v>
      </c>
      <c r="AB857" s="3" t="str">
        <f t="shared" si="81"/>
        <v>["-SADNE-","-SLOWSS-","OTHR","OTHR","XT_OffAnimals"]</v>
      </c>
      <c r="AC857" s="3">
        <f>_xlfn.XLOOKUP(A857,Album!A:A,Album!J:J)</f>
        <v>0</v>
      </c>
      <c r="AD857" s="3">
        <f>_xlfn.XLOOKUP(D857,Artists!A:A,Artists!B:B)</f>
        <v>0</v>
      </c>
      <c r="AE857" s="3">
        <f>_xlfn.XLOOKUP(D857,Artists!A:A,Artists!C:C)</f>
        <v>0</v>
      </c>
      <c r="AF857" s="3" t="str">
        <f t="shared" si="82"/>
        <v>OTHR</v>
      </c>
      <c r="AG857" s="3" t="str">
        <f t="shared" si="83"/>
        <v>OTHR</v>
      </c>
    </row>
    <row r="858" spans="24:33" x14ac:dyDescent="0.3">
      <c r="X858" s="3" t="str">
        <f t="shared" si="78"/>
        <v>-SADNE-</v>
      </c>
      <c r="Y858" s="3" t="str">
        <f t="shared" si="79"/>
        <v>-SLOWSS-</v>
      </c>
      <c r="Z858" s="4" t="str">
        <f t="shared" si="80"/>
        <v>{"couname":"","img":"0","pty":"","artist":"","genres":"","duration":"","spotId":"","Items":["-SADNE-","-SLOWSS-","OTHR","OTHR","XT_OffAnimals"]},</v>
      </c>
      <c r="AA858" s="5" t="s">
        <v>5</v>
      </c>
      <c r="AB858" s="3" t="str">
        <f t="shared" si="81"/>
        <v>["-SADNE-","-SLOWSS-","OTHR","OTHR","XT_OffAnimals"]</v>
      </c>
      <c r="AC858" s="3">
        <f>_xlfn.XLOOKUP(A858,Album!A:A,Album!J:J)</f>
        <v>0</v>
      </c>
      <c r="AD858" s="3">
        <f>_xlfn.XLOOKUP(D858,Artists!A:A,Artists!B:B)</f>
        <v>0</v>
      </c>
      <c r="AE858" s="3">
        <f>_xlfn.XLOOKUP(D858,Artists!A:A,Artists!C:C)</f>
        <v>0</v>
      </c>
      <c r="AF858" s="3" t="str">
        <f t="shared" si="82"/>
        <v>OTHR</v>
      </c>
      <c r="AG858" s="3" t="str">
        <f t="shared" si="83"/>
        <v>OTHR</v>
      </c>
    </row>
    <row r="859" spans="24:33" x14ac:dyDescent="0.3">
      <c r="X859" s="3" t="str">
        <f t="shared" si="78"/>
        <v>-SADNE-</v>
      </c>
      <c r="Y859" s="3" t="str">
        <f t="shared" si="79"/>
        <v>-SLOWSS-</v>
      </c>
      <c r="Z859" s="4" t="str">
        <f t="shared" si="80"/>
        <v>{"couname":"","img":"0","pty":"","artist":"","genres":"","duration":"","spotId":"","Items":["-SADNE-","-SLOWSS-","OTHR","OTHR","XT_OffAnimals"]},</v>
      </c>
      <c r="AA859" s="5" t="s">
        <v>5</v>
      </c>
      <c r="AB859" s="3" t="str">
        <f t="shared" si="81"/>
        <v>["-SADNE-","-SLOWSS-","OTHR","OTHR","XT_OffAnimals"]</v>
      </c>
      <c r="AC859" s="3">
        <f>_xlfn.XLOOKUP(A859,Album!A:A,Album!J:J)</f>
        <v>0</v>
      </c>
      <c r="AD859" s="3">
        <f>_xlfn.XLOOKUP(D859,Artists!A:A,Artists!B:B)</f>
        <v>0</v>
      </c>
      <c r="AE859" s="3">
        <f>_xlfn.XLOOKUP(D859,Artists!A:A,Artists!C:C)</f>
        <v>0</v>
      </c>
      <c r="AF859" s="3" t="str">
        <f t="shared" si="82"/>
        <v>OTHR</v>
      </c>
      <c r="AG859" s="3" t="str">
        <f t="shared" si="83"/>
        <v>OTHR</v>
      </c>
    </row>
    <row r="860" spans="24:33" x14ac:dyDescent="0.3">
      <c r="X860" s="3" t="str">
        <f t="shared" si="78"/>
        <v>-SADNE-</v>
      </c>
      <c r="Y860" s="3" t="str">
        <f t="shared" si="79"/>
        <v>-SLOWSS-</v>
      </c>
      <c r="Z860" s="4" t="str">
        <f t="shared" si="80"/>
        <v>{"couname":"","img":"0","pty":"","artist":"","genres":"","duration":"","spotId":"","Items":["-SADNE-","-SLOWSS-","OTHR","OTHR","XT_OffAnimals"]},</v>
      </c>
      <c r="AA860" s="5" t="s">
        <v>5</v>
      </c>
      <c r="AB860" s="3" t="str">
        <f t="shared" si="81"/>
        <v>["-SADNE-","-SLOWSS-","OTHR","OTHR","XT_OffAnimals"]</v>
      </c>
      <c r="AC860" s="3">
        <f>_xlfn.XLOOKUP(A860,Album!A:A,Album!J:J)</f>
        <v>0</v>
      </c>
      <c r="AD860" s="3">
        <f>_xlfn.XLOOKUP(D860,Artists!A:A,Artists!B:B)</f>
        <v>0</v>
      </c>
      <c r="AE860" s="3">
        <f>_xlfn.XLOOKUP(D860,Artists!A:A,Artists!C:C)</f>
        <v>0</v>
      </c>
      <c r="AF860" s="3" t="str">
        <f t="shared" si="82"/>
        <v>OTHR</v>
      </c>
      <c r="AG860" s="3" t="str">
        <f t="shared" si="83"/>
        <v>OTHR</v>
      </c>
    </row>
    <row r="861" spans="24:33" x14ac:dyDescent="0.3">
      <c r="X861" s="3" t="str">
        <f t="shared" si="78"/>
        <v>-SADNE-</v>
      </c>
      <c r="Y861" s="3" t="str">
        <f t="shared" si="79"/>
        <v>-SLOWSS-</v>
      </c>
      <c r="Z861" s="4" t="str">
        <f t="shared" si="80"/>
        <v>{"couname":"","img":"0","pty":"","artist":"","genres":"","duration":"","spotId":"","Items":["-SADNE-","-SLOWSS-","OTHR","OTHR","XT_OffAnimals"]},</v>
      </c>
      <c r="AA861" s="5" t="s">
        <v>5</v>
      </c>
      <c r="AB861" s="3" t="str">
        <f t="shared" si="81"/>
        <v>["-SADNE-","-SLOWSS-","OTHR","OTHR","XT_OffAnimals"]</v>
      </c>
      <c r="AC861" s="3">
        <f>_xlfn.XLOOKUP(A861,Album!A:A,Album!J:J)</f>
        <v>0</v>
      </c>
      <c r="AD861" s="3">
        <f>_xlfn.XLOOKUP(D861,Artists!A:A,Artists!B:B)</f>
        <v>0</v>
      </c>
      <c r="AE861" s="3">
        <f>_xlfn.XLOOKUP(D861,Artists!A:A,Artists!C:C)</f>
        <v>0</v>
      </c>
      <c r="AF861" s="3" t="str">
        <f t="shared" si="82"/>
        <v>OTHR</v>
      </c>
      <c r="AG861" s="3" t="str">
        <f t="shared" si="83"/>
        <v>OTHR</v>
      </c>
    </row>
    <row r="862" spans="24:33" x14ac:dyDescent="0.3">
      <c r="X862" s="3" t="str">
        <f t="shared" si="78"/>
        <v>-SADNE-</v>
      </c>
      <c r="Y862" s="3" t="str">
        <f t="shared" si="79"/>
        <v>-SLOWSS-</v>
      </c>
      <c r="Z862" s="4" t="str">
        <f t="shared" si="80"/>
        <v>{"couname":"","img":"0","pty":"","artist":"","genres":"","duration":"","spotId":"","Items":["-SADNE-","-SLOWSS-","OTHR","OTHR","XT_OffAnimals"]},</v>
      </c>
      <c r="AA862" s="5" t="s">
        <v>5</v>
      </c>
      <c r="AB862" s="3" t="str">
        <f t="shared" si="81"/>
        <v>["-SADNE-","-SLOWSS-","OTHR","OTHR","XT_OffAnimals"]</v>
      </c>
      <c r="AC862" s="3">
        <f>_xlfn.XLOOKUP(A862,Album!A:A,Album!J:J)</f>
        <v>0</v>
      </c>
      <c r="AD862" s="3">
        <f>_xlfn.XLOOKUP(D862,Artists!A:A,Artists!B:B)</f>
        <v>0</v>
      </c>
      <c r="AE862" s="3">
        <f>_xlfn.XLOOKUP(D862,Artists!A:A,Artists!C:C)</f>
        <v>0</v>
      </c>
      <c r="AF862" s="3" t="str">
        <f t="shared" si="82"/>
        <v>OTHR</v>
      </c>
      <c r="AG862" s="3" t="str">
        <f t="shared" si="83"/>
        <v>OTHR</v>
      </c>
    </row>
    <row r="863" spans="24:33" x14ac:dyDescent="0.3">
      <c r="X863" s="3" t="str">
        <f t="shared" si="78"/>
        <v>-SADNE-</v>
      </c>
      <c r="Y863" s="3" t="str">
        <f t="shared" si="79"/>
        <v>-SLOWSS-</v>
      </c>
      <c r="Z863" s="4" t="str">
        <f t="shared" si="80"/>
        <v>{"couname":"","img":"0","pty":"","artist":"","genres":"","duration":"","spotId":"","Items":["-SADNE-","-SLOWSS-","OTHR","OTHR","XT_OffAnimals"]},</v>
      </c>
      <c r="AA863" s="5" t="s">
        <v>5</v>
      </c>
      <c r="AB863" s="3" t="str">
        <f t="shared" si="81"/>
        <v>["-SADNE-","-SLOWSS-","OTHR","OTHR","XT_OffAnimals"]</v>
      </c>
      <c r="AC863" s="3">
        <f>_xlfn.XLOOKUP(A863,Album!A:A,Album!J:J)</f>
        <v>0</v>
      </c>
      <c r="AD863" s="3">
        <f>_xlfn.XLOOKUP(D863,Artists!A:A,Artists!B:B)</f>
        <v>0</v>
      </c>
      <c r="AE863" s="3">
        <f>_xlfn.XLOOKUP(D863,Artists!A:A,Artists!C:C)</f>
        <v>0</v>
      </c>
      <c r="AF863" s="3" t="str">
        <f t="shared" si="82"/>
        <v>OTHR</v>
      </c>
      <c r="AG863" s="3" t="str">
        <f t="shared" si="83"/>
        <v>OTHR</v>
      </c>
    </row>
    <row r="864" spans="24:33" x14ac:dyDescent="0.3">
      <c r="X864" s="3" t="str">
        <f t="shared" si="78"/>
        <v>-SADNE-</v>
      </c>
      <c r="Y864" s="3" t="str">
        <f t="shared" si="79"/>
        <v>-SLOWSS-</v>
      </c>
      <c r="Z864" s="4" t="str">
        <f t="shared" si="80"/>
        <v>{"couname":"","img":"0","pty":"","artist":"","genres":"","duration":"","spotId":"","Items":["-SADNE-","-SLOWSS-","OTHR","OTHR","XT_OffAnimals"]},</v>
      </c>
      <c r="AA864" s="5" t="s">
        <v>5</v>
      </c>
      <c r="AB864" s="3" t="str">
        <f t="shared" si="81"/>
        <v>["-SADNE-","-SLOWSS-","OTHR","OTHR","XT_OffAnimals"]</v>
      </c>
      <c r="AC864" s="3">
        <f>_xlfn.XLOOKUP(A864,Album!A:A,Album!J:J)</f>
        <v>0</v>
      </c>
      <c r="AD864" s="3">
        <f>_xlfn.XLOOKUP(D864,Artists!A:A,Artists!B:B)</f>
        <v>0</v>
      </c>
      <c r="AE864" s="3">
        <f>_xlfn.XLOOKUP(D864,Artists!A:A,Artists!C:C)</f>
        <v>0</v>
      </c>
      <c r="AF864" s="3" t="str">
        <f t="shared" si="82"/>
        <v>OTHR</v>
      </c>
      <c r="AG864" s="3" t="str">
        <f t="shared" si="83"/>
        <v>OTHR</v>
      </c>
    </row>
    <row r="865" spans="24:33" x14ac:dyDescent="0.3">
      <c r="X865" s="3" t="str">
        <f t="shared" si="78"/>
        <v>-SADNE-</v>
      </c>
      <c r="Y865" s="3" t="str">
        <f t="shared" si="79"/>
        <v>-SLOWSS-</v>
      </c>
      <c r="Z865" s="4" t="str">
        <f t="shared" si="80"/>
        <v>{"couname":"","img":"0","pty":"","artist":"","genres":"","duration":"","spotId":"","Items":["-SADNE-","-SLOWSS-","OTHR","OTHR","XT_OffAnimals"]},</v>
      </c>
      <c r="AA865" s="5" t="s">
        <v>5</v>
      </c>
      <c r="AB865" s="3" t="str">
        <f t="shared" si="81"/>
        <v>["-SADNE-","-SLOWSS-","OTHR","OTHR","XT_OffAnimals"]</v>
      </c>
      <c r="AC865" s="3">
        <f>_xlfn.XLOOKUP(A865,Album!A:A,Album!J:J)</f>
        <v>0</v>
      </c>
      <c r="AD865" s="3">
        <f>_xlfn.XLOOKUP(D865,Artists!A:A,Artists!B:B)</f>
        <v>0</v>
      </c>
      <c r="AE865" s="3">
        <f>_xlfn.XLOOKUP(D865,Artists!A:A,Artists!C:C)</f>
        <v>0</v>
      </c>
      <c r="AF865" s="3" t="str">
        <f t="shared" si="82"/>
        <v>OTHR</v>
      </c>
      <c r="AG865" s="3" t="str">
        <f t="shared" si="83"/>
        <v>OTHR</v>
      </c>
    </row>
    <row r="866" spans="24:33" x14ac:dyDescent="0.3">
      <c r="X866" s="3" t="str">
        <f t="shared" si="78"/>
        <v>-SADNE-</v>
      </c>
      <c r="Y866" s="3" t="str">
        <f t="shared" si="79"/>
        <v>-SLOWSS-</v>
      </c>
      <c r="Z866" s="4" t="str">
        <f t="shared" si="80"/>
        <v>{"couname":"","img":"0","pty":"","artist":"","genres":"","duration":"","spotId":"","Items":["-SADNE-","-SLOWSS-","OTHR","OTHR","XT_OffAnimals"]},</v>
      </c>
      <c r="AA866" s="5" t="s">
        <v>5</v>
      </c>
      <c r="AB866" s="3" t="str">
        <f t="shared" si="81"/>
        <v>["-SADNE-","-SLOWSS-","OTHR","OTHR","XT_OffAnimals"]</v>
      </c>
      <c r="AC866" s="3">
        <f>_xlfn.XLOOKUP(A866,Album!A:A,Album!J:J)</f>
        <v>0</v>
      </c>
      <c r="AD866" s="3">
        <f>_xlfn.XLOOKUP(D866,Artists!A:A,Artists!B:B)</f>
        <v>0</v>
      </c>
      <c r="AE866" s="3">
        <f>_xlfn.XLOOKUP(D866,Artists!A:A,Artists!C:C)</f>
        <v>0</v>
      </c>
      <c r="AF866" s="3" t="str">
        <f t="shared" si="82"/>
        <v>OTHR</v>
      </c>
      <c r="AG866" s="3" t="str">
        <f t="shared" si="83"/>
        <v>OTHR</v>
      </c>
    </row>
    <row r="867" spans="24:33" x14ac:dyDescent="0.3">
      <c r="X867" s="3" t="str">
        <f t="shared" si="78"/>
        <v>-SADNE-</v>
      </c>
      <c r="Y867" s="3" t="str">
        <f t="shared" si="79"/>
        <v>-SLOWSS-</v>
      </c>
      <c r="Z867" s="4" t="str">
        <f t="shared" si="80"/>
        <v>{"couname":"","img":"0","pty":"","artist":"","genres":"","duration":"","spotId":"","Items":["-SADNE-","-SLOWSS-","OTHR","OTHR","XT_OffAnimals"]},</v>
      </c>
      <c r="AA867" s="5" t="s">
        <v>5</v>
      </c>
      <c r="AB867" s="3" t="str">
        <f t="shared" si="81"/>
        <v>["-SADNE-","-SLOWSS-","OTHR","OTHR","XT_OffAnimals"]</v>
      </c>
      <c r="AC867" s="3">
        <f>_xlfn.XLOOKUP(A867,Album!A:A,Album!J:J)</f>
        <v>0</v>
      </c>
      <c r="AD867" s="3">
        <f>_xlfn.XLOOKUP(D867,Artists!A:A,Artists!B:B)</f>
        <v>0</v>
      </c>
      <c r="AE867" s="3">
        <f>_xlfn.XLOOKUP(D867,Artists!A:A,Artists!C:C)</f>
        <v>0</v>
      </c>
      <c r="AF867" s="3" t="str">
        <f t="shared" si="82"/>
        <v>OTHR</v>
      </c>
      <c r="AG867" s="3" t="str">
        <f t="shared" si="83"/>
        <v>OTHR</v>
      </c>
    </row>
    <row r="868" spans="24:33" x14ac:dyDescent="0.3">
      <c r="X868" s="3" t="str">
        <f t="shared" si="78"/>
        <v>-SADNE-</v>
      </c>
      <c r="Y868" s="3" t="str">
        <f t="shared" si="79"/>
        <v>-SLOWSS-</v>
      </c>
      <c r="Z868" s="4" t="str">
        <f t="shared" si="80"/>
        <v>{"couname":"","img":"0","pty":"","artist":"","genres":"","duration":"","spotId":"","Items":["-SADNE-","-SLOWSS-","OTHR","OTHR","XT_OffAnimals"]},</v>
      </c>
      <c r="AA868" s="5" t="s">
        <v>5</v>
      </c>
      <c r="AB868" s="3" t="str">
        <f t="shared" si="81"/>
        <v>["-SADNE-","-SLOWSS-","OTHR","OTHR","XT_OffAnimals"]</v>
      </c>
      <c r="AC868" s="3">
        <f>_xlfn.XLOOKUP(A868,Album!A:A,Album!J:J)</f>
        <v>0</v>
      </c>
      <c r="AD868" s="3">
        <f>_xlfn.XLOOKUP(D868,Artists!A:A,Artists!B:B)</f>
        <v>0</v>
      </c>
      <c r="AE868" s="3">
        <f>_xlfn.XLOOKUP(D868,Artists!A:A,Artists!C:C)</f>
        <v>0</v>
      </c>
      <c r="AF868" s="3" t="str">
        <f t="shared" si="82"/>
        <v>OTHR</v>
      </c>
      <c r="AG868" s="3" t="str">
        <f t="shared" si="83"/>
        <v>OTHR</v>
      </c>
    </row>
    <row r="869" spans="24:33" x14ac:dyDescent="0.3">
      <c r="X869" s="3" t="str">
        <f t="shared" si="78"/>
        <v>-SADNE-</v>
      </c>
      <c r="Y869" s="3" t="str">
        <f t="shared" si="79"/>
        <v>-SLOWSS-</v>
      </c>
      <c r="Z869" s="4" t="str">
        <f t="shared" si="80"/>
        <v>{"couname":"","img":"0","pty":"","artist":"","genres":"","duration":"","spotId":"","Items":["-SADNE-","-SLOWSS-","OTHR","OTHR","XT_OffAnimals"]},</v>
      </c>
      <c r="AA869" s="5" t="s">
        <v>5</v>
      </c>
      <c r="AB869" s="3" t="str">
        <f t="shared" si="81"/>
        <v>["-SADNE-","-SLOWSS-","OTHR","OTHR","XT_OffAnimals"]</v>
      </c>
      <c r="AC869" s="3">
        <f>_xlfn.XLOOKUP(A869,Album!A:A,Album!J:J)</f>
        <v>0</v>
      </c>
      <c r="AD869" s="3">
        <f>_xlfn.XLOOKUP(D869,Artists!A:A,Artists!B:B)</f>
        <v>0</v>
      </c>
      <c r="AE869" s="3">
        <f>_xlfn.XLOOKUP(D869,Artists!A:A,Artists!C:C)</f>
        <v>0</v>
      </c>
      <c r="AF869" s="3" t="str">
        <f t="shared" si="82"/>
        <v>OTHR</v>
      </c>
      <c r="AG869" s="3" t="str">
        <f t="shared" si="83"/>
        <v>OTHR</v>
      </c>
    </row>
    <row r="870" spans="24:33" x14ac:dyDescent="0.3">
      <c r="X870" s="3" t="str">
        <f t="shared" si="78"/>
        <v>-SADNE-</v>
      </c>
      <c r="Y870" s="3" t="str">
        <f t="shared" si="79"/>
        <v>-SLOWSS-</v>
      </c>
      <c r="Z870" s="4" t="str">
        <f t="shared" si="80"/>
        <v>{"couname":"","img":"0","pty":"","artist":"","genres":"","duration":"","spotId":"","Items":["-SADNE-","-SLOWSS-","OTHR","OTHR","XT_OffAnimals"]},</v>
      </c>
      <c r="AA870" s="5" t="s">
        <v>5</v>
      </c>
      <c r="AB870" s="3" t="str">
        <f t="shared" si="81"/>
        <v>["-SADNE-","-SLOWSS-","OTHR","OTHR","XT_OffAnimals"]</v>
      </c>
      <c r="AC870" s="3">
        <f>_xlfn.XLOOKUP(A870,Album!A:A,Album!J:J)</f>
        <v>0</v>
      </c>
      <c r="AD870" s="3">
        <f>_xlfn.XLOOKUP(D870,Artists!A:A,Artists!B:B)</f>
        <v>0</v>
      </c>
      <c r="AE870" s="3">
        <f>_xlfn.XLOOKUP(D870,Artists!A:A,Artists!C:C)</f>
        <v>0</v>
      </c>
      <c r="AF870" s="3" t="str">
        <f t="shared" si="82"/>
        <v>OTHR</v>
      </c>
      <c r="AG870" s="3" t="str">
        <f t="shared" si="83"/>
        <v>OTHR</v>
      </c>
    </row>
    <row r="871" spans="24:33" x14ac:dyDescent="0.3">
      <c r="X871" s="3" t="str">
        <f t="shared" si="78"/>
        <v>-SADNE-</v>
      </c>
      <c r="Y871" s="3" t="str">
        <f t="shared" si="79"/>
        <v>-SLOWSS-</v>
      </c>
      <c r="Z871" s="4" t="str">
        <f t="shared" si="80"/>
        <v>{"couname":"","img":"0","pty":"","artist":"","genres":"","duration":"","spotId":"","Items":["-SADNE-","-SLOWSS-","OTHR","OTHR","XT_OffAnimals"]},</v>
      </c>
      <c r="AA871" s="5" t="s">
        <v>5</v>
      </c>
      <c r="AB871" s="3" t="str">
        <f t="shared" si="81"/>
        <v>["-SADNE-","-SLOWSS-","OTHR","OTHR","XT_OffAnimals"]</v>
      </c>
      <c r="AC871" s="3">
        <f>_xlfn.XLOOKUP(A871,Album!A:A,Album!J:J)</f>
        <v>0</v>
      </c>
      <c r="AD871" s="3">
        <f>_xlfn.XLOOKUP(D871,Artists!A:A,Artists!B:B)</f>
        <v>0</v>
      </c>
      <c r="AE871" s="3">
        <f>_xlfn.XLOOKUP(D871,Artists!A:A,Artists!C:C)</f>
        <v>0</v>
      </c>
      <c r="AF871" s="3" t="str">
        <f t="shared" si="82"/>
        <v>OTHR</v>
      </c>
      <c r="AG871" s="3" t="str">
        <f t="shared" si="83"/>
        <v>OTHR</v>
      </c>
    </row>
    <row r="872" spans="24:33" x14ac:dyDescent="0.3">
      <c r="X872" s="3" t="str">
        <f t="shared" si="78"/>
        <v>-SADNE-</v>
      </c>
      <c r="Y872" s="3" t="str">
        <f t="shared" si="79"/>
        <v>-SLOWSS-</v>
      </c>
      <c r="Z872" s="4" t="str">
        <f t="shared" si="80"/>
        <v>{"couname":"","img":"0","pty":"","artist":"","genres":"","duration":"","spotId":"","Items":["-SADNE-","-SLOWSS-","OTHR","OTHR","XT_OffAnimals"]},</v>
      </c>
      <c r="AA872" s="5" t="s">
        <v>5</v>
      </c>
      <c r="AB872" s="3" t="str">
        <f t="shared" si="81"/>
        <v>["-SADNE-","-SLOWSS-","OTHR","OTHR","XT_OffAnimals"]</v>
      </c>
      <c r="AC872" s="3">
        <f>_xlfn.XLOOKUP(A872,Album!A:A,Album!J:J)</f>
        <v>0</v>
      </c>
      <c r="AD872" s="3">
        <f>_xlfn.XLOOKUP(D872,Artists!A:A,Artists!B:B)</f>
        <v>0</v>
      </c>
      <c r="AE872" s="3">
        <f>_xlfn.XLOOKUP(D872,Artists!A:A,Artists!C:C)</f>
        <v>0</v>
      </c>
      <c r="AF872" s="3" t="str">
        <f t="shared" si="82"/>
        <v>OTHR</v>
      </c>
      <c r="AG872" s="3" t="str">
        <f t="shared" si="83"/>
        <v>OTHR</v>
      </c>
    </row>
    <row r="873" spans="24:33" x14ac:dyDescent="0.3">
      <c r="X873" s="3" t="str">
        <f t="shared" si="78"/>
        <v>-SADNE-</v>
      </c>
      <c r="Y873" s="3" t="str">
        <f t="shared" si="79"/>
        <v>-SLOWSS-</v>
      </c>
      <c r="Z873" s="4" t="str">
        <f t="shared" si="80"/>
        <v>{"couname":"","img":"0","pty":"","artist":"","genres":"","duration":"","spotId":"","Items":["-SADNE-","-SLOWSS-","OTHR","OTHR","XT_OffAnimals"]},</v>
      </c>
      <c r="AA873" s="5" t="s">
        <v>5</v>
      </c>
      <c r="AB873" s="3" t="str">
        <f t="shared" si="81"/>
        <v>["-SADNE-","-SLOWSS-","OTHR","OTHR","XT_OffAnimals"]</v>
      </c>
      <c r="AC873" s="3">
        <f>_xlfn.XLOOKUP(A873,Album!A:A,Album!J:J)</f>
        <v>0</v>
      </c>
      <c r="AD873" s="3">
        <f>_xlfn.XLOOKUP(D873,Artists!A:A,Artists!B:B)</f>
        <v>0</v>
      </c>
      <c r="AE873" s="3">
        <f>_xlfn.XLOOKUP(D873,Artists!A:A,Artists!C:C)</f>
        <v>0</v>
      </c>
      <c r="AF873" s="3" t="str">
        <f t="shared" si="82"/>
        <v>OTHR</v>
      </c>
      <c r="AG873" s="3" t="str">
        <f t="shared" si="83"/>
        <v>OTHR</v>
      </c>
    </row>
    <row r="874" spans="24:33" x14ac:dyDescent="0.3">
      <c r="X874" s="3" t="str">
        <f t="shared" si="78"/>
        <v>-SADNE-</v>
      </c>
      <c r="Y874" s="3" t="str">
        <f t="shared" si="79"/>
        <v>-SLOWSS-</v>
      </c>
      <c r="Z874" s="4" t="str">
        <f t="shared" si="80"/>
        <v>{"couname":"","img":"0","pty":"","artist":"","genres":"","duration":"","spotId":"","Items":["-SADNE-","-SLOWSS-","OTHR","OTHR","XT_OffAnimals"]},</v>
      </c>
      <c r="AA874" s="5" t="s">
        <v>5</v>
      </c>
      <c r="AB874" s="3" t="str">
        <f t="shared" si="81"/>
        <v>["-SADNE-","-SLOWSS-","OTHR","OTHR","XT_OffAnimals"]</v>
      </c>
      <c r="AC874" s="3">
        <f>_xlfn.XLOOKUP(A874,Album!A:A,Album!J:J)</f>
        <v>0</v>
      </c>
      <c r="AD874" s="3">
        <f>_xlfn.XLOOKUP(D874,Artists!A:A,Artists!B:B)</f>
        <v>0</v>
      </c>
      <c r="AE874" s="3">
        <f>_xlfn.XLOOKUP(D874,Artists!A:A,Artists!C:C)</f>
        <v>0</v>
      </c>
      <c r="AF874" s="3" t="str">
        <f t="shared" si="82"/>
        <v>OTHR</v>
      </c>
      <c r="AG874" s="3" t="str">
        <f t="shared" si="83"/>
        <v>OTHR</v>
      </c>
    </row>
    <row r="875" spans="24:33" x14ac:dyDescent="0.3">
      <c r="X875" s="3" t="str">
        <f t="shared" si="78"/>
        <v>-SADNE-</v>
      </c>
      <c r="Y875" s="3" t="str">
        <f t="shared" si="79"/>
        <v>-SLOWSS-</v>
      </c>
      <c r="Z875" s="4" t="str">
        <f t="shared" si="80"/>
        <v>{"couname":"","img":"0","pty":"","artist":"","genres":"","duration":"","spotId":"","Items":["-SADNE-","-SLOWSS-","OTHR","OTHR","XT_OffAnimals"]},</v>
      </c>
      <c r="AA875" s="5" t="s">
        <v>5</v>
      </c>
      <c r="AB875" s="3" t="str">
        <f t="shared" si="81"/>
        <v>["-SADNE-","-SLOWSS-","OTHR","OTHR","XT_OffAnimals"]</v>
      </c>
      <c r="AC875" s="3">
        <f>_xlfn.XLOOKUP(A875,Album!A:A,Album!J:J)</f>
        <v>0</v>
      </c>
      <c r="AD875" s="3">
        <f>_xlfn.XLOOKUP(D875,Artists!A:A,Artists!B:B)</f>
        <v>0</v>
      </c>
      <c r="AE875" s="3">
        <f>_xlfn.XLOOKUP(D875,Artists!A:A,Artists!C:C)</f>
        <v>0</v>
      </c>
      <c r="AF875" s="3" t="str">
        <f t="shared" si="82"/>
        <v>OTHR</v>
      </c>
      <c r="AG875" s="3" t="str">
        <f t="shared" si="83"/>
        <v>OTHR</v>
      </c>
    </row>
    <row r="876" spans="24:33" x14ac:dyDescent="0.3">
      <c r="X876" s="3" t="str">
        <f t="shared" si="78"/>
        <v>-SADNE-</v>
      </c>
      <c r="Y876" s="3" t="str">
        <f t="shared" si="79"/>
        <v>-SLOWSS-</v>
      </c>
      <c r="Z876" s="4" t="str">
        <f t="shared" si="80"/>
        <v>{"couname":"","img":"0","pty":"","artist":"","genres":"","duration":"","spotId":"","Items":["-SADNE-","-SLOWSS-","OTHR","OTHR","XT_OffAnimals"]},</v>
      </c>
      <c r="AA876" s="5" t="s">
        <v>5</v>
      </c>
      <c r="AB876" s="3" t="str">
        <f t="shared" si="81"/>
        <v>["-SADNE-","-SLOWSS-","OTHR","OTHR","XT_OffAnimals"]</v>
      </c>
      <c r="AC876" s="3">
        <f>_xlfn.XLOOKUP(A876,Album!A:A,Album!J:J)</f>
        <v>0</v>
      </c>
      <c r="AD876" s="3">
        <f>_xlfn.XLOOKUP(D876,Artists!A:A,Artists!B:B)</f>
        <v>0</v>
      </c>
      <c r="AE876" s="3">
        <f>_xlfn.XLOOKUP(D876,Artists!A:A,Artists!C:C)</f>
        <v>0</v>
      </c>
      <c r="AF876" s="3" t="str">
        <f t="shared" si="82"/>
        <v>OTHR</v>
      </c>
      <c r="AG876" s="3" t="str">
        <f t="shared" si="83"/>
        <v>OTHR</v>
      </c>
    </row>
    <row r="877" spans="24:33" x14ac:dyDescent="0.3">
      <c r="X877" s="3" t="str">
        <f t="shared" si="78"/>
        <v>-SADNE-</v>
      </c>
      <c r="Y877" s="3" t="str">
        <f t="shared" si="79"/>
        <v>-SLOWSS-</v>
      </c>
      <c r="Z877" s="4" t="str">
        <f t="shared" si="80"/>
        <v>{"couname":"","img":"0","pty":"","artist":"","genres":"","duration":"","spotId":"","Items":["-SADNE-","-SLOWSS-","OTHR","OTHR","XT_OffAnimals"]},</v>
      </c>
      <c r="AA877" s="5" t="s">
        <v>5</v>
      </c>
      <c r="AB877" s="3" t="str">
        <f t="shared" si="81"/>
        <v>["-SADNE-","-SLOWSS-","OTHR","OTHR","XT_OffAnimals"]</v>
      </c>
      <c r="AC877" s="3">
        <f>_xlfn.XLOOKUP(A877,Album!A:A,Album!J:J)</f>
        <v>0</v>
      </c>
      <c r="AD877" s="3">
        <f>_xlfn.XLOOKUP(D877,Artists!A:A,Artists!B:B)</f>
        <v>0</v>
      </c>
      <c r="AE877" s="3">
        <f>_xlfn.XLOOKUP(D877,Artists!A:A,Artists!C:C)</f>
        <v>0</v>
      </c>
      <c r="AF877" s="3" t="str">
        <f t="shared" si="82"/>
        <v>OTHR</v>
      </c>
      <c r="AG877" s="3" t="str">
        <f t="shared" si="83"/>
        <v>OTHR</v>
      </c>
    </row>
    <row r="878" spans="24:33" x14ac:dyDescent="0.3">
      <c r="X878" s="3" t="str">
        <f t="shared" si="78"/>
        <v>-SADNE-</v>
      </c>
      <c r="Y878" s="3" t="str">
        <f t="shared" si="79"/>
        <v>-SLOWSS-</v>
      </c>
      <c r="Z878" s="4" t="str">
        <f t="shared" si="80"/>
        <v>{"couname":"","img":"0","pty":"","artist":"","genres":"","duration":"","spotId":"","Items":["-SADNE-","-SLOWSS-","OTHR","OTHR","XT_OffAnimals"]},</v>
      </c>
      <c r="AA878" s="5" t="s">
        <v>5</v>
      </c>
      <c r="AB878" s="3" t="str">
        <f t="shared" si="81"/>
        <v>["-SADNE-","-SLOWSS-","OTHR","OTHR","XT_OffAnimals"]</v>
      </c>
      <c r="AC878" s="3">
        <f>_xlfn.XLOOKUP(A878,Album!A:A,Album!J:J)</f>
        <v>0</v>
      </c>
      <c r="AD878" s="3">
        <f>_xlfn.XLOOKUP(D878,Artists!A:A,Artists!B:B)</f>
        <v>0</v>
      </c>
      <c r="AE878" s="3">
        <f>_xlfn.XLOOKUP(D878,Artists!A:A,Artists!C:C)</f>
        <v>0</v>
      </c>
      <c r="AF878" s="3" t="str">
        <f t="shared" si="82"/>
        <v>OTHR</v>
      </c>
      <c r="AG878" s="3" t="str">
        <f t="shared" si="83"/>
        <v>OTHR</v>
      </c>
    </row>
    <row r="879" spans="24:33" x14ac:dyDescent="0.3">
      <c r="X879" s="3" t="str">
        <f t="shared" si="78"/>
        <v>-SADNE-</v>
      </c>
      <c r="Y879" s="3" t="str">
        <f t="shared" si="79"/>
        <v>-SLOWSS-</v>
      </c>
      <c r="Z879" s="4" t="str">
        <f t="shared" si="80"/>
        <v>{"couname":"","img":"0","pty":"","artist":"","genres":"","duration":"","spotId":"","Items":["-SADNE-","-SLOWSS-","OTHR","OTHR","XT_OffAnimals"]},</v>
      </c>
      <c r="AA879" s="5" t="s">
        <v>5</v>
      </c>
      <c r="AB879" s="3" t="str">
        <f t="shared" si="81"/>
        <v>["-SADNE-","-SLOWSS-","OTHR","OTHR","XT_OffAnimals"]</v>
      </c>
      <c r="AC879" s="3">
        <f>_xlfn.XLOOKUP(A879,Album!A:A,Album!J:J)</f>
        <v>0</v>
      </c>
      <c r="AD879" s="3">
        <f>_xlfn.XLOOKUP(D879,Artists!A:A,Artists!B:B)</f>
        <v>0</v>
      </c>
      <c r="AE879" s="3">
        <f>_xlfn.XLOOKUP(D879,Artists!A:A,Artists!C:C)</f>
        <v>0</v>
      </c>
      <c r="AF879" s="3" t="str">
        <f t="shared" si="82"/>
        <v>OTHR</v>
      </c>
      <c r="AG879" s="3" t="str">
        <f t="shared" si="83"/>
        <v>OTHR</v>
      </c>
    </row>
    <row r="880" spans="24:33" x14ac:dyDescent="0.3">
      <c r="X880" s="3" t="str">
        <f t="shared" si="78"/>
        <v>-SADNE-</v>
      </c>
      <c r="Y880" s="3" t="str">
        <f t="shared" si="79"/>
        <v>-SLOWSS-</v>
      </c>
      <c r="Z880" s="4" t="str">
        <f t="shared" si="80"/>
        <v>{"couname":"","img":"0","pty":"","artist":"","genres":"","duration":"","spotId":"","Items":["-SADNE-","-SLOWSS-","OTHR","OTHR","XT_OffAnimals"]},</v>
      </c>
      <c r="AA880" s="5" t="s">
        <v>5</v>
      </c>
      <c r="AB880" s="3" t="str">
        <f t="shared" si="81"/>
        <v>["-SADNE-","-SLOWSS-","OTHR","OTHR","XT_OffAnimals"]</v>
      </c>
      <c r="AC880" s="3">
        <f>_xlfn.XLOOKUP(A880,Album!A:A,Album!J:J)</f>
        <v>0</v>
      </c>
      <c r="AD880" s="3">
        <f>_xlfn.XLOOKUP(D880,Artists!A:A,Artists!B:B)</f>
        <v>0</v>
      </c>
      <c r="AE880" s="3">
        <f>_xlfn.XLOOKUP(D880,Artists!A:A,Artists!C:C)</f>
        <v>0</v>
      </c>
      <c r="AF880" s="3" t="str">
        <f t="shared" si="82"/>
        <v>OTHR</v>
      </c>
      <c r="AG880" s="3" t="str">
        <f t="shared" si="83"/>
        <v>OTHR</v>
      </c>
    </row>
    <row r="881" spans="24:33" x14ac:dyDescent="0.3">
      <c r="X881" s="3" t="str">
        <f t="shared" si="78"/>
        <v>-SADNE-</v>
      </c>
      <c r="Y881" s="3" t="str">
        <f t="shared" si="79"/>
        <v>-SLOWSS-</v>
      </c>
      <c r="Z881" s="4" t="str">
        <f t="shared" si="80"/>
        <v>{"couname":"","img":"0","pty":"","artist":"","genres":"","duration":"","spotId":"","Items":["-SADNE-","-SLOWSS-","OTHR","OTHR","XT_OffAnimals"]},</v>
      </c>
      <c r="AA881" s="5" t="s">
        <v>5</v>
      </c>
      <c r="AB881" s="3" t="str">
        <f t="shared" si="81"/>
        <v>["-SADNE-","-SLOWSS-","OTHR","OTHR","XT_OffAnimals"]</v>
      </c>
      <c r="AC881" s="3">
        <f>_xlfn.XLOOKUP(A881,Album!A:A,Album!J:J)</f>
        <v>0</v>
      </c>
      <c r="AD881" s="3">
        <f>_xlfn.XLOOKUP(D881,Artists!A:A,Artists!B:B)</f>
        <v>0</v>
      </c>
      <c r="AE881" s="3">
        <f>_xlfn.XLOOKUP(D881,Artists!A:A,Artists!C:C)</f>
        <v>0</v>
      </c>
      <c r="AF881" s="3" t="str">
        <f t="shared" si="82"/>
        <v>OTHR</v>
      </c>
      <c r="AG881" s="3" t="str">
        <f t="shared" si="83"/>
        <v>OTHR</v>
      </c>
    </row>
    <row r="882" spans="24:33" x14ac:dyDescent="0.3">
      <c r="X882" s="3" t="str">
        <f t="shared" si="78"/>
        <v>-SADNE-</v>
      </c>
      <c r="Y882" s="3" t="str">
        <f t="shared" si="79"/>
        <v>-SLOWSS-</v>
      </c>
      <c r="Z882" s="4" t="str">
        <f t="shared" si="80"/>
        <v>{"couname":"","img":"0","pty":"","artist":"","genres":"","duration":"","spotId":"","Items":["-SADNE-","-SLOWSS-","OTHR","OTHR","XT_OffAnimals"]},</v>
      </c>
      <c r="AA882" s="5" t="s">
        <v>5</v>
      </c>
      <c r="AB882" s="3" t="str">
        <f t="shared" si="81"/>
        <v>["-SADNE-","-SLOWSS-","OTHR","OTHR","XT_OffAnimals"]</v>
      </c>
      <c r="AC882" s="3">
        <f>_xlfn.XLOOKUP(A882,Album!A:A,Album!J:J)</f>
        <v>0</v>
      </c>
      <c r="AD882" s="3">
        <f>_xlfn.XLOOKUP(D882,Artists!A:A,Artists!B:B)</f>
        <v>0</v>
      </c>
      <c r="AE882" s="3">
        <f>_xlfn.XLOOKUP(D882,Artists!A:A,Artists!C:C)</f>
        <v>0</v>
      </c>
      <c r="AF882" s="3" t="str">
        <f t="shared" si="82"/>
        <v>OTHR</v>
      </c>
      <c r="AG882" s="3" t="str">
        <f t="shared" si="83"/>
        <v>OTHR</v>
      </c>
    </row>
    <row r="883" spans="24:33" x14ac:dyDescent="0.3">
      <c r="X883" s="3" t="str">
        <f t="shared" si="78"/>
        <v>-SADNE-</v>
      </c>
      <c r="Y883" s="3" t="str">
        <f t="shared" si="79"/>
        <v>-SLOWSS-</v>
      </c>
      <c r="Z883" s="4" t="str">
        <f t="shared" si="80"/>
        <v>{"couname":"","img":"0","pty":"","artist":"","genres":"","duration":"","spotId":"","Items":["-SADNE-","-SLOWSS-","OTHR","OTHR","XT_OffAnimals"]},</v>
      </c>
      <c r="AA883" s="5" t="s">
        <v>5</v>
      </c>
      <c r="AB883" s="3" t="str">
        <f t="shared" si="81"/>
        <v>["-SADNE-","-SLOWSS-","OTHR","OTHR","XT_OffAnimals"]</v>
      </c>
      <c r="AC883" s="3">
        <f>_xlfn.XLOOKUP(A883,Album!A:A,Album!J:J)</f>
        <v>0</v>
      </c>
      <c r="AD883" s="3">
        <f>_xlfn.XLOOKUP(D883,Artists!A:A,Artists!B:B)</f>
        <v>0</v>
      </c>
      <c r="AE883" s="3">
        <f>_xlfn.XLOOKUP(D883,Artists!A:A,Artists!C:C)</f>
        <v>0</v>
      </c>
      <c r="AF883" s="3" t="str">
        <f t="shared" si="82"/>
        <v>OTHR</v>
      </c>
      <c r="AG883" s="3" t="str">
        <f t="shared" si="83"/>
        <v>OTHR</v>
      </c>
    </row>
    <row r="884" spans="24:33" x14ac:dyDescent="0.3">
      <c r="X884" s="3" t="str">
        <f t="shared" si="78"/>
        <v>-SADNE-</v>
      </c>
      <c r="Y884" s="3" t="str">
        <f t="shared" si="79"/>
        <v>-SLOWSS-</v>
      </c>
      <c r="Z884" s="4" t="str">
        <f t="shared" si="80"/>
        <v>{"couname":"","img":"0","pty":"","artist":"","genres":"","duration":"","spotId":"","Items":["-SADNE-","-SLOWSS-","OTHR","OTHR","XT_OffAnimals"]},</v>
      </c>
      <c r="AA884" s="5" t="s">
        <v>5</v>
      </c>
      <c r="AB884" s="3" t="str">
        <f t="shared" si="81"/>
        <v>["-SADNE-","-SLOWSS-","OTHR","OTHR","XT_OffAnimals"]</v>
      </c>
      <c r="AC884" s="3">
        <f>_xlfn.XLOOKUP(A884,Album!A:A,Album!J:J)</f>
        <v>0</v>
      </c>
      <c r="AD884" s="3">
        <f>_xlfn.XLOOKUP(D884,Artists!A:A,Artists!B:B)</f>
        <v>0</v>
      </c>
      <c r="AE884" s="3">
        <f>_xlfn.XLOOKUP(D884,Artists!A:A,Artists!C:C)</f>
        <v>0</v>
      </c>
      <c r="AF884" s="3" t="str">
        <f t="shared" si="82"/>
        <v>OTHR</v>
      </c>
      <c r="AG884" s="3" t="str">
        <f t="shared" si="83"/>
        <v>OTHR</v>
      </c>
    </row>
    <row r="885" spans="24:33" x14ac:dyDescent="0.3">
      <c r="X885" s="3" t="str">
        <f t="shared" si="78"/>
        <v>-SADNE-</v>
      </c>
      <c r="Y885" s="3" t="str">
        <f t="shared" si="79"/>
        <v>-SLOWSS-</v>
      </c>
      <c r="Z885" s="4" t="str">
        <f t="shared" si="80"/>
        <v>{"couname":"","img":"0","pty":"","artist":"","genres":"","duration":"","spotId":"","Items":["-SADNE-","-SLOWSS-","OTHR","OTHR","XT_OffAnimals"]},</v>
      </c>
      <c r="AA885" s="5" t="s">
        <v>5</v>
      </c>
      <c r="AB885" s="3" t="str">
        <f t="shared" si="81"/>
        <v>["-SADNE-","-SLOWSS-","OTHR","OTHR","XT_OffAnimals"]</v>
      </c>
      <c r="AC885" s="3">
        <f>_xlfn.XLOOKUP(A885,Album!A:A,Album!J:J)</f>
        <v>0</v>
      </c>
      <c r="AD885" s="3">
        <f>_xlfn.XLOOKUP(D885,Artists!A:A,Artists!B:B)</f>
        <v>0</v>
      </c>
      <c r="AE885" s="3">
        <f>_xlfn.XLOOKUP(D885,Artists!A:A,Artists!C:C)</f>
        <v>0</v>
      </c>
      <c r="AF885" s="3" t="str">
        <f t="shared" si="82"/>
        <v>OTHR</v>
      </c>
      <c r="AG885" s="3" t="str">
        <f t="shared" si="83"/>
        <v>OTHR</v>
      </c>
    </row>
    <row r="886" spans="24:33" x14ac:dyDescent="0.3">
      <c r="X886" s="3" t="str">
        <f t="shared" si="78"/>
        <v>-SADNE-</v>
      </c>
      <c r="Y886" s="3" t="str">
        <f t="shared" si="79"/>
        <v>-SLOWSS-</v>
      </c>
      <c r="Z886" s="4" t="str">
        <f t="shared" si="80"/>
        <v>{"couname":"","img":"0","pty":"","artist":"","genres":"","duration":"","spotId":"","Items":["-SADNE-","-SLOWSS-","OTHR","OTHR","XT_OffAnimals"]},</v>
      </c>
      <c r="AA886" s="5" t="s">
        <v>5</v>
      </c>
      <c r="AB886" s="3" t="str">
        <f t="shared" si="81"/>
        <v>["-SADNE-","-SLOWSS-","OTHR","OTHR","XT_OffAnimals"]</v>
      </c>
      <c r="AC886" s="3">
        <f>_xlfn.XLOOKUP(A886,Album!A:A,Album!J:J)</f>
        <v>0</v>
      </c>
      <c r="AD886" s="3">
        <f>_xlfn.XLOOKUP(D886,Artists!A:A,Artists!B:B)</f>
        <v>0</v>
      </c>
      <c r="AE886" s="3">
        <f>_xlfn.XLOOKUP(D886,Artists!A:A,Artists!C:C)</f>
        <v>0</v>
      </c>
      <c r="AF886" s="3" t="str">
        <f t="shared" si="82"/>
        <v>OTHR</v>
      </c>
      <c r="AG886" s="3" t="str">
        <f t="shared" si="83"/>
        <v>OTHR</v>
      </c>
    </row>
    <row r="887" spans="24:33" x14ac:dyDescent="0.3">
      <c r="X887" s="3" t="str">
        <f t="shared" si="78"/>
        <v>-SADNE-</v>
      </c>
      <c r="Y887" s="3" t="str">
        <f t="shared" si="79"/>
        <v>-SLOWSS-</v>
      </c>
      <c r="Z887" s="4" t="str">
        <f t="shared" si="80"/>
        <v>{"couname":"","img":"0","pty":"","artist":"","genres":"","duration":"","spotId":"","Items":["-SADNE-","-SLOWSS-","OTHR","OTHR","XT_OffAnimals"]},</v>
      </c>
      <c r="AA887" s="5" t="s">
        <v>5</v>
      </c>
      <c r="AB887" s="3" t="str">
        <f t="shared" si="81"/>
        <v>["-SADNE-","-SLOWSS-","OTHR","OTHR","XT_OffAnimals"]</v>
      </c>
      <c r="AC887" s="3">
        <f>_xlfn.XLOOKUP(A887,Album!A:A,Album!J:J)</f>
        <v>0</v>
      </c>
      <c r="AD887" s="3">
        <f>_xlfn.XLOOKUP(D887,Artists!A:A,Artists!B:B)</f>
        <v>0</v>
      </c>
      <c r="AE887" s="3">
        <f>_xlfn.XLOOKUP(D887,Artists!A:A,Artists!C:C)</f>
        <v>0</v>
      </c>
      <c r="AF887" s="3" t="str">
        <f t="shared" si="82"/>
        <v>OTHR</v>
      </c>
      <c r="AG887" s="3" t="str">
        <f t="shared" si="83"/>
        <v>OTHR</v>
      </c>
    </row>
    <row r="888" spans="24:33" x14ac:dyDescent="0.3">
      <c r="X888" s="3" t="str">
        <f t="shared" si="78"/>
        <v>-SADNE-</v>
      </c>
      <c r="Y888" s="3" t="str">
        <f t="shared" si="79"/>
        <v>-SLOWSS-</v>
      </c>
      <c r="Z888" s="4" t="str">
        <f t="shared" si="80"/>
        <v>{"couname":"","img":"0","pty":"","artist":"","genres":"","duration":"","spotId":"","Items":["-SADNE-","-SLOWSS-","OTHR","OTHR","XT_OffAnimals"]},</v>
      </c>
      <c r="AA888" s="5" t="s">
        <v>5</v>
      </c>
      <c r="AB888" s="3" t="str">
        <f t="shared" si="81"/>
        <v>["-SADNE-","-SLOWSS-","OTHR","OTHR","XT_OffAnimals"]</v>
      </c>
      <c r="AC888" s="3">
        <f>_xlfn.XLOOKUP(A888,Album!A:A,Album!J:J)</f>
        <v>0</v>
      </c>
      <c r="AD888" s="3">
        <f>_xlfn.XLOOKUP(D888,Artists!A:A,Artists!B:B)</f>
        <v>0</v>
      </c>
      <c r="AE888" s="3">
        <f>_xlfn.XLOOKUP(D888,Artists!A:A,Artists!C:C)</f>
        <v>0</v>
      </c>
      <c r="AF888" s="3" t="str">
        <f t="shared" si="82"/>
        <v>OTHR</v>
      </c>
      <c r="AG888" s="3" t="str">
        <f t="shared" si="83"/>
        <v>OTHR</v>
      </c>
    </row>
    <row r="889" spans="24:33" x14ac:dyDescent="0.3">
      <c r="X889" s="3" t="str">
        <f t="shared" si="78"/>
        <v>-SADNE-</v>
      </c>
      <c r="Y889" s="3" t="str">
        <f t="shared" si="79"/>
        <v>-SLOWSS-</v>
      </c>
      <c r="Z889" s="4" t="str">
        <f t="shared" si="80"/>
        <v>{"couname":"","img":"0","pty":"","artist":"","genres":"","duration":"","spotId":"","Items":["-SADNE-","-SLOWSS-","OTHR","OTHR","XT_OffAnimals"]},</v>
      </c>
      <c r="AA889" s="5" t="s">
        <v>5</v>
      </c>
      <c r="AB889" s="3" t="str">
        <f t="shared" si="81"/>
        <v>["-SADNE-","-SLOWSS-","OTHR","OTHR","XT_OffAnimals"]</v>
      </c>
      <c r="AC889" s="3">
        <f>_xlfn.XLOOKUP(A889,Album!A:A,Album!J:J)</f>
        <v>0</v>
      </c>
      <c r="AD889" s="3">
        <f>_xlfn.XLOOKUP(D889,Artists!A:A,Artists!B:B)</f>
        <v>0</v>
      </c>
      <c r="AE889" s="3">
        <f>_xlfn.XLOOKUP(D889,Artists!A:A,Artists!C:C)</f>
        <v>0</v>
      </c>
      <c r="AF889" s="3" t="str">
        <f t="shared" si="82"/>
        <v>OTHR</v>
      </c>
      <c r="AG889" s="3" t="str">
        <f t="shared" si="83"/>
        <v>OTHR</v>
      </c>
    </row>
    <row r="890" spans="24:33" x14ac:dyDescent="0.3">
      <c r="X890" s="3" t="str">
        <f t="shared" si="78"/>
        <v>-SADNE-</v>
      </c>
      <c r="Y890" s="3" t="str">
        <f t="shared" si="79"/>
        <v>-SLOWSS-</v>
      </c>
      <c r="Z890" s="4" t="str">
        <f t="shared" si="80"/>
        <v>{"couname":"","img":"0","pty":"","artist":"","genres":"","duration":"","spotId":"","Items":["-SADNE-","-SLOWSS-","OTHR","OTHR","XT_OffAnimals"]},</v>
      </c>
      <c r="AA890" s="5" t="s">
        <v>5</v>
      </c>
      <c r="AB890" s="3" t="str">
        <f t="shared" si="81"/>
        <v>["-SADNE-","-SLOWSS-","OTHR","OTHR","XT_OffAnimals"]</v>
      </c>
      <c r="AC890" s="3">
        <f>_xlfn.XLOOKUP(A890,Album!A:A,Album!J:J)</f>
        <v>0</v>
      </c>
      <c r="AD890" s="3">
        <f>_xlfn.XLOOKUP(D890,Artists!A:A,Artists!B:B)</f>
        <v>0</v>
      </c>
      <c r="AE890" s="3">
        <f>_xlfn.XLOOKUP(D890,Artists!A:A,Artists!C:C)</f>
        <v>0</v>
      </c>
      <c r="AF890" s="3" t="str">
        <f t="shared" si="82"/>
        <v>OTHR</v>
      </c>
      <c r="AG890" s="3" t="str">
        <f t="shared" si="83"/>
        <v>OTHR</v>
      </c>
    </row>
    <row r="891" spans="24:33" x14ac:dyDescent="0.3">
      <c r="X891" s="3" t="str">
        <f t="shared" si="78"/>
        <v>-SADNE-</v>
      </c>
      <c r="Y891" s="3" t="str">
        <f t="shared" si="79"/>
        <v>-SLOWSS-</v>
      </c>
      <c r="Z891" s="4" t="str">
        <f t="shared" si="80"/>
        <v>{"couname":"","img":"0","pty":"","artist":"","genres":"","duration":"","spotId":"","Items":["-SADNE-","-SLOWSS-","OTHR","OTHR","XT_OffAnimals"]},</v>
      </c>
      <c r="AA891" s="5" t="s">
        <v>5</v>
      </c>
      <c r="AB891" s="3" t="str">
        <f t="shared" si="81"/>
        <v>["-SADNE-","-SLOWSS-","OTHR","OTHR","XT_OffAnimals"]</v>
      </c>
      <c r="AC891" s="3">
        <f>_xlfn.XLOOKUP(A891,Album!A:A,Album!J:J)</f>
        <v>0</v>
      </c>
      <c r="AD891" s="3">
        <f>_xlfn.XLOOKUP(D891,Artists!A:A,Artists!B:B)</f>
        <v>0</v>
      </c>
      <c r="AE891" s="3">
        <f>_xlfn.XLOOKUP(D891,Artists!A:A,Artists!C:C)</f>
        <v>0</v>
      </c>
      <c r="AF891" s="3" t="str">
        <f t="shared" si="82"/>
        <v>OTHR</v>
      </c>
      <c r="AG891" s="3" t="str">
        <f t="shared" si="83"/>
        <v>OTHR</v>
      </c>
    </row>
    <row r="892" spans="24:33" x14ac:dyDescent="0.3">
      <c r="X892" s="3" t="str">
        <f t="shared" si="78"/>
        <v>-SADNE-</v>
      </c>
      <c r="Y892" s="3" t="str">
        <f t="shared" si="79"/>
        <v>-SLOWSS-</v>
      </c>
      <c r="Z892" s="4" t="str">
        <f t="shared" si="80"/>
        <v>{"couname":"","img":"0","pty":"","artist":"","genres":"","duration":"","spotId":"","Items":["-SADNE-","-SLOWSS-","OTHR","OTHR","XT_OffAnimals"]},</v>
      </c>
      <c r="AA892" s="5" t="s">
        <v>5</v>
      </c>
      <c r="AB892" s="3" t="str">
        <f t="shared" si="81"/>
        <v>["-SADNE-","-SLOWSS-","OTHR","OTHR","XT_OffAnimals"]</v>
      </c>
      <c r="AC892" s="3">
        <f>_xlfn.XLOOKUP(A892,Album!A:A,Album!J:J)</f>
        <v>0</v>
      </c>
      <c r="AD892" s="3">
        <f>_xlfn.XLOOKUP(D892,Artists!A:A,Artists!B:B)</f>
        <v>0</v>
      </c>
      <c r="AE892" s="3">
        <f>_xlfn.XLOOKUP(D892,Artists!A:A,Artists!C:C)</f>
        <v>0</v>
      </c>
      <c r="AF892" s="3" t="str">
        <f t="shared" si="82"/>
        <v>OTHR</v>
      </c>
      <c r="AG892" s="3" t="str">
        <f t="shared" si="83"/>
        <v>OTHR</v>
      </c>
    </row>
    <row r="893" spans="24:33" x14ac:dyDescent="0.3">
      <c r="X893" s="3" t="str">
        <f t="shared" si="78"/>
        <v>-SADNE-</v>
      </c>
      <c r="Y893" s="3" t="str">
        <f t="shared" si="79"/>
        <v>-SLOWSS-</v>
      </c>
      <c r="Z893" s="4" t="str">
        <f t="shared" si="80"/>
        <v>{"couname":"","img":"0","pty":"","artist":"","genres":"","duration":"","spotId":"","Items":["-SADNE-","-SLOWSS-","OTHR","OTHR","XT_OffAnimals"]},</v>
      </c>
      <c r="AA893" s="5" t="s">
        <v>5</v>
      </c>
      <c r="AB893" s="3" t="str">
        <f t="shared" si="81"/>
        <v>["-SADNE-","-SLOWSS-","OTHR","OTHR","XT_OffAnimals"]</v>
      </c>
      <c r="AC893" s="3">
        <f>_xlfn.XLOOKUP(A893,Album!A:A,Album!J:J)</f>
        <v>0</v>
      </c>
      <c r="AD893" s="3">
        <f>_xlfn.XLOOKUP(D893,Artists!A:A,Artists!B:B)</f>
        <v>0</v>
      </c>
      <c r="AE893" s="3">
        <f>_xlfn.XLOOKUP(D893,Artists!A:A,Artists!C:C)</f>
        <v>0</v>
      </c>
      <c r="AF893" s="3" t="str">
        <f t="shared" si="82"/>
        <v>OTHR</v>
      </c>
      <c r="AG893" s="3" t="str">
        <f t="shared" si="83"/>
        <v>OTHR</v>
      </c>
    </row>
    <row r="894" spans="24:33" x14ac:dyDescent="0.3">
      <c r="X894" s="3" t="str">
        <f t="shared" si="78"/>
        <v>-SADNE-</v>
      </c>
      <c r="Y894" s="3" t="str">
        <f t="shared" si="79"/>
        <v>-SLOWSS-</v>
      </c>
      <c r="Z894" s="4" t="str">
        <f t="shared" si="80"/>
        <v>{"couname":"","img":"0","pty":"","artist":"","genres":"","duration":"","spotId":"","Items":["-SADNE-","-SLOWSS-","OTHR","OTHR","XT_OffAnimals"]},</v>
      </c>
      <c r="AA894" s="5" t="s">
        <v>5</v>
      </c>
      <c r="AB894" s="3" t="str">
        <f t="shared" si="81"/>
        <v>["-SADNE-","-SLOWSS-","OTHR","OTHR","XT_OffAnimals"]</v>
      </c>
      <c r="AC894" s="3">
        <f>_xlfn.XLOOKUP(A894,Album!A:A,Album!J:J)</f>
        <v>0</v>
      </c>
      <c r="AD894" s="3">
        <f>_xlfn.XLOOKUP(D894,Artists!A:A,Artists!B:B)</f>
        <v>0</v>
      </c>
      <c r="AE894" s="3">
        <f>_xlfn.XLOOKUP(D894,Artists!A:A,Artists!C:C)</f>
        <v>0</v>
      </c>
      <c r="AF894" s="3" t="str">
        <f t="shared" si="82"/>
        <v>OTHR</v>
      </c>
      <c r="AG894" s="3" t="str">
        <f t="shared" si="83"/>
        <v>OTHR</v>
      </c>
    </row>
    <row r="895" spans="24:33" x14ac:dyDescent="0.3">
      <c r="X895" s="3" t="str">
        <f t="shared" si="78"/>
        <v>-SADNE-</v>
      </c>
      <c r="Y895" s="3" t="str">
        <f t="shared" si="79"/>
        <v>-SLOWSS-</v>
      </c>
      <c r="Z895" s="4" t="str">
        <f t="shared" si="80"/>
        <v>{"couname":"","img":"0","pty":"","artist":"","genres":"","duration":"","spotId":"","Items":["-SADNE-","-SLOWSS-","OTHR","OTHR","XT_OffAnimals"]},</v>
      </c>
      <c r="AA895" s="5" t="s">
        <v>5</v>
      </c>
      <c r="AB895" s="3" t="str">
        <f t="shared" si="81"/>
        <v>["-SADNE-","-SLOWSS-","OTHR","OTHR","XT_OffAnimals"]</v>
      </c>
      <c r="AC895" s="3">
        <f>_xlfn.XLOOKUP(A895,Album!A:A,Album!J:J)</f>
        <v>0</v>
      </c>
      <c r="AD895" s="3">
        <f>_xlfn.XLOOKUP(D895,Artists!A:A,Artists!B:B)</f>
        <v>0</v>
      </c>
      <c r="AE895" s="3">
        <f>_xlfn.XLOOKUP(D895,Artists!A:A,Artists!C:C)</f>
        <v>0</v>
      </c>
      <c r="AF895" s="3" t="str">
        <f t="shared" si="82"/>
        <v>OTHR</v>
      </c>
      <c r="AG895" s="3" t="str">
        <f t="shared" si="83"/>
        <v>OTHR</v>
      </c>
    </row>
    <row r="896" spans="24:33" x14ac:dyDescent="0.3">
      <c r="X896" s="3" t="str">
        <f t="shared" si="78"/>
        <v>-SADNE-</v>
      </c>
      <c r="Y896" s="3" t="str">
        <f t="shared" si="79"/>
        <v>-SLOWSS-</v>
      </c>
      <c r="Z896" s="4" t="str">
        <f t="shared" si="80"/>
        <v>{"couname":"","img":"0","pty":"","artist":"","genres":"","duration":"","spotId":"","Items":["-SADNE-","-SLOWSS-","OTHR","OTHR","XT_OffAnimals"]},</v>
      </c>
      <c r="AA896" s="5" t="s">
        <v>5</v>
      </c>
      <c r="AB896" s="3" t="str">
        <f t="shared" si="81"/>
        <v>["-SADNE-","-SLOWSS-","OTHR","OTHR","XT_OffAnimals"]</v>
      </c>
      <c r="AC896" s="3">
        <f>_xlfn.XLOOKUP(A896,Album!A:A,Album!J:J)</f>
        <v>0</v>
      </c>
      <c r="AD896" s="3">
        <f>_xlfn.XLOOKUP(D896,Artists!A:A,Artists!B:B)</f>
        <v>0</v>
      </c>
      <c r="AE896" s="3">
        <f>_xlfn.XLOOKUP(D896,Artists!A:A,Artists!C:C)</f>
        <v>0</v>
      </c>
      <c r="AF896" s="3" t="str">
        <f t="shared" si="82"/>
        <v>OTHR</v>
      </c>
      <c r="AG896" s="3" t="str">
        <f t="shared" si="83"/>
        <v>OTHR</v>
      </c>
    </row>
    <row r="897" spans="24:33" x14ac:dyDescent="0.3">
      <c r="X897" s="3" t="str">
        <f t="shared" si="78"/>
        <v>-SADNE-</v>
      </c>
      <c r="Y897" s="3" t="str">
        <f t="shared" si="79"/>
        <v>-SLOWSS-</v>
      </c>
      <c r="Z897" s="4" t="str">
        <f t="shared" si="80"/>
        <v>{"couname":"","img":"0","pty":"","artist":"","genres":"","duration":"","spotId":"","Items":["-SADNE-","-SLOWSS-","OTHR","OTHR","XT_OffAnimals"]},</v>
      </c>
      <c r="AA897" s="5" t="s">
        <v>5</v>
      </c>
      <c r="AB897" s="3" t="str">
        <f t="shared" si="81"/>
        <v>["-SADNE-","-SLOWSS-","OTHR","OTHR","XT_OffAnimals"]</v>
      </c>
      <c r="AC897" s="3">
        <f>_xlfn.XLOOKUP(A897,Album!A:A,Album!J:J)</f>
        <v>0</v>
      </c>
      <c r="AD897" s="3">
        <f>_xlfn.XLOOKUP(D897,Artists!A:A,Artists!B:B)</f>
        <v>0</v>
      </c>
      <c r="AE897" s="3">
        <f>_xlfn.XLOOKUP(D897,Artists!A:A,Artists!C:C)</f>
        <v>0</v>
      </c>
      <c r="AF897" s="3" t="str">
        <f t="shared" si="82"/>
        <v>OTHR</v>
      </c>
      <c r="AG897" s="3" t="str">
        <f t="shared" si="83"/>
        <v>OTHR</v>
      </c>
    </row>
    <row r="898" spans="24:33" x14ac:dyDescent="0.3">
      <c r="X898" s="3" t="str">
        <f t="shared" ref="X898:X961" si="84">IF(OR(U898&lt;0.301, AND(U898&lt;0.4, P898=0)), "-SADNE-", "-HAPPY-")</f>
        <v>-SADNE-</v>
      </c>
      <c r="Y898" s="3" t="str">
        <f t="shared" ref="Y898:Y961" si="85">IF(OR(AND(L898&lt;0.5,M898&lt;0.5),AND(L898&lt;0.45,V898&lt;100),AND(M898&lt;0.45,V898&lt;100),AND(U898&lt;0.39,V898&lt;100)),"-SLOWSS-","-ENERGY-")</f>
        <v>-SLOWSS-</v>
      </c>
      <c r="Z898" s="4" t="str">
        <f t="shared" si="80"/>
        <v>{"couname":"","img":"0","pty":"","artist":"","genres":"","duration":"","spotId":"","Items":["-SADNE-","-SLOWSS-","OTHR","OTHR","XT_OffAnimals"]},</v>
      </c>
      <c r="AA898" s="5" t="s">
        <v>5</v>
      </c>
      <c r="AB898" s="3" t="str">
        <f t="shared" si="81"/>
        <v>["-SADNE-","-SLOWSS-","OTHR","OTHR","XT_OffAnimals"]</v>
      </c>
      <c r="AC898" s="3">
        <f>_xlfn.XLOOKUP(A898,Album!A:A,Album!J:J)</f>
        <v>0</v>
      </c>
      <c r="AD898" s="3">
        <f>_xlfn.XLOOKUP(D898,Artists!A:A,Artists!B:B)</f>
        <v>0</v>
      </c>
      <c r="AE898" s="3">
        <f>_xlfn.XLOOKUP(D898,Artists!A:A,Artists!C:C)</f>
        <v>0</v>
      </c>
      <c r="AF898" s="3" t="str">
        <f t="shared" si="82"/>
        <v>OTHR</v>
      </c>
      <c r="AG898" s="3" t="str">
        <f t="shared" si="83"/>
        <v>OTHR</v>
      </c>
    </row>
    <row r="899" spans="24:33" x14ac:dyDescent="0.3">
      <c r="X899" s="3" t="str">
        <f t="shared" si="84"/>
        <v>-SADNE-</v>
      </c>
      <c r="Y899" s="3" t="str">
        <f t="shared" si="85"/>
        <v>-SLOWSS-</v>
      </c>
      <c r="Z899" s="4" t="str">
        <f t="shared" ref="Z899:Z962" si="86">"{"&amp;CHAR(34)&amp;"couname"&amp;CHAR(34)&amp;":"&amp;CHAR(34)&amp;B899&amp;CHAR(34)&amp;","&amp;CHAR(34)&amp;"img"&amp;CHAR(34)&amp;":"&amp;CHAR(34)&amp;AC899&amp;CHAR(34)&amp;","&amp;CHAR(34)&amp;"pty"&amp;CHAR(34)&amp;":"&amp;CHAR(34)&amp;G899&amp;CHAR(34)&amp;","&amp;CHAR(34)&amp;"artist"&amp;CHAR(34)&amp;":"&amp;CHAR(34)&amp;D899&amp;CHAR(34)&amp;","&amp;CHAR(34)&amp;"genres"&amp;CHAR(34)&amp;":"&amp;CHAR(34)&amp;J899&amp;CHAR(34)&amp;","&amp;CHAR(34)&amp;"duration"&amp;CHAR(34)&amp;":"&amp;CHAR(34)&amp;F899&amp;CHAR(34)&amp;","&amp;CHAR(34)&amp;"spotId"&amp;CHAR(34)&amp;":"&amp;CHAR(34)&amp;A899&amp;CHAR(34)&amp;","&amp;CHAR(34)&amp;"Items"&amp;CHAR(34)&amp;":"&amp;AB899&amp;"},"</f>
        <v>{"couname":"","img":"0","pty":"","artist":"","genres":"","duration":"","spotId":"","Items":["-SADNE-","-SLOWSS-","OTHR","OTHR","XT_OffAnimals"]},</v>
      </c>
      <c r="AA899" s="5" t="s">
        <v>5</v>
      </c>
      <c r="AB899" s="3" t="str">
        <f t="shared" ref="AB899:AB962" si="87" xml:space="preserve"> "[" &amp; _xlfn.TEXTJOIN(",",TRUE,CHAR(34) &amp; X899&amp; CHAR(34), CHAR(34) &amp; Y899 &amp; CHAR(34),  CHAR(34) &amp; AF899 &amp; CHAR(34), CHAR(34) &amp;AG899 &amp; CHAR(34), CHAR(34) &amp; AA899 &amp; CHAR(34)) &amp; "]"</f>
        <v>["-SADNE-","-SLOWSS-","OTHR","OTHR","XT_OffAnimals"]</v>
      </c>
      <c r="AC899" s="3">
        <f>_xlfn.XLOOKUP(A899,Album!A:A,Album!J:J)</f>
        <v>0</v>
      </c>
      <c r="AD899" s="3">
        <f>_xlfn.XLOOKUP(D899,Artists!A:A,Artists!B:B)</f>
        <v>0</v>
      </c>
      <c r="AE899" s="3">
        <f>_xlfn.XLOOKUP(D899,Artists!A:A,Artists!C:C)</f>
        <v>0</v>
      </c>
      <c r="AF899" s="3" t="str">
        <f t="shared" ref="AF899:AF962" si="88">IF(ISNUMBER(SEARCH("female", AD899)), "GIRL", IF(ISNUMBER(SEARCH("male", AD899)), "DUDE", "OTHR"))</f>
        <v>OTHR</v>
      </c>
      <c r="AG899" s="3" t="str">
        <f t="shared" ref="AG899:AG962" si="89">IF(ISNUMBER(SEARCH("band", AD899)), "BAND", IF(ISNUMBER(SEARCH("solo", AD899)), "SOLO", "OTHR"))</f>
        <v>OTHR</v>
      </c>
    </row>
    <row r="900" spans="24:33" x14ac:dyDescent="0.3">
      <c r="X900" s="3" t="str">
        <f t="shared" si="84"/>
        <v>-SADNE-</v>
      </c>
      <c r="Y900" s="3" t="str">
        <f t="shared" si="85"/>
        <v>-SLOWSS-</v>
      </c>
      <c r="Z900" s="4" t="str">
        <f t="shared" si="86"/>
        <v>{"couname":"","img":"0","pty":"","artist":"","genres":"","duration":"","spotId":"","Items":["-SADNE-","-SLOWSS-","OTHR","OTHR","XT_OffAnimals"]},</v>
      </c>
      <c r="AA900" s="5" t="s">
        <v>5</v>
      </c>
      <c r="AB900" s="3" t="str">
        <f t="shared" si="87"/>
        <v>["-SADNE-","-SLOWSS-","OTHR","OTHR","XT_OffAnimals"]</v>
      </c>
      <c r="AC900" s="3">
        <f>_xlfn.XLOOKUP(A900,Album!A:A,Album!J:J)</f>
        <v>0</v>
      </c>
      <c r="AD900" s="3">
        <f>_xlfn.XLOOKUP(D900,Artists!A:A,Artists!B:B)</f>
        <v>0</v>
      </c>
      <c r="AE900" s="3">
        <f>_xlfn.XLOOKUP(D900,Artists!A:A,Artists!C:C)</f>
        <v>0</v>
      </c>
      <c r="AF900" s="3" t="str">
        <f t="shared" si="88"/>
        <v>OTHR</v>
      </c>
      <c r="AG900" s="3" t="str">
        <f t="shared" si="89"/>
        <v>OTHR</v>
      </c>
    </row>
    <row r="901" spans="24:33" x14ac:dyDescent="0.3">
      <c r="X901" s="3" t="str">
        <f t="shared" si="84"/>
        <v>-SADNE-</v>
      </c>
      <c r="Y901" s="3" t="str">
        <f t="shared" si="85"/>
        <v>-SLOWSS-</v>
      </c>
      <c r="Z901" s="4" t="str">
        <f t="shared" si="86"/>
        <v>{"couname":"","img":"0","pty":"","artist":"","genres":"","duration":"","spotId":"","Items":["-SADNE-","-SLOWSS-","OTHR","OTHR","XT_OffAnimals"]},</v>
      </c>
      <c r="AA901" s="5" t="s">
        <v>5</v>
      </c>
      <c r="AB901" s="3" t="str">
        <f t="shared" si="87"/>
        <v>["-SADNE-","-SLOWSS-","OTHR","OTHR","XT_OffAnimals"]</v>
      </c>
      <c r="AC901" s="3">
        <f>_xlfn.XLOOKUP(A901,Album!A:A,Album!J:J)</f>
        <v>0</v>
      </c>
      <c r="AD901" s="3">
        <f>_xlfn.XLOOKUP(D901,Artists!A:A,Artists!B:B)</f>
        <v>0</v>
      </c>
      <c r="AE901" s="3">
        <f>_xlfn.XLOOKUP(D901,Artists!A:A,Artists!C:C)</f>
        <v>0</v>
      </c>
      <c r="AF901" s="3" t="str">
        <f t="shared" si="88"/>
        <v>OTHR</v>
      </c>
      <c r="AG901" s="3" t="str">
        <f t="shared" si="89"/>
        <v>OTHR</v>
      </c>
    </row>
    <row r="902" spans="24:33" x14ac:dyDescent="0.3">
      <c r="X902" s="3" t="str">
        <f t="shared" si="84"/>
        <v>-SADNE-</v>
      </c>
      <c r="Y902" s="3" t="str">
        <f t="shared" si="85"/>
        <v>-SLOWSS-</v>
      </c>
      <c r="Z902" s="4" t="str">
        <f t="shared" si="86"/>
        <v>{"couname":"","img":"0","pty":"","artist":"","genres":"","duration":"","spotId":"","Items":["-SADNE-","-SLOWSS-","OTHR","OTHR","XT_OffAnimals"]},</v>
      </c>
      <c r="AA902" s="5" t="s">
        <v>5</v>
      </c>
      <c r="AB902" s="3" t="str">
        <f t="shared" si="87"/>
        <v>["-SADNE-","-SLOWSS-","OTHR","OTHR","XT_OffAnimals"]</v>
      </c>
      <c r="AC902" s="3">
        <f>_xlfn.XLOOKUP(A902,Album!A:A,Album!J:J)</f>
        <v>0</v>
      </c>
      <c r="AD902" s="3">
        <f>_xlfn.XLOOKUP(D902,Artists!A:A,Artists!B:B)</f>
        <v>0</v>
      </c>
      <c r="AE902" s="3">
        <f>_xlfn.XLOOKUP(D902,Artists!A:A,Artists!C:C)</f>
        <v>0</v>
      </c>
      <c r="AF902" s="3" t="str">
        <f t="shared" si="88"/>
        <v>OTHR</v>
      </c>
      <c r="AG902" s="3" t="str">
        <f t="shared" si="89"/>
        <v>OTHR</v>
      </c>
    </row>
    <row r="903" spans="24:33" x14ac:dyDescent="0.3">
      <c r="X903" s="3" t="str">
        <f t="shared" si="84"/>
        <v>-SADNE-</v>
      </c>
      <c r="Y903" s="3" t="str">
        <f t="shared" si="85"/>
        <v>-SLOWSS-</v>
      </c>
      <c r="Z903" s="4" t="str">
        <f t="shared" si="86"/>
        <v>{"couname":"","img":"0","pty":"","artist":"","genres":"","duration":"","spotId":"","Items":["-SADNE-","-SLOWSS-","OTHR","OTHR","XT_OffAnimals"]},</v>
      </c>
      <c r="AA903" s="5" t="s">
        <v>5</v>
      </c>
      <c r="AB903" s="3" t="str">
        <f t="shared" si="87"/>
        <v>["-SADNE-","-SLOWSS-","OTHR","OTHR","XT_OffAnimals"]</v>
      </c>
      <c r="AC903" s="3">
        <f>_xlfn.XLOOKUP(A903,Album!A:A,Album!J:J)</f>
        <v>0</v>
      </c>
      <c r="AD903" s="3">
        <f>_xlfn.XLOOKUP(D903,Artists!A:A,Artists!B:B)</f>
        <v>0</v>
      </c>
      <c r="AE903" s="3">
        <f>_xlfn.XLOOKUP(D903,Artists!A:A,Artists!C:C)</f>
        <v>0</v>
      </c>
      <c r="AF903" s="3" t="str">
        <f t="shared" si="88"/>
        <v>OTHR</v>
      </c>
      <c r="AG903" s="3" t="str">
        <f t="shared" si="89"/>
        <v>OTHR</v>
      </c>
    </row>
    <row r="904" spans="24:33" x14ac:dyDescent="0.3">
      <c r="X904" s="3" t="str">
        <f t="shared" si="84"/>
        <v>-SADNE-</v>
      </c>
      <c r="Y904" s="3" t="str">
        <f t="shared" si="85"/>
        <v>-SLOWSS-</v>
      </c>
      <c r="Z904" s="4" t="str">
        <f t="shared" si="86"/>
        <v>{"couname":"","img":"0","pty":"","artist":"","genres":"","duration":"","spotId":"","Items":["-SADNE-","-SLOWSS-","OTHR","OTHR","XT_OffAnimals"]},</v>
      </c>
      <c r="AA904" s="5" t="s">
        <v>5</v>
      </c>
      <c r="AB904" s="3" t="str">
        <f t="shared" si="87"/>
        <v>["-SADNE-","-SLOWSS-","OTHR","OTHR","XT_OffAnimals"]</v>
      </c>
      <c r="AC904" s="3">
        <f>_xlfn.XLOOKUP(A904,Album!A:A,Album!J:J)</f>
        <v>0</v>
      </c>
      <c r="AD904" s="3">
        <f>_xlfn.XLOOKUP(D904,Artists!A:A,Artists!B:B)</f>
        <v>0</v>
      </c>
      <c r="AE904" s="3">
        <f>_xlfn.XLOOKUP(D904,Artists!A:A,Artists!C:C)</f>
        <v>0</v>
      </c>
      <c r="AF904" s="3" t="str">
        <f t="shared" si="88"/>
        <v>OTHR</v>
      </c>
      <c r="AG904" s="3" t="str">
        <f t="shared" si="89"/>
        <v>OTHR</v>
      </c>
    </row>
    <row r="905" spans="24:33" x14ac:dyDescent="0.3">
      <c r="X905" s="3" t="str">
        <f t="shared" si="84"/>
        <v>-SADNE-</v>
      </c>
      <c r="Y905" s="3" t="str">
        <f t="shared" si="85"/>
        <v>-SLOWSS-</v>
      </c>
      <c r="Z905" s="4" t="str">
        <f t="shared" si="86"/>
        <v>{"couname":"","img":"0","pty":"","artist":"","genres":"","duration":"","spotId":"","Items":["-SADNE-","-SLOWSS-","OTHR","OTHR","XT_OffAnimals"]},</v>
      </c>
      <c r="AA905" s="5" t="s">
        <v>5</v>
      </c>
      <c r="AB905" s="3" t="str">
        <f t="shared" si="87"/>
        <v>["-SADNE-","-SLOWSS-","OTHR","OTHR","XT_OffAnimals"]</v>
      </c>
      <c r="AC905" s="3">
        <f>_xlfn.XLOOKUP(A905,Album!A:A,Album!J:J)</f>
        <v>0</v>
      </c>
      <c r="AD905" s="3">
        <f>_xlfn.XLOOKUP(D905,Artists!A:A,Artists!B:B)</f>
        <v>0</v>
      </c>
      <c r="AE905" s="3">
        <f>_xlfn.XLOOKUP(D905,Artists!A:A,Artists!C:C)</f>
        <v>0</v>
      </c>
      <c r="AF905" s="3" t="str">
        <f t="shared" si="88"/>
        <v>OTHR</v>
      </c>
      <c r="AG905" s="3" t="str">
        <f t="shared" si="89"/>
        <v>OTHR</v>
      </c>
    </row>
    <row r="906" spans="24:33" x14ac:dyDescent="0.3">
      <c r="X906" s="3" t="str">
        <f t="shared" si="84"/>
        <v>-SADNE-</v>
      </c>
      <c r="Y906" s="3" t="str">
        <f t="shared" si="85"/>
        <v>-SLOWSS-</v>
      </c>
      <c r="Z906" s="4" t="str">
        <f t="shared" si="86"/>
        <v>{"couname":"","img":"0","pty":"","artist":"","genres":"","duration":"","spotId":"","Items":["-SADNE-","-SLOWSS-","OTHR","OTHR","XT_OffAnimals"]},</v>
      </c>
      <c r="AA906" s="5" t="s">
        <v>5</v>
      </c>
      <c r="AB906" s="3" t="str">
        <f t="shared" si="87"/>
        <v>["-SADNE-","-SLOWSS-","OTHR","OTHR","XT_OffAnimals"]</v>
      </c>
      <c r="AC906" s="3">
        <f>_xlfn.XLOOKUP(A906,Album!A:A,Album!J:J)</f>
        <v>0</v>
      </c>
      <c r="AD906" s="3">
        <f>_xlfn.XLOOKUP(D906,Artists!A:A,Artists!B:B)</f>
        <v>0</v>
      </c>
      <c r="AE906" s="3">
        <f>_xlfn.XLOOKUP(D906,Artists!A:A,Artists!C:C)</f>
        <v>0</v>
      </c>
      <c r="AF906" s="3" t="str">
        <f t="shared" si="88"/>
        <v>OTHR</v>
      </c>
      <c r="AG906" s="3" t="str">
        <f t="shared" si="89"/>
        <v>OTHR</v>
      </c>
    </row>
    <row r="907" spans="24:33" x14ac:dyDescent="0.3">
      <c r="X907" s="3" t="str">
        <f t="shared" si="84"/>
        <v>-SADNE-</v>
      </c>
      <c r="Y907" s="3" t="str">
        <f t="shared" si="85"/>
        <v>-SLOWSS-</v>
      </c>
      <c r="Z907" s="4" t="str">
        <f t="shared" si="86"/>
        <v>{"couname":"","img":"0","pty":"","artist":"","genres":"","duration":"","spotId":"","Items":["-SADNE-","-SLOWSS-","OTHR","OTHR","XT_OffAnimals"]},</v>
      </c>
      <c r="AA907" s="5" t="s">
        <v>5</v>
      </c>
      <c r="AB907" s="3" t="str">
        <f t="shared" si="87"/>
        <v>["-SADNE-","-SLOWSS-","OTHR","OTHR","XT_OffAnimals"]</v>
      </c>
      <c r="AC907" s="3">
        <f>_xlfn.XLOOKUP(A907,Album!A:A,Album!J:J)</f>
        <v>0</v>
      </c>
      <c r="AD907" s="3">
        <f>_xlfn.XLOOKUP(D907,Artists!A:A,Artists!B:B)</f>
        <v>0</v>
      </c>
      <c r="AE907" s="3">
        <f>_xlfn.XLOOKUP(D907,Artists!A:A,Artists!C:C)</f>
        <v>0</v>
      </c>
      <c r="AF907" s="3" t="str">
        <f t="shared" si="88"/>
        <v>OTHR</v>
      </c>
      <c r="AG907" s="3" t="str">
        <f t="shared" si="89"/>
        <v>OTHR</v>
      </c>
    </row>
    <row r="908" spans="24:33" x14ac:dyDescent="0.3">
      <c r="X908" s="3" t="str">
        <f t="shared" si="84"/>
        <v>-SADNE-</v>
      </c>
      <c r="Y908" s="3" t="str">
        <f t="shared" si="85"/>
        <v>-SLOWSS-</v>
      </c>
      <c r="Z908" s="4" t="str">
        <f t="shared" si="86"/>
        <v>{"couname":"","img":"0","pty":"","artist":"","genres":"","duration":"","spotId":"","Items":["-SADNE-","-SLOWSS-","OTHR","OTHR","XT_OffAnimals"]},</v>
      </c>
      <c r="AA908" s="5" t="s">
        <v>5</v>
      </c>
      <c r="AB908" s="3" t="str">
        <f t="shared" si="87"/>
        <v>["-SADNE-","-SLOWSS-","OTHR","OTHR","XT_OffAnimals"]</v>
      </c>
      <c r="AC908" s="3">
        <f>_xlfn.XLOOKUP(A908,Album!A:A,Album!J:J)</f>
        <v>0</v>
      </c>
      <c r="AD908" s="3">
        <f>_xlfn.XLOOKUP(D908,Artists!A:A,Artists!B:B)</f>
        <v>0</v>
      </c>
      <c r="AE908" s="3">
        <f>_xlfn.XLOOKUP(D908,Artists!A:A,Artists!C:C)</f>
        <v>0</v>
      </c>
      <c r="AF908" s="3" t="str">
        <f t="shared" si="88"/>
        <v>OTHR</v>
      </c>
      <c r="AG908" s="3" t="str">
        <f t="shared" si="89"/>
        <v>OTHR</v>
      </c>
    </row>
    <row r="909" spans="24:33" x14ac:dyDescent="0.3">
      <c r="X909" s="3" t="str">
        <f t="shared" si="84"/>
        <v>-SADNE-</v>
      </c>
      <c r="Y909" s="3" t="str">
        <f t="shared" si="85"/>
        <v>-SLOWSS-</v>
      </c>
      <c r="Z909" s="4" t="str">
        <f t="shared" si="86"/>
        <v>{"couname":"","img":"0","pty":"","artist":"","genres":"","duration":"","spotId":"","Items":["-SADNE-","-SLOWSS-","OTHR","OTHR","XT_OffAnimals"]},</v>
      </c>
      <c r="AA909" s="5" t="s">
        <v>5</v>
      </c>
      <c r="AB909" s="3" t="str">
        <f t="shared" si="87"/>
        <v>["-SADNE-","-SLOWSS-","OTHR","OTHR","XT_OffAnimals"]</v>
      </c>
      <c r="AC909" s="3">
        <f>_xlfn.XLOOKUP(A909,Album!A:A,Album!J:J)</f>
        <v>0</v>
      </c>
      <c r="AD909" s="3">
        <f>_xlfn.XLOOKUP(D909,Artists!A:A,Artists!B:B)</f>
        <v>0</v>
      </c>
      <c r="AE909" s="3">
        <f>_xlfn.XLOOKUP(D909,Artists!A:A,Artists!C:C)</f>
        <v>0</v>
      </c>
      <c r="AF909" s="3" t="str">
        <f t="shared" si="88"/>
        <v>OTHR</v>
      </c>
      <c r="AG909" s="3" t="str">
        <f t="shared" si="89"/>
        <v>OTHR</v>
      </c>
    </row>
    <row r="910" spans="24:33" x14ac:dyDescent="0.3">
      <c r="X910" s="3" t="str">
        <f t="shared" si="84"/>
        <v>-SADNE-</v>
      </c>
      <c r="Y910" s="3" t="str">
        <f t="shared" si="85"/>
        <v>-SLOWSS-</v>
      </c>
      <c r="Z910" s="4" t="str">
        <f t="shared" si="86"/>
        <v>{"couname":"","img":"0","pty":"","artist":"","genres":"","duration":"","spotId":"","Items":["-SADNE-","-SLOWSS-","OTHR","OTHR","XT_OffAnimals"]},</v>
      </c>
      <c r="AA910" s="5" t="s">
        <v>5</v>
      </c>
      <c r="AB910" s="3" t="str">
        <f t="shared" si="87"/>
        <v>["-SADNE-","-SLOWSS-","OTHR","OTHR","XT_OffAnimals"]</v>
      </c>
      <c r="AC910" s="3">
        <f>_xlfn.XLOOKUP(A910,Album!A:A,Album!J:J)</f>
        <v>0</v>
      </c>
      <c r="AD910" s="3">
        <f>_xlfn.XLOOKUP(D910,Artists!A:A,Artists!B:B)</f>
        <v>0</v>
      </c>
      <c r="AE910" s="3">
        <f>_xlfn.XLOOKUP(D910,Artists!A:A,Artists!C:C)</f>
        <v>0</v>
      </c>
      <c r="AF910" s="3" t="str">
        <f t="shared" si="88"/>
        <v>OTHR</v>
      </c>
      <c r="AG910" s="3" t="str">
        <f t="shared" si="89"/>
        <v>OTHR</v>
      </c>
    </row>
    <row r="911" spans="24:33" x14ac:dyDescent="0.3">
      <c r="X911" s="3" t="str">
        <f t="shared" si="84"/>
        <v>-SADNE-</v>
      </c>
      <c r="Y911" s="3" t="str">
        <f t="shared" si="85"/>
        <v>-SLOWSS-</v>
      </c>
      <c r="Z911" s="4" t="str">
        <f t="shared" si="86"/>
        <v>{"couname":"","img":"0","pty":"","artist":"","genres":"","duration":"","spotId":"","Items":["-SADNE-","-SLOWSS-","OTHR","OTHR","XT_OffAnimals"]},</v>
      </c>
      <c r="AA911" s="5" t="s">
        <v>5</v>
      </c>
      <c r="AB911" s="3" t="str">
        <f t="shared" si="87"/>
        <v>["-SADNE-","-SLOWSS-","OTHR","OTHR","XT_OffAnimals"]</v>
      </c>
      <c r="AC911" s="3">
        <f>_xlfn.XLOOKUP(A911,Album!A:A,Album!J:J)</f>
        <v>0</v>
      </c>
      <c r="AD911" s="3">
        <f>_xlfn.XLOOKUP(D911,Artists!A:A,Artists!B:B)</f>
        <v>0</v>
      </c>
      <c r="AE911" s="3">
        <f>_xlfn.XLOOKUP(D911,Artists!A:A,Artists!C:C)</f>
        <v>0</v>
      </c>
      <c r="AF911" s="3" t="str">
        <f t="shared" si="88"/>
        <v>OTHR</v>
      </c>
      <c r="AG911" s="3" t="str">
        <f t="shared" si="89"/>
        <v>OTHR</v>
      </c>
    </row>
    <row r="912" spans="24:33" x14ac:dyDescent="0.3">
      <c r="X912" s="3" t="str">
        <f t="shared" si="84"/>
        <v>-SADNE-</v>
      </c>
      <c r="Y912" s="3" t="str">
        <f t="shared" si="85"/>
        <v>-SLOWSS-</v>
      </c>
      <c r="Z912" s="4" t="str">
        <f t="shared" si="86"/>
        <v>{"couname":"","img":"0","pty":"","artist":"","genres":"","duration":"","spotId":"","Items":["-SADNE-","-SLOWSS-","OTHR","OTHR","XT_OffAnimals"]},</v>
      </c>
      <c r="AA912" s="5" t="s">
        <v>5</v>
      </c>
      <c r="AB912" s="3" t="str">
        <f t="shared" si="87"/>
        <v>["-SADNE-","-SLOWSS-","OTHR","OTHR","XT_OffAnimals"]</v>
      </c>
      <c r="AC912" s="3">
        <f>_xlfn.XLOOKUP(A912,Album!A:A,Album!J:J)</f>
        <v>0</v>
      </c>
      <c r="AD912" s="3">
        <f>_xlfn.XLOOKUP(D912,Artists!A:A,Artists!B:B)</f>
        <v>0</v>
      </c>
      <c r="AE912" s="3">
        <f>_xlfn.XLOOKUP(D912,Artists!A:A,Artists!C:C)</f>
        <v>0</v>
      </c>
      <c r="AF912" s="3" t="str">
        <f t="shared" si="88"/>
        <v>OTHR</v>
      </c>
      <c r="AG912" s="3" t="str">
        <f t="shared" si="89"/>
        <v>OTHR</v>
      </c>
    </row>
    <row r="913" spans="24:33" x14ac:dyDescent="0.3">
      <c r="X913" s="3" t="str">
        <f t="shared" si="84"/>
        <v>-SADNE-</v>
      </c>
      <c r="Y913" s="3" t="str">
        <f t="shared" si="85"/>
        <v>-SLOWSS-</v>
      </c>
      <c r="Z913" s="4" t="str">
        <f t="shared" si="86"/>
        <v>{"couname":"","img":"0","pty":"","artist":"","genres":"","duration":"","spotId":"","Items":["-SADNE-","-SLOWSS-","OTHR","OTHR","XT_OffAnimals"]},</v>
      </c>
      <c r="AA913" s="5" t="s">
        <v>5</v>
      </c>
      <c r="AB913" s="3" t="str">
        <f t="shared" si="87"/>
        <v>["-SADNE-","-SLOWSS-","OTHR","OTHR","XT_OffAnimals"]</v>
      </c>
      <c r="AC913" s="3">
        <f>_xlfn.XLOOKUP(A913,Album!A:A,Album!J:J)</f>
        <v>0</v>
      </c>
      <c r="AD913" s="3">
        <f>_xlfn.XLOOKUP(D913,Artists!A:A,Artists!B:B)</f>
        <v>0</v>
      </c>
      <c r="AE913" s="3">
        <f>_xlfn.XLOOKUP(D913,Artists!A:A,Artists!C:C)</f>
        <v>0</v>
      </c>
      <c r="AF913" s="3" t="str">
        <f t="shared" si="88"/>
        <v>OTHR</v>
      </c>
      <c r="AG913" s="3" t="str">
        <f t="shared" si="89"/>
        <v>OTHR</v>
      </c>
    </row>
    <row r="914" spans="24:33" x14ac:dyDescent="0.3">
      <c r="X914" s="3" t="str">
        <f t="shared" si="84"/>
        <v>-SADNE-</v>
      </c>
      <c r="Y914" s="3" t="str">
        <f t="shared" si="85"/>
        <v>-SLOWSS-</v>
      </c>
      <c r="Z914" s="4" t="str">
        <f t="shared" si="86"/>
        <v>{"couname":"","img":"0","pty":"","artist":"","genres":"","duration":"","spotId":"","Items":["-SADNE-","-SLOWSS-","OTHR","OTHR","XT_OffAnimals"]},</v>
      </c>
      <c r="AA914" s="5" t="s">
        <v>5</v>
      </c>
      <c r="AB914" s="3" t="str">
        <f t="shared" si="87"/>
        <v>["-SADNE-","-SLOWSS-","OTHR","OTHR","XT_OffAnimals"]</v>
      </c>
      <c r="AC914" s="3">
        <f>_xlfn.XLOOKUP(A914,Album!A:A,Album!J:J)</f>
        <v>0</v>
      </c>
      <c r="AD914" s="3">
        <f>_xlfn.XLOOKUP(D914,Artists!A:A,Artists!B:B)</f>
        <v>0</v>
      </c>
      <c r="AE914" s="3">
        <f>_xlfn.XLOOKUP(D914,Artists!A:A,Artists!C:C)</f>
        <v>0</v>
      </c>
      <c r="AF914" s="3" t="str">
        <f t="shared" si="88"/>
        <v>OTHR</v>
      </c>
      <c r="AG914" s="3" t="str">
        <f t="shared" si="89"/>
        <v>OTHR</v>
      </c>
    </row>
    <row r="915" spans="24:33" x14ac:dyDescent="0.3">
      <c r="X915" s="3" t="str">
        <f t="shared" si="84"/>
        <v>-SADNE-</v>
      </c>
      <c r="Y915" s="3" t="str">
        <f t="shared" si="85"/>
        <v>-SLOWSS-</v>
      </c>
      <c r="Z915" s="4" t="str">
        <f t="shared" si="86"/>
        <v>{"couname":"","img":"0","pty":"","artist":"","genres":"","duration":"","spotId":"","Items":["-SADNE-","-SLOWSS-","OTHR","OTHR","XT_OffAnimals"]},</v>
      </c>
      <c r="AA915" s="5" t="s">
        <v>5</v>
      </c>
      <c r="AB915" s="3" t="str">
        <f t="shared" si="87"/>
        <v>["-SADNE-","-SLOWSS-","OTHR","OTHR","XT_OffAnimals"]</v>
      </c>
      <c r="AC915" s="3">
        <f>_xlfn.XLOOKUP(A915,Album!A:A,Album!J:J)</f>
        <v>0</v>
      </c>
      <c r="AD915" s="3">
        <f>_xlfn.XLOOKUP(D915,Artists!A:A,Artists!B:B)</f>
        <v>0</v>
      </c>
      <c r="AE915" s="3">
        <f>_xlfn.XLOOKUP(D915,Artists!A:A,Artists!C:C)</f>
        <v>0</v>
      </c>
      <c r="AF915" s="3" t="str">
        <f t="shared" si="88"/>
        <v>OTHR</v>
      </c>
      <c r="AG915" s="3" t="str">
        <f t="shared" si="89"/>
        <v>OTHR</v>
      </c>
    </row>
    <row r="916" spans="24:33" x14ac:dyDescent="0.3">
      <c r="X916" s="3" t="str">
        <f t="shared" si="84"/>
        <v>-SADNE-</v>
      </c>
      <c r="Y916" s="3" t="str">
        <f t="shared" si="85"/>
        <v>-SLOWSS-</v>
      </c>
      <c r="Z916" s="4" t="str">
        <f t="shared" si="86"/>
        <v>{"couname":"","img":"0","pty":"","artist":"","genres":"","duration":"","spotId":"","Items":["-SADNE-","-SLOWSS-","OTHR","OTHR","XT_OffAnimals"]},</v>
      </c>
      <c r="AA916" s="5" t="s">
        <v>5</v>
      </c>
      <c r="AB916" s="3" t="str">
        <f t="shared" si="87"/>
        <v>["-SADNE-","-SLOWSS-","OTHR","OTHR","XT_OffAnimals"]</v>
      </c>
      <c r="AC916" s="3">
        <f>_xlfn.XLOOKUP(A916,Album!A:A,Album!J:J)</f>
        <v>0</v>
      </c>
      <c r="AD916" s="3">
        <f>_xlfn.XLOOKUP(D916,Artists!A:A,Artists!B:B)</f>
        <v>0</v>
      </c>
      <c r="AE916" s="3">
        <f>_xlfn.XLOOKUP(D916,Artists!A:A,Artists!C:C)</f>
        <v>0</v>
      </c>
      <c r="AF916" s="3" t="str">
        <f t="shared" si="88"/>
        <v>OTHR</v>
      </c>
      <c r="AG916" s="3" t="str">
        <f t="shared" si="89"/>
        <v>OTHR</v>
      </c>
    </row>
    <row r="917" spans="24:33" x14ac:dyDescent="0.3">
      <c r="X917" s="3" t="str">
        <f t="shared" si="84"/>
        <v>-SADNE-</v>
      </c>
      <c r="Y917" s="3" t="str">
        <f t="shared" si="85"/>
        <v>-SLOWSS-</v>
      </c>
      <c r="Z917" s="4" t="str">
        <f t="shared" si="86"/>
        <v>{"couname":"","img":"0","pty":"","artist":"","genres":"","duration":"","spotId":"","Items":["-SADNE-","-SLOWSS-","OTHR","OTHR","XT_OffAnimals"]},</v>
      </c>
      <c r="AA917" s="5" t="s">
        <v>5</v>
      </c>
      <c r="AB917" s="3" t="str">
        <f t="shared" si="87"/>
        <v>["-SADNE-","-SLOWSS-","OTHR","OTHR","XT_OffAnimals"]</v>
      </c>
      <c r="AC917" s="3">
        <f>_xlfn.XLOOKUP(A917,Album!A:A,Album!J:J)</f>
        <v>0</v>
      </c>
      <c r="AD917" s="3">
        <f>_xlfn.XLOOKUP(D917,Artists!A:A,Artists!B:B)</f>
        <v>0</v>
      </c>
      <c r="AE917" s="3">
        <f>_xlfn.XLOOKUP(D917,Artists!A:A,Artists!C:C)</f>
        <v>0</v>
      </c>
      <c r="AF917" s="3" t="str">
        <f t="shared" si="88"/>
        <v>OTHR</v>
      </c>
      <c r="AG917" s="3" t="str">
        <f t="shared" si="89"/>
        <v>OTHR</v>
      </c>
    </row>
    <row r="918" spans="24:33" x14ac:dyDescent="0.3">
      <c r="X918" s="3" t="str">
        <f t="shared" si="84"/>
        <v>-SADNE-</v>
      </c>
      <c r="Y918" s="3" t="str">
        <f t="shared" si="85"/>
        <v>-SLOWSS-</v>
      </c>
      <c r="Z918" s="4" t="str">
        <f t="shared" si="86"/>
        <v>{"couname":"","img":"0","pty":"","artist":"","genres":"","duration":"","spotId":"","Items":["-SADNE-","-SLOWSS-","OTHR","OTHR","XT_OffAnimals"]},</v>
      </c>
      <c r="AA918" s="5" t="s">
        <v>5</v>
      </c>
      <c r="AB918" s="3" t="str">
        <f t="shared" si="87"/>
        <v>["-SADNE-","-SLOWSS-","OTHR","OTHR","XT_OffAnimals"]</v>
      </c>
      <c r="AC918" s="3">
        <f>_xlfn.XLOOKUP(A918,Album!A:A,Album!J:J)</f>
        <v>0</v>
      </c>
      <c r="AD918" s="3">
        <f>_xlfn.XLOOKUP(D918,Artists!A:A,Artists!B:B)</f>
        <v>0</v>
      </c>
      <c r="AE918" s="3">
        <f>_xlfn.XLOOKUP(D918,Artists!A:A,Artists!C:C)</f>
        <v>0</v>
      </c>
      <c r="AF918" s="3" t="str">
        <f t="shared" si="88"/>
        <v>OTHR</v>
      </c>
      <c r="AG918" s="3" t="str">
        <f t="shared" si="89"/>
        <v>OTHR</v>
      </c>
    </row>
    <row r="919" spans="24:33" x14ac:dyDescent="0.3">
      <c r="X919" s="3" t="str">
        <f t="shared" si="84"/>
        <v>-SADNE-</v>
      </c>
      <c r="Y919" s="3" t="str">
        <f t="shared" si="85"/>
        <v>-SLOWSS-</v>
      </c>
      <c r="Z919" s="4" t="str">
        <f t="shared" si="86"/>
        <v>{"couname":"","img":"0","pty":"","artist":"","genres":"","duration":"","spotId":"","Items":["-SADNE-","-SLOWSS-","OTHR","OTHR","XT_OffAnimals"]},</v>
      </c>
      <c r="AA919" s="5" t="s">
        <v>5</v>
      </c>
      <c r="AB919" s="3" t="str">
        <f t="shared" si="87"/>
        <v>["-SADNE-","-SLOWSS-","OTHR","OTHR","XT_OffAnimals"]</v>
      </c>
      <c r="AC919" s="3">
        <f>_xlfn.XLOOKUP(A919,Album!A:A,Album!J:J)</f>
        <v>0</v>
      </c>
      <c r="AD919" s="3">
        <f>_xlfn.XLOOKUP(D919,Artists!A:A,Artists!B:B)</f>
        <v>0</v>
      </c>
      <c r="AE919" s="3">
        <f>_xlfn.XLOOKUP(D919,Artists!A:A,Artists!C:C)</f>
        <v>0</v>
      </c>
      <c r="AF919" s="3" t="str">
        <f t="shared" si="88"/>
        <v>OTHR</v>
      </c>
      <c r="AG919" s="3" t="str">
        <f t="shared" si="89"/>
        <v>OTHR</v>
      </c>
    </row>
    <row r="920" spans="24:33" x14ac:dyDescent="0.3">
      <c r="X920" s="3" t="str">
        <f t="shared" si="84"/>
        <v>-SADNE-</v>
      </c>
      <c r="Y920" s="3" t="str">
        <f t="shared" si="85"/>
        <v>-SLOWSS-</v>
      </c>
      <c r="Z920" s="4" t="str">
        <f t="shared" si="86"/>
        <v>{"couname":"","img":"0","pty":"","artist":"","genres":"","duration":"","spotId":"","Items":["-SADNE-","-SLOWSS-","OTHR","OTHR","XT_OffAnimals"]},</v>
      </c>
      <c r="AA920" s="5" t="s">
        <v>5</v>
      </c>
      <c r="AB920" s="3" t="str">
        <f t="shared" si="87"/>
        <v>["-SADNE-","-SLOWSS-","OTHR","OTHR","XT_OffAnimals"]</v>
      </c>
      <c r="AC920" s="3">
        <f>_xlfn.XLOOKUP(A920,Album!A:A,Album!J:J)</f>
        <v>0</v>
      </c>
      <c r="AD920" s="3">
        <f>_xlfn.XLOOKUP(D920,Artists!A:A,Artists!B:B)</f>
        <v>0</v>
      </c>
      <c r="AE920" s="3">
        <f>_xlfn.XLOOKUP(D920,Artists!A:A,Artists!C:C)</f>
        <v>0</v>
      </c>
      <c r="AF920" s="3" t="str">
        <f t="shared" si="88"/>
        <v>OTHR</v>
      </c>
      <c r="AG920" s="3" t="str">
        <f t="shared" si="89"/>
        <v>OTHR</v>
      </c>
    </row>
    <row r="921" spans="24:33" x14ac:dyDescent="0.3">
      <c r="X921" s="3" t="str">
        <f t="shared" si="84"/>
        <v>-SADNE-</v>
      </c>
      <c r="Y921" s="3" t="str">
        <f t="shared" si="85"/>
        <v>-SLOWSS-</v>
      </c>
      <c r="Z921" s="4" t="str">
        <f t="shared" si="86"/>
        <v>{"couname":"","img":"0","pty":"","artist":"","genres":"","duration":"","spotId":"","Items":["-SADNE-","-SLOWSS-","OTHR","OTHR","XT_OffAnimals"]},</v>
      </c>
      <c r="AA921" s="5" t="s">
        <v>5</v>
      </c>
      <c r="AB921" s="3" t="str">
        <f t="shared" si="87"/>
        <v>["-SADNE-","-SLOWSS-","OTHR","OTHR","XT_OffAnimals"]</v>
      </c>
      <c r="AC921" s="3">
        <f>_xlfn.XLOOKUP(A921,Album!A:A,Album!J:J)</f>
        <v>0</v>
      </c>
      <c r="AD921" s="3">
        <f>_xlfn.XLOOKUP(D921,Artists!A:A,Artists!B:B)</f>
        <v>0</v>
      </c>
      <c r="AE921" s="3">
        <f>_xlfn.XLOOKUP(D921,Artists!A:A,Artists!C:C)</f>
        <v>0</v>
      </c>
      <c r="AF921" s="3" t="str">
        <f t="shared" si="88"/>
        <v>OTHR</v>
      </c>
      <c r="AG921" s="3" t="str">
        <f t="shared" si="89"/>
        <v>OTHR</v>
      </c>
    </row>
    <row r="922" spans="24:33" x14ac:dyDescent="0.3">
      <c r="X922" s="3" t="str">
        <f t="shared" si="84"/>
        <v>-SADNE-</v>
      </c>
      <c r="Y922" s="3" t="str">
        <f t="shared" si="85"/>
        <v>-SLOWSS-</v>
      </c>
      <c r="Z922" s="4" t="str">
        <f t="shared" si="86"/>
        <v>{"couname":"","img":"0","pty":"","artist":"","genres":"","duration":"","spotId":"","Items":["-SADNE-","-SLOWSS-","OTHR","OTHR","XT_OffAnimals"]},</v>
      </c>
      <c r="AA922" s="5" t="s">
        <v>5</v>
      </c>
      <c r="AB922" s="3" t="str">
        <f t="shared" si="87"/>
        <v>["-SADNE-","-SLOWSS-","OTHR","OTHR","XT_OffAnimals"]</v>
      </c>
      <c r="AC922" s="3">
        <f>_xlfn.XLOOKUP(A922,Album!A:A,Album!J:J)</f>
        <v>0</v>
      </c>
      <c r="AD922" s="3">
        <f>_xlfn.XLOOKUP(D922,Artists!A:A,Artists!B:B)</f>
        <v>0</v>
      </c>
      <c r="AE922" s="3">
        <f>_xlfn.XLOOKUP(D922,Artists!A:A,Artists!C:C)</f>
        <v>0</v>
      </c>
      <c r="AF922" s="3" t="str">
        <f t="shared" si="88"/>
        <v>OTHR</v>
      </c>
      <c r="AG922" s="3" t="str">
        <f t="shared" si="89"/>
        <v>OTHR</v>
      </c>
    </row>
    <row r="923" spans="24:33" x14ac:dyDescent="0.3">
      <c r="X923" s="3" t="str">
        <f t="shared" si="84"/>
        <v>-SADNE-</v>
      </c>
      <c r="Y923" s="3" t="str">
        <f t="shared" si="85"/>
        <v>-SLOWSS-</v>
      </c>
      <c r="Z923" s="4" t="str">
        <f t="shared" si="86"/>
        <v>{"couname":"","img":"0","pty":"","artist":"","genres":"","duration":"","spotId":"","Items":["-SADNE-","-SLOWSS-","OTHR","OTHR","XT_OffAnimals"]},</v>
      </c>
      <c r="AA923" s="5" t="s">
        <v>5</v>
      </c>
      <c r="AB923" s="3" t="str">
        <f t="shared" si="87"/>
        <v>["-SADNE-","-SLOWSS-","OTHR","OTHR","XT_OffAnimals"]</v>
      </c>
      <c r="AC923" s="3">
        <f>_xlfn.XLOOKUP(A923,Album!A:A,Album!J:J)</f>
        <v>0</v>
      </c>
      <c r="AD923" s="3">
        <f>_xlfn.XLOOKUP(D923,Artists!A:A,Artists!B:B)</f>
        <v>0</v>
      </c>
      <c r="AE923" s="3">
        <f>_xlfn.XLOOKUP(D923,Artists!A:A,Artists!C:C)</f>
        <v>0</v>
      </c>
      <c r="AF923" s="3" t="str">
        <f t="shared" si="88"/>
        <v>OTHR</v>
      </c>
      <c r="AG923" s="3" t="str">
        <f t="shared" si="89"/>
        <v>OTHR</v>
      </c>
    </row>
    <row r="924" spans="24:33" x14ac:dyDescent="0.3">
      <c r="X924" s="3" t="str">
        <f t="shared" si="84"/>
        <v>-SADNE-</v>
      </c>
      <c r="Y924" s="3" t="str">
        <f t="shared" si="85"/>
        <v>-SLOWSS-</v>
      </c>
      <c r="Z924" s="4" t="str">
        <f t="shared" si="86"/>
        <v>{"couname":"","img":"0","pty":"","artist":"","genres":"","duration":"","spotId":"","Items":["-SADNE-","-SLOWSS-","OTHR","OTHR","XT_OffAnimals"]},</v>
      </c>
      <c r="AA924" s="5" t="s">
        <v>5</v>
      </c>
      <c r="AB924" s="3" t="str">
        <f t="shared" si="87"/>
        <v>["-SADNE-","-SLOWSS-","OTHR","OTHR","XT_OffAnimals"]</v>
      </c>
      <c r="AC924" s="3">
        <f>_xlfn.XLOOKUP(A924,Album!A:A,Album!J:J)</f>
        <v>0</v>
      </c>
      <c r="AD924" s="3">
        <f>_xlfn.XLOOKUP(D924,Artists!A:A,Artists!B:B)</f>
        <v>0</v>
      </c>
      <c r="AE924" s="3">
        <f>_xlfn.XLOOKUP(D924,Artists!A:A,Artists!C:C)</f>
        <v>0</v>
      </c>
      <c r="AF924" s="3" t="str">
        <f t="shared" si="88"/>
        <v>OTHR</v>
      </c>
      <c r="AG924" s="3" t="str">
        <f t="shared" si="89"/>
        <v>OTHR</v>
      </c>
    </row>
    <row r="925" spans="24:33" x14ac:dyDescent="0.3">
      <c r="X925" s="3" t="str">
        <f t="shared" si="84"/>
        <v>-SADNE-</v>
      </c>
      <c r="Y925" s="3" t="str">
        <f t="shared" si="85"/>
        <v>-SLOWSS-</v>
      </c>
      <c r="Z925" s="4" t="str">
        <f t="shared" si="86"/>
        <v>{"couname":"","img":"0","pty":"","artist":"","genres":"","duration":"","spotId":"","Items":["-SADNE-","-SLOWSS-","OTHR","OTHR","XT_OffAnimals"]},</v>
      </c>
      <c r="AA925" s="5" t="s">
        <v>5</v>
      </c>
      <c r="AB925" s="3" t="str">
        <f t="shared" si="87"/>
        <v>["-SADNE-","-SLOWSS-","OTHR","OTHR","XT_OffAnimals"]</v>
      </c>
      <c r="AC925" s="3">
        <f>_xlfn.XLOOKUP(A925,Album!A:A,Album!J:J)</f>
        <v>0</v>
      </c>
      <c r="AD925" s="3">
        <f>_xlfn.XLOOKUP(D925,Artists!A:A,Artists!B:B)</f>
        <v>0</v>
      </c>
      <c r="AE925" s="3">
        <f>_xlfn.XLOOKUP(D925,Artists!A:A,Artists!C:C)</f>
        <v>0</v>
      </c>
      <c r="AF925" s="3" t="str">
        <f t="shared" si="88"/>
        <v>OTHR</v>
      </c>
      <c r="AG925" s="3" t="str">
        <f t="shared" si="89"/>
        <v>OTHR</v>
      </c>
    </row>
    <row r="926" spans="24:33" x14ac:dyDescent="0.3">
      <c r="X926" s="3" t="str">
        <f t="shared" si="84"/>
        <v>-SADNE-</v>
      </c>
      <c r="Y926" s="3" t="str">
        <f t="shared" si="85"/>
        <v>-SLOWSS-</v>
      </c>
      <c r="Z926" s="4" t="str">
        <f t="shared" si="86"/>
        <v>{"couname":"","img":"0","pty":"","artist":"","genres":"","duration":"","spotId":"","Items":["-SADNE-","-SLOWSS-","OTHR","OTHR","XT_OffAnimals"]},</v>
      </c>
      <c r="AA926" s="5" t="s">
        <v>5</v>
      </c>
      <c r="AB926" s="3" t="str">
        <f t="shared" si="87"/>
        <v>["-SADNE-","-SLOWSS-","OTHR","OTHR","XT_OffAnimals"]</v>
      </c>
      <c r="AC926" s="3">
        <f>_xlfn.XLOOKUP(A926,Album!A:A,Album!J:J)</f>
        <v>0</v>
      </c>
      <c r="AD926" s="3">
        <f>_xlfn.XLOOKUP(D926,Artists!A:A,Artists!B:B)</f>
        <v>0</v>
      </c>
      <c r="AE926" s="3">
        <f>_xlfn.XLOOKUP(D926,Artists!A:A,Artists!C:C)</f>
        <v>0</v>
      </c>
      <c r="AF926" s="3" t="str">
        <f t="shared" si="88"/>
        <v>OTHR</v>
      </c>
      <c r="AG926" s="3" t="str">
        <f t="shared" si="89"/>
        <v>OTHR</v>
      </c>
    </row>
    <row r="927" spans="24:33" x14ac:dyDescent="0.3">
      <c r="X927" s="3" t="str">
        <f t="shared" si="84"/>
        <v>-SADNE-</v>
      </c>
      <c r="Y927" s="3" t="str">
        <f t="shared" si="85"/>
        <v>-SLOWSS-</v>
      </c>
      <c r="Z927" s="4" t="str">
        <f t="shared" si="86"/>
        <v>{"couname":"","img":"0","pty":"","artist":"","genres":"","duration":"","spotId":"","Items":["-SADNE-","-SLOWSS-","OTHR","OTHR","XT_OffAnimals"]},</v>
      </c>
      <c r="AA927" s="5" t="s">
        <v>5</v>
      </c>
      <c r="AB927" s="3" t="str">
        <f t="shared" si="87"/>
        <v>["-SADNE-","-SLOWSS-","OTHR","OTHR","XT_OffAnimals"]</v>
      </c>
      <c r="AC927" s="3">
        <f>_xlfn.XLOOKUP(A927,Album!A:A,Album!J:J)</f>
        <v>0</v>
      </c>
      <c r="AD927" s="3">
        <f>_xlfn.XLOOKUP(D927,Artists!A:A,Artists!B:B)</f>
        <v>0</v>
      </c>
      <c r="AE927" s="3">
        <f>_xlfn.XLOOKUP(D927,Artists!A:A,Artists!C:C)</f>
        <v>0</v>
      </c>
      <c r="AF927" s="3" t="str">
        <f t="shared" si="88"/>
        <v>OTHR</v>
      </c>
      <c r="AG927" s="3" t="str">
        <f t="shared" si="89"/>
        <v>OTHR</v>
      </c>
    </row>
    <row r="928" spans="24:33" x14ac:dyDescent="0.3">
      <c r="X928" s="3" t="str">
        <f t="shared" si="84"/>
        <v>-SADNE-</v>
      </c>
      <c r="Y928" s="3" t="str">
        <f t="shared" si="85"/>
        <v>-SLOWSS-</v>
      </c>
      <c r="Z928" s="4" t="str">
        <f t="shared" si="86"/>
        <v>{"couname":"","img":"0","pty":"","artist":"","genres":"","duration":"","spotId":"","Items":["-SADNE-","-SLOWSS-","OTHR","OTHR","XT_OffAnimals"]},</v>
      </c>
      <c r="AA928" s="5" t="s">
        <v>5</v>
      </c>
      <c r="AB928" s="3" t="str">
        <f t="shared" si="87"/>
        <v>["-SADNE-","-SLOWSS-","OTHR","OTHR","XT_OffAnimals"]</v>
      </c>
      <c r="AC928" s="3">
        <f>_xlfn.XLOOKUP(A928,Album!A:A,Album!J:J)</f>
        <v>0</v>
      </c>
      <c r="AD928" s="3">
        <f>_xlfn.XLOOKUP(D928,Artists!A:A,Artists!B:B)</f>
        <v>0</v>
      </c>
      <c r="AE928" s="3">
        <f>_xlfn.XLOOKUP(D928,Artists!A:A,Artists!C:C)</f>
        <v>0</v>
      </c>
      <c r="AF928" s="3" t="str">
        <f t="shared" si="88"/>
        <v>OTHR</v>
      </c>
      <c r="AG928" s="3" t="str">
        <f t="shared" si="89"/>
        <v>OTHR</v>
      </c>
    </row>
    <row r="929" spans="24:33" x14ac:dyDescent="0.3">
      <c r="X929" s="3" t="str">
        <f t="shared" si="84"/>
        <v>-SADNE-</v>
      </c>
      <c r="Y929" s="3" t="str">
        <f t="shared" si="85"/>
        <v>-SLOWSS-</v>
      </c>
      <c r="Z929" s="4" t="str">
        <f t="shared" si="86"/>
        <v>{"couname":"","img":"0","pty":"","artist":"","genres":"","duration":"","spotId":"","Items":["-SADNE-","-SLOWSS-","OTHR","OTHR","XT_OffAnimals"]},</v>
      </c>
      <c r="AA929" s="5" t="s">
        <v>5</v>
      </c>
      <c r="AB929" s="3" t="str">
        <f t="shared" si="87"/>
        <v>["-SADNE-","-SLOWSS-","OTHR","OTHR","XT_OffAnimals"]</v>
      </c>
      <c r="AC929" s="3">
        <f>_xlfn.XLOOKUP(A929,Album!A:A,Album!J:J)</f>
        <v>0</v>
      </c>
      <c r="AD929" s="3">
        <f>_xlfn.XLOOKUP(D929,Artists!A:A,Artists!B:B)</f>
        <v>0</v>
      </c>
      <c r="AE929" s="3">
        <f>_xlfn.XLOOKUP(D929,Artists!A:A,Artists!C:C)</f>
        <v>0</v>
      </c>
      <c r="AF929" s="3" t="str">
        <f t="shared" si="88"/>
        <v>OTHR</v>
      </c>
      <c r="AG929" s="3" t="str">
        <f t="shared" si="89"/>
        <v>OTHR</v>
      </c>
    </row>
    <row r="930" spans="24:33" x14ac:dyDescent="0.3">
      <c r="X930" s="3" t="str">
        <f t="shared" si="84"/>
        <v>-SADNE-</v>
      </c>
      <c r="Y930" s="3" t="str">
        <f t="shared" si="85"/>
        <v>-SLOWSS-</v>
      </c>
      <c r="Z930" s="4" t="str">
        <f t="shared" si="86"/>
        <v>{"couname":"","img":"0","pty":"","artist":"","genres":"","duration":"","spotId":"","Items":["-SADNE-","-SLOWSS-","OTHR","OTHR","XT_OffAnimals"]},</v>
      </c>
      <c r="AA930" s="5" t="s">
        <v>5</v>
      </c>
      <c r="AB930" s="3" t="str">
        <f t="shared" si="87"/>
        <v>["-SADNE-","-SLOWSS-","OTHR","OTHR","XT_OffAnimals"]</v>
      </c>
      <c r="AC930" s="3">
        <f>_xlfn.XLOOKUP(A930,Album!A:A,Album!J:J)</f>
        <v>0</v>
      </c>
      <c r="AD930" s="3">
        <f>_xlfn.XLOOKUP(D930,Artists!A:A,Artists!B:B)</f>
        <v>0</v>
      </c>
      <c r="AE930" s="3">
        <f>_xlfn.XLOOKUP(D930,Artists!A:A,Artists!C:C)</f>
        <v>0</v>
      </c>
      <c r="AF930" s="3" t="str">
        <f t="shared" si="88"/>
        <v>OTHR</v>
      </c>
      <c r="AG930" s="3" t="str">
        <f t="shared" si="89"/>
        <v>OTHR</v>
      </c>
    </row>
    <row r="931" spans="24:33" x14ac:dyDescent="0.3">
      <c r="X931" s="3" t="str">
        <f t="shared" si="84"/>
        <v>-SADNE-</v>
      </c>
      <c r="Y931" s="3" t="str">
        <f t="shared" si="85"/>
        <v>-SLOWSS-</v>
      </c>
      <c r="Z931" s="4" t="str">
        <f t="shared" si="86"/>
        <v>{"couname":"","img":"0","pty":"","artist":"","genres":"","duration":"","spotId":"","Items":["-SADNE-","-SLOWSS-","OTHR","OTHR","XT_OffAnimals"]},</v>
      </c>
      <c r="AA931" s="5" t="s">
        <v>5</v>
      </c>
      <c r="AB931" s="3" t="str">
        <f t="shared" si="87"/>
        <v>["-SADNE-","-SLOWSS-","OTHR","OTHR","XT_OffAnimals"]</v>
      </c>
      <c r="AC931" s="3">
        <f>_xlfn.XLOOKUP(A931,Album!A:A,Album!J:J)</f>
        <v>0</v>
      </c>
      <c r="AD931" s="3">
        <f>_xlfn.XLOOKUP(D931,Artists!A:A,Artists!B:B)</f>
        <v>0</v>
      </c>
      <c r="AE931" s="3">
        <f>_xlfn.XLOOKUP(D931,Artists!A:A,Artists!C:C)</f>
        <v>0</v>
      </c>
      <c r="AF931" s="3" t="str">
        <f t="shared" si="88"/>
        <v>OTHR</v>
      </c>
      <c r="AG931" s="3" t="str">
        <f t="shared" si="89"/>
        <v>OTHR</v>
      </c>
    </row>
    <row r="932" spans="24:33" x14ac:dyDescent="0.3">
      <c r="X932" s="3" t="str">
        <f t="shared" si="84"/>
        <v>-SADNE-</v>
      </c>
      <c r="Y932" s="3" t="str">
        <f t="shared" si="85"/>
        <v>-SLOWSS-</v>
      </c>
      <c r="Z932" s="4" t="str">
        <f t="shared" si="86"/>
        <v>{"couname":"","img":"0","pty":"","artist":"","genres":"","duration":"","spotId":"","Items":["-SADNE-","-SLOWSS-","OTHR","OTHR","XT_OffAnimals"]},</v>
      </c>
      <c r="AA932" s="5" t="s">
        <v>5</v>
      </c>
      <c r="AB932" s="3" t="str">
        <f t="shared" si="87"/>
        <v>["-SADNE-","-SLOWSS-","OTHR","OTHR","XT_OffAnimals"]</v>
      </c>
      <c r="AC932" s="3">
        <f>_xlfn.XLOOKUP(A932,Album!A:A,Album!J:J)</f>
        <v>0</v>
      </c>
      <c r="AD932" s="3">
        <f>_xlfn.XLOOKUP(D932,Artists!A:A,Artists!B:B)</f>
        <v>0</v>
      </c>
      <c r="AE932" s="3">
        <f>_xlfn.XLOOKUP(D932,Artists!A:A,Artists!C:C)</f>
        <v>0</v>
      </c>
      <c r="AF932" s="3" t="str">
        <f t="shared" si="88"/>
        <v>OTHR</v>
      </c>
      <c r="AG932" s="3" t="str">
        <f t="shared" si="89"/>
        <v>OTHR</v>
      </c>
    </row>
    <row r="933" spans="24:33" x14ac:dyDescent="0.3">
      <c r="X933" s="3" t="str">
        <f t="shared" si="84"/>
        <v>-SADNE-</v>
      </c>
      <c r="Y933" s="3" t="str">
        <f t="shared" si="85"/>
        <v>-SLOWSS-</v>
      </c>
      <c r="Z933" s="4" t="str">
        <f t="shared" si="86"/>
        <v>{"couname":"","img":"0","pty":"","artist":"","genres":"","duration":"","spotId":"","Items":["-SADNE-","-SLOWSS-","OTHR","OTHR","XT_OffAnimals"]},</v>
      </c>
      <c r="AA933" s="5" t="s">
        <v>5</v>
      </c>
      <c r="AB933" s="3" t="str">
        <f t="shared" si="87"/>
        <v>["-SADNE-","-SLOWSS-","OTHR","OTHR","XT_OffAnimals"]</v>
      </c>
      <c r="AC933" s="3">
        <f>_xlfn.XLOOKUP(A933,Album!A:A,Album!J:J)</f>
        <v>0</v>
      </c>
      <c r="AD933" s="3">
        <f>_xlfn.XLOOKUP(D933,Artists!A:A,Artists!B:B)</f>
        <v>0</v>
      </c>
      <c r="AE933" s="3">
        <f>_xlfn.XLOOKUP(D933,Artists!A:A,Artists!C:C)</f>
        <v>0</v>
      </c>
      <c r="AF933" s="3" t="str">
        <f t="shared" si="88"/>
        <v>OTHR</v>
      </c>
      <c r="AG933" s="3" t="str">
        <f t="shared" si="89"/>
        <v>OTHR</v>
      </c>
    </row>
    <row r="934" spans="24:33" x14ac:dyDescent="0.3">
      <c r="X934" s="3" t="str">
        <f t="shared" si="84"/>
        <v>-SADNE-</v>
      </c>
      <c r="Y934" s="3" t="str">
        <f t="shared" si="85"/>
        <v>-SLOWSS-</v>
      </c>
      <c r="Z934" s="4" t="str">
        <f t="shared" si="86"/>
        <v>{"couname":"","img":"0","pty":"","artist":"","genres":"","duration":"","spotId":"","Items":["-SADNE-","-SLOWSS-","OTHR","OTHR","XT_OffAnimals"]},</v>
      </c>
      <c r="AA934" s="5" t="s">
        <v>5</v>
      </c>
      <c r="AB934" s="3" t="str">
        <f t="shared" si="87"/>
        <v>["-SADNE-","-SLOWSS-","OTHR","OTHR","XT_OffAnimals"]</v>
      </c>
      <c r="AC934" s="3">
        <f>_xlfn.XLOOKUP(A934,Album!A:A,Album!J:J)</f>
        <v>0</v>
      </c>
      <c r="AD934" s="3">
        <f>_xlfn.XLOOKUP(D934,Artists!A:A,Artists!B:B)</f>
        <v>0</v>
      </c>
      <c r="AE934" s="3">
        <f>_xlfn.XLOOKUP(D934,Artists!A:A,Artists!C:C)</f>
        <v>0</v>
      </c>
      <c r="AF934" s="3" t="str">
        <f t="shared" si="88"/>
        <v>OTHR</v>
      </c>
      <c r="AG934" s="3" t="str">
        <f t="shared" si="89"/>
        <v>OTHR</v>
      </c>
    </row>
    <row r="935" spans="24:33" x14ac:dyDescent="0.3">
      <c r="X935" s="3" t="str">
        <f t="shared" si="84"/>
        <v>-SADNE-</v>
      </c>
      <c r="Y935" s="3" t="str">
        <f t="shared" si="85"/>
        <v>-SLOWSS-</v>
      </c>
      <c r="Z935" s="4" t="str">
        <f t="shared" si="86"/>
        <v>{"couname":"","img":"0","pty":"","artist":"","genres":"","duration":"","spotId":"","Items":["-SADNE-","-SLOWSS-","OTHR","OTHR","XT_OffAnimals"]},</v>
      </c>
      <c r="AA935" s="5" t="s">
        <v>5</v>
      </c>
      <c r="AB935" s="3" t="str">
        <f t="shared" si="87"/>
        <v>["-SADNE-","-SLOWSS-","OTHR","OTHR","XT_OffAnimals"]</v>
      </c>
      <c r="AC935" s="3">
        <f>_xlfn.XLOOKUP(A935,Album!A:A,Album!J:J)</f>
        <v>0</v>
      </c>
      <c r="AD935" s="3">
        <f>_xlfn.XLOOKUP(D935,Artists!A:A,Artists!B:B)</f>
        <v>0</v>
      </c>
      <c r="AE935" s="3">
        <f>_xlfn.XLOOKUP(D935,Artists!A:A,Artists!C:C)</f>
        <v>0</v>
      </c>
      <c r="AF935" s="3" t="str">
        <f t="shared" si="88"/>
        <v>OTHR</v>
      </c>
      <c r="AG935" s="3" t="str">
        <f t="shared" si="89"/>
        <v>OTHR</v>
      </c>
    </row>
    <row r="936" spans="24:33" x14ac:dyDescent="0.3">
      <c r="X936" s="3" t="str">
        <f t="shared" si="84"/>
        <v>-SADNE-</v>
      </c>
      <c r="Y936" s="3" t="str">
        <f t="shared" si="85"/>
        <v>-SLOWSS-</v>
      </c>
      <c r="Z936" s="4" t="str">
        <f t="shared" si="86"/>
        <v>{"couname":"","img":"0","pty":"","artist":"","genres":"","duration":"","spotId":"","Items":["-SADNE-","-SLOWSS-","OTHR","OTHR","XT_OffAnimals"]},</v>
      </c>
      <c r="AA936" s="5" t="s">
        <v>5</v>
      </c>
      <c r="AB936" s="3" t="str">
        <f t="shared" si="87"/>
        <v>["-SADNE-","-SLOWSS-","OTHR","OTHR","XT_OffAnimals"]</v>
      </c>
      <c r="AC936" s="3">
        <f>_xlfn.XLOOKUP(A936,Album!A:A,Album!J:J)</f>
        <v>0</v>
      </c>
      <c r="AD936" s="3">
        <f>_xlfn.XLOOKUP(D936,Artists!A:A,Artists!B:B)</f>
        <v>0</v>
      </c>
      <c r="AE936" s="3">
        <f>_xlfn.XLOOKUP(D936,Artists!A:A,Artists!C:C)</f>
        <v>0</v>
      </c>
      <c r="AF936" s="3" t="str">
        <f t="shared" si="88"/>
        <v>OTHR</v>
      </c>
      <c r="AG936" s="3" t="str">
        <f t="shared" si="89"/>
        <v>OTHR</v>
      </c>
    </row>
    <row r="937" spans="24:33" x14ac:dyDescent="0.3">
      <c r="X937" s="3" t="str">
        <f t="shared" si="84"/>
        <v>-SADNE-</v>
      </c>
      <c r="Y937" s="3" t="str">
        <f t="shared" si="85"/>
        <v>-SLOWSS-</v>
      </c>
      <c r="Z937" s="4" t="str">
        <f t="shared" si="86"/>
        <v>{"couname":"","img":"0","pty":"","artist":"","genres":"","duration":"","spotId":"","Items":["-SADNE-","-SLOWSS-","OTHR","OTHR","XT_OffAnimals"]},</v>
      </c>
      <c r="AA937" s="5" t="s">
        <v>5</v>
      </c>
      <c r="AB937" s="3" t="str">
        <f t="shared" si="87"/>
        <v>["-SADNE-","-SLOWSS-","OTHR","OTHR","XT_OffAnimals"]</v>
      </c>
      <c r="AC937" s="3">
        <f>_xlfn.XLOOKUP(A937,Album!A:A,Album!J:J)</f>
        <v>0</v>
      </c>
      <c r="AD937" s="3">
        <f>_xlfn.XLOOKUP(D937,Artists!A:A,Artists!B:B)</f>
        <v>0</v>
      </c>
      <c r="AE937" s="3">
        <f>_xlfn.XLOOKUP(D937,Artists!A:A,Artists!C:C)</f>
        <v>0</v>
      </c>
      <c r="AF937" s="3" t="str">
        <f t="shared" si="88"/>
        <v>OTHR</v>
      </c>
      <c r="AG937" s="3" t="str">
        <f t="shared" si="89"/>
        <v>OTHR</v>
      </c>
    </row>
    <row r="938" spans="24:33" x14ac:dyDescent="0.3">
      <c r="X938" s="3" t="str">
        <f t="shared" si="84"/>
        <v>-SADNE-</v>
      </c>
      <c r="Y938" s="3" t="str">
        <f t="shared" si="85"/>
        <v>-SLOWSS-</v>
      </c>
      <c r="Z938" s="4" t="str">
        <f t="shared" si="86"/>
        <v>{"couname":"","img":"0","pty":"","artist":"","genres":"","duration":"","spotId":"","Items":["-SADNE-","-SLOWSS-","OTHR","OTHR","XT_OffAnimals"]},</v>
      </c>
      <c r="AA938" s="5" t="s">
        <v>5</v>
      </c>
      <c r="AB938" s="3" t="str">
        <f t="shared" si="87"/>
        <v>["-SADNE-","-SLOWSS-","OTHR","OTHR","XT_OffAnimals"]</v>
      </c>
      <c r="AC938" s="3">
        <f>_xlfn.XLOOKUP(A938,Album!A:A,Album!J:J)</f>
        <v>0</v>
      </c>
      <c r="AD938" s="3">
        <f>_xlfn.XLOOKUP(D938,Artists!A:A,Artists!B:B)</f>
        <v>0</v>
      </c>
      <c r="AE938" s="3">
        <f>_xlfn.XLOOKUP(D938,Artists!A:A,Artists!C:C)</f>
        <v>0</v>
      </c>
      <c r="AF938" s="3" t="str">
        <f t="shared" si="88"/>
        <v>OTHR</v>
      </c>
      <c r="AG938" s="3" t="str">
        <f t="shared" si="89"/>
        <v>OTHR</v>
      </c>
    </row>
    <row r="939" spans="24:33" x14ac:dyDescent="0.3">
      <c r="X939" s="3" t="str">
        <f t="shared" si="84"/>
        <v>-SADNE-</v>
      </c>
      <c r="Y939" s="3" t="str">
        <f t="shared" si="85"/>
        <v>-SLOWSS-</v>
      </c>
      <c r="Z939" s="4" t="str">
        <f t="shared" si="86"/>
        <v>{"couname":"","img":"0","pty":"","artist":"","genres":"","duration":"","spotId":"","Items":["-SADNE-","-SLOWSS-","OTHR","OTHR","XT_OffAnimals"]},</v>
      </c>
      <c r="AA939" s="5" t="s">
        <v>5</v>
      </c>
      <c r="AB939" s="3" t="str">
        <f t="shared" si="87"/>
        <v>["-SADNE-","-SLOWSS-","OTHR","OTHR","XT_OffAnimals"]</v>
      </c>
      <c r="AC939" s="3">
        <f>_xlfn.XLOOKUP(A939,Album!A:A,Album!J:J)</f>
        <v>0</v>
      </c>
      <c r="AD939" s="3">
        <f>_xlfn.XLOOKUP(D939,Artists!A:A,Artists!B:B)</f>
        <v>0</v>
      </c>
      <c r="AE939" s="3">
        <f>_xlfn.XLOOKUP(D939,Artists!A:A,Artists!C:C)</f>
        <v>0</v>
      </c>
      <c r="AF939" s="3" t="str">
        <f t="shared" si="88"/>
        <v>OTHR</v>
      </c>
      <c r="AG939" s="3" t="str">
        <f t="shared" si="89"/>
        <v>OTHR</v>
      </c>
    </row>
    <row r="940" spans="24:33" x14ac:dyDescent="0.3">
      <c r="X940" s="3" t="str">
        <f t="shared" si="84"/>
        <v>-SADNE-</v>
      </c>
      <c r="Y940" s="3" t="str">
        <f t="shared" si="85"/>
        <v>-SLOWSS-</v>
      </c>
      <c r="Z940" s="4" t="str">
        <f t="shared" si="86"/>
        <v>{"couname":"","img":"0","pty":"","artist":"","genres":"","duration":"","spotId":"","Items":["-SADNE-","-SLOWSS-","OTHR","OTHR","XT_OffAnimals"]},</v>
      </c>
      <c r="AA940" s="5" t="s">
        <v>5</v>
      </c>
      <c r="AB940" s="3" t="str">
        <f t="shared" si="87"/>
        <v>["-SADNE-","-SLOWSS-","OTHR","OTHR","XT_OffAnimals"]</v>
      </c>
      <c r="AC940" s="3">
        <f>_xlfn.XLOOKUP(A940,Album!A:A,Album!J:J)</f>
        <v>0</v>
      </c>
      <c r="AD940" s="3">
        <f>_xlfn.XLOOKUP(D940,Artists!A:A,Artists!B:B)</f>
        <v>0</v>
      </c>
      <c r="AE940" s="3">
        <f>_xlfn.XLOOKUP(D940,Artists!A:A,Artists!C:C)</f>
        <v>0</v>
      </c>
      <c r="AF940" s="3" t="str">
        <f t="shared" si="88"/>
        <v>OTHR</v>
      </c>
      <c r="AG940" s="3" t="str">
        <f t="shared" si="89"/>
        <v>OTHR</v>
      </c>
    </row>
    <row r="941" spans="24:33" x14ac:dyDescent="0.3">
      <c r="X941" s="3" t="str">
        <f t="shared" si="84"/>
        <v>-SADNE-</v>
      </c>
      <c r="Y941" s="3" t="str">
        <f t="shared" si="85"/>
        <v>-SLOWSS-</v>
      </c>
      <c r="Z941" s="4" t="str">
        <f t="shared" si="86"/>
        <v>{"couname":"","img":"0","pty":"","artist":"","genres":"","duration":"","spotId":"","Items":["-SADNE-","-SLOWSS-","OTHR","OTHR","XT_OffAnimals"]},</v>
      </c>
      <c r="AA941" s="5" t="s">
        <v>5</v>
      </c>
      <c r="AB941" s="3" t="str">
        <f t="shared" si="87"/>
        <v>["-SADNE-","-SLOWSS-","OTHR","OTHR","XT_OffAnimals"]</v>
      </c>
      <c r="AC941" s="3">
        <f>_xlfn.XLOOKUP(A941,Album!A:A,Album!J:J)</f>
        <v>0</v>
      </c>
      <c r="AD941" s="3">
        <f>_xlfn.XLOOKUP(D941,Artists!A:A,Artists!B:B)</f>
        <v>0</v>
      </c>
      <c r="AE941" s="3">
        <f>_xlfn.XLOOKUP(D941,Artists!A:A,Artists!C:C)</f>
        <v>0</v>
      </c>
      <c r="AF941" s="3" t="str">
        <f t="shared" si="88"/>
        <v>OTHR</v>
      </c>
      <c r="AG941" s="3" t="str">
        <f t="shared" si="89"/>
        <v>OTHR</v>
      </c>
    </row>
    <row r="942" spans="24:33" x14ac:dyDescent="0.3">
      <c r="X942" s="3" t="str">
        <f t="shared" si="84"/>
        <v>-SADNE-</v>
      </c>
      <c r="Y942" s="3" t="str">
        <f t="shared" si="85"/>
        <v>-SLOWSS-</v>
      </c>
      <c r="Z942" s="4" t="str">
        <f t="shared" si="86"/>
        <v>{"couname":"","img":"0","pty":"","artist":"","genres":"","duration":"","spotId":"","Items":["-SADNE-","-SLOWSS-","OTHR","OTHR","XT_OffAnimals"]},</v>
      </c>
      <c r="AA942" s="5" t="s">
        <v>5</v>
      </c>
      <c r="AB942" s="3" t="str">
        <f t="shared" si="87"/>
        <v>["-SADNE-","-SLOWSS-","OTHR","OTHR","XT_OffAnimals"]</v>
      </c>
      <c r="AC942" s="3">
        <f>_xlfn.XLOOKUP(A942,Album!A:A,Album!J:J)</f>
        <v>0</v>
      </c>
      <c r="AD942" s="3">
        <f>_xlfn.XLOOKUP(D942,Artists!A:A,Artists!B:B)</f>
        <v>0</v>
      </c>
      <c r="AE942" s="3">
        <f>_xlfn.XLOOKUP(D942,Artists!A:A,Artists!C:C)</f>
        <v>0</v>
      </c>
      <c r="AF942" s="3" t="str">
        <f t="shared" si="88"/>
        <v>OTHR</v>
      </c>
      <c r="AG942" s="3" t="str">
        <f t="shared" si="89"/>
        <v>OTHR</v>
      </c>
    </row>
    <row r="943" spans="24:33" x14ac:dyDescent="0.3">
      <c r="X943" s="3" t="str">
        <f t="shared" si="84"/>
        <v>-SADNE-</v>
      </c>
      <c r="Y943" s="3" t="str">
        <f t="shared" si="85"/>
        <v>-SLOWSS-</v>
      </c>
      <c r="Z943" s="4" t="str">
        <f t="shared" si="86"/>
        <v>{"couname":"","img":"0","pty":"","artist":"","genres":"","duration":"","spotId":"","Items":["-SADNE-","-SLOWSS-","OTHR","OTHR","XT_OffAnimals"]},</v>
      </c>
      <c r="AA943" s="5" t="s">
        <v>5</v>
      </c>
      <c r="AB943" s="3" t="str">
        <f t="shared" si="87"/>
        <v>["-SADNE-","-SLOWSS-","OTHR","OTHR","XT_OffAnimals"]</v>
      </c>
      <c r="AC943" s="3">
        <f>_xlfn.XLOOKUP(A943,Album!A:A,Album!J:J)</f>
        <v>0</v>
      </c>
      <c r="AD943" s="3">
        <f>_xlfn.XLOOKUP(D943,Artists!A:A,Artists!B:B)</f>
        <v>0</v>
      </c>
      <c r="AE943" s="3">
        <f>_xlfn.XLOOKUP(D943,Artists!A:A,Artists!C:C)</f>
        <v>0</v>
      </c>
      <c r="AF943" s="3" t="str">
        <f t="shared" si="88"/>
        <v>OTHR</v>
      </c>
      <c r="AG943" s="3" t="str">
        <f t="shared" si="89"/>
        <v>OTHR</v>
      </c>
    </row>
    <row r="944" spans="24:33" x14ac:dyDescent="0.3">
      <c r="X944" s="3" t="str">
        <f t="shared" si="84"/>
        <v>-SADNE-</v>
      </c>
      <c r="Y944" s="3" t="str">
        <f t="shared" si="85"/>
        <v>-SLOWSS-</v>
      </c>
      <c r="Z944" s="4" t="str">
        <f t="shared" si="86"/>
        <v>{"couname":"","img":"0","pty":"","artist":"","genres":"","duration":"","spotId":"","Items":["-SADNE-","-SLOWSS-","OTHR","OTHR","XT_OffAnimals"]},</v>
      </c>
      <c r="AA944" s="5" t="s">
        <v>5</v>
      </c>
      <c r="AB944" s="3" t="str">
        <f t="shared" si="87"/>
        <v>["-SADNE-","-SLOWSS-","OTHR","OTHR","XT_OffAnimals"]</v>
      </c>
      <c r="AC944" s="3">
        <f>_xlfn.XLOOKUP(A944,Album!A:A,Album!J:J)</f>
        <v>0</v>
      </c>
      <c r="AD944" s="3">
        <f>_xlfn.XLOOKUP(D944,Artists!A:A,Artists!B:B)</f>
        <v>0</v>
      </c>
      <c r="AE944" s="3">
        <f>_xlfn.XLOOKUP(D944,Artists!A:A,Artists!C:C)</f>
        <v>0</v>
      </c>
      <c r="AF944" s="3" t="str">
        <f t="shared" si="88"/>
        <v>OTHR</v>
      </c>
      <c r="AG944" s="3" t="str">
        <f t="shared" si="89"/>
        <v>OTHR</v>
      </c>
    </row>
    <row r="945" spans="24:33" x14ac:dyDescent="0.3">
      <c r="X945" s="3" t="str">
        <f t="shared" si="84"/>
        <v>-SADNE-</v>
      </c>
      <c r="Y945" s="3" t="str">
        <f t="shared" si="85"/>
        <v>-SLOWSS-</v>
      </c>
      <c r="Z945" s="4" t="str">
        <f t="shared" si="86"/>
        <v>{"couname":"","img":"0","pty":"","artist":"","genres":"","duration":"","spotId":"","Items":["-SADNE-","-SLOWSS-","OTHR","OTHR","XT_OffAnimals"]},</v>
      </c>
      <c r="AA945" s="5" t="s">
        <v>5</v>
      </c>
      <c r="AB945" s="3" t="str">
        <f t="shared" si="87"/>
        <v>["-SADNE-","-SLOWSS-","OTHR","OTHR","XT_OffAnimals"]</v>
      </c>
      <c r="AC945" s="3">
        <f>_xlfn.XLOOKUP(A945,Album!A:A,Album!J:J)</f>
        <v>0</v>
      </c>
      <c r="AD945" s="3">
        <f>_xlfn.XLOOKUP(D945,Artists!A:A,Artists!B:B)</f>
        <v>0</v>
      </c>
      <c r="AE945" s="3">
        <f>_xlfn.XLOOKUP(D945,Artists!A:A,Artists!C:C)</f>
        <v>0</v>
      </c>
      <c r="AF945" s="3" t="str">
        <f t="shared" si="88"/>
        <v>OTHR</v>
      </c>
      <c r="AG945" s="3" t="str">
        <f t="shared" si="89"/>
        <v>OTHR</v>
      </c>
    </row>
    <row r="946" spans="24:33" x14ac:dyDescent="0.3">
      <c r="X946" s="3" t="str">
        <f t="shared" si="84"/>
        <v>-SADNE-</v>
      </c>
      <c r="Y946" s="3" t="str">
        <f t="shared" si="85"/>
        <v>-SLOWSS-</v>
      </c>
      <c r="Z946" s="4" t="str">
        <f t="shared" si="86"/>
        <v>{"couname":"","img":"0","pty":"","artist":"","genres":"","duration":"","spotId":"","Items":["-SADNE-","-SLOWSS-","OTHR","OTHR","XT_OffAnimals"]},</v>
      </c>
      <c r="AA946" s="5" t="s">
        <v>5</v>
      </c>
      <c r="AB946" s="3" t="str">
        <f t="shared" si="87"/>
        <v>["-SADNE-","-SLOWSS-","OTHR","OTHR","XT_OffAnimals"]</v>
      </c>
      <c r="AC946" s="3">
        <f>_xlfn.XLOOKUP(A946,Album!A:A,Album!J:J)</f>
        <v>0</v>
      </c>
      <c r="AD946" s="3">
        <f>_xlfn.XLOOKUP(D946,Artists!A:A,Artists!B:B)</f>
        <v>0</v>
      </c>
      <c r="AE946" s="3">
        <f>_xlfn.XLOOKUP(D946,Artists!A:A,Artists!C:C)</f>
        <v>0</v>
      </c>
      <c r="AF946" s="3" t="str">
        <f t="shared" si="88"/>
        <v>OTHR</v>
      </c>
      <c r="AG946" s="3" t="str">
        <f t="shared" si="89"/>
        <v>OTHR</v>
      </c>
    </row>
    <row r="947" spans="24:33" x14ac:dyDescent="0.3">
      <c r="X947" s="3" t="str">
        <f t="shared" si="84"/>
        <v>-SADNE-</v>
      </c>
      <c r="Y947" s="3" t="str">
        <f t="shared" si="85"/>
        <v>-SLOWSS-</v>
      </c>
      <c r="Z947" s="4" t="str">
        <f t="shared" si="86"/>
        <v>{"couname":"","img":"0","pty":"","artist":"","genres":"","duration":"","spotId":"","Items":["-SADNE-","-SLOWSS-","OTHR","OTHR","XT_OffAnimals"]},</v>
      </c>
      <c r="AA947" s="5" t="s">
        <v>5</v>
      </c>
      <c r="AB947" s="3" t="str">
        <f t="shared" si="87"/>
        <v>["-SADNE-","-SLOWSS-","OTHR","OTHR","XT_OffAnimals"]</v>
      </c>
      <c r="AC947" s="3">
        <f>_xlfn.XLOOKUP(A947,Album!A:A,Album!J:J)</f>
        <v>0</v>
      </c>
      <c r="AD947" s="3">
        <f>_xlfn.XLOOKUP(D947,Artists!A:A,Artists!B:B)</f>
        <v>0</v>
      </c>
      <c r="AE947" s="3">
        <f>_xlfn.XLOOKUP(D947,Artists!A:A,Artists!C:C)</f>
        <v>0</v>
      </c>
      <c r="AF947" s="3" t="str">
        <f t="shared" si="88"/>
        <v>OTHR</v>
      </c>
      <c r="AG947" s="3" t="str">
        <f t="shared" si="89"/>
        <v>OTHR</v>
      </c>
    </row>
    <row r="948" spans="24:33" x14ac:dyDescent="0.3">
      <c r="X948" s="3" t="str">
        <f t="shared" si="84"/>
        <v>-SADNE-</v>
      </c>
      <c r="Y948" s="3" t="str">
        <f t="shared" si="85"/>
        <v>-SLOWSS-</v>
      </c>
      <c r="Z948" s="4" t="str">
        <f t="shared" si="86"/>
        <v>{"couname":"","img":"0","pty":"","artist":"","genres":"","duration":"","spotId":"","Items":["-SADNE-","-SLOWSS-","OTHR","OTHR","XT_OffAnimals"]},</v>
      </c>
      <c r="AA948" s="5" t="s">
        <v>5</v>
      </c>
      <c r="AB948" s="3" t="str">
        <f t="shared" si="87"/>
        <v>["-SADNE-","-SLOWSS-","OTHR","OTHR","XT_OffAnimals"]</v>
      </c>
      <c r="AC948" s="3">
        <f>_xlfn.XLOOKUP(A948,Album!A:A,Album!J:J)</f>
        <v>0</v>
      </c>
      <c r="AD948" s="3">
        <f>_xlfn.XLOOKUP(D948,Artists!A:A,Artists!B:B)</f>
        <v>0</v>
      </c>
      <c r="AE948" s="3">
        <f>_xlfn.XLOOKUP(D948,Artists!A:A,Artists!C:C)</f>
        <v>0</v>
      </c>
      <c r="AF948" s="3" t="str">
        <f t="shared" si="88"/>
        <v>OTHR</v>
      </c>
      <c r="AG948" s="3" t="str">
        <f t="shared" si="89"/>
        <v>OTHR</v>
      </c>
    </row>
    <row r="949" spans="24:33" x14ac:dyDescent="0.3">
      <c r="X949" s="3" t="str">
        <f t="shared" si="84"/>
        <v>-SADNE-</v>
      </c>
      <c r="Y949" s="3" t="str">
        <f t="shared" si="85"/>
        <v>-SLOWSS-</v>
      </c>
      <c r="Z949" s="4" t="str">
        <f t="shared" si="86"/>
        <v>{"couname":"","img":"0","pty":"","artist":"","genres":"","duration":"","spotId":"","Items":["-SADNE-","-SLOWSS-","OTHR","OTHR","XT_OffAnimals"]},</v>
      </c>
      <c r="AA949" s="5" t="s">
        <v>5</v>
      </c>
      <c r="AB949" s="3" t="str">
        <f t="shared" si="87"/>
        <v>["-SADNE-","-SLOWSS-","OTHR","OTHR","XT_OffAnimals"]</v>
      </c>
      <c r="AC949" s="3">
        <f>_xlfn.XLOOKUP(A949,Album!A:A,Album!J:J)</f>
        <v>0</v>
      </c>
      <c r="AD949" s="3">
        <f>_xlfn.XLOOKUP(D949,Artists!A:A,Artists!B:B)</f>
        <v>0</v>
      </c>
      <c r="AE949" s="3">
        <f>_xlfn.XLOOKUP(D949,Artists!A:A,Artists!C:C)</f>
        <v>0</v>
      </c>
      <c r="AF949" s="3" t="str">
        <f t="shared" si="88"/>
        <v>OTHR</v>
      </c>
      <c r="AG949" s="3" t="str">
        <f t="shared" si="89"/>
        <v>OTHR</v>
      </c>
    </row>
    <row r="950" spans="24:33" x14ac:dyDescent="0.3">
      <c r="X950" s="3" t="str">
        <f t="shared" si="84"/>
        <v>-SADNE-</v>
      </c>
      <c r="Y950" s="3" t="str">
        <f t="shared" si="85"/>
        <v>-SLOWSS-</v>
      </c>
      <c r="Z950" s="4" t="str">
        <f t="shared" si="86"/>
        <v>{"couname":"","img":"0","pty":"","artist":"","genres":"","duration":"","spotId":"","Items":["-SADNE-","-SLOWSS-","OTHR","OTHR","XT_OffAnimals"]},</v>
      </c>
      <c r="AA950" s="5" t="s">
        <v>5</v>
      </c>
      <c r="AB950" s="3" t="str">
        <f t="shared" si="87"/>
        <v>["-SADNE-","-SLOWSS-","OTHR","OTHR","XT_OffAnimals"]</v>
      </c>
      <c r="AC950" s="3">
        <f>_xlfn.XLOOKUP(A950,Album!A:A,Album!J:J)</f>
        <v>0</v>
      </c>
      <c r="AD950" s="3">
        <f>_xlfn.XLOOKUP(D950,Artists!A:A,Artists!B:B)</f>
        <v>0</v>
      </c>
      <c r="AE950" s="3">
        <f>_xlfn.XLOOKUP(D950,Artists!A:A,Artists!C:C)</f>
        <v>0</v>
      </c>
      <c r="AF950" s="3" t="str">
        <f t="shared" si="88"/>
        <v>OTHR</v>
      </c>
      <c r="AG950" s="3" t="str">
        <f t="shared" si="89"/>
        <v>OTHR</v>
      </c>
    </row>
    <row r="951" spans="24:33" x14ac:dyDescent="0.3">
      <c r="X951" s="3" t="str">
        <f t="shared" si="84"/>
        <v>-SADNE-</v>
      </c>
      <c r="Y951" s="3" t="str">
        <f t="shared" si="85"/>
        <v>-SLOWSS-</v>
      </c>
      <c r="Z951" s="4" t="str">
        <f t="shared" si="86"/>
        <v>{"couname":"","img":"0","pty":"","artist":"","genres":"","duration":"","spotId":"","Items":["-SADNE-","-SLOWSS-","OTHR","OTHR","XT_OffAnimals"]},</v>
      </c>
      <c r="AA951" s="5" t="s">
        <v>5</v>
      </c>
      <c r="AB951" s="3" t="str">
        <f t="shared" si="87"/>
        <v>["-SADNE-","-SLOWSS-","OTHR","OTHR","XT_OffAnimals"]</v>
      </c>
      <c r="AC951" s="3">
        <f>_xlfn.XLOOKUP(A951,Album!A:A,Album!J:J)</f>
        <v>0</v>
      </c>
      <c r="AD951" s="3">
        <f>_xlfn.XLOOKUP(D951,Artists!A:A,Artists!B:B)</f>
        <v>0</v>
      </c>
      <c r="AE951" s="3">
        <f>_xlfn.XLOOKUP(D951,Artists!A:A,Artists!C:C)</f>
        <v>0</v>
      </c>
      <c r="AF951" s="3" t="str">
        <f t="shared" si="88"/>
        <v>OTHR</v>
      </c>
      <c r="AG951" s="3" t="str">
        <f t="shared" si="89"/>
        <v>OTHR</v>
      </c>
    </row>
    <row r="952" spans="24:33" x14ac:dyDescent="0.3">
      <c r="X952" s="3" t="str">
        <f t="shared" si="84"/>
        <v>-SADNE-</v>
      </c>
      <c r="Y952" s="3" t="str">
        <f t="shared" si="85"/>
        <v>-SLOWSS-</v>
      </c>
      <c r="Z952" s="4" t="str">
        <f t="shared" si="86"/>
        <v>{"couname":"","img":"0","pty":"","artist":"","genres":"","duration":"","spotId":"","Items":["-SADNE-","-SLOWSS-","OTHR","OTHR","XT_OffAnimals"]},</v>
      </c>
      <c r="AA952" s="5" t="s">
        <v>5</v>
      </c>
      <c r="AB952" s="3" t="str">
        <f t="shared" si="87"/>
        <v>["-SADNE-","-SLOWSS-","OTHR","OTHR","XT_OffAnimals"]</v>
      </c>
      <c r="AC952" s="3">
        <f>_xlfn.XLOOKUP(A952,Album!A:A,Album!J:J)</f>
        <v>0</v>
      </c>
      <c r="AD952" s="3">
        <f>_xlfn.XLOOKUP(D952,Artists!A:A,Artists!B:B)</f>
        <v>0</v>
      </c>
      <c r="AE952" s="3">
        <f>_xlfn.XLOOKUP(D952,Artists!A:A,Artists!C:C)</f>
        <v>0</v>
      </c>
      <c r="AF952" s="3" t="str">
        <f t="shared" si="88"/>
        <v>OTHR</v>
      </c>
      <c r="AG952" s="3" t="str">
        <f t="shared" si="89"/>
        <v>OTHR</v>
      </c>
    </row>
    <row r="953" spans="24:33" x14ac:dyDescent="0.3">
      <c r="X953" s="3" t="str">
        <f t="shared" si="84"/>
        <v>-SADNE-</v>
      </c>
      <c r="Y953" s="3" t="str">
        <f t="shared" si="85"/>
        <v>-SLOWSS-</v>
      </c>
      <c r="Z953" s="4" t="str">
        <f t="shared" si="86"/>
        <v>{"couname":"","img":"0","pty":"","artist":"","genres":"","duration":"","spotId":"","Items":["-SADNE-","-SLOWSS-","OTHR","OTHR","XT_OffAnimals"]},</v>
      </c>
      <c r="AA953" s="5" t="s">
        <v>5</v>
      </c>
      <c r="AB953" s="3" t="str">
        <f t="shared" si="87"/>
        <v>["-SADNE-","-SLOWSS-","OTHR","OTHR","XT_OffAnimals"]</v>
      </c>
      <c r="AC953" s="3">
        <f>_xlfn.XLOOKUP(A953,Album!A:A,Album!J:J)</f>
        <v>0</v>
      </c>
      <c r="AD953" s="3">
        <f>_xlfn.XLOOKUP(D953,Artists!A:A,Artists!B:B)</f>
        <v>0</v>
      </c>
      <c r="AE953" s="3">
        <f>_xlfn.XLOOKUP(D953,Artists!A:A,Artists!C:C)</f>
        <v>0</v>
      </c>
      <c r="AF953" s="3" t="str">
        <f t="shared" si="88"/>
        <v>OTHR</v>
      </c>
      <c r="AG953" s="3" t="str">
        <f t="shared" si="89"/>
        <v>OTHR</v>
      </c>
    </row>
    <row r="954" spans="24:33" x14ac:dyDescent="0.3">
      <c r="X954" s="3" t="str">
        <f t="shared" si="84"/>
        <v>-SADNE-</v>
      </c>
      <c r="Y954" s="3" t="str">
        <f t="shared" si="85"/>
        <v>-SLOWSS-</v>
      </c>
      <c r="Z954" s="4" t="str">
        <f t="shared" si="86"/>
        <v>{"couname":"","img":"0","pty":"","artist":"","genres":"","duration":"","spotId":"","Items":["-SADNE-","-SLOWSS-","OTHR","OTHR","XT_OffAnimals"]},</v>
      </c>
      <c r="AA954" s="5" t="s">
        <v>5</v>
      </c>
      <c r="AB954" s="3" t="str">
        <f t="shared" si="87"/>
        <v>["-SADNE-","-SLOWSS-","OTHR","OTHR","XT_OffAnimals"]</v>
      </c>
      <c r="AC954" s="3">
        <f>_xlfn.XLOOKUP(A954,Album!A:A,Album!J:J)</f>
        <v>0</v>
      </c>
      <c r="AD954" s="3">
        <f>_xlfn.XLOOKUP(D954,Artists!A:A,Artists!B:B)</f>
        <v>0</v>
      </c>
      <c r="AE954" s="3">
        <f>_xlfn.XLOOKUP(D954,Artists!A:A,Artists!C:C)</f>
        <v>0</v>
      </c>
      <c r="AF954" s="3" t="str">
        <f t="shared" si="88"/>
        <v>OTHR</v>
      </c>
      <c r="AG954" s="3" t="str">
        <f t="shared" si="89"/>
        <v>OTHR</v>
      </c>
    </row>
    <row r="955" spans="24:33" x14ac:dyDescent="0.3">
      <c r="X955" s="3" t="str">
        <f t="shared" si="84"/>
        <v>-SADNE-</v>
      </c>
      <c r="Y955" s="3" t="str">
        <f t="shared" si="85"/>
        <v>-SLOWSS-</v>
      </c>
      <c r="Z955" s="4" t="str">
        <f t="shared" si="86"/>
        <v>{"couname":"","img":"0","pty":"","artist":"","genres":"","duration":"","spotId":"","Items":["-SADNE-","-SLOWSS-","OTHR","OTHR","XT_OffAnimals"]},</v>
      </c>
      <c r="AA955" s="5" t="s">
        <v>5</v>
      </c>
      <c r="AB955" s="3" t="str">
        <f t="shared" si="87"/>
        <v>["-SADNE-","-SLOWSS-","OTHR","OTHR","XT_OffAnimals"]</v>
      </c>
      <c r="AC955" s="3">
        <f>_xlfn.XLOOKUP(A955,Album!A:A,Album!J:J)</f>
        <v>0</v>
      </c>
      <c r="AD955" s="3">
        <f>_xlfn.XLOOKUP(D955,Artists!A:A,Artists!B:B)</f>
        <v>0</v>
      </c>
      <c r="AE955" s="3">
        <f>_xlfn.XLOOKUP(D955,Artists!A:A,Artists!C:C)</f>
        <v>0</v>
      </c>
      <c r="AF955" s="3" t="str">
        <f t="shared" si="88"/>
        <v>OTHR</v>
      </c>
      <c r="AG955" s="3" t="str">
        <f t="shared" si="89"/>
        <v>OTHR</v>
      </c>
    </row>
    <row r="956" spans="24:33" x14ac:dyDescent="0.3">
      <c r="X956" s="3" t="str">
        <f t="shared" si="84"/>
        <v>-SADNE-</v>
      </c>
      <c r="Y956" s="3" t="str">
        <f t="shared" si="85"/>
        <v>-SLOWSS-</v>
      </c>
      <c r="Z956" s="4" t="str">
        <f t="shared" si="86"/>
        <v>{"couname":"","img":"0","pty":"","artist":"","genres":"","duration":"","spotId":"","Items":["-SADNE-","-SLOWSS-","OTHR","OTHR","XT_OffAnimals"]},</v>
      </c>
      <c r="AA956" s="5" t="s">
        <v>5</v>
      </c>
      <c r="AB956" s="3" t="str">
        <f t="shared" si="87"/>
        <v>["-SADNE-","-SLOWSS-","OTHR","OTHR","XT_OffAnimals"]</v>
      </c>
      <c r="AC956" s="3">
        <f>_xlfn.XLOOKUP(A956,Album!A:A,Album!J:J)</f>
        <v>0</v>
      </c>
      <c r="AD956" s="3">
        <f>_xlfn.XLOOKUP(D956,Artists!A:A,Artists!B:B)</f>
        <v>0</v>
      </c>
      <c r="AE956" s="3">
        <f>_xlfn.XLOOKUP(D956,Artists!A:A,Artists!C:C)</f>
        <v>0</v>
      </c>
      <c r="AF956" s="3" t="str">
        <f t="shared" si="88"/>
        <v>OTHR</v>
      </c>
      <c r="AG956" s="3" t="str">
        <f t="shared" si="89"/>
        <v>OTHR</v>
      </c>
    </row>
    <row r="957" spans="24:33" x14ac:dyDescent="0.3">
      <c r="X957" s="3" t="str">
        <f t="shared" si="84"/>
        <v>-SADNE-</v>
      </c>
      <c r="Y957" s="3" t="str">
        <f t="shared" si="85"/>
        <v>-SLOWSS-</v>
      </c>
      <c r="Z957" s="4" t="str">
        <f t="shared" si="86"/>
        <v>{"couname":"","img":"0","pty":"","artist":"","genres":"","duration":"","spotId":"","Items":["-SADNE-","-SLOWSS-","OTHR","OTHR","XT_OffAnimals"]},</v>
      </c>
      <c r="AA957" s="5" t="s">
        <v>5</v>
      </c>
      <c r="AB957" s="3" t="str">
        <f t="shared" si="87"/>
        <v>["-SADNE-","-SLOWSS-","OTHR","OTHR","XT_OffAnimals"]</v>
      </c>
      <c r="AC957" s="3">
        <f>_xlfn.XLOOKUP(A957,Album!A:A,Album!J:J)</f>
        <v>0</v>
      </c>
      <c r="AD957" s="3">
        <f>_xlfn.XLOOKUP(D957,Artists!A:A,Artists!B:B)</f>
        <v>0</v>
      </c>
      <c r="AE957" s="3">
        <f>_xlfn.XLOOKUP(D957,Artists!A:A,Artists!C:C)</f>
        <v>0</v>
      </c>
      <c r="AF957" s="3" t="str">
        <f t="shared" si="88"/>
        <v>OTHR</v>
      </c>
      <c r="AG957" s="3" t="str">
        <f t="shared" si="89"/>
        <v>OTHR</v>
      </c>
    </row>
    <row r="958" spans="24:33" x14ac:dyDescent="0.3">
      <c r="X958" s="3" t="str">
        <f t="shared" si="84"/>
        <v>-SADNE-</v>
      </c>
      <c r="Y958" s="3" t="str">
        <f t="shared" si="85"/>
        <v>-SLOWSS-</v>
      </c>
      <c r="Z958" s="4" t="str">
        <f t="shared" si="86"/>
        <v>{"couname":"","img":"0","pty":"","artist":"","genres":"","duration":"","spotId":"","Items":["-SADNE-","-SLOWSS-","OTHR","OTHR","XT_OffAnimals"]},</v>
      </c>
      <c r="AA958" s="5" t="s">
        <v>5</v>
      </c>
      <c r="AB958" s="3" t="str">
        <f t="shared" si="87"/>
        <v>["-SADNE-","-SLOWSS-","OTHR","OTHR","XT_OffAnimals"]</v>
      </c>
      <c r="AC958" s="3">
        <f>_xlfn.XLOOKUP(A958,Album!A:A,Album!J:J)</f>
        <v>0</v>
      </c>
      <c r="AD958" s="3">
        <f>_xlfn.XLOOKUP(D958,Artists!A:A,Artists!B:B)</f>
        <v>0</v>
      </c>
      <c r="AE958" s="3">
        <f>_xlfn.XLOOKUP(D958,Artists!A:A,Artists!C:C)</f>
        <v>0</v>
      </c>
      <c r="AF958" s="3" t="str">
        <f t="shared" si="88"/>
        <v>OTHR</v>
      </c>
      <c r="AG958" s="3" t="str">
        <f t="shared" si="89"/>
        <v>OTHR</v>
      </c>
    </row>
    <row r="959" spans="24:33" x14ac:dyDescent="0.3">
      <c r="X959" s="3" t="str">
        <f t="shared" si="84"/>
        <v>-SADNE-</v>
      </c>
      <c r="Y959" s="3" t="str">
        <f t="shared" si="85"/>
        <v>-SLOWSS-</v>
      </c>
      <c r="Z959" s="4" t="str">
        <f t="shared" si="86"/>
        <v>{"couname":"","img":"0","pty":"","artist":"","genres":"","duration":"","spotId":"","Items":["-SADNE-","-SLOWSS-","OTHR","OTHR","XT_OffAnimals"]},</v>
      </c>
      <c r="AA959" s="5" t="s">
        <v>5</v>
      </c>
      <c r="AB959" s="3" t="str">
        <f t="shared" si="87"/>
        <v>["-SADNE-","-SLOWSS-","OTHR","OTHR","XT_OffAnimals"]</v>
      </c>
      <c r="AC959" s="3">
        <f>_xlfn.XLOOKUP(A959,Album!A:A,Album!J:J)</f>
        <v>0</v>
      </c>
      <c r="AD959" s="3">
        <f>_xlfn.XLOOKUP(D959,Artists!A:A,Artists!B:B)</f>
        <v>0</v>
      </c>
      <c r="AE959" s="3">
        <f>_xlfn.XLOOKUP(D959,Artists!A:A,Artists!C:C)</f>
        <v>0</v>
      </c>
      <c r="AF959" s="3" t="str">
        <f t="shared" si="88"/>
        <v>OTHR</v>
      </c>
      <c r="AG959" s="3" t="str">
        <f t="shared" si="89"/>
        <v>OTHR</v>
      </c>
    </row>
    <row r="960" spans="24:33" x14ac:dyDescent="0.3">
      <c r="X960" s="3" t="str">
        <f t="shared" si="84"/>
        <v>-SADNE-</v>
      </c>
      <c r="Y960" s="3" t="str">
        <f t="shared" si="85"/>
        <v>-SLOWSS-</v>
      </c>
      <c r="Z960" s="4" t="str">
        <f t="shared" si="86"/>
        <v>{"couname":"","img":"0","pty":"","artist":"","genres":"","duration":"","spotId":"","Items":["-SADNE-","-SLOWSS-","OTHR","OTHR","XT_OffAnimals"]},</v>
      </c>
      <c r="AA960" s="5" t="s">
        <v>5</v>
      </c>
      <c r="AB960" s="3" t="str">
        <f t="shared" si="87"/>
        <v>["-SADNE-","-SLOWSS-","OTHR","OTHR","XT_OffAnimals"]</v>
      </c>
      <c r="AC960" s="3">
        <f>_xlfn.XLOOKUP(A960,Album!A:A,Album!J:J)</f>
        <v>0</v>
      </c>
      <c r="AD960" s="3">
        <f>_xlfn.XLOOKUP(D960,Artists!A:A,Artists!B:B)</f>
        <v>0</v>
      </c>
      <c r="AE960" s="3">
        <f>_xlfn.XLOOKUP(D960,Artists!A:A,Artists!C:C)</f>
        <v>0</v>
      </c>
      <c r="AF960" s="3" t="str">
        <f t="shared" si="88"/>
        <v>OTHR</v>
      </c>
      <c r="AG960" s="3" t="str">
        <f t="shared" si="89"/>
        <v>OTHR</v>
      </c>
    </row>
    <row r="961" spans="24:33" x14ac:dyDescent="0.3">
      <c r="X961" s="3" t="str">
        <f t="shared" si="84"/>
        <v>-SADNE-</v>
      </c>
      <c r="Y961" s="3" t="str">
        <f t="shared" si="85"/>
        <v>-SLOWSS-</v>
      </c>
      <c r="Z961" s="4" t="str">
        <f t="shared" si="86"/>
        <v>{"couname":"","img":"0","pty":"","artist":"","genres":"","duration":"","spotId":"","Items":["-SADNE-","-SLOWSS-","OTHR","OTHR","XT_OffAnimals"]},</v>
      </c>
      <c r="AA961" s="5" t="s">
        <v>5</v>
      </c>
      <c r="AB961" s="3" t="str">
        <f t="shared" si="87"/>
        <v>["-SADNE-","-SLOWSS-","OTHR","OTHR","XT_OffAnimals"]</v>
      </c>
      <c r="AC961" s="3">
        <f>_xlfn.XLOOKUP(A961,Album!A:A,Album!J:J)</f>
        <v>0</v>
      </c>
      <c r="AD961" s="3">
        <f>_xlfn.XLOOKUP(D961,Artists!A:A,Artists!B:B)</f>
        <v>0</v>
      </c>
      <c r="AE961" s="3">
        <f>_xlfn.XLOOKUP(D961,Artists!A:A,Artists!C:C)</f>
        <v>0</v>
      </c>
      <c r="AF961" s="3" t="str">
        <f t="shared" si="88"/>
        <v>OTHR</v>
      </c>
      <c r="AG961" s="3" t="str">
        <f t="shared" si="89"/>
        <v>OTHR</v>
      </c>
    </row>
    <row r="962" spans="24:33" x14ac:dyDescent="0.3">
      <c r="X962" s="3" t="str">
        <f t="shared" ref="X962:X1025" si="90">IF(OR(U962&lt;0.301, AND(U962&lt;0.4, P962=0)), "-SADNE-", "-HAPPY-")</f>
        <v>-SADNE-</v>
      </c>
      <c r="Y962" s="3" t="str">
        <f t="shared" ref="Y962:Y1025" si="91">IF(OR(AND(L962&lt;0.5,M962&lt;0.5),AND(L962&lt;0.45,V962&lt;100),AND(M962&lt;0.45,V962&lt;100),AND(U962&lt;0.39,V962&lt;100)),"-SLOWSS-","-ENERGY-")</f>
        <v>-SLOWSS-</v>
      </c>
      <c r="Z962" s="4" t="str">
        <f t="shared" si="86"/>
        <v>{"couname":"","img":"0","pty":"","artist":"","genres":"","duration":"","spotId":"","Items":["-SADNE-","-SLOWSS-","OTHR","OTHR","XT_OffAnimals"]},</v>
      </c>
      <c r="AA962" s="5" t="s">
        <v>5</v>
      </c>
      <c r="AB962" s="3" t="str">
        <f t="shared" si="87"/>
        <v>["-SADNE-","-SLOWSS-","OTHR","OTHR","XT_OffAnimals"]</v>
      </c>
      <c r="AC962" s="3">
        <f>_xlfn.XLOOKUP(A962,Album!A:A,Album!J:J)</f>
        <v>0</v>
      </c>
      <c r="AD962" s="3">
        <f>_xlfn.XLOOKUP(D962,Artists!A:A,Artists!B:B)</f>
        <v>0</v>
      </c>
      <c r="AE962" s="3">
        <f>_xlfn.XLOOKUP(D962,Artists!A:A,Artists!C:C)</f>
        <v>0</v>
      </c>
      <c r="AF962" s="3" t="str">
        <f t="shared" si="88"/>
        <v>OTHR</v>
      </c>
      <c r="AG962" s="3" t="str">
        <f t="shared" si="89"/>
        <v>OTHR</v>
      </c>
    </row>
    <row r="963" spans="24:33" x14ac:dyDescent="0.3">
      <c r="X963" s="3" t="str">
        <f t="shared" si="90"/>
        <v>-SADNE-</v>
      </c>
      <c r="Y963" s="3" t="str">
        <f t="shared" si="91"/>
        <v>-SLOWSS-</v>
      </c>
      <c r="Z963" s="4" t="str">
        <f t="shared" ref="Z963:Z1026" si="92">"{"&amp;CHAR(34)&amp;"couname"&amp;CHAR(34)&amp;":"&amp;CHAR(34)&amp;B963&amp;CHAR(34)&amp;","&amp;CHAR(34)&amp;"img"&amp;CHAR(34)&amp;":"&amp;CHAR(34)&amp;AC963&amp;CHAR(34)&amp;","&amp;CHAR(34)&amp;"pty"&amp;CHAR(34)&amp;":"&amp;CHAR(34)&amp;G963&amp;CHAR(34)&amp;","&amp;CHAR(34)&amp;"artist"&amp;CHAR(34)&amp;":"&amp;CHAR(34)&amp;D963&amp;CHAR(34)&amp;","&amp;CHAR(34)&amp;"genres"&amp;CHAR(34)&amp;":"&amp;CHAR(34)&amp;J963&amp;CHAR(34)&amp;","&amp;CHAR(34)&amp;"duration"&amp;CHAR(34)&amp;":"&amp;CHAR(34)&amp;F963&amp;CHAR(34)&amp;","&amp;CHAR(34)&amp;"spotId"&amp;CHAR(34)&amp;":"&amp;CHAR(34)&amp;A963&amp;CHAR(34)&amp;","&amp;CHAR(34)&amp;"Items"&amp;CHAR(34)&amp;":"&amp;AB963&amp;"},"</f>
        <v>{"couname":"","img":"0","pty":"","artist":"","genres":"","duration":"","spotId":"","Items":["-SADNE-","-SLOWSS-","OTHR","OTHR","XT_OffAnimals"]},</v>
      </c>
      <c r="AA963" s="5" t="s">
        <v>5</v>
      </c>
      <c r="AB963" s="3" t="str">
        <f t="shared" ref="AB963:AB1026" si="93" xml:space="preserve"> "[" &amp; _xlfn.TEXTJOIN(",",TRUE,CHAR(34) &amp; X963&amp; CHAR(34), CHAR(34) &amp; Y963 &amp; CHAR(34),  CHAR(34) &amp; AF963 &amp; CHAR(34), CHAR(34) &amp;AG963 &amp; CHAR(34), CHAR(34) &amp; AA963 &amp; CHAR(34)) &amp; "]"</f>
        <v>["-SADNE-","-SLOWSS-","OTHR","OTHR","XT_OffAnimals"]</v>
      </c>
      <c r="AC963" s="3">
        <f>_xlfn.XLOOKUP(A963,Album!A:A,Album!J:J)</f>
        <v>0</v>
      </c>
      <c r="AD963" s="3">
        <f>_xlfn.XLOOKUP(D963,Artists!A:A,Artists!B:B)</f>
        <v>0</v>
      </c>
      <c r="AE963" s="3">
        <f>_xlfn.XLOOKUP(D963,Artists!A:A,Artists!C:C)</f>
        <v>0</v>
      </c>
      <c r="AF963" s="3" t="str">
        <f t="shared" ref="AF963:AF1026" si="94">IF(ISNUMBER(SEARCH("female", AD963)), "GIRL", IF(ISNUMBER(SEARCH("male", AD963)), "DUDE", "OTHR"))</f>
        <v>OTHR</v>
      </c>
      <c r="AG963" s="3" t="str">
        <f t="shared" ref="AG963:AG1026" si="95">IF(ISNUMBER(SEARCH("band", AD963)), "BAND", IF(ISNUMBER(SEARCH("solo", AD963)), "SOLO", "OTHR"))</f>
        <v>OTHR</v>
      </c>
    </row>
    <row r="964" spans="24:33" x14ac:dyDescent="0.3">
      <c r="X964" s="3" t="str">
        <f t="shared" si="90"/>
        <v>-SADNE-</v>
      </c>
      <c r="Y964" s="3" t="str">
        <f t="shared" si="91"/>
        <v>-SLOWSS-</v>
      </c>
      <c r="Z964" s="4" t="str">
        <f t="shared" si="92"/>
        <v>{"couname":"","img":"0","pty":"","artist":"","genres":"","duration":"","spotId":"","Items":["-SADNE-","-SLOWSS-","OTHR","OTHR","XT_OffAnimals"]},</v>
      </c>
      <c r="AA964" s="5" t="s">
        <v>5</v>
      </c>
      <c r="AB964" s="3" t="str">
        <f t="shared" si="93"/>
        <v>["-SADNE-","-SLOWSS-","OTHR","OTHR","XT_OffAnimals"]</v>
      </c>
      <c r="AC964" s="3">
        <f>_xlfn.XLOOKUP(A964,Album!A:A,Album!J:J)</f>
        <v>0</v>
      </c>
      <c r="AD964" s="3">
        <f>_xlfn.XLOOKUP(D964,Artists!A:A,Artists!B:B)</f>
        <v>0</v>
      </c>
      <c r="AE964" s="3">
        <f>_xlfn.XLOOKUP(D964,Artists!A:A,Artists!C:C)</f>
        <v>0</v>
      </c>
      <c r="AF964" s="3" t="str">
        <f t="shared" si="94"/>
        <v>OTHR</v>
      </c>
      <c r="AG964" s="3" t="str">
        <f t="shared" si="95"/>
        <v>OTHR</v>
      </c>
    </row>
    <row r="965" spans="24:33" x14ac:dyDescent="0.3">
      <c r="X965" s="3" t="str">
        <f t="shared" si="90"/>
        <v>-SADNE-</v>
      </c>
      <c r="Y965" s="3" t="str">
        <f t="shared" si="91"/>
        <v>-SLOWSS-</v>
      </c>
      <c r="Z965" s="4" t="str">
        <f t="shared" si="92"/>
        <v>{"couname":"","img":"0","pty":"","artist":"","genres":"","duration":"","spotId":"","Items":["-SADNE-","-SLOWSS-","OTHR","OTHR","XT_OffAnimals"]},</v>
      </c>
      <c r="AA965" s="5" t="s">
        <v>5</v>
      </c>
      <c r="AB965" s="3" t="str">
        <f t="shared" si="93"/>
        <v>["-SADNE-","-SLOWSS-","OTHR","OTHR","XT_OffAnimals"]</v>
      </c>
      <c r="AC965" s="3">
        <f>_xlfn.XLOOKUP(A965,Album!A:A,Album!J:J)</f>
        <v>0</v>
      </c>
      <c r="AD965" s="3">
        <f>_xlfn.XLOOKUP(D965,Artists!A:A,Artists!B:B)</f>
        <v>0</v>
      </c>
      <c r="AE965" s="3">
        <f>_xlfn.XLOOKUP(D965,Artists!A:A,Artists!C:C)</f>
        <v>0</v>
      </c>
      <c r="AF965" s="3" t="str">
        <f t="shared" si="94"/>
        <v>OTHR</v>
      </c>
      <c r="AG965" s="3" t="str">
        <f t="shared" si="95"/>
        <v>OTHR</v>
      </c>
    </row>
    <row r="966" spans="24:33" x14ac:dyDescent="0.3">
      <c r="X966" s="3" t="str">
        <f t="shared" si="90"/>
        <v>-SADNE-</v>
      </c>
      <c r="Y966" s="3" t="str">
        <f t="shared" si="91"/>
        <v>-SLOWSS-</v>
      </c>
      <c r="Z966" s="4" t="str">
        <f t="shared" si="92"/>
        <v>{"couname":"","img":"0","pty":"","artist":"","genres":"","duration":"","spotId":"","Items":["-SADNE-","-SLOWSS-","OTHR","OTHR","XT_OffAnimals"]},</v>
      </c>
      <c r="AA966" s="5" t="s">
        <v>5</v>
      </c>
      <c r="AB966" s="3" t="str">
        <f t="shared" si="93"/>
        <v>["-SADNE-","-SLOWSS-","OTHR","OTHR","XT_OffAnimals"]</v>
      </c>
      <c r="AC966" s="3">
        <f>_xlfn.XLOOKUP(A966,Album!A:A,Album!J:J)</f>
        <v>0</v>
      </c>
      <c r="AD966" s="3">
        <f>_xlfn.XLOOKUP(D966,Artists!A:A,Artists!B:B)</f>
        <v>0</v>
      </c>
      <c r="AE966" s="3">
        <f>_xlfn.XLOOKUP(D966,Artists!A:A,Artists!C:C)</f>
        <v>0</v>
      </c>
      <c r="AF966" s="3" t="str">
        <f t="shared" si="94"/>
        <v>OTHR</v>
      </c>
      <c r="AG966" s="3" t="str">
        <f t="shared" si="95"/>
        <v>OTHR</v>
      </c>
    </row>
    <row r="967" spans="24:33" x14ac:dyDescent="0.3">
      <c r="X967" s="3" t="str">
        <f t="shared" si="90"/>
        <v>-SADNE-</v>
      </c>
      <c r="Y967" s="3" t="str">
        <f t="shared" si="91"/>
        <v>-SLOWSS-</v>
      </c>
      <c r="Z967" s="4" t="str">
        <f t="shared" si="92"/>
        <v>{"couname":"","img":"0","pty":"","artist":"","genres":"","duration":"","spotId":"","Items":["-SADNE-","-SLOWSS-","OTHR","OTHR","XT_OffAnimals"]},</v>
      </c>
      <c r="AA967" s="5" t="s">
        <v>5</v>
      </c>
      <c r="AB967" s="3" t="str">
        <f t="shared" si="93"/>
        <v>["-SADNE-","-SLOWSS-","OTHR","OTHR","XT_OffAnimals"]</v>
      </c>
      <c r="AC967" s="3">
        <f>_xlfn.XLOOKUP(A967,Album!A:A,Album!J:J)</f>
        <v>0</v>
      </c>
      <c r="AD967" s="3">
        <f>_xlfn.XLOOKUP(D967,Artists!A:A,Artists!B:B)</f>
        <v>0</v>
      </c>
      <c r="AE967" s="3">
        <f>_xlfn.XLOOKUP(D967,Artists!A:A,Artists!C:C)</f>
        <v>0</v>
      </c>
      <c r="AF967" s="3" t="str">
        <f t="shared" si="94"/>
        <v>OTHR</v>
      </c>
      <c r="AG967" s="3" t="str">
        <f t="shared" si="95"/>
        <v>OTHR</v>
      </c>
    </row>
    <row r="968" spans="24:33" x14ac:dyDescent="0.3">
      <c r="X968" s="3" t="str">
        <f t="shared" si="90"/>
        <v>-SADNE-</v>
      </c>
      <c r="Y968" s="3" t="str">
        <f t="shared" si="91"/>
        <v>-SLOWSS-</v>
      </c>
      <c r="Z968" s="4" t="str">
        <f t="shared" si="92"/>
        <v>{"couname":"","img":"0","pty":"","artist":"","genres":"","duration":"","spotId":"","Items":["-SADNE-","-SLOWSS-","OTHR","OTHR","XT_OffAnimals"]},</v>
      </c>
      <c r="AA968" s="5" t="s">
        <v>5</v>
      </c>
      <c r="AB968" s="3" t="str">
        <f t="shared" si="93"/>
        <v>["-SADNE-","-SLOWSS-","OTHR","OTHR","XT_OffAnimals"]</v>
      </c>
      <c r="AC968" s="3">
        <f>_xlfn.XLOOKUP(A968,Album!A:A,Album!J:J)</f>
        <v>0</v>
      </c>
      <c r="AD968" s="3">
        <f>_xlfn.XLOOKUP(D968,Artists!A:A,Artists!B:B)</f>
        <v>0</v>
      </c>
      <c r="AE968" s="3">
        <f>_xlfn.XLOOKUP(D968,Artists!A:A,Artists!C:C)</f>
        <v>0</v>
      </c>
      <c r="AF968" s="3" t="str">
        <f t="shared" si="94"/>
        <v>OTHR</v>
      </c>
      <c r="AG968" s="3" t="str">
        <f t="shared" si="95"/>
        <v>OTHR</v>
      </c>
    </row>
    <row r="969" spans="24:33" x14ac:dyDescent="0.3">
      <c r="X969" s="3" t="str">
        <f t="shared" si="90"/>
        <v>-SADNE-</v>
      </c>
      <c r="Y969" s="3" t="str">
        <f t="shared" si="91"/>
        <v>-SLOWSS-</v>
      </c>
      <c r="Z969" s="4" t="str">
        <f t="shared" si="92"/>
        <v>{"couname":"","img":"0","pty":"","artist":"","genres":"","duration":"","spotId":"","Items":["-SADNE-","-SLOWSS-","OTHR","OTHR","XT_OffAnimals"]},</v>
      </c>
      <c r="AA969" s="5" t="s">
        <v>5</v>
      </c>
      <c r="AB969" s="3" t="str">
        <f t="shared" si="93"/>
        <v>["-SADNE-","-SLOWSS-","OTHR","OTHR","XT_OffAnimals"]</v>
      </c>
      <c r="AC969" s="3">
        <f>_xlfn.XLOOKUP(A969,Album!A:A,Album!J:J)</f>
        <v>0</v>
      </c>
      <c r="AD969" s="3">
        <f>_xlfn.XLOOKUP(D969,Artists!A:A,Artists!B:B)</f>
        <v>0</v>
      </c>
      <c r="AE969" s="3">
        <f>_xlfn.XLOOKUP(D969,Artists!A:A,Artists!C:C)</f>
        <v>0</v>
      </c>
      <c r="AF969" s="3" t="str">
        <f t="shared" si="94"/>
        <v>OTHR</v>
      </c>
      <c r="AG969" s="3" t="str">
        <f t="shared" si="95"/>
        <v>OTHR</v>
      </c>
    </row>
    <row r="970" spans="24:33" x14ac:dyDescent="0.3">
      <c r="X970" s="3" t="str">
        <f t="shared" si="90"/>
        <v>-SADNE-</v>
      </c>
      <c r="Y970" s="3" t="str">
        <f t="shared" si="91"/>
        <v>-SLOWSS-</v>
      </c>
      <c r="Z970" s="4" t="str">
        <f t="shared" si="92"/>
        <v>{"couname":"","img":"0","pty":"","artist":"","genres":"","duration":"","spotId":"","Items":["-SADNE-","-SLOWSS-","OTHR","OTHR","XT_OffAnimals"]},</v>
      </c>
      <c r="AA970" s="5" t="s">
        <v>5</v>
      </c>
      <c r="AB970" s="3" t="str">
        <f t="shared" si="93"/>
        <v>["-SADNE-","-SLOWSS-","OTHR","OTHR","XT_OffAnimals"]</v>
      </c>
      <c r="AC970" s="3">
        <f>_xlfn.XLOOKUP(A970,Album!A:A,Album!J:J)</f>
        <v>0</v>
      </c>
      <c r="AD970" s="3">
        <f>_xlfn.XLOOKUP(D970,Artists!A:A,Artists!B:B)</f>
        <v>0</v>
      </c>
      <c r="AE970" s="3">
        <f>_xlfn.XLOOKUP(D970,Artists!A:A,Artists!C:C)</f>
        <v>0</v>
      </c>
      <c r="AF970" s="3" t="str">
        <f t="shared" si="94"/>
        <v>OTHR</v>
      </c>
      <c r="AG970" s="3" t="str">
        <f t="shared" si="95"/>
        <v>OTHR</v>
      </c>
    </row>
    <row r="971" spans="24:33" x14ac:dyDescent="0.3">
      <c r="X971" s="3" t="str">
        <f t="shared" si="90"/>
        <v>-SADNE-</v>
      </c>
      <c r="Y971" s="3" t="str">
        <f t="shared" si="91"/>
        <v>-SLOWSS-</v>
      </c>
      <c r="Z971" s="4" t="str">
        <f t="shared" si="92"/>
        <v>{"couname":"","img":"0","pty":"","artist":"","genres":"","duration":"","spotId":"","Items":["-SADNE-","-SLOWSS-","OTHR","OTHR","XT_OffAnimals"]},</v>
      </c>
      <c r="AA971" s="5" t="s">
        <v>5</v>
      </c>
      <c r="AB971" s="3" t="str">
        <f t="shared" si="93"/>
        <v>["-SADNE-","-SLOWSS-","OTHR","OTHR","XT_OffAnimals"]</v>
      </c>
      <c r="AC971" s="3">
        <f>_xlfn.XLOOKUP(A971,Album!A:A,Album!J:J)</f>
        <v>0</v>
      </c>
      <c r="AD971" s="3">
        <f>_xlfn.XLOOKUP(D971,Artists!A:A,Artists!B:B)</f>
        <v>0</v>
      </c>
      <c r="AE971" s="3">
        <f>_xlfn.XLOOKUP(D971,Artists!A:A,Artists!C:C)</f>
        <v>0</v>
      </c>
      <c r="AF971" s="3" t="str">
        <f t="shared" si="94"/>
        <v>OTHR</v>
      </c>
      <c r="AG971" s="3" t="str">
        <f t="shared" si="95"/>
        <v>OTHR</v>
      </c>
    </row>
    <row r="972" spans="24:33" x14ac:dyDescent="0.3">
      <c r="X972" s="3" t="str">
        <f t="shared" si="90"/>
        <v>-SADNE-</v>
      </c>
      <c r="Y972" s="3" t="str">
        <f t="shared" si="91"/>
        <v>-SLOWSS-</v>
      </c>
      <c r="Z972" s="4" t="str">
        <f t="shared" si="92"/>
        <v>{"couname":"","img":"0","pty":"","artist":"","genres":"","duration":"","spotId":"","Items":["-SADNE-","-SLOWSS-","OTHR","OTHR","XT_OffAnimals"]},</v>
      </c>
      <c r="AA972" s="5" t="s">
        <v>5</v>
      </c>
      <c r="AB972" s="3" t="str">
        <f t="shared" si="93"/>
        <v>["-SADNE-","-SLOWSS-","OTHR","OTHR","XT_OffAnimals"]</v>
      </c>
      <c r="AC972" s="3">
        <f>_xlfn.XLOOKUP(A972,Album!A:A,Album!J:J)</f>
        <v>0</v>
      </c>
      <c r="AD972" s="3">
        <f>_xlfn.XLOOKUP(D972,Artists!A:A,Artists!B:B)</f>
        <v>0</v>
      </c>
      <c r="AE972" s="3">
        <f>_xlfn.XLOOKUP(D972,Artists!A:A,Artists!C:C)</f>
        <v>0</v>
      </c>
      <c r="AF972" s="3" t="str">
        <f t="shared" si="94"/>
        <v>OTHR</v>
      </c>
      <c r="AG972" s="3" t="str">
        <f t="shared" si="95"/>
        <v>OTHR</v>
      </c>
    </row>
    <row r="973" spans="24:33" x14ac:dyDescent="0.3">
      <c r="X973" s="3" t="str">
        <f t="shared" si="90"/>
        <v>-SADNE-</v>
      </c>
      <c r="Y973" s="3" t="str">
        <f t="shared" si="91"/>
        <v>-SLOWSS-</v>
      </c>
      <c r="Z973" s="4" t="str">
        <f t="shared" si="92"/>
        <v>{"couname":"","img":"0","pty":"","artist":"","genres":"","duration":"","spotId":"","Items":["-SADNE-","-SLOWSS-","OTHR","OTHR","XT_OffAnimals"]},</v>
      </c>
      <c r="AA973" s="5" t="s">
        <v>5</v>
      </c>
      <c r="AB973" s="3" t="str">
        <f t="shared" si="93"/>
        <v>["-SADNE-","-SLOWSS-","OTHR","OTHR","XT_OffAnimals"]</v>
      </c>
      <c r="AC973" s="3">
        <f>_xlfn.XLOOKUP(A973,Album!A:A,Album!J:J)</f>
        <v>0</v>
      </c>
      <c r="AD973" s="3">
        <f>_xlfn.XLOOKUP(D973,Artists!A:A,Artists!B:B)</f>
        <v>0</v>
      </c>
      <c r="AE973" s="3">
        <f>_xlfn.XLOOKUP(D973,Artists!A:A,Artists!C:C)</f>
        <v>0</v>
      </c>
      <c r="AF973" s="3" t="str">
        <f t="shared" si="94"/>
        <v>OTHR</v>
      </c>
      <c r="AG973" s="3" t="str">
        <f t="shared" si="95"/>
        <v>OTHR</v>
      </c>
    </row>
    <row r="974" spans="24:33" x14ac:dyDescent="0.3">
      <c r="X974" s="3" t="str">
        <f t="shared" si="90"/>
        <v>-SADNE-</v>
      </c>
      <c r="Y974" s="3" t="str">
        <f t="shared" si="91"/>
        <v>-SLOWSS-</v>
      </c>
      <c r="Z974" s="4" t="str">
        <f t="shared" si="92"/>
        <v>{"couname":"","img":"0","pty":"","artist":"","genres":"","duration":"","spotId":"","Items":["-SADNE-","-SLOWSS-","OTHR","OTHR","XT_OffAnimals"]},</v>
      </c>
      <c r="AA974" s="5" t="s">
        <v>5</v>
      </c>
      <c r="AB974" s="3" t="str">
        <f t="shared" si="93"/>
        <v>["-SADNE-","-SLOWSS-","OTHR","OTHR","XT_OffAnimals"]</v>
      </c>
      <c r="AC974" s="3">
        <f>_xlfn.XLOOKUP(A974,Album!A:A,Album!J:J)</f>
        <v>0</v>
      </c>
      <c r="AD974" s="3">
        <f>_xlfn.XLOOKUP(D974,Artists!A:A,Artists!B:B)</f>
        <v>0</v>
      </c>
      <c r="AE974" s="3">
        <f>_xlfn.XLOOKUP(D974,Artists!A:A,Artists!C:C)</f>
        <v>0</v>
      </c>
      <c r="AF974" s="3" t="str">
        <f t="shared" si="94"/>
        <v>OTHR</v>
      </c>
      <c r="AG974" s="3" t="str">
        <f t="shared" si="95"/>
        <v>OTHR</v>
      </c>
    </row>
    <row r="975" spans="24:33" x14ac:dyDescent="0.3">
      <c r="X975" s="3" t="str">
        <f t="shared" si="90"/>
        <v>-SADNE-</v>
      </c>
      <c r="Y975" s="3" t="str">
        <f t="shared" si="91"/>
        <v>-SLOWSS-</v>
      </c>
      <c r="Z975" s="4" t="str">
        <f t="shared" si="92"/>
        <v>{"couname":"","img":"0","pty":"","artist":"","genres":"","duration":"","spotId":"","Items":["-SADNE-","-SLOWSS-","OTHR","OTHR","XT_OffAnimals"]},</v>
      </c>
      <c r="AA975" s="5" t="s">
        <v>5</v>
      </c>
      <c r="AB975" s="3" t="str">
        <f t="shared" si="93"/>
        <v>["-SADNE-","-SLOWSS-","OTHR","OTHR","XT_OffAnimals"]</v>
      </c>
      <c r="AC975" s="3">
        <f>_xlfn.XLOOKUP(A975,Album!A:A,Album!J:J)</f>
        <v>0</v>
      </c>
      <c r="AD975" s="3">
        <f>_xlfn.XLOOKUP(D975,Artists!A:A,Artists!B:B)</f>
        <v>0</v>
      </c>
      <c r="AE975" s="3">
        <f>_xlfn.XLOOKUP(D975,Artists!A:A,Artists!C:C)</f>
        <v>0</v>
      </c>
      <c r="AF975" s="3" t="str">
        <f t="shared" si="94"/>
        <v>OTHR</v>
      </c>
      <c r="AG975" s="3" t="str">
        <f t="shared" si="95"/>
        <v>OTHR</v>
      </c>
    </row>
    <row r="976" spans="24:33" x14ac:dyDescent="0.3">
      <c r="X976" s="3" t="str">
        <f t="shared" si="90"/>
        <v>-SADNE-</v>
      </c>
      <c r="Y976" s="3" t="str">
        <f t="shared" si="91"/>
        <v>-SLOWSS-</v>
      </c>
      <c r="Z976" s="4" t="str">
        <f t="shared" si="92"/>
        <v>{"couname":"","img":"0","pty":"","artist":"","genres":"","duration":"","spotId":"","Items":["-SADNE-","-SLOWSS-","OTHR","OTHR","XT_OffAnimals"]},</v>
      </c>
      <c r="AA976" s="5" t="s">
        <v>5</v>
      </c>
      <c r="AB976" s="3" t="str">
        <f t="shared" si="93"/>
        <v>["-SADNE-","-SLOWSS-","OTHR","OTHR","XT_OffAnimals"]</v>
      </c>
      <c r="AC976" s="3">
        <f>_xlfn.XLOOKUP(A976,Album!A:A,Album!J:J)</f>
        <v>0</v>
      </c>
      <c r="AD976" s="3">
        <f>_xlfn.XLOOKUP(D976,Artists!A:A,Artists!B:B)</f>
        <v>0</v>
      </c>
      <c r="AE976" s="3">
        <f>_xlfn.XLOOKUP(D976,Artists!A:A,Artists!C:C)</f>
        <v>0</v>
      </c>
      <c r="AF976" s="3" t="str">
        <f t="shared" si="94"/>
        <v>OTHR</v>
      </c>
      <c r="AG976" s="3" t="str">
        <f t="shared" si="95"/>
        <v>OTHR</v>
      </c>
    </row>
    <row r="977" spans="24:33" x14ac:dyDescent="0.3">
      <c r="X977" s="3" t="str">
        <f t="shared" si="90"/>
        <v>-SADNE-</v>
      </c>
      <c r="Y977" s="3" t="str">
        <f t="shared" si="91"/>
        <v>-SLOWSS-</v>
      </c>
      <c r="Z977" s="4" t="str">
        <f t="shared" si="92"/>
        <v>{"couname":"","img":"0","pty":"","artist":"","genres":"","duration":"","spotId":"","Items":["-SADNE-","-SLOWSS-","OTHR","OTHR","XT_OffAnimals"]},</v>
      </c>
      <c r="AA977" s="5" t="s">
        <v>5</v>
      </c>
      <c r="AB977" s="3" t="str">
        <f t="shared" si="93"/>
        <v>["-SADNE-","-SLOWSS-","OTHR","OTHR","XT_OffAnimals"]</v>
      </c>
      <c r="AC977" s="3">
        <f>_xlfn.XLOOKUP(A977,Album!A:A,Album!J:J)</f>
        <v>0</v>
      </c>
      <c r="AD977" s="3">
        <f>_xlfn.XLOOKUP(D977,Artists!A:A,Artists!B:B)</f>
        <v>0</v>
      </c>
      <c r="AE977" s="3">
        <f>_xlfn.XLOOKUP(D977,Artists!A:A,Artists!C:C)</f>
        <v>0</v>
      </c>
      <c r="AF977" s="3" t="str">
        <f t="shared" si="94"/>
        <v>OTHR</v>
      </c>
      <c r="AG977" s="3" t="str">
        <f t="shared" si="95"/>
        <v>OTHR</v>
      </c>
    </row>
    <row r="978" spans="24:33" x14ac:dyDescent="0.3">
      <c r="X978" s="3" t="str">
        <f t="shared" si="90"/>
        <v>-SADNE-</v>
      </c>
      <c r="Y978" s="3" t="str">
        <f t="shared" si="91"/>
        <v>-SLOWSS-</v>
      </c>
      <c r="Z978" s="4" t="str">
        <f t="shared" si="92"/>
        <v>{"couname":"","img":"0","pty":"","artist":"","genres":"","duration":"","spotId":"","Items":["-SADNE-","-SLOWSS-","OTHR","OTHR","XT_OffAnimals"]},</v>
      </c>
      <c r="AA978" s="5" t="s">
        <v>5</v>
      </c>
      <c r="AB978" s="3" t="str">
        <f t="shared" si="93"/>
        <v>["-SADNE-","-SLOWSS-","OTHR","OTHR","XT_OffAnimals"]</v>
      </c>
      <c r="AC978" s="3">
        <f>_xlfn.XLOOKUP(A978,Album!A:A,Album!J:J)</f>
        <v>0</v>
      </c>
      <c r="AD978" s="3">
        <f>_xlfn.XLOOKUP(D978,Artists!A:A,Artists!B:B)</f>
        <v>0</v>
      </c>
      <c r="AE978" s="3">
        <f>_xlfn.XLOOKUP(D978,Artists!A:A,Artists!C:C)</f>
        <v>0</v>
      </c>
      <c r="AF978" s="3" t="str">
        <f t="shared" si="94"/>
        <v>OTHR</v>
      </c>
      <c r="AG978" s="3" t="str">
        <f t="shared" si="95"/>
        <v>OTHR</v>
      </c>
    </row>
    <row r="979" spans="24:33" x14ac:dyDescent="0.3">
      <c r="X979" s="3" t="str">
        <f t="shared" si="90"/>
        <v>-SADNE-</v>
      </c>
      <c r="Y979" s="3" t="str">
        <f t="shared" si="91"/>
        <v>-SLOWSS-</v>
      </c>
      <c r="Z979" s="4" t="str">
        <f t="shared" si="92"/>
        <v>{"couname":"","img":"0","pty":"","artist":"","genres":"","duration":"","spotId":"","Items":["-SADNE-","-SLOWSS-","OTHR","OTHR","XT_OffAnimals"]},</v>
      </c>
      <c r="AA979" s="5" t="s">
        <v>5</v>
      </c>
      <c r="AB979" s="3" t="str">
        <f t="shared" si="93"/>
        <v>["-SADNE-","-SLOWSS-","OTHR","OTHR","XT_OffAnimals"]</v>
      </c>
      <c r="AC979" s="3">
        <f>_xlfn.XLOOKUP(A979,Album!A:A,Album!J:J)</f>
        <v>0</v>
      </c>
      <c r="AD979" s="3">
        <f>_xlfn.XLOOKUP(D979,Artists!A:A,Artists!B:B)</f>
        <v>0</v>
      </c>
      <c r="AE979" s="3">
        <f>_xlfn.XLOOKUP(D979,Artists!A:A,Artists!C:C)</f>
        <v>0</v>
      </c>
      <c r="AF979" s="3" t="str">
        <f t="shared" si="94"/>
        <v>OTHR</v>
      </c>
      <c r="AG979" s="3" t="str">
        <f t="shared" si="95"/>
        <v>OTHR</v>
      </c>
    </row>
    <row r="980" spans="24:33" x14ac:dyDescent="0.3">
      <c r="X980" s="3" t="str">
        <f t="shared" si="90"/>
        <v>-SADNE-</v>
      </c>
      <c r="Y980" s="3" t="str">
        <f t="shared" si="91"/>
        <v>-SLOWSS-</v>
      </c>
      <c r="Z980" s="4" t="str">
        <f t="shared" si="92"/>
        <v>{"couname":"","img":"0","pty":"","artist":"","genres":"","duration":"","spotId":"","Items":["-SADNE-","-SLOWSS-","OTHR","OTHR","XT_OffAnimals"]},</v>
      </c>
      <c r="AA980" s="5" t="s">
        <v>5</v>
      </c>
      <c r="AB980" s="3" t="str">
        <f t="shared" si="93"/>
        <v>["-SADNE-","-SLOWSS-","OTHR","OTHR","XT_OffAnimals"]</v>
      </c>
      <c r="AC980" s="3">
        <f>_xlfn.XLOOKUP(A980,Album!A:A,Album!J:J)</f>
        <v>0</v>
      </c>
      <c r="AD980" s="3">
        <f>_xlfn.XLOOKUP(D980,Artists!A:A,Artists!B:B)</f>
        <v>0</v>
      </c>
      <c r="AE980" s="3">
        <f>_xlfn.XLOOKUP(D980,Artists!A:A,Artists!C:C)</f>
        <v>0</v>
      </c>
      <c r="AF980" s="3" t="str">
        <f t="shared" si="94"/>
        <v>OTHR</v>
      </c>
      <c r="AG980" s="3" t="str">
        <f t="shared" si="95"/>
        <v>OTHR</v>
      </c>
    </row>
    <row r="981" spans="24:33" x14ac:dyDescent="0.3">
      <c r="X981" s="3" t="str">
        <f t="shared" si="90"/>
        <v>-SADNE-</v>
      </c>
      <c r="Y981" s="3" t="str">
        <f t="shared" si="91"/>
        <v>-SLOWSS-</v>
      </c>
      <c r="Z981" s="4" t="str">
        <f t="shared" si="92"/>
        <v>{"couname":"","img":"0","pty":"","artist":"","genres":"","duration":"","spotId":"","Items":["-SADNE-","-SLOWSS-","OTHR","OTHR","XT_OffAnimals"]},</v>
      </c>
      <c r="AA981" s="5" t="s">
        <v>5</v>
      </c>
      <c r="AB981" s="3" t="str">
        <f t="shared" si="93"/>
        <v>["-SADNE-","-SLOWSS-","OTHR","OTHR","XT_OffAnimals"]</v>
      </c>
      <c r="AC981" s="3">
        <f>_xlfn.XLOOKUP(A981,Album!A:A,Album!J:J)</f>
        <v>0</v>
      </c>
      <c r="AD981" s="3">
        <f>_xlfn.XLOOKUP(D981,Artists!A:A,Artists!B:B)</f>
        <v>0</v>
      </c>
      <c r="AE981" s="3">
        <f>_xlfn.XLOOKUP(D981,Artists!A:A,Artists!C:C)</f>
        <v>0</v>
      </c>
      <c r="AF981" s="3" t="str">
        <f t="shared" si="94"/>
        <v>OTHR</v>
      </c>
      <c r="AG981" s="3" t="str">
        <f t="shared" si="95"/>
        <v>OTHR</v>
      </c>
    </row>
    <row r="982" spans="24:33" x14ac:dyDescent="0.3">
      <c r="X982" s="3" t="str">
        <f t="shared" si="90"/>
        <v>-SADNE-</v>
      </c>
      <c r="Y982" s="3" t="str">
        <f t="shared" si="91"/>
        <v>-SLOWSS-</v>
      </c>
      <c r="Z982" s="4" t="str">
        <f t="shared" si="92"/>
        <v>{"couname":"","img":"0","pty":"","artist":"","genres":"","duration":"","spotId":"","Items":["-SADNE-","-SLOWSS-","OTHR","OTHR","XT_OffAnimals"]},</v>
      </c>
      <c r="AA982" s="5" t="s">
        <v>5</v>
      </c>
      <c r="AB982" s="3" t="str">
        <f t="shared" si="93"/>
        <v>["-SADNE-","-SLOWSS-","OTHR","OTHR","XT_OffAnimals"]</v>
      </c>
      <c r="AC982" s="3">
        <f>_xlfn.XLOOKUP(A982,Album!A:A,Album!J:J)</f>
        <v>0</v>
      </c>
      <c r="AD982" s="3">
        <f>_xlfn.XLOOKUP(D982,Artists!A:A,Artists!B:B)</f>
        <v>0</v>
      </c>
      <c r="AE982" s="3">
        <f>_xlfn.XLOOKUP(D982,Artists!A:A,Artists!C:C)</f>
        <v>0</v>
      </c>
      <c r="AF982" s="3" t="str">
        <f t="shared" si="94"/>
        <v>OTHR</v>
      </c>
      <c r="AG982" s="3" t="str">
        <f t="shared" si="95"/>
        <v>OTHR</v>
      </c>
    </row>
    <row r="983" spans="24:33" x14ac:dyDescent="0.3">
      <c r="X983" s="3" t="str">
        <f t="shared" si="90"/>
        <v>-SADNE-</v>
      </c>
      <c r="Y983" s="3" t="str">
        <f t="shared" si="91"/>
        <v>-SLOWSS-</v>
      </c>
      <c r="Z983" s="4" t="str">
        <f t="shared" si="92"/>
        <v>{"couname":"","img":"0","pty":"","artist":"","genres":"","duration":"","spotId":"","Items":["-SADNE-","-SLOWSS-","OTHR","OTHR","XT_OffAnimals"]},</v>
      </c>
      <c r="AA983" s="5" t="s">
        <v>5</v>
      </c>
      <c r="AB983" s="3" t="str">
        <f t="shared" si="93"/>
        <v>["-SADNE-","-SLOWSS-","OTHR","OTHR","XT_OffAnimals"]</v>
      </c>
      <c r="AC983" s="3">
        <f>_xlfn.XLOOKUP(A983,Album!A:A,Album!J:J)</f>
        <v>0</v>
      </c>
      <c r="AD983" s="3">
        <f>_xlfn.XLOOKUP(D983,Artists!A:A,Artists!B:B)</f>
        <v>0</v>
      </c>
      <c r="AE983" s="3">
        <f>_xlfn.XLOOKUP(D983,Artists!A:A,Artists!C:C)</f>
        <v>0</v>
      </c>
      <c r="AF983" s="3" t="str">
        <f t="shared" si="94"/>
        <v>OTHR</v>
      </c>
      <c r="AG983" s="3" t="str">
        <f t="shared" si="95"/>
        <v>OTHR</v>
      </c>
    </row>
    <row r="984" spans="24:33" x14ac:dyDescent="0.3">
      <c r="X984" s="3" t="str">
        <f t="shared" si="90"/>
        <v>-SADNE-</v>
      </c>
      <c r="Y984" s="3" t="str">
        <f t="shared" si="91"/>
        <v>-SLOWSS-</v>
      </c>
      <c r="Z984" s="4" t="str">
        <f t="shared" si="92"/>
        <v>{"couname":"","img":"0","pty":"","artist":"","genres":"","duration":"","spotId":"","Items":["-SADNE-","-SLOWSS-","OTHR","OTHR","XT_OffAnimals"]},</v>
      </c>
      <c r="AA984" s="5" t="s">
        <v>5</v>
      </c>
      <c r="AB984" s="3" t="str">
        <f t="shared" si="93"/>
        <v>["-SADNE-","-SLOWSS-","OTHR","OTHR","XT_OffAnimals"]</v>
      </c>
      <c r="AC984" s="3">
        <f>_xlfn.XLOOKUP(A984,Album!A:A,Album!J:J)</f>
        <v>0</v>
      </c>
      <c r="AD984" s="3">
        <f>_xlfn.XLOOKUP(D984,Artists!A:A,Artists!B:B)</f>
        <v>0</v>
      </c>
      <c r="AE984" s="3">
        <f>_xlfn.XLOOKUP(D984,Artists!A:A,Artists!C:C)</f>
        <v>0</v>
      </c>
      <c r="AF984" s="3" t="str">
        <f t="shared" si="94"/>
        <v>OTHR</v>
      </c>
      <c r="AG984" s="3" t="str">
        <f t="shared" si="95"/>
        <v>OTHR</v>
      </c>
    </row>
    <row r="985" spans="24:33" x14ac:dyDescent="0.3">
      <c r="X985" s="3" t="str">
        <f t="shared" si="90"/>
        <v>-SADNE-</v>
      </c>
      <c r="Y985" s="3" t="str">
        <f t="shared" si="91"/>
        <v>-SLOWSS-</v>
      </c>
      <c r="Z985" s="4" t="str">
        <f t="shared" si="92"/>
        <v>{"couname":"","img":"0","pty":"","artist":"","genres":"","duration":"","spotId":"","Items":["-SADNE-","-SLOWSS-","OTHR","OTHR","XT_OffAnimals"]},</v>
      </c>
      <c r="AA985" s="5" t="s">
        <v>5</v>
      </c>
      <c r="AB985" s="3" t="str">
        <f t="shared" si="93"/>
        <v>["-SADNE-","-SLOWSS-","OTHR","OTHR","XT_OffAnimals"]</v>
      </c>
      <c r="AC985" s="3">
        <f>_xlfn.XLOOKUP(A985,Album!A:A,Album!J:J)</f>
        <v>0</v>
      </c>
      <c r="AD985" s="3">
        <f>_xlfn.XLOOKUP(D985,Artists!A:A,Artists!B:B)</f>
        <v>0</v>
      </c>
      <c r="AE985" s="3">
        <f>_xlfn.XLOOKUP(D985,Artists!A:A,Artists!C:C)</f>
        <v>0</v>
      </c>
      <c r="AF985" s="3" t="str">
        <f t="shared" si="94"/>
        <v>OTHR</v>
      </c>
      <c r="AG985" s="3" t="str">
        <f t="shared" si="95"/>
        <v>OTHR</v>
      </c>
    </row>
    <row r="986" spans="24:33" x14ac:dyDescent="0.3">
      <c r="X986" s="3" t="str">
        <f t="shared" si="90"/>
        <v>-SADNE-</v>
      </c>
      <c r="Y986" s="3" t="str">
        <f t="shared" si="91"/>
        <v>-SLOWSS-</v>
      </c>
      <c r="Z986" s="4" t="str">
        <f t="shared" si="92"/>
        <v>{"couname":"","img":"0","pty":"","artist":"","genres":"","duration":"","spotId":"","Items":["-SADNE-","-SLOWSS-","OTHR","OTHR","XT_OffAnimals"]},</v>
      </c>
      <c r="AA986" s="5" t="s">
        <v>5</v>
      </c>
      <c r="AB986" s="3" t="str">
        <f t="shared" si="93"/>
        <v>["-SADNE-","-SLOWSS-","OTHR","OTHR","XT_OffAnimals"]</v>
      </c>
      <c r="AC986" s="3">
        <f>_xlfn.XLOOKUP(A986,Album!A:A,Album!J:J)</f>
        <v>0</v>
      </c>
      <c r="AD986" s="3">
        <f>_xlfn.XLOOKUP(D986,Artists!A:A,Artists!B:B)</f>
        <v>0</v>
      </c>
      <c r="AE986" s="3">
        <f>_xlfn.XLOOKUP(D986,Artists!A:A,Artists!C:C)</f>
        <v>0</v>
      </c>
      <c r="AF986" s="3" t="str">
        <f t="shared" si="94"/>
        <v>OTHR</v>
      </c>
      <c r="AG986" s="3" t="str">
        <f t="shared" si="95"/>
        <v>OTHR</v>
      </c>
    </row>
    <row r="987" spans="24:33" x14ac:dyDescent="0.3">
      <c r="X987" s="3" t="str">
        <f t="shared" si="90"/>
        <v>-SADNE-</v>
      </c>
      <c r="Y987" s="3" t="str">
        <f t="shared" si="91"/>
        <v>-SLOWSS-</v>
      </c>
      <c r="Z987" s="4" t="str">
        <f t="shared" si="92"/>
        <v>{"couname":"","img":"0","pty":"","artist":"","genres":"","duration":"","spotId":"","Items":["-SADNE-","-SLOWSS-","OTHR","OTHR","XT_OffAnimals"]},</v>
      </c>
      <c r="AA987" s="5" t="s">
        <v>5</v>
      </c>
      <c r="AB987" s="3" t="str">
        <f t="shared" si="93"/>
        <v>["-SADNE-","-SLOWSS-","OTHR","OTHR","XT_OffAnimals"]</v>
      </c>
      <c r="AC987" s="3">
        <f>_xlfn.XLOOKUP(A987,Album!A:A,Album!J:J)</f>
        <v>0</v>
      </c>
      <c r="AD987" s="3">
        <f>_xlfn.XLOOKUP(D987,Artists!A:A,Artists!B:B)</f>
        <v>0</v>
      </c>
      <c r="AE987" s="3">
        <f>_xlfn.XLOOKUP(D987,Artists!A:A,Artists!C:C)</f>
        <v>0</v>
      </c>
      <c r="AF987" s="3" t="str">
        <f t="shared" si="94"/>
        <v>OTHR</v>
      </c>
      <c r="AG987" s="3" t="str">
        <f t="shared" si="95"/>
        <v>OTHR</v>
      </c>
    </row>
    <row r="988" spans="24:33" x14ac:dyDescent="0.3">
      <c r="X988" s="3" t="str">
        <f t="shared" si="90"/>
        <v>-SADNE-</v>
      </c>
      <c r="Y988" s="3" t="str">
        <f t="shared" si="91"/>
        <v>-SLOWSS-</v>
      </c>
      <c r="Z988" s="4" t="str">
        <f t="shared" si="92"/>
        <v>{"couname":"","img":"0","pty":"","artist":"","genres":"","duration":"","spotId":"","Items":["-SADNE-","-SLOWSS-","OTHR","OTHR","XT_OffAnimals"]},</v>
      </c>
      <c r="AA988" s="5" t="s">
        <v>5</v>
      </c>
      <c r="AB988" s="3" t="str">
        <f t="shared" si="93"/>
        <v>["-SADNE-","-SLOWSS-","OTHR","OTHR","XT_OffAnimals"]</v>
      </c>
      <c r="AC988" s="3">
        <f>_xlfn.XLOOKUP(A988,Album!A:A,Album!J:J)</f>
        <v>0</v>
      </c>
      <c r="AD988" s="3">
        <f>_xlfn.XLOOKUP(D988,Artists!A:A,Artists!B:B)</f>
        <v>0</v>
      </c>
      <c r="AE988" s="3">
        <f>_xlfn.XLOOKUP(D988,Artists!A:A,Artists!C:C)</f>
        <v>0</v>
      </c>
      <c r="AF988" s="3" t="str">
        <f t="shared" si="94"/>
        <v>OTHR</v>
      </c>
      <c r="AG988" s="3" t="str">
        <f t="shared" si="95"/>
        <v>OTHR</v>
      </c>
    </row>
    <row r="989" spans="24:33" x14ac:dyDescent="0.3">
      <c r="X989" s="3" t="str">
        <f t="shared" si="90"/>
        <v>-SADNE-</v>
      </c>
      <c r="Y989" s="3" t="str">
        <f t="shared" si="91"/>
        <v>-SLOWSS-</v>
      </c>
      <c r="Z989" s="4" t="str">
        <f t="shared" si="92"/>
        <v>{"couname":"","img":"0","pty":"","artist":"","genres":"","duration":"","spotId":"","Items":["-SADNE-","-SLOWSS-","OTHR","OTHR","XT_OffAnimals"]},</v>
      </c>
      <c r="AA989" s="5" t="s">
        <v>5</v>
      </c>
      <c r="AB989" s="3" t="str">
        <f t="shared" si="93"/>
        <v>["-SADNE-","-SLOWSS-","OTHR","OTHR","XT_OffAnimals"]</v>
      </c>
      <c r="AC989" s="3">
        <f>_xlfn.XLOOKUP(A989,Album!A:A,Album!J:J)</f>
        <v>0</v>
      </c>
      <c r="AD989" s="3">
        <f>_xlfn.XLOOKUP(D989,Artists!A:A,Artists!B:B)</f>
        <v>0</v>
      </c>
      <c r="AE989" s="3">
        <f>_xlfn.XLOOKUP(D989,Artists!A:A,Artists!C:C)</f>
        <v>0</v>
      </c>
      <c r="AF989" s="3" t="str">
        <f t="shared" si="94"/>
        <v>OTHR</v>
      </c>
      <c r="AG989" s="3" t="str">
        <f t="shared" si="95"/>
        <v>OTHR</v>
      </c>
    </row>
    <row r="990" spans="24:33" x14ac:dyDescent="0.3">
      <c r="X990" s="3" t="str">
        <f t="shared" si="90"/>
        <v>-SADNE-</v>
      </c>
      <c r="Y990" s="3" t="str">
        <f t="shared" si="91"/>
        <v>-SLOWSS-</v>
      </c>
      <c r="Z990" s="4" t="str">
        <f t="shared" si="92"/>
        <v>{"couname":"","img":"0","pty":"","artist":"","genres":"","duration":"","spotId":"","Items":["-SADNE-","-SLOWSS-","OTHR","OTHR","XT_OffAnimals"]},</v>
      </c>
      <c r="AA990" s="5" t="s">
        <v>5</v>
      </c>
      <c r="AB990" s="3" t="str">
        <f t="shared" si="93"/>
        <v>["-SADNE-","-SLOWSS-","OTHR","OTHR","XT_OffAnimals"]</v>
      </c>
      <c r="AC990" s="3">
        <f>_xlfn.XLOOKUP(A990,Album!A:A,Album!J:J)</f>
        <v>0</v>
      </c>
      <c r="AD990" s="3">
        <f>_xlfn.XLOOKUP(D990,Artists!A:A,Artists!B:B)</f>
        <v>0</v>
      </c>
      <c r="AE990" s="3">
        <f>_xlfn.XLOOKUP(D990,Artists!A:A,Artists!C:C)</f>
        <v>0</v>
      </c>
      <c r="AF990" s="3" t="str">
        <f t="shared" si="94"/>
        <v>OTHR</v>
      </c>
      <c r="AG990" s="3" t="str">
        <f t="shared" si="95"/>
        <v>OTHR</v>
      </c>
    </row>
    <row r="991" spans="24:33" x14ac:dyDescent="0.3">
      <c r="X991" s="3" t="str">
        <f t="shared" si="90"/>
        <v>-SADNE-</v>
      </c>
      <c r="Y991" s="3" t="str">
        <f t="shared" si="91"/>
        <v>-SLOWSS-</v>
      </c>
      <c r="Z991" s="4" t="str">
        <f t="shared" si="92"/>
        <v>{"couname":"","img":"0","pty":"","artist":"","genres":"","duration":"","spotId":"","Items":["-SADNE-","-SLOWSS-","OTHR","OTHR","XT_OffAnimals"]},</v>
      </c>
      <c r="AA991" s="5" t="s">
        <v>5</v>
      </c>
      <c r="AB991" s="3" t="str">
        <f t="shared" si="93"/>
        <v>["-SADNE-","-SLOWSS-","OTHR","OTHR","XT_OffAnimals"]</v>
      </c>
      <c r="AC991" s="3">
        <f>_xlfn.XLOOKUP(A991,Album!A:A,Album!J:J)</f>
        <v>0</v>
      </c>
      <c r="AD991" s="3">
        <f>_xlfn.XLOOKUP(D991,Artists!A:A,Artists!B:B)</f>
        <v>0</v>
      </c>
      <c r="AE991" s="3">
        <f>_xlfn.XLOOKUP(D991,Artists!A:A,Artists!C:C)</f>
        <v>0</v>
      </c>
      <c r="AF991" s="3" t="str">
        <f t="shared" si="94"/>
        <v>OTHR</v>
      </c>
      <c r="AG991" s="3" t="str">
        <f t="shared" si="95"/>
        <v>OTHR</v>
      </c>
    </row>
    <row r="992" spans="24:33" x14ac:dyDescent="0.3">
      <c r="X992" s="3" t="str">
        <f t="shared" si="90"/>
        <v>-SADNE-</v>
      </c>
      <c r="Y992" s="3" t="str">
        <f t="shared" si="91"/>
        <v>-SLOWSS-</v>
      </c>
      <c r="Z992" s="4" t="str">
        <f t="shared" si="92"/>
        <v>{"couname":"","img":"0","pty":"","artist":"","genres":"","duration":"","spotId":"","Items":["-SADNE-","-SLOWSS-","OTHR","OTHR","XT_OffAnimals"]},</v>
      </c>
      <c r="AA992" s="5" t="s">
        <v>5</v>
      </c>
      <c r="AB992" s="3" t="str">
        <f t="shared" si="93"/>
        <v>["-SADNE-","-SLOWSS-","OTHR","OTHR","XT_OffAnimals"]</v>
      </c>
      <c r="AC992" s="3">
        <f>_xlfn.XLOOKUP(A992,Album!A:A,Album!J:J)</f>
        <v>0</v>
      </c>
      <c r="AD992" s="3">
        <f>_xlfn.XLOOKUP(D992,Artists!A:A,Artists!B:B)</f>
        <v>0</v>
      </c>
      <c r="AE992" s="3">
        <f>_xlfn.XLOOKUP(D992,Artists!A:A,Artists!C:C)</f>
        <v>0</v>
      </c>
      <c r="AF992" s="3" t="str">
        <f t="shared" si="94"/>
        <v>OTHR</v>
      </c>
      <c r="AG992" s="3" t="str">
        <f t="shared" si="95"/>
        <v>OTHR</v>
      </c>
    </row>
    <row r="993" spans="24:33" x14ac:dyDescent="0.3">
      <c r="X993" s="3" t="str">
        <f t="shared" si="90"/>
        <v>-SADNE-</v>
      </c>
      <c r="Y993" s="3" t="str">
        <f t="shared" si="91"/>
        <v>-SLOWSS-</v>
      </c>
      <c r="Z993" s="4" t="str">
        <f t="shared" si="92"/>
        <v>{"couname":"","img":"0","pty":"","artist":"","genres":"","duration":"","spotId":"","Items":["-SADNE-","-SLOWSS-","OTHR","OTHR","XT_OffAnimals"]},</v>
      </c>
      <c r="AA993" s="5" t="s">
        <v>5</v>
      </c>
      <c r="AB993" s="3" t="str">
        <f t="shared" si="93"/>
        <v>["-SADNE-","-SLOWSS-","OTHR","OTHR","XT_OffAnimals"]</v>
      </c>
      <c r="AC993" s="3">
        <f>_xlfn.XLOOKUP(A993,Album!A:A,Album!J:J)</f>
        <v>0</v>
      </c>
      <c r="AD993" s="3">
        <f>_xlfn.XLOOKUP(D993,Artists!A:A,Artists!B:B)</f>
        <v>0</v>
      </c>
      <c r="AE993" s="3">
        <f>_xlfn.XLOOKUP(D993,Artists!A:A,Artists!C:C)</f>
        <v>0</v>
      </c>
      <c r="AF993" s="3" t="str">
        <f t="shared" si="94"/>
        <v>OTHR</v>
      </c>
      <c r="AG993" s="3" t="str">
        <f t="shared" si="95"/>
        <v>OTHR</v>
      </c>
    </row>
    <row r="994" spans="24:33" x14ac:dyDescent="0.3">
      <c r="X994" s="3" t="str">
        <f t="shared" si="90"/>
        <v>-SADNE-</v>
      </c>
      <c r="Y994" s="3" t="str">
        <f t="shared" si="91"/>
        <v>-SLOWSS-</v>
      </c>
      <c r="Z994" s="4" t="str">
        <f t="shared" si="92"/>
        <v>{"couname":"","img":"0","pty":"","artist":"","genres":"","duration":"","spotId":"","Items":["-SADNE-","-SLOWSS-","OTHR","OTHR","XT_OffAnimals"]},</v>
      </c>
      <c r="AA994" s="5" t="s">
        <v>5</v>
      </c>
      <c r="AB994" s="3" t="str">
        <f t="shared" si="93"/>
        <v>["-SADNE-","-SLOWSS-","OTHR","OTHR","XT_OffAnimals"]</v>
      </c>
      <c r="AC994" s="3">
        <f>_xlfn.XLOOKUP(A994,Album!A:A,Album!J:J)</f>
        <v>0</v>
      </c>
      <c r="AD994" s="3">
        <f>_xlfn.XLOOKUP(D994,Artists!A:A,Artists!B:B)</f>
        <v>0</v>
      </c>
      <c r="AE994" s="3">
        <f>_xlfn.XLOOKUP(D994,Artists!A:A,Artists!C:C)</f>
        <v>0</v>
      </c>
      <c r="AF994" s="3" t="str">
        <f t="shared" si="94"/>
        <v>OTHR</v>
      </c>
      <c r="AG994" s="3" t="str">
        <f t="shared" si="95"/>
        <v>OTHR</v>
      </c>
    </row>
    <row r="995" spans="24:33" x14ac:dyDescent="0.3">
      <c r="X995" s="3" t="str">
        <f t="shared" si="90"/>
        <v>-SADNE-</v>
      </c>
      <c r="Y995" s="3" t="str">
        <f t="shared" si="91"/>
        <v>-SLOWSS-</v>
      </c>
      <c r="Z995" s="4" t="str">
        <f t="shared" si="92"/>
        <v>{"couname":"","img":"0","pty":"","artist":"","genres":"","duration":"","spotId":"","Items":["-SADNE-","-SLOWSS-","OTHR","OTHR","XT_OffAnimals"]},</v>
      </c>
      <c r="AA995" s="5" t="s">
        <v>5</v>
      </c>
      <c r="AB995" s="3" t="str">
        <f t="shared" si="93"/>
        <v>["-SADNE-","-SLOWSS-","OTHR","OTHR","XT_OffAnimals"]</v>
      </c>
      <c r="AC995" s="3">
        <f>_xlfn.XLOOKUP(A995,Album!A:A,Album!J:J)</f>
        <v>0</v>
      </c>
      <c r="AD995" s="3">
        <f>_xlfn.XLOOKUP(D995,Artists!A:A,Artists!B:B)</f>
        <v>0</v>
      </c>
      <c r="AE995" s="3">
        <f>_xlfn.XLOOKUP(D995,Artists!A:A,Artists!C:C)</f>
        <v>0</v>
      </c>
      <c r="AF995" s="3" t="str">
        <f t="shared" si="94"/>
        <v>OTHR</v>
      </c>
      <c r="AG995" s="3" t="str">
        <f t="shared" si="95"/>
        <v>OTHR</v>
      </c>
    </row>
    <row r="996" spans="24:33" x14ac:dyDescent="0.3">
      <c r="X996" s="3" t="str">
        <f t="shared" si="90"/>
        <v>-SADNE-</v>
      </c>
      <c r="Y996" s="3" t="str">
        <f t="shared" si="91"/>
        <v>-SLOWSS-</v>
      </c>
      <c r="Z996" s="4" t="str">
        <f t="shared" si="92"/>
        <v>{"couname":"","img":"0","pty":"","artist":"","genres":"","duration":"","spotId":"","Items":["-SADNE-","-SLOWSS-","OTHR","OTHR","XT_OffAnimals"]},</v>
      </c>
      <c r="AA996" s="5" t="s">
        <v>5</v>
      </c>
      <c r="AB996" s="3" t="str">
        <f t="shared" si="93"/>
        <v>["-SADNE-","-SLOWSS-","OTHR","OTHR","XT_OffAnimals"]</v>
      </c>
      <c r="AC996" s="3">
        <f>_xlfn.XLOOKUP(A996,Album!A:A,Album!J:J)</f>
        <v>0</v>
      </c>
      <c r="AD996" s="3">
        <f>_xlfn.XLOOKUP(D996,Artists!A:A,Artists!B:B)</f>
        <v>0</v>
      </c>
      <c r="AE996" s="3">
        <f>_xlfn.XLOOKUP(D996,Artists!A:A,Artists!C:C)</f>
        <v>0</v>
      </c>
      <c r="AF996" s="3" t="str">
        <f t="shared" si="94"/>
        <v>OTHR</v>
      </c>
      <c r="AG996" s="3" t="str">
        <f t="shared" si="95"/>
        <v>OTHR</v>
      </c>
    </row>
    <row r="997" spans="24:33" x14ac:dyDescent="0.3">
      <c r="X997" s="3" t="str">
        <f t="shared" si="90"/>
        <v>-SADNE-</v>
      </c>
      <c r="Y997" s="3" t="str">
        <f t="shared" si="91"/>
        <v>-SLOWSS-</v>
      </c>
      <c r="Z997" s="4" t="str">
        <f t="shared" si="92"/>
        <v>{"couname":"","img":"0","pty":"","artist":"","genres":"","duration":"","spotId":"","Items":["-SADNE-","-SLOWSS-","OTHR","OTHR","XT_OffAnimals"]},</v>
      </c>
      <c r="AA997" s="5" t="s">
        <v>5</v>
      </c>
      <c r="AB997" s="3" t="str">
        <f t="shared" si="93"/>
        <v>["-SADNE-","-SLOWSS-","OTHR","OTHR","XT_OffAnimals"]</v>
      </c>
      <c r="AC997" s="3">
        <f>_xlfn.XLOOKUP(A997,Album!A:A,Album!J:J)</f>
        <v>0</v>
      </c>
      <c r="AD997" s="3">
        <f>_xlfn.XLOOKUP(D997,Artists!A:A,Artists!B:B)</f>
        <v>0</v>
      </c>
      <c r="AE997" s="3">
        <f>_xlfn.XLOOKUP(D997,Artists!A:A,Artists!C:C)</f>
        <v>0</v>
      </c>
      <c r="AF997" s="3" t="str">
        <f t="shared" si="94"/>
        <v>OTHR</v>
      </c>
      <c r="AG997" s="3" t="str">
        <f t="shared" si="95"/>
        <v>OTHR</v>
      </c>
    </row>
    <row r="998" spans="24:33" x14ac:dyDescent="0.3">
      <c r="X998" s="3" t="str">
        <f t="shared" si="90"/>
        <v>-SADNE-</v>
      </c>
      <c r="Y998" s="3" t="str">
        <f t="shared" si="91"/>
        <v>-SLOWSS-</v>
      </c>
      <c r="Z998" s="4" t="str">
        <f t="shared" si="92"/>
        <v>{"couname":"","img":"0","pty":"","artist":"","genres":"","duration":"","spotId":"","Items":["-SADNE-","-SLOWSS-","OTHR","OTHR","XT_OffAnimals"]},</v>
      </c>
      <c r="AA998" s="5" t="s">
        <v>5</v>
      </c>
      <c r="AB998" s="3" t="str">
        <f t="shared" si="93"/>
        <v>["-SADNE-","-SLOWSS-","OTHR","OTHR","XT_OffAnimals"]</v>
      </c>
      <c r="AC998" s="3">
        <f>_xlfn.XLOOKUP(A998,Album!A:A,Album!J:J)</f>
        <v>0</v>
      </c>
      <c r="AD998" s="3">
        <f>_xlfn.XLOOKUP(D998,Artists!A:A,Artists!B:B)</f>
        <v>0</v>
      </c>
      <c r="AE998" s="3">
        <f>_xlfn.XLOOKUP(D998,Artists!A:A,Artists!C:C)</f>
        <v>0</v>
      </c>
      <c r="AF998" s="3" t="str">
        <f t="shared" si="94"/>
        <v>OTHR</v>
      </c>
      <c r="AG998" s="3" t="str">
        <f t="shared" si="95"/>
        <v>OTHR</v>
      </c>
    </row>
    <row r="999" spans="24:33" x14ac:dyDescent="0.3">
      <c r="X999" s="3" t="str">
        <f t="shared" si="90"/>
        <v>-SADNE-</v>
      </c>
      <c r="Y999" s="3" t="str">
        <f t="shared" si="91"/>
        <v>-SLOWSS-</v>
      </c>
      <c r="Z999" s="4" t="str">
        <f t="shared" si="92"/>
        <v>{"couname":"","img":"0","pty":"","artist":"","genres":"","duration":"","spotId":"","Items":["-SADNE-","-SLOWSS-","OTHR","OTHR","XT_OffAnimals"]},</v>
      </c>
      <c r="AA999" s="5" t="s">
        <v>5</v>
      </c>
      <c r="AB999" s="3" t="str">
        <f t="shared" si="93"/>
        <v>["-SADNE-","-SLOWSS-","OTHR","OTHR","XT_OffAnimals"]</v>
      </c>
      <c r="AC999" s="3">
        <f>_xlfn.XLOOKUP(A999,Album!A:A,Album!J:J)</f>
        <v>0</v>
      </c>
      <c r="AD999" s="3">
        <f>_xlfn.XLOOKUP(D999,Artists!A:A,Artists!B:B)</f>
        <v>0</v>
      </c>
      <c r="AE999" s="3">
        <f>_xlfn.XLOOKUP(D999,Artists!A:A,Artists!C:C)</f>
        <v>0</v>
      </c>
      <c r="AF999" s="3" t="str">
        <f t="shared" si="94"/>
        <v>OTHR</v>
      </c>
      <c r="AG999" s="3" t="str">
        <f t="shared" si="95"/>
        <v>OTHR</v>
      </c>
    </row>
    <row r="1000" spans="24:33" x14ac:dyDescent="0.3">
      <c r="X1000" s="3" t="str">
        <f t="shared" si="90"/>
        <v>-SADNE-</v>
      </c>
      <c r="Y1000" s="3" t="str">
        <f t="shared" si="91"/>
        <v>-SLOWSS-</v>
      </c>
      <c r="Z1000" s="4" t="str">
        <f t="shared" si="92"/>
        <v>{"couname":"","img":"0","pty":"","artist":"","genres":"","duration":"","spotId":"","Items":["-SADNE-","-SLOWSS-","OTHR","OTHR","XT_OffAnimals"]},</v>
      </c>
      <c r="AA1000" s="5" t="s">
        <v>5</v>
      </c>
      <c r="AB1000" s="3" t="str">
        <f t="shared" si="93"/>
        <v>["-SADNE-","-SLOWSS-","OTHR","OTHR","XT_OffAnimals"]</v>
      </c>
      <c r="AC1000" s="3">
        <f>_xlfn.XLOOKUP(A1000,Album!A:A,Album!J:J)</f>
        <v>0</v>
      </c>
      <c r="AD1000" s="3">
        <f>_xlfn.XLOOKUP(D1000,Artists!A:A,Artists!B:B)</f>
        <v>0</v>
      </c>
      <c r="AE1000" s="3">
        <f>_xlfn.XLOOKUP(D1000,Artists!A:A,Artists!C:C)</f>
        <v>0</v>
      </c>
      <c r="AF1000" s="3" t="str">
        <f t="shared" si="94"/>
        <v>OTHR</v>
      </c>
      <c r="AG1000" s="3" t="str">
        <f t="shared" si="95"/>
        <v>OTHR</v>
      </c>
    </row>
    <row r="1001" spans="24:33" x14ac:dyDescent="0.3">
      <c r="X1001" s="3" t="str">
        <f t="shared" si="90"/>
        <v>-SADNE-</v>
      </c>
      <c r="Y1001" s="3" t="str">
        <f t="shared" si="91"/>
        <v>-SLOWSS-</v>
      </c>
      <c r="Z1001" s="4" t="str">
        <f t="shared" si="92"/>
        <v>{"couname":"","img":"0","pty":"","artist":"","genres":"","duration":"","spotId":"","Items":["-SADNE-","-SLOWSS-","OTHR","OTHR","XT_OffAnimals"]},</v>
      </c>
      <c r="AA1001" s="5" t="s">
        <v>5</v>
      </c>
      <c r="AB1001" s="3" t="str">
        <f t="shared" si="93"/>
        <v>["-SADNE-","-SLOWSS-","OTHR","OTHR","XT_OffAnimals"]</v>
      </c>
      <c r="AC1001" s="3">
        <f>_xlfn.XLOOKUP(A1001,Album!A:A,Album!J:J)</f>
        <v>0</v>
      </c>
      <c r="AD1001" s="3">
        <f>_xlfn.XLOOKUP(D1001,Artists!A:A,Artists!B:B)</f>
        <v>0</v>
      </c>
      <c r="AE1001" s="3">
        <f>_xlfn.XLOOKUP(D1001,Artists!A:A,Artists!C:C)</f>
        <v>0</v>
      </c>
      <c r="AF1001" s="3" t="str">
        <f t="shared" si="94"/>
        <v>OTHR</v>
      </c>
      <c r="AG1001" s="3" t="str">
        <f t="shared" si="95"/>
        <v>OTHR</v>
      </c>
    </row>
    <row r="1002" spans="24:33" x14ac:dyDescent="0.3">
      <c r="X1002" s="3" t="str">
        <f t="shared" si="90"/>
        <v>-SADNE-</v>
      </c>
      <c r="Y1002" s="3" t="str">
        <f t="shared" si="91"/>
        <v>-SLOWSS-</v>
      </c>
      <c r="Z1002" s="4" t="str">
        <f t="shared" si="92"/>
        <v>{"couname":"","img":"0","pty":"","artist":"","genres":"","duration":"","spotId":"","Items":["-SADNE-","-SLOWSS-","OTHR","OTHR","XT_OffAnimals"]},</v>
      </c>
      <c r="AA1002" s="5" t="s">
        <v>5</v>
      </c>
      <c r="AB1002" s="3" t="str">
        <f t="shared" si="93"/>
        <v>["-SADNE-","-SLOWSS-","OTHR","OTHR","XT_OffAnimals"]</v>
      </c>
      <c r="AC1002" s="3">
        <f>_xlfn.XLOOKUP(A1002,Album!A:A,Album!J:J)</f>
        <v>0</v>
      </c>
      <c r="AD1002" s="3">
        <f>_xlfn.XLOOKUP(D1002,Artists!A:A,Artists!B:B)</f>
        <v>0</v>
      </c>
      <c r="AE1002" s="3">
        <f>_xlfn.XLOOKUP(D1002,Artists!A:A,Artists!C:C)</f>
        <v>0</v>
      </c>
      <c r="AF1002" s="3" t="str">
        <f t="shared" si="94"/>
        <v>OTHR</v>
      </c>
      <c r="AG1002" s="3" t="str">
        <f t="shared" si="95"/>
        <v>OTHR</v>
      </c>
    </row>
    <row r="1003" spans="24:33" x14ac:dyDescent="0.3">
      <c r="X1003" s="3" t="str">
        <f t="shared" si="90"/>
        <v>-SADNE-</v>
      </c>
      <c r="Y1003" s="3" t="str">
        <f t="shared" si="91"/>
        <v>-SLOWSS-</v>
      </c>
      <c r="Z1003" s="4" t="str">
        <f t="shared" si="92"/>
        <v>{"couname":"","img":"0","pty":"","artist":"","genres":"","duration":"","spotId":"","Items":["-SADNE-","-SLOWSS-","OTHR","OTHR","XT_OffAnimals"]},</v>
      </c>
      <c r="AA1003" s="5" t="s">
        <v>5</v>
      </c>
      <c r="AB1003" s="3" t="str">
        <f t="shared" si="93"/>
        <v>["-SADNE-","-SLOWSS-","OTHR","OTHR","XT_OffAnimals"]</v>
      </c>
      <c r="AC1003" s="3">
        <f>_xlfn.XLOOKUP(A1003,Album!A:A,Album!J:J)</f>
        <v>0</v>
      </c>
      <c r="AD1003" s="3">
        <f>_xlfn.XLOOKUP(D1003,Artists!A:A,Artists!B:B)</f>
        <v>0</v>
      </c>
      <c r="AE1003" s="3">
        <f>_xlfn.XLOOKUP(D1003,Artists!A:A,Artists!C:C)</f>
        <v>0</v>
      </c>
      <c r="AF1003" s="3" t="str">
        <f t="shared" si="94"/>
        <v>OTHR</v>
      </c>
      <c r="AG1003" s="3" t="str">
        <f t="shared" si="95"/>
        <v>OTHR</v>
      </c>
    </row>
    <row r="1004" spans="24:33" x14ac:dyDescent="0.3">
      <c r="X1004" s="3" t="str">
        <f t="shared" si="90"/>
        <v>-SADNE-</v>
      </c>
      <c r="Y1004" s="3" t="str">
        <f t="shared" si="91"/>
        <v>-SLOWSS-</v>
      </c>
      <c r="Z1004" s="4" t="str">
        <f t="shared" si="92"/>
        <v>{"couname":"","img":"0","pty":"","artist":"","genres":"","duration":"","spotId":"","Items":["-SADNE-","-SLOWSS-","OTHR","OTHR","XT_OffAnimals"]},</v>
      </c>
      <c r="AA1004" s="5" t="s">
        <v>5</v>
      </c>
      <c r="AB1004" s="3" t="str">
        <f t="shared" si="93"/>
        <v>["-SADNE-","-SLOWSS-","OTHR","OTHR","XT_OffAnimals"]</v>
      </c>
      <c r="AC1004" s="3">
        <f>_xlfn.XLOOKUP(A1004,Album!A:A,Album!J:J)</f>
        <v>0</v>
      </c>
      <c r="AD1004" s="3">
        <f>_xlfn.XLOOKUP(D1004,Artists!A:A,Artists!B:B)</f>
        <v>0</v>
      </c>
      <c r="AE1004" s="3">
        <f>_xlfn.XLOOKUP(D1004,Artists!A:A,Artists!C:C)</f>
        <v>0</v>
      </c>
      <c r="AF1004" s="3" t="str">
        <f t="shared" si="94"/>
        <v>OTHR</v>
      </c>
      <c r="AG1004" s="3" t="str">
        <f t="shared" si="95"/>
        <v>OTHR</v>
      </c>
    </row>
    <row r="1005" spans="24:33" x14ac:dyDescent="0.3">
      <c r="X1005" s="3" t="str">
        <f t="shared" si="90"/>
        <v>-SADNE-</v>
      </c>
      <c r="Y1005" s="3" t="str">
        <f t="shared" si="91"/>
        <v>-SLOWSS-</v>
      </c>
      <c r="Z1005" s="4" t="str">
        <f t="shared" si="92"/>
        <v>{"couname":"","img":"0","pty":"","artist":"","genres":"","duration":"","spotId":"","Items":["-SADNE-","-SLOWSS-","OTHR","OTHR","XT_OffAnimals"]},</v>
      </c>
      <c r="AA1005" s="5" t="s">
        <v>5</v>
      </c>
      <c r="AB1005" s="3" t="str">
        <f t="shared" si="93"/>
        <v>["-SADNE-","-SLOWSS-","OTHR","OTHR","XT_OffAnimals"]</v>
      </c>
      <c r="AC1005" s="3">
        <f>_xlfn.XLOOKUP(A1005,Album!A:A,Album!J:J)</f>
        <v>0</v>
      </c>
      <c r="AD1005" s="3">
        <f>_xlfn.XLOOKUP(D1005,Artists!A:A,Artists!B:B)</f>
        <v>0</v>
      </c>
      <c r="AE1005" s="3">
        <f>_xlfn.XLOOKUP(D1005,Artists!A:A,Artists!C:C)</f>
        <v>0</v>
      </c>
      <c r="AF1005" s="3" t="str">
        <f t="shared" si="94"/>
        <v>OTHR</v>
      </c>
      <c r="AG1005" s="3" t="str">
        <f t="shared" si="95"/>
        <v>OTHR</v>
      </c>
    </row>
    <row r="1006" spans="24:33" x14ac:dyDescent="0.3">
      <c r="X1006" s="3" t="str">
        <f t="shared" si="90"/>
        <v>-SADNE-</v>
      </c>
      <c r="Y1006" s="3" t="str">
        <f t="shared" si="91"/>
        <v>-SLOWSS-</v>
      </c>
      <c r="Z1006" s="4" t="str">
        <f t="shared" si="92"/>
        <v>{"couname":"","img":"0","pty":"","artist":"","genres":"","duration":"","spotId":"","Items":["-SADNE-","-SLOWSS-","OTHR","OTHR","XT_OffAnimals"]},</v>
      </c>
      <c r="AA1006" s="5" t="s">
        <v>5</v>
      </c>
      <c r="AB1006" s="3" t="str">
        <f t="shared" si="93"/>
        <v>["-SADNE-","-SLOWSS-","OTHR","OTHR","XT_OffAnimals"]</v>
      </c>
      <c r="AC1006" s="3">
        <f>_xlfn.XLOOKUP(A1006,Album!A:A,Album!J:J)</f>
        <v>0</v>
      </c>
      <c r="AD1006" s="3">
        <f>_xlfn.XLOOKUP(D1006,Artists!A:A,Artists!B:B)</f>
        <v>0</v>
      </c>
      <c r="AE1006" s="3">
        <f>_xlfn.XLOOKUP(D1006,Artists!A:A,Artists!C:C)</f>
        <v>0</v>
      </c>
      <c r="AF1006" s="3" t="str">
        <f t="shared" si="94"/>
        <v>OTHR</v>
      </c>
      <c r="AG1006" s="3" t="str">
        <f t="shared" si="95"/>
        <v>OTHR</v>
      </c>
    </row>
    <row r="1007" spans="24:33" x14ac:dyDescent="0.3">
      <c r="X1007" s="3" t="str">
        <f t="shared" si="90"/>
        <v>-SADNE-</v>
      </c>
      <c r="Y1007" s="3" t="str">
        <f t="shared" si="91"/>
        <v>-SLOWSS-</v>
      </c>
      <c r="Z1007" s="4" t="str">
        <f t="shared" si="92"/>
        <v>{"couname":"","img":"0","pty":"","artist":"","genres":"","duration":"","spotId":"","Items":["-SADNE-","-SLOWSS-","OTHR","OTHR","XT_OffAnimals"]},</v>
      </c>
      <c r="AA1007" s="5" t="s">
        <v>5</v>
      </c>
      <c r="AB1007" s="3" t="str">
        <f t="shared" si="93"/>
        <v>["-SADNE-","-SLOWSS-","OTHR","OTHR","XT_OffAnimals"]</v>
      </c>
      <c r="AC1007" s="3">
        <f>_xlfn.XLOOKUP(A1007,Album!A:A,Album!J:J)</f>
        <v>0</v>
      </c>
      <c r="AD1007" s="3">
        <f>_xlfn.XLOOKUP(D1007,Artists!A:A,Artists!B:B)</f>
        <v>0</v>
      </c>
      <c r="AE1007" s="3">
        <f>_xlfn.XLOOKUP(D1007,Artists!A:A,Artists!C:C)</f>
        <v>0</v>
      </c>
      <c r="AF1007" s="3" t="str">
        <f t="shared" si="94"/>
        <v>OTHR</v>
      </c>
      <c r="AG1007" s="3" t="str">
        <f t="shared" si="95"/>
        <v>OTHR</v>
      </c>
    </row>
    <row r="1008" spans="24:33" x14ac:dyDescent="0.3">
      <c r="X1008" s="3" t="str">
        <f t="shared" si="90"/>
        <v>-SADNE-</v>
      </c>
      <c r="Y1008" s="3" t="str">
        <f t="shared" si="91"/>
        <v>-SLOWSS-</v>
      </c>
      <c r="Z1008" s="4" t="str">
        <f t="shared" si="92"/>
        <v>{"couname":"","img":"0","pty":"","artist":"","genres":"","duration":"","spotId":"","Items":["-SADNE-","-SLOWSS-","OTHR","OTHR","XT_OffAnimals"]},</v>
      </c>
      <c r="AA1008" s="5" t="s">
        <v>5</v>
      </c>
      <c r="AB1008" s="3" t="str">
        <f t="shared" si="93"/>
        <v>["-SADNE-","-SLOWSS-","OTHR","OTHR","XT_OffAnimals"]</v>
      </c>
      <c r="AC1008" s="3">
        <f>_xlfn.XLOOKUP(A1008,Album!A:A,Album!J:J)</f>
        <v>0</v>
      </c>
      <c r="AD1008" s="3">
        <f>_xlfn.XLOOKUP(D1008,Artists!A:A,Artists!B:B)</f>
        <v>0</v>
      </c>
      <c r="AE1008" s="3">
        <f>_xlfn.XLOOKUP(D1008,Artists!A:A,Artists!C:C)</f>
        <v>0</v>
      </c>
      <c r="AF1008" s="3" t="str">
        <f t="shared" si="94"/>
        <v>OTHR</v>
      </c>
      <c r="AG1008" s="3" t="str">
        <f t="shared" si="95"/>
        <v>OTHR</v>
      </c>
    </row>
    <row r="1009" spans="24:33" x14ac:dyDescent="0.3">
      <c r="X1009" s="3" t="str">
        <f t="shared" si="90"/>
        <v>-SADNE-</v>
      </c>
      <c r="Y1009" s="3" t="str">
        <f t="shared" si="91"/>
        <v>-SLOWSS-</v>
      </c>
      <c r="Z1009" s="4" t="str">
        <f t="shared" si="92"/>
        <v>{"couname":"","img":"0","pty":"","artist":"","genres":"","duration":"","spotId":"","Items":["-SADNE-","-SLOWSS-","OTHR","OTHR","XT_OffAnimals"]},</v>
      </c>
      <c r="AA1009" s="5" t="s">
        <v>5</v>
      </c>
      <c r="AB1009" s="3" t="str">
        <f t="shared" si="93"/>
        <v>["-SADNE-","-SLOWSS-","OTHR","OTHR","XT_OffAnimals"]</v>
      </c>
      <c r="AC1009" s="3">
        <f>_xlfn.XLOOKUP(A1009,Album!A:A,Album!J:J)</f>
        <v>0</v>
      </c>
      <c r="AD1009" s="3">
        <f>_xlfn.XLOOKUP(D1009,Artists!A:A,Artists!B:B)</f>
        <v>0</v>
      </c>
      <c r="AE1009" s="3">
        <f>_xlfn.XLOOKUP(D1009,Artists!A:A,Artists!C:C)</f>
        <v>0</v>
      </c>
      <c r="AF1009" s="3" t="str">
        <f t="shared" si="94"/>
        <v>OTHR</v>
      </c>
      <c r="AG1009" s="3" t="str">
        <f t="shared" si="95"/>
        <v>OTHR</v>
      </c>
    </row>
    <row r="1010" spans="24:33" x14ac:dyDescent="0.3">
      <c r="X1010" s="3" t="str">
        <f t="shared" si="90"/>
        <v>-SADNE-</v>
      </c>
      <c r="Y1010" s="3" t="str">
        <f t="shared" si="91"/>
        <v>-SLOWSS-</v>
      </c>
      <c r="Z1010" s="4" t="str">
        <f t="shared" si="92"/>
        <v>{"couname":"","img":"0","pty":"","artist":"","genres":"","duration":"","spotId":"","Items":["-SADNE-","-SLOWSS-","OTHR","OTHR","XT_OffAnimals"]},</v>
      </c>
      <c r="AA1010" s="5" t="s">
        <v>5</v>
      </c>
      <c r="AB1010" s="3" t="str">
        <f t="shared" si="93"/>
        <v>["-SADNE-","-SLOWSS-","OTHR","OTHR","XT_OffAnimals"]</v>
      </c>
      <c r="AC1010" s="3">
        <f>_xlfn.XLOOKUP(A1010,Album!A:A,Album!J:J)</f>
        <v>0</v>
      </c>
      <c r="AD1010" s="3">
        <f>_xlfn.XLOOKUP(D1010,Artists!A:A,Artists!B:B)</f>
        <v>0</v>
      </c>
      <c r="AE1010" s="3">
        <f>_xlfn.XLOOKUP(D1010,Artists!A:A,Artists!C:C)</f>
        <v>0</v>
      </c>
      <c r="AF1010" s="3" t="str">
        <f t="shared" si="94"/>
        <v>OTHR</v>
      </c>
      <c r="AG1010" s="3" t="str">
        <f t="shared" si="95"/>
        <v>OTHR</v>
      </c>
    </row>
    <row r="1011" spans="24:33" x14ac:dyDescent="0.3">
      <c r="X1011" s="3" t="str">
        <f t="shared" si="90"/>
        <v>-SADNE-</v>
      </c>
      <c r="Y1011" s="3" t="str">
        <f t="shared" si="91"/>
        <v>-SLOWSS-</v>
      </c>
      <c r="Z1011" s="4" t="str">
        <f t="shared" si="92"/>
        <v>{"couname":"","img":"0","pty":"","artist":"","genres":"","duration":"","spotId":"","Items":["-SADNE-","-SLOWSS-","OTHR","OTHR","XT_OffAnimals"]},</v>
      </c>
      <c r="AA1011" s="5" t="s">
        <v>5</v>
      </c>
      <c r="AB1011" s="3" t="str">
        <f t="shared" si="93"/>
        <v>["-SADNE-","-SLOWSS-","OTHR","OTHR","XT_OffAnimals"]</v>
      </c>
      <c r="AC1011" s="3">
        <f>_xlfn.XLOOKUP(A1011,Album!A:A,Album!J:J)</f>
        <v>0</v>
      </c>
      <c r="AD1011" s="3">
        <f>_xlfn.XLOOKUP(D1011,Artists!A:A,Artists!B:B)</f>
        <v>0</v>
      </c>
      <c r="AE1011" s="3">
        <f>_xlfn.XLOOKUP(D1011,Artists!A:A,Artists!C:C)</f>
        <v>0</v>
      </c>
      <c r="AF1011" s="3" t="str">
        <f t="shared" si="94"/>
        <v>OTHR</v>
      </c>
      <c r="AG1011" s="3" t="str">
        <f t="shared" si="95"/>
        <v>OTHR</v>
      </c>
    </row>
    <row r="1012" spans="24:33" x14ac:dyDescent="0.3">
      <c r="X1012" s="3" t="str">
        <f t="shared" si="90"/>
        <v>-SADNE-</v>
      </c>
      <c r="Y1012" s="3" t="str">
        <f t="shared" si="91"/>
        <v>-SLOWSS-</v>
      </c>
      <c r="Z1012" s="4" t="str">
        <f t="shared" si="92"/>
        <v>{"couname":"","img":"0","pty":"","artist":"","genres":"","duration":"","spotId":"","Items":["-SADNE-","-SLOWSS-","OTHR","OTHR","XT_OffAnimals"]},</v>
      </c>
      <c r="AA1012" s="5" t="s">
        <v>5</v>
      </c>
      <c r="AB1012" s="3" t="str">
        <f t="shared" si="93"/>
        <v>["-SADNE-","-SLOWSS-","OTHR","OTHR","XT_OffAnimals"]</v>
      </c>
      <c r="AC1012" s="3">
        <f>_xlfn.XLOOKUP(A1012,Album!A:A,Album!J:J)</f>
        <v>0</v>
      </c>
      <c r="AD1012" s="3">
        <f>_xlfn.XLOOKUP(D1012,Artists!A:A,Artists!B:B)</f>
        <v>0</v>
      </c>
      <c r="AE1012" s="3">
        <f>_xlfn.XLOOKUP(D1012,Artists!A:A,Artists!C:C)</f>
        <v>0</v>
      </c>
      <c r="AF1012" s="3" t="str">
        <f t="shared" si="94"/>
        <v>OTHR</v>
      </c>
      <c r="AG1012" s="3" t="str">
        <f t="shared" si="95"/>
        <v>OTHR</v>
      </c>
    </row>
    <row r="1013" spans="24:33" x14ac:dyDescent="0.3">
      <c r="X1013" s="3" t="str">
        <f t="shared" si="90"/>
        <v>-SADNE-</v>
      </c>
      <c r="Y1013" s="3" t="str">
        <f t="shared" si="91"/>
        <v>-SLOWSS-</v>
      </c>
      <c r="Z1013" s="4" t="str">
        <f t="shared" si="92"/>
        <v>{"couname":"","img":"0","pty":"","artist":"","genres":"","duration":"","spotId":"","Items":["-SADNE-","-SLOWSS-","OTHR","OTHR","XT_OffAnimals"]},</v>
      </c>
      <c r="AA1013" s="5" t="s">
        <v>5</v>
      </c>
      <c r="AB1013" s="3" t="str">
        <f t="shared" si="93"/>
        <v>["-SADNE-","-SLOWSS-","OTHR","OTHR","XT_OffAnimals"]</v>
      </c>
      <c r="AC1013" s="3">
        <f>_xlfn.XLOOKUP(A1013,Album!A:A,Album!J:J)</f>
        <v>0</v>
      </c>
      <c r="AD1013" s="3">
        <f>_xlfn.XLOOKUP(D1013,Artists!A:A,Artists!B:B)</f>
        <v>0</v>
      </c>
      <c r="AE1013" s="3">
        <f>_xlfn.XLOOKUP(D1013,Artists!A:A,Artists!C:C)</f>
        <v>0</v>
      </c>
      <c r="AF1013" s="3" t="str">
        <f t="shared" si="94"/>
        <v>OTHR</v>
      </c>
      <c r="AG1013" s="3" t="str">
        <f t="shared" si="95"/>
        <v>OTHR</v>
      </c>
    </row>
    <row r="1014" spans="24:33" x14ac:dyDescent="0.3">
      <c r="X1014" s="3" t="str">
        <f t="shared" si="90"/>
        <v>-SADNE-</v>
      </c>
      <c r="Y1014" s="3" t="str">
        <f t="shared" si="91"/>
        <v>-SLOWSS-</v>
      </c>
      <c r="Z1014" s="4" t="str">
        <f t="shared" si="92"/>
        <v>{"couname":"","img":"0","pty":"","artist":"","genres":"","duration":"","spotId":"","Items":["-SADNE-","-SLOWSS-","OTHR","OTHR","XT_OffAnimals"]},</v>
      </c>
      <c r="AA1014" s="5" t="s">
        <v>5</v>
      </c>
      <c r="AB1014" s="3" t="str">
        <f t="shared" si="93"/>
        <v>["-SADNE-","-SLOWSS-","OTHR","OTHR","XT_OffAnimals"]</v>
      </c>
      <c r="AC1014" s="3">
        <f>_xlfn.XLOOKUP(A1014,Album!A:A,Album!J:J)</f>
        <v>0</v>
      </c>
      <c r="AD1014" s="3">
        <f>_xlfn.XLOOKUP(D1014,Artists!A:A,Artists!B:B)</f>
        <v>0</v>
      </c>
      <c r="AE1014" s="3">
        <f>_xlfn.XLOOKUP(D1014,Artists!A:A,Artists!C:C)</f>
        <v>0</v>
      </c>
      <c r="AF1014" s="3" t="str">
        <f t="shared" si="94"/>
        <v>OTHR</v>
      </c>
      <c r="AG1014" s="3" t="str">
        <f t="shared" si="95"/>
        <v>OTHR</v>
      </c>
    </row>
    <row r="1015" spans="24:33" x14ac:dyDescent="0.3">
      <c r="X1015" s="3" t="str">
        <f t="shared" si="90"/>
        <v>-SADNE-</v>
      </c>
      <c r="Y1015" s="3" t="str">
        <f t="shared" si="91"/>
        <v>-SLOWSS-</v>
      </c>
      <c r="Z1015" s="4" t="str">
        <f t="shared" si="92"/>
        <v>{"couname":"","img":"0","pty":"","artist":"","genres":"","duration":"","spotId":"","Items":["-SADNE-","-SLOWSS-","OTHR","OTHR","XT_OffAnimals"]},</v>
      </c>
      <c r="AA1015" s="5" t="s">
        <v>5</v>
      </c>
      <c r="AB1015" s="3" t="str">
        <f t="shared" si="93"/>
        <v>["-SADNE-","-SLOWSS-","OTHR","OTHR","XT_OffAnimals"]</v>
      </c>
      <c r="AC1015" s="3">
        <f>_xlfn.XLOOKUP(A1015,Album!A:A,Album!J:J)</f>
        <v>0</v>
      </c>
      <c r="AD1015" s="3">
        <f>_xlfn.XLOOKUP(D1015,Artists!A:A,Artists!B:B)</f>
        <v>0</v>
      </c>
      <c r="AE1015" s="3">
        <f>_xlfn.XLOOKUP(D1015,Artists!A:A,Artists!C:C)</f>
        <v>0</v>
      </c>
      <c r="AF1015" s="3" t="str">
        <f t="shared" si="94"/>
        <v>OTHR</v>
      </c>
      <c r="AG1015" s="3" t="str">
        <f t="shared" si="95"/>
        <v>OTHR</v>
      </c>
    </row>
    <row r="1016" spans="24:33" x14ac:dyDescent="0.3">
      <c r="X1016" s="3" t="str">
        <f t="shared" si="90"/>
        <v>-SADNE-</v>
      </c>
      <c r="Y1016" s="3" t="str">
        <f t="shared" si="91"/>
        <v>-SLOWSS-</v>
      </c>
      <c r="Z1016" s="4" t="str">
        <f t="shared" si="92"/>
        <v>{"couname":"","img":"0","pty":"","artist":"","genres":"","duration":"","spotId":"","Items":["-SADNE-","-SLOWSS-","OTHR","OTHR","XT_OffAnimals"]},</v>
      </c>
      <c r="AA1016" s="5" t="s">
        <v>5</v>
      </c>
      <c r="AB1016" s="3" t="str">
        <f t="shared" si="93"/>
        <v>["-SADNE-","-SLOWSS-","OTHR","OTHR","XT_OffAnimals"]</v>
      </c>
      <c r="AC1016" s="3">
        <f>_xlfn.XLOOKUP(A1016,Album!A:A,Album!J:J)</f>
        <v>0</v>
      </c>
      <c r="AD1016" s="3">
        <f>_xlfn.XLOOKUP(D1016,Artists!A:A,Artists!B:B)</f>
        <v>0</v>
      </c>
      <c r="AE1016" s="3">
        <f>_xlfn.XLOOKUP(D1016,Artists!A:A,Artists!C:C)</f>
        <v>0</v>
      </c>
      <c r="AF1016" s="3" t="str">
        <f t="shared" si="94"/>
        <v>OTHR</v>
      </c>
      <c r="AG1016" s="3" t="str">
        <f t="shared" si="95"/>
        <v>OTHR</v>
      </c>
    </row>
    <row r="1017" spans="24:33" x14ac:dyDescent="0.3">
      <c r="X1017" s="3" t="str">
        <f t="shared" si="90"/>
        <v>-SADNE-</v>
      </c>
      <c r="Y1017" s="3" t="str">
        <f t="shared" si="91"/>
        <v>-SLOWSS-</v>
      </c>
      <c r="Z1017" s="4" t="str">
        <f t="shared" si="92"/>
        <v>{"couname":"","img":"0","pty":"","artist":"","genres":"","duration":"","spotId":"","Items":["-SADNE-","-SLOWSS-","OTHR","OTHR","XT_OffAnimals"]},</v>
      </c>
      <c r="AA1017" s="5" t="s">
        <v>5</v>
      </c>
      <c r="AB1017" s="3" t="str">
        <f t="shared" si="93"/>
        <v>["-SADNE-","-SLOWSS-","OTHR","OTHR","XT_OffAnimals"]</v>
      </c>
      <c r="AC1017" s="3">
        <f>_xlfn.XLOOKUP(A1017,Album!A:A,Album!J:J)</f>
        <v>0</v>
      </c>
      <c r="AD1017" s="3">
        <f>_xlfn.XLOOKUP(D1017,Artists!A:A,Artists!B:B)</f>
        <v>0</v>
      </c>
      <c r="AE1017" s="3">
        <f>_xlfn.XLOOKUP(D1017,Artists!A:A,Artists!C:C)</f>
        <v>0</v>
      </c>
      <c r="AF1017" s="3" t="str">
        <f t="shared" si="94"/>
        <v>OTHR</v>
      </c>
      <c r="AG1017" s="3" t="str">
        <f t="shared" si="95"/>
        <v>OTHR</v>
      </c>
    </row>
    <row r="1018" spans="24:33" x14ac:dyDescent="0.3">
      <c r="X1018" s="3" t="str">
        <f t="shared" si="90"/>
        <v>-SADNE-</v>
      </c>
      <c r="Y1018" s="3" t="str">
        <f t="shared" si="91"/>
        <v>-SLOWSS-</v>
      </c>
      <c r="Z1018" s="4" t="str">
        <f t="shared" si="92"/>
        <v>{"couname":"","img":"0","pty":"","artist":"","genres":"","duration":"","spotId":"","Items":["-SADNE-","-SLOWSS-","OTHR","OTHR","XT_OffAnimals"]},</v>
      </c>
      <c r="AA1018" s="5" t="s">
        <v>5</v>
      </c>
      <c r="AB1018" s="3" t="str">
        <f t="shared" si="93"/>
        <v>["-SADNE-","-SLOWSS-","OTHR","OTHR","XT_OffAnimals"]</v>
      </c>
      <c r="AC1018" s="3">
        <f>_xlfn.XLOOKUP(A1018,Album!A:A,Album!J:J)</f>
        <v>0</v>
      </c>
      <c r="AD1018" s="3">
        <f>_xlfn.XLOOKUP(D1018,Artists!A:A,Artists!B:B)</f>
        <v>0</v>
      </c>
      <c r="AE1018" s="3">
        <f>_xlfn.XLOOKUP(D1018,Artists!A:A,Artists!C:C)</f>
        <v>0</v>
      </c>
      <c r="AF1018" s="3" t="str">
        <f t="shared" si="94"/>
        <v>OTHR</v>
      </c>
      <c r="AG1018" s="3" t="str">
        <f t="shared" si="95"/>
        <v>OTHR</v>
      </c>
    </row>
    <row r="1019" spans="24:33" x14ac:dyDescent="0.3">
      <c r="X1019" s="3" t="str">
        <f t="shared" si="90"/>
        <v>-SADNE-</v>
      </c>
      <c r="Y1019" s="3" t="str">
        <f t="shared" si="91"/>
        <v>-SLOWSS-</v>
      </c>
      <c r="Z1019" s="4" t="str">
        <f t="shared" si="92"/>
        <v>{"couname":"","img":"0","pty":"","artist":"","genres":"","duration":"","spotId":"","Items":["-SADNE-","-SLOWSS-","OTHR","OTHR","XT_OffAnimals"]},</v>
      </c>
      <c r="AA1019" s="5" t="s">
        <v>5</v>
      </c>
      <c r="AB1019" s="3" t="str">
        <f t="shared" si="93"/>
        <v>["-SADNE-","-SLOWSS-","OTHR","OTHR","XT_OffAnimals"]</v>
      </c>
      <c r="AC1019" s="3">
        <f>_xlfn.XLOOKUP(A1019,Album!A:A,Album!J:J)</f>
        <v>0</v>
      </c>
      <c r="AD1019" s="3">
        <f>_xlfn.XLOOKUP(D1019,Artists!A:A,Artists!B:B)</f>
        <v>0</v>
      </c>
      <c r="AE1019" s="3">
        <f>_xlfn.XLOOKUP(D1019,Artists!A:A,Artists!C:C)</f>
        <v>0</v>
      </c>
      <c r="AF1019" s="3" t="str">
        <f t="shared" si="94"/>
        <v>OTHR</v>
      </c>
      <c r="AG1019" s="3" t="str">
        <f t="shared" si="95"/>
        <v>OTHR</v>
      </c>
    </row>
    <row r="1020" spans="24:33" x14ac:dyDescent="0.3">
      <c r="X1020" s="3" t="str">
        <f t="shared" si="90"/>
        <v>-SADNE-</v>
      </c>
      <c r="Y1020" s="3" t="str">
        <f t="shared" si="91"/>
        <v>-SLOWSS-</v>
      </c>
      <c r="Z1020" s="4" t="str">
        <f t="shared" si="92"/>
        <v>{"couname":"","img":"0","pty":"","artist":"","genres":"","duration":"","spotId":"","Items":["-SADNE-","-SLOWSS-","OTHR","OTHR","XT_OffAnimals"]},</v>
      </c>
      <c r="AA1020" s="5" t="s">
        <v>5</v>
      </c>
      <c r="AB1020" s="3" t="str">
        <f t="shared" si="93"/>
        <v>["-SADNE-","-SLOWSS-","OTHR","OTHR","XT_OffAnimals"]</v>
      </c>
      <c r="AC1020" s="3">
        <f>_xlfn.XLOOKUP(A1020,Album!A:A,Album!J:J)</f>
        <v>0</v>
      </c>
      <c r="AD1020" s="3">
        <f>_xlfn.XLOOKUP(D1020,Artists!A:A,Artists!B:B)</f>
        <v>0</v>
      </c>
      <c r="AE1020" s="3">
        <f>_xlfn.XLOOKUP(D1020,Artists!A:A,Artists!C:C)</f>
        <v>0</v>
      </c>
      <c r="AF1020" s="3" t="str">
        <f t="shared" si="94"/>
        <v>OTHR</v>
      </c>
      <c r="AG1020" s="3" t="str">
        <f t="shared" si="95"/>
        <v>OTHR</v>
      </c>
    </row>
    <row r="1021" spans="24:33" x14ac:dyDescent="0.3">
      <c r="X1021" s="3" t="str">
        <f t="shared" si="90"/>
        <v>-SADNE-</v>
      </c>
      <c r="Y1021" s="3" t="str">
        <f t="shared" si="91"/>
        <v>-SLOWSS-</v>
      </c>
      <c r="Z1021" s="4" t="str">
        <f t="shared" si="92"/>
        <v>{"couname":"","img":"0","pty":"","artist":"","genres":"","duration":"","spotId":"","Items":["-SADNE-","-SLOWSS-","OTHR","OTHR","XT_OffAnimals"]},</v>
      </c>
      <c r="AA1021" s="5" t="s">
        <v>5</v>
      </c>
      <c r="AB1021" s="3" t="str">
        <f t="shared" si="93"/>
        <v>["-SADNE-","-SLOWSS-","OTHR","OTHR","XT_OffAnimals"]</v>
      </c>
      <c r="AC1021" s="3">
        <f>_xlfn.XLOOKUP(A1021,Album!A:A,Album!J:J)</f>
        <v>0</v>
      </c>
      <c r="AD1021" s="3">
        <f>_xlfn.XLOOKUP(D1021,Artists!A:A,Artists!B:B)</f>
        <v>0</v>
      </c>
      <c r="AE1021" s="3">
        <f>_xlfn.XLOOKUP(D1021,Artists!A:A,Artists!C:C)</f>
        <v>0</v>
      </c>
      <c r="AF1021" s="3" t="str">
        <f t="shared" si="94"/>
        <v>OTHR</v>
      </c>
      <c r="AG1021" s="3" t="str">
        <f t="shared" si="95"/>
        <v>OTHR</v>
      </c>
    </row>
    <row r="1022" spans="24:33" x14ac:dyDescent="0.3">
      <c r="X1022" s="3" t="str">
        <f t="shared" si="90"/>
        <v>-SADNE-</v>
      </c>
      <c r="Y1022" s="3" t="str">
        <f t="shared" si="91"/>
        <v>-SLOWSS-</v>
      </c>
      <c r="Z1022" s="4" t="str">
        <f t="shared" si="92"/>
        <v>{"couname":"","img":"0","pty":"","artist":"","genres":"","duration":"","spotId":"","Items":["-SADNE-","-SLOWSS-","OTHR","OTHR","XT_OffAnimals"]},</v>
      </c>
      <c r="AA1022" s="5" t="s">
        <v>5</v>
      </c>
      <c r="AB1022" s="3" t="str">
        <f t="shared" si="93"/>
        <v>["-SADNE-","-SLOWSS-","OTHR","OTHR","XT_OffAnimals"]</v>
      </c>
      <c r="AC1022" s="3">
        <f>_xlfn.XLOOKUP(A1022,Album!A:A,Album!J:J)</f>
        <v>0</v>
      </c>
      <c r="AD1022" s="3">
        <f>_xlfn.XLOOKUP(D1022,Artists!A:A,Artists!B:B)</f>
        <v>0</v>
      </c>
      <c r="AE1022" s="3">
        <f>_xlfn.XLOOKUP(D1022,Artists!A:A,Artists!C:C)</f>
        <v>0</v>
      </c>
      <c r="AF1022" s="3" t="str">
        <f t="shared" si="94"/>
        <v>OTHR</v>
      </c>
      <c r="AG1022" s="3" t="str">
        <f t="shared" si="95"/>
        <v>OTHR</v>
      </c>
    </row>
    <row r="1023" spans="24:33" x14ac:dyDescent="0.3">
      <c r="X1023" s="3" t="str">
        <f t="shared" si="90"/>
        <v>-SADNE-</v>
      </c>
      <c r="Y1023" s="3" t="str">
        <f t="shared" si="91"/>
        <v>-SLOWSS-</v>
      </c>
      <c r="Z1023" s="4" t="str">
        <f t="shared" si="92"/>
        <v>{"couname":"","img":"0","pty":"","artist":"","genres":"","duration":"","spotId":"","Items":["-SADNE-","-SLOWSS-","OTHR","OTHR","XT_OffAnimals"]},</v>
      </c>
      <c r="AA1023" s="5" t="s">
        <v>5</v>
      </c>
      <c r="AB1023" s="3" t="str">
        <f t="shared" si="93"/>
        <v>["-SADNE-","-SLOWSS-","OTHR","OTHR","XT_OffAnimals"]</v>
      </c>
      <c r="AC1023" s="3">
        <f>_xlfn.XLOOKUP(A1023,Album!A:A,Album!J:J)</f>
        <v>0</v>
      </c>
      <c r="AD1023" s="3">
        <f>_xlfn.XLOOKUP(D1023,Artists!A:A,Artists!B:B)</f>
        <v>0</v>
      </c>
      <c r="AE1023" s="3">
        <f>_xlfn.XLOOKUP(D1023,Artists!A:A,Artists!C:C)</f>
        <v>0</v>
      </c>
      <c r="AF1023" s="3" t="str">
        <f t="shared" si="94"/>
        <v>OTHR</v>
      </c>
      <c r="AG1023" s="3" t="str">
        <f t="shared" si="95"/>
        <v>OTHR</v>
      </c>
    </row>
    <row r="1024" spans="24:33" x14ac:dyDescent="0.3">
      <c r="X1024" s="3" t="str">
        <f t="shared" si="90"/>
        <v>-SADNE-</v>
      </c>
      <c r="Y1024" s="3" t="str">
        <f t="shared" si="91"/>
        <v>-SLOWSS-</v>
      </c>
      <c r="Z1024" s="4" t="str">
        <f t="shared" si="92"/>
        <v>{"couname":"","img":"0","pty":"","artist":"","genres":"","duration":"","spotId":"","Items":["-SADNE-","-SLOWSS-","OTHR","OTHR","XT_OffAnimals"]},</v>
      </c>
      <c r="AA1024" s="5" t="s">
        <v>5</v>
      </c>
      <c r="AB1024" s="3" t="str">
        <f t="shared" si="93"/>
        <v>["-SADNE-","-SLOWSS-","OTHR","OTHR","XT_OffAnimals"]</v>
      </c>
      <c r="AC1024" s="3">
        <f>_xlfn.XLOOKUP(A1024,Album!A:A,Album!J:J)</f>
        <v>0</v>
      </c>
      <c r="AD1024" s="3">
        <f>_xlfn.XLOOKUP(D1024,Artists!A:A,Artists!B:B)</f>
        <v>0</v>
      </c>
      <c r="AE1024" s="3">
        <f>_xlfn.XLOOKUP(D1024,Artists!A:A,Artists!C:C)</f>
        <v>0</v>
      </c>
      <c r="AF1024" s="3" t="str">
        <f t="shared" si="94"/>
        <v>OTHR</v>
      </c>
      <c r="AG1024" s="3" t="str">
        <f t="shared" si="95"/>
        <v>OTHR</v>
      </c>
    </row>
    <row r="1025" spans="24:33" x14ac:dyDescent="0.3">
      <c r="X1025" s="3" t="str">
        <f t="shared" si="90"/>
        <v>-SADNE-</v>
      </c>
      <c r="Y1025" s="3" t="str">
        <f t="shared" si="91"/>
        <v>-SLOWSS-</v>
      </c>
      <c r="Z1025" s="4" t="str">
        <f t="shared" si="92"/>
        <v>{"couname":"","img":"0","pty":"","artist":"","genres":"","duration":"","spotId":"","Items":["-SADNE-","-SLOWSS-","OTHR","OTHR","XT_OffAnimals"]},</v>
      </c>
      <c r="AA1025" s="5" t="s">
        <v>5</v>
      </c>
      <c r="AB1025" s="3" t="str">
        <f t="shared" si="93"/>
        <v>["-SADNE-","-SLOWSS-","OTHR","OTHR","XT_OffAnimals"]</v>
      </c>
      <c r="AC1025" s="3">
        <f>_xlfn.XLOOKUP(A1025,Album!A:A,Album!J:J)</f>
        <v>0</v>
      </c>
      <c r="AD1025" s="3">
        <f>_xlfn.XLOOKUP(D1025,Artists!A:A,Artists!B:B)</f>
        <v>0</v>
      </c>
      <c r="AE1025" s="3">
        <f>_xlfn.XLOOKUP(D1025,Artists!A:A,Artists!C:C)</f>
        <v>0</v>
      </c>
      <c r="AF1025" s="3" t="str">
        <f t="shared" si="94"/>
        <v>OTHR</v>
      </c>
      <c r="AG1025" s="3" t="str">
        <f t="shared" si="95"/>
        <v>OTHR</v>
      </c>
    </row>
    <row r="1026" spans="24:33" x14ac:dyDescent="0.3">
      <c r="X1026" s="3" t="str">
        <f t="shared" ref="X1026:X1089" si="96">IF(OR(U1026&lt;0.301, AND(U1026&lt;0.4, P1026=0)), "-SADNE-", "-HAPPY-")</f>
        <v>-SADNE-</v>
      </c>
      <c r="Y1026" s="3" t="str">
        <f t="shared" ref="Y1026:Y1089" si="97">IF(OR(AND(L1026&lt;0.5,M1026&lt;0.5),AND(L1026&lt;0.45,V1026&lt;100),AND(M1026&lt;0.45,V1026&lt;100),AND(U1026&lt;0.39,V1026&lt;100)),"-SLOWSS-","-ENERGY-")</f>
        <v>-SLOWSS-</v>
      </c>
      <c r="Z1026" s="4" t="str">
        <f t="shared" si="92"/>
        <v>{"couname":"","img":"0","pty":"","artist":"","genres":"","duration":"","spotId":"","Items":["-SADNE-","-SLOWSS-","OTHR","OTHR","XT_OffAnimals"]},</v>
      </c>
      <c r="AA1026" s="5" t="s">
        <v>5</v>
      </c>
      <c r="AB1026" s="3" t="str">
        <f t="shared" si="93"/>
        <v>["-SADNE-","-SLOWSS-","OTHR","OTHR","XT_OffAnimals"]</v>
      </c>
      <c r="AC1026" s="3">
        <f>_xlfn.XLOOKUP(A1026,Album!A:A,Album!J:J)</f>
        <v>0</v>
      </c>
      <c r="AD1026" s="3">
        <f>_xlfn.XLOOKUP(D1026,Artists!A:A,Artists!B:B)</f>
        <v>0</v>
      </c>
      <c r="AE1026" s="3">
        <f>_xlfn.XLOOKUP(D1026,Artists!A:A,Artists!C:C)</f>
        <v>0</v>
      </c>
      <c r="AF1026" s="3" t="str">
        <f t="shared" si="94"/>
        <v>OTHR</v>
      </c>
      <c r="AG1026" s="3" t="str">
        <f t="shared" si="95"/>
        <v>OTHR</v>
      </c>
    </row>
    <row r="1027" spans="24:33" x14ac:dyDescent="0.3">
      <c r="X1027" s="3" t="str">
        <f t="shared" si="96"/>
        <v>-SADNE-</v>
      </c>
      <c r="Y1027" s="3" t="str">
        <f t="shared" si="97"/>
        <v>-SLOWSS-</v>
      </c>
      <c r="Z1027" s="4" t="str">
        <f t="shared" ref="Z1027:Z1090" si="98">"{"&amp;CHAR(34)&amp;"couname"&amp;CHAR(34)&amp;":"&amp;CHAR(34)&amp;B1027&amp;CHAR(34)&amp;","&amp;CHAR(34)&amp;"img"&amp;CHAR(34)&amp;":"&amp;CHAR(34)&amp;AC1027&amp;CHAR(34)&amp;","&amp;CHAR(34)&amp;"pty"&amp;CHAR(34)&amp;":"&amp;CHAR(34)&amp;G1027&amp;CHAR(34)&amp;","&amp;CHAR(34)&amp;"artist"&amp;CHAR(34)&amp;":"&amp;CHAR(34)&amp;D1027&amp;CHAR(34)&amp;","&amp;CHAR(34)&amp;"genres"&amp;CHAR(34)&amp;":"&amp;CHAR(34)&amp;J1027&amp;CHAR(34)&amp;","&amp;CHAR(34)&amp;"duration"&amp;CHAR(34)&amp;":"&amp;CHAR(34)&amp;F1027&amp;CHAR(34)&amp;","&amp;CHAR(34)&amp;"spotId"&amp;CHAR(34)&amp;":"&amp;CHAR(34)&amp;A1027&amp;CHAR(34)&amp;","&amp;CHAR(34)&amp;"Items"&amp;CHAR(34)&amp;":"&amp;AB1027&amp;"},"</f>
        <v>{"couname":"","img":"0","pty":"","artist":"","genres":"","duration":"","spotId":"","Items":["-SADNE-","-SLOWSS-","OTHR","OTHR","XT_OffAnimals"]},</v>
      </c>
      <c r="AA1027" s="5" t="s">
        <v>5</v>
      </c>
      <c r="AB1027" s="3" t="str">
        <f t="shared" ref="AB1027:AB1090" si="99" xml:space="preserve"> "[" &amp; _xlfn.TEXTJOIN(",",TRUE,CHAR(34) &amp; X1027&amp; CHAR(34), CHAR(34) &amp; Y1027 &amp; CHAR(34),  CHAR(34) &amp; AF1027 &amp; CHAR(34), CHAR(34) &amp;AG1027 &amp; CHAR(34), CHAR(34) &amp; AA1027 &amp; CHAR(34)) &amp; "]"</f>
        <v>["-SADNE-","-SLOWSS-","OTHR","OTHR","XT_OffAnimals"]</v>
      </c>
      <c r="AC1027" s="3">
        <f>_xlfn.XLOOKUP(A1027,Album!A:A,Album!J:J)</f>
        <v>0</v>
      </c>
      <c r="AD1027" s="3">
        <f>_xlfn.XLOOKUP(D1027,Artists!A:A,Artists!B:B)</f>
        <v>0</v>
      </c>
      <c r="AE1027" s="3">
        <f>_xlfn.XLOOKUP(D1027,Artists!A:A,Artists!C:C)</f>
        <v>0</v>
      </c>
      <c r="AF1027" s="3" t="str">
        <f t="shared" ref="AF1027:AF1090" si="100">IF(ISNUMBER(SEARCH("female", AD1027)), "GIRL", IF(ISNUMBER(SEARCH("male", AD1027)), "DUDE", "OTHR"))</f>
        <v>OTHR</v>
      </c>
      <c r="AG1027" s="3" t="str">
        <f t="shared" ref="AG1027:AG1090" si="101">IF(ISNUMBER(SEARCH("band", AD1027)), "BAND", IF(ISNUMBER(SEARCH("solo", AD1027)), "SOLO", "OTHR"))</f>
        <v>OTHR</v>
      </c>
    </row>
    <row r="1028" spans="24:33" x14ac:dyDescent="0.3">
      <c r="X1028" s="3" t="str">
        <f t="shared" si="96"/>
        <v>-SADNE-</v>
      </c>
      <c r="Y1028" s="3" t="str">
        <f t="shared" si="97"/>
        <v>-SLOWSS-</v>
      </c>
      <c r="Z1028" s="4" t="str">
        <f t="shared" si="98"/>
        <v>{"couname":"","img":"0","pty":"","artist":"","genres":"","duration":"","spotId":"","Items":["-SADNE-","-SLOWSS-","OTHR","OTHR","XT_OffAnimals"]},</v>
      </c>
      <c r="AA1028" s="5" t="s">
        <v>5</v>
      </c>
      <c r="AB1028" s="3" t="str">
        <f t="shared" si="99"/>
        <v>["-SADNE-","-SLOWSS-","OTHR","OTHR","XT_OffAnimals"]</v>
      </c>
      <c r="AC1028" s="3">
        <f>_xlfn.XLOOKUP(A1028,Album!A:A,Album!J:J)</f>
        <v>0</v>
      </c>
      <c r="AD1028" s="3">
        <f>_xlfn.XLOOKUP(D1028,Artists!A:A,Artists!B:B)</f>
        <v>0</v>
      </c>
      <c r="AE1028" s="3">
        <f>_xlfn.XLOOKUP(D1028,Artists!A:A,Artists!C:C)</f>
        <v>0</v>
      </c>
      <c r="AF1028" s="3" t="str">
        <f t="shared" si="100"/>
        <v>OTHR</v>
      </c>
      <c r="AG1028" s="3" t="str">
        <f t="shared" si="101"/>
        <v>OTHR</v>
      </c>
    </row>
    <row r="1029" spans="24:33" x14ac:dyDescent="0.3">
      <c r="X1029" s="3" t="str">
        <f t="shared" si="96"/>
        <v>-SADNE-</v>
      </c>
      <c r="Y1029" s="3" t="str">
        <f t="shared" si="97"/>
        <v>-SLOWSS-</v>
      </c>
      <c r="Z1029" s="4" t="str">
        <f t="shared" si="98"/>
        <v>{"couname":"","img":"0","pty":"","artist":"","genres":"","duration":"","spotId":"","Items":["-SADNE-","-SLOWSS-","OTHR","OTHR","XT_OffAnimals"]},</v>
      </c>
      <c r="AA1029" s="5" t="s">
        <v>5</v>
      </c>
      <c r="AB1029" s="3" t="str">
        <f t="shared" si="99"/>
        <v>["-SADNE-","-SLOWSS-","OTHR","OTHR","XT_OffAnimals"]</v>
      </c>
      <c r="AC1029" s="3">
        <f>_xlfn.XLOOKUP(A1029,Album!A:A,Album!J:J)</f>
        <v>0</v>
      </c>
      <c r="AD1029" s="3">
        <f>_xlfn.XLOOKUP(D1029,Artists!A:A,Artists!B:B)</f>
        <v>0</v>
      </c>
      <c r="AE1029" s="3">
        <f>_xlfn.XLOOKUP(D1029,Artists!A:A,Artists!C:C)</f>
        <v>0</v>
      </c>
      <c r="AF1029" s="3" t="str">
        <f t="shared" si="100"/>
        <v>OTHR</v>
      </c>
      <c r="AG1029" s="3" t="str">
        <f t="shared" si="101"/>
        <v>OTHR</v>
      </c>
    </row>
    <row r="1030" spans="24:33" x14ac:dyDescent="0.3">
      <c r="X1030" s="3" t="str">
        <f t="shared" si="96"/>
        <v>-SADNE-</v>
      </c>
      <c r="Y1030" s="3" t="str">
        <f t="shared" si="97"/>
        <v>-SLOWSS-</v>
      </c>
      <c r="Z1030" s="4" t="str">
        <f t="shared" si="98"/>
        <v>{"couname":"","img":"0","pty":"","artist":"","genres":"","duration":"","spotId":"","Items":["-SADNE-","-SLOWSS-","OTHR","OTHR","XT_OffAnimals"]},</v>
      </c>
      <c r="AA1030" s="5" t="s">
        <v>5</v>
      </c>
      <c r="AB1030" s="3" t="str">
        <f t="shared" si="99"/>
        <v>["-SADNE-","-SLOWSS-","OTHR","OTHR","XT_OffAnimals"]</v>
      </c>
      <c r="AC1030" s="3">
        <f>_xlfn.XLOOKUP(A1030,Album!A:A,Album!J:J)</f>
        <v>0</v>
      </c>
      <c r="AD1030" s="3">
        <f>_xlfn.XLOOKUP(D1030,Artists!A:A,Artists!B:B)</f>
        <v>0</v>
      </c>
      <c r="AE1030" s="3">
        <f>_xlfn.XLOOKUP(D1030,Artists!A:A,Artists!C:C)</f>
        <v>0</v>
      </c>
      <c r="AF1030" s="3" t="str">
        <f t="shared" si="100"/>
        <v>OTHR</v>
      </c>
      <c r="AG1030" s="3" t="str">
        <f t="shared" si="101"/>
        <v>OTHR</v>
      </c>
    </row>
    <row r="1031" spans="24:33" x14ac:dyDescent="0.3">
      <c r="X1031" s="3" t="str">
        <f t="shared" si="96"/>
        <v>-SADNE-</v>
      </c>
      <c r="Y1031" s="3" t="str">
        <f t="shared" si="97"/>
        <v>-SLOWSS-</v>
      </c>
      <c r="Z1031" s="4" t="str">
        <f t="shared" si="98"/>
        <v>{"couname":"","img":"0","pty":"","artist":"","genres":"","duration":"","spotId":"","Items":["-SADNE-","-SLOWSS-","OTHR","OTHR","XT_OffAnimals"]},</v>
      </c>
      <c r="AA1031" s="5" t="s">
        <v>5</v>
      </c>
      <c r="AB1031" s="3" t="str">
        <f t="shared" si="99"/>
        <v>["-SADNE-","-SLOWSS-","OTHR","OTHR","XT_OffAnimals"]</v>
      </c>
      <c r="AC1031" s="3">
        <f>_xlfn.XLOOKUP(A1031,Album!A:A,Album!J:J)</f>
        <v>0</v>
      </c>
      <c r="AD1031" s="3">
        <f>_xlfn.XLOOKUP(D1031,Artists!A:A,Artists!B:B)</f>
        <v>0</v>
      </c>
      <c r="AE1031" s="3">
        <f>_xlfn.XLOOKUP(D1031,Artists!A:A,Artists!C:C)</f>
        <v>0</v>
      </c>
      <c r="AF1031" s="3" t="str">
        <f t="shared" si="100"/>
        <v>OTHR</v>
      </c>
      <c r="AG1031" s="3" t="str">
        <f t="shared" si="101"/>
        <v>OTHR</v>
      </c>
    </row>
    <row r="1032" spans="24:33" x14ac:dyDescent="0.3">
      <c r="X1032" s="3" t="str">
        <f t="shared" si="96"/>
        <v>-SADNE-</v>
      </c>
      <c r="Y1032" s="3" t="str">
        <f t="shared" si="97"/>
        <v>-SLOWSS-</v>
      </c>
      <c r="Z1032" s="4" t="str">
        <f t="shared" si="98"/>
        <v>{"couname":"","img":"0","pty":"","artist":"","genres":"","duration":"","spotId":"","Items":["-SADNE-","-SLOWSS-","OTHR","OTHR","XT_OffAnimals"]},</v>
      </c>
      <c r="AA1032" s="5" t="s">
        <v>5</v>
      </c>
      <c r="AB1032" s="3" t="str">
        <f t="shared" si="99"/>
        <v>["-SADNE-","-SLOWSS-","OTHR","OTHR","XT_OffAnimals"]</v>
      </c>
      <c r="AC1032" s="3">
        <f>_xlfn.XLOOKUP(A1032,Album!A:A,Album!J:J)</f>
        <v>0</v>
      </c>
      <c r="AD1032" s="3">
        <f>_xlfn.XLOOKUP(D1032,Artists!A:A,Artists!B:B)</f>
        <v>0</v>
      </c>
      <c r="AE1032" s="3">
        <f>_xlfn.XLOOKUP(D1032,Artists!A:A,Artists!C:C)</f>
        <v>0</v>
      </c>
      <c r="AF1032" s="3" t="str">
        <f t="shared" si="100"/>
        <v>OTHR</v>
      </c>
      <c r="AG1032" s="3" t="str">
        <f t="shared" si="101"/>
        <v>OTHR</v>
      </c>
    </row>
    <row r="1033" spans="24:33" x14ac:dyDescent="0.3">
      <c r="X1033" s="3" t="str">
        <f t="shared" si="96"/>
        <v>-SADNE-</v>
      </c>
      <c r="Y1033" s="3" t="str">
        <f t="shared" si="97"/>
        <v>-SLOWSS-</v>
      </c>
      <c r="Z1033" s="4" t="str">
        <f t="shared" si="98"/>
        <v>{"couname":"","img":"0","pty":"","artist":"","genres":"","duration":"","spotId":"","Items":["-SADNE-","-SLOWSS-","OTHR","OTHR","XT_OffAnimals"]},</v>
      </c>
      <c r="AA1033" s="5" t="s">
        <v>5</v>
      </c>
      <c r="AB1033" s="3" t="str">
        <f t="shared" si="99"/>
        <v>["-SADNE-","-SLOWSS-","OTHR","OTHR","XT_OffAnimals"]</v>
      </c>
      <c r="AC1033" s="3">
        <f>_xlfn.XLOOKUP(A1033,Album!A:A,Album!J:J)</f>
        <v>0</v>
      </c>
      <c r="AD1033" s="3">
        <f>_xlfn.XLOOKUP(D1033,Artists!A:A,Artists!B:B)</f>
        <v>0</v>
      </c>
      <c r="AE1033" s="3">
        <f>_xlfn.XLOOKUP(D1033,Artists!A:A,Artists!C:C)</f>
        <v>0</v>
      </c>
      <c r="AF1033" s="3" t="str">
        <f t="shared" si="100"/>
        <v>OTHR</v>
      </c>
      <c r="AG1033" s="3" t="str">
        <f t="shared" si="101"/>
        <v>OTHR</v>
      </c>
    </row>
    <row r="1034" spans="24:33" x14ac:dyDescent="0.3">
      <c r="X1034" s="3" t="str">
        <f t="shared" si="96"/>
        <v>-SADNE-</v>
      </c>
      <c r="Y1034" s="3" t="str">
        <f t="shared" si="97"/>
        <v>-SLOWSS-</v>
      </c>
      <c r="Z1034" s="4" t="str">
        <f t="shared" si="98"/>
        <v>{"couname":"","img":"0","pty":"","artist":"","genres":"","duration":"","spotId":"","Items":["-SADNE-","-SLOWSS-","OTHR","OTHR","XT_OffAnimals"]},</v>
      </c>
      <c r="AA1034" s="5" t="s">
        <v>5</v>
      </c>
      <c r="AB1034" s="3" t="str">
        <f t="shared" si="99"/>
        <v>["-SADNE-","-SLOWSS-","OTHR","OTHR","XT_OffAnimals"]</v>
      </c>
      <c r="AC1034" s="3">
        <f>_xlfn.XLOOKUP(A1034,Album!A:A,Album!J:J)</f>
        <v>0</v>
      </c>
      <c r="AD1034" s="3">
        <f>_xlfn.XLOOKUP(D1034,Artists!A:A,Artists!B:B)</f>
        <v>0</v>
      </c>
      <c r="AE1034" s="3">
        <f>_xlfn.XLOOKUP(D1034,Artists!A:A,Artists!C:C)</f>
        <v>0</v>
      </c>
      <c r="AF1034" s="3" t="str">
        <f t="shared" si="100"/>
        <v>OTHR</v>
      </c>
      <c r="AG1034" s="3" t="str">
        <f t="shared" si="101"/>
        <v>OTHR</v>
      </c>
    </row>
    <row r="1035" spans="24:33" x14ac:dyDescent="0.3">
      <c r="X1035" s="3" t="str">
        <f t="shared" si="96"/>
        <v>-SADNE-</v>
      </c>
      <c r="Y1035" s="3" t="str">
        <f t="shared" si="97"/>
        <v>-SLOWSS-</v>
      </c>
      <c r="Z1035" s="4" t="str">
        <f t="shared" si="98"/>
        <v>{"couname":"","img":"0","pty":"","artist":"","genres":"","duration":"","spotId":"","Items":["-SADNE-","-SLOWSS-","OTHR","OTHR","XT_OffAnimals"]},</v>
      </c>
      <c r="AA1035" s="5" t="s">
        <v>5</v>
      </c>
      <c r="AB1035" s="3" t="str">
        <f t="shared" si="99"/>
        <v>["-SADNE-","-SLOWSS-","OTHR","OTHR","XT_OffAnimals"]</v>
      </c>
      <c r="AC1035" s="3">
        <f>_xlfn.XLOOKUP(A1035,Album!A:A,Album!J:J)</f>
        <v>0</v>
      </c>
      <c r="AD1035" s="3">
        <f>_xlfn.XLOOKUP(D1035,Artists!A:A,Artists!B:B)</f>
        <v>0</v>
      </c>
      <c r="AE1035" s="3">
        <f>_xlfn.XLOOKUP(D1035,Artists!A:A,Artists!C:C)</f>
        <v>0</v>
      </c>
      <c r="AF1035" s="3" t="str">
        <f t="shared" si="100"/>
        <v>OTHR</v>
      </c>
      <c r="AG1035" s="3" t="str">
        <f t="shared" si="101"/>
        <v>OTHR</v>
      </c>
    </row>
    <row r="1036" spans="24:33" x14ac:dyDescent="0.3">
      <c r="X1036" s="3" t="str">
        <f t="shared" si="96"/>
        <v>-SADNE-</v>
      </c>
      <c r="Y1036" s="3" t="str">
        <f t="shared" si="97"/>
        <v>-SLOWSS-</v>
      </c>
      <c r="Z1036" s="4" t="str">
        <f t="shared" si="98"/>
        <v>{"couname":"","img":"0","pty":"","artist":"","genres":"","duration":"","spotId":"","Items":["-SADNE-","-SLOWSS-","OTHR","OTHR","XT_OffAnimals"]},</v>
      </c>
      <c r="AA1036" s="5" t="s">
        <v>5</v>
      </c>
      <c r="AB1036" s="3" t="str">
        <f t="shared" si="99"/>
        <v>["-SADNE-","-SLOWSS-","OTHR","OTHR","XT_OffAnimals"]</v>
      </c>
      <c r="AC1036" s="3">
        <f>_xlfn.XLOOKUP(A1036,Album!A:A,Album!J:J)</f>
        <v>0</v>
      </c>
      <c r="AD1036" s="3">
        <f>_xlfn.XLOOKUP(D1036,Artists!A:A,Artists!B:B)</f>
        <v>0</v>
      </c>
      <c r="AE1036" s="3">
        <f>_xlfn.XLOOKUP(D1036,Artists!A:A,Artists!C:C)</f>
        <v>0</v>
      </c>
      <c r="AF1036" s="3" t="str">
        <f t="shared" si="100"/>
        <v>OTHR</v>
      </c>
      <c r="AG1036" s="3" t="str">
        <f t="shared" si="101"/>
        <v>OTHR</v>
      </c>
    </row>
    <row r="1037" spans="24:33" x14ac:dyDescent="0.3">
      <c r="X1037" s="3" t="str">
        <f t="shared" si="96"/>
        <v>-SADNE-</v>
      </c>
      <c r="Y1037" s="3" t="str">
        <f t="shared" si="97"/>
        <v>-SLOWSS-</v>
      </c>
      <c r="Z1037" s="4" t="str">
        <f t="shared" si="98"/>
        <v>{"couname":"","img":"0","pty":"","artist":"","genres":"","duration":"","spotId":"","Items":["-SADNE-","-SLOWSS-","OTHR","OTHR","XT_OffAnimals"]},</v>
      </c>
      <c r="AA1037" s="5" t="s">
        <v>5</v>
      </c>
      <c r="AB1037" s="3" t="str">
        <f t="shared" si="99"/>
        <v>["-SADNE-","-SLOWSS-","OTHR","OTHR","XT_OffAnimals"]</v>
      </c>
      <c r="AC1037" s="3">
        <f>_xlfn.XLOOKUP(A1037,Album!A:A,Album!J:J)</f>
        <v>0</v>
      </c>
      <c r="AD1037" s="3">
        <f>_xlfn.XLOOKUP(D1037,Artists!A:A,Artists!B:B)</f>
        <v>0</v>
      </c>
      <c r="AE1037" s="3">
        <f>_xlfn.XLOOKUP(D1037,Artists!A:A,Artists!C:C)</f>
        <v>0</v>
      </c>
      <c r="AF1037" s="3" t="str">
        <f t="shared" si="100"/>
        <v>OTHR</v>
      </c>
      <c r="AG1037" s="3" t="str">
        <f t="shared" si="101"/>
        <v>OTHR</v>
      </c>
    </row>
    <row r="1038" spans="24:33" x14ac:dyDescent="0.3">
      <c r="X1038" s="3" t="str">
        <f t="shared" si="96"/>
        <v>-SADNE-</v>
      </c>
      <c r="Y1038" s="3" t="str">
        <f t="shared" si="97"/>
        <v>-SLOWSS-</v>
      </c>
      <c r="Z1038" s="4" t="str">
        <f t="shared" si="98"/>
        <v>{"couname":"","img":"0","pty":"","artist":"","genres":"","duration":"","spotId":"","Items":["-SADNE-","-SLOWSS-","OTHR","OTHR","XT_OffAnimals"]},</v>
      </c>
      <c r="AA1038" s="5" t="s">
        <v>5</v>
      </c>
      <c r="AB1038" s="3" t="str">
        <f t="shared" si="99"/>
        <v>["-SADNE-","-SLOWSS-","OTHR","OTHR","XT_OffAnimals"]</v>
      </c>
      <c r="AC1038" s="3">
        <f>_xlfn.XLOOKUP(A1038,Album!A:A,Album!J:J)</f>
        <v>0</v>
      </c>
      <c r="AD1038" s="3">
        <f>_xlfn.XLOOKUP(D1038,Artists!A:A,Artists!B:B)</f>
        <v>0</v>
      </c>
      <c r="AE1038" s="3">
        <f>_xlfn.XLOOKUP(D1038,Artists!A:A,Artists!C:C)</f>
        <v>0</v>
      </c>
      <c r="AF1038" s="3" t="str">
        <f t="shared" si="100"/>
        <v>OTHR</v>
      </c>
      <c r="AG1038" s="3" t="str">
        <f t="shared" si="101"/>
        <v>OTHR</v>
      </c>
    </row>
    <row r="1039" spans="24:33" x14ac:dyDescent="0.3">
      <c r="X1039" s="3" t="str">
        <f t="shared" si="96"/>
        <v>-SADNE-</v>
      </c>
      <c r="Y1039" s="3" t="str">
        <f t="shared" si="97"/>
        <v>-SLOWSS-</v>
      </c>
      <c r="Z1039" s="4" t="str">
        <f t="shared" si="98"/>
        <v>{"couname":"","img":"0","pty":"","artist":"","genres":"","duration":"","spotId":"","Items":["-SADNE-","-SLOWSS-","OTHR","OTHR","XT_OffAnimals"]},</v>
      </c>
      <c r="AA1039" s="5" t="s">
        <v>5</v>
      </c>
      <c r="AB1039" s="3" t="str">
        <f t="shared" si="99"/>
        <v>["-SADNE-","-SLOWSS-","OTHR","OTHR","XT_OffAnimals"]</v>
      </c>
      <c r="AC1039" s="3">
        <f>_xlfn.XLOOKUP(A1039,Album!A:A,Album!J:J)</f>
        <v>0</v>
      </c>
      <c r="AD1039" s="3">
        <f>_xlfn.XLOOKUP(D1039,Artists!A:A,Artists!B:B)</f>
        <v>0</v>
      </c>
      <c r="AE1039" s="3">
        <f>_xlfn.XLOOKUP(D1039,Artists!A:A,Artists!C:C)</f>
        <v>0</v>
      </c>
      <c r="AF1039" s="3" t="str">
        <f t="shared" si="100"/>
        <v>OTHR</v>
      </c>
      <c r="AG1039" s="3" t="str">
        <f t="shared" si="101"/>
        <v>OTHR</v>
      </c>
    </row>
    <row r="1040" spans="24:33" x14ac:dyDescent="0.3">
      <c r="X1040" s="3" t="str">
        <f t="shared" si="96"/>
        <v>-SADNE-</v>
      </c>
      <c r="Y1040" s="3" t="str">
        <f t="shared" si="97"/>
        <v>-SLOWSS-</v>
      </c>
      <c r="Z1040" s="4" t="str">
        <f t="shared" si="98"/>
        <v>{"couname":"","img":"0","pty":"","artist":"","genres":"","duration":"","spotId":"","Items":["-SADNE-","-SLOWSS-","OTHR","OTHR","XT_OffAnimals"]},</v>
      </c>
      <c r="AA1040" s="5" t="s">
        <v>5</v>
      </c>
      <c r="AB1040" s="3" t="str">
        <f t="shared" si="99"/>
        <v>["-SADNE-","-SLOWSS-","OTHR","OTHR","XT_OffAnimals"]</v>
      </c>
      <c r="AC1040" s="3">
        <f>_xlfn.XLOOKUP(A1040,Album!A:A,Album!J:J)</f>
        <v>0</v>
      </c>
      <c r="AD1040" s="3">
        <f>_xlfn.XLOOKUP(D1040,Artists!A:A,Artists!B:B)</f>
        <v>0</v>
      </c>
      <c r="AE1040" s="3">
        <f>_xlfn.XLOOKUP(D1040,Artists!A:A,Artists!C:C)</f>
        <v>0</v>
      </c>
      <c r="AF1040" s="3" t="str">
        <f t="shared" si="100"/>
        <v>OTHR</v>
      </c>
      <c r="AG1040" s="3" t="str">
        <f t="shared" si="101"/>
        <v>OTHR</v>
      </c>
    </row>
    <row r="1041" spans="24:33" x14ac:dyDescent="0.3">
      <c r="X1041" s="3" t="str">
        <f t="shared" si="96"/>
        <v>-SADNE-</v>
      </c>
      <c r="Y1041" s="3" t="str">
        <f t="shared" si="97"/>
        <v>-SLOWSS-</v>
      </c>
      <c r="Z1041" s="4" t="str">
        <f t="shared" si="98"/>
        <v>{"couname":"","img":"0","pty":"","artist":"","genres":"","duration":"","spotId":"","Items":["-SADNE-","-SLOWSS-","OTHR","OTHR","XT_OffAnimals"]},</v>
      </c>
      <c r="AA1041" s="5" t="s">
        <v>5</v>
      </c>
      <c r="AB1041" s="3" t="str">
        <f t="shared" si="99"/>
        <v>["-SADNE-","-SLOWSS-","OTHR","OTHR","XT_OffAnimals"]</v>
      </c>
      <c r="AC1041" s="3">
        <f>_xlfn.XLOOKUP(A1041,Album!A:A,Album!J:J)</f>
        <v>0</v>
      </c>
      <c r="AD1041" s="3">
        <f>_xlfn.XLOOKUP(D1041,Artists!A:A,Artists!B:B)</f>
        <v>0</v>
      </c>
      <c r="AE1041" s="3">
        <f>_xlfn.XLOOKUP(D1041,Artists!A:A,Artists!C:C)</f>
        <v>0</v>
      </c>
      <c r="AF1041" s="3" t="str">
        <f t="shared" si="100"/>
        <v>OTHR</v>
      </c>
      <c r="AG1041" s="3" t="str">
        <f t="shared" si="101"/>
        <v>OTHR</v>
      </c>
    </row>
    <row r="1042" spans="24:33" x14ac:dyDescent="0.3">
      <c r="X1042" s="3" t="str">
        <f t="shared" si="96"/>
        <v>-SADNE-</v>
      </c>
      <c r="Y1042" s="3" t="str">
        <f t="shared" si="97"/>
        <v>-SLOWSS-</v>
      </c>
      <c r="Z1042" s="4" t="str">
        <f t="shared" si="98"/>
        <v>{"couname":"","img":"0","pty":"","artist":"","genres":"","duration":"","spotId":"","Items":["-SADNE-","-SLOWSS-","OTHR","OTHR","XT_OffAnimals"]},</v>
      </c>
      <c r="AA1042" s="5" t="s">
        <v>5</v>
      </c>
      <c r="AB1042" s="3" t="str">
        <f t="shared" si="99"/>
        <v>["-SADNE-","-SLOWSS-","OTHR","OTHR","XT_OffAnimals"]</v>
      </c>
      <c r="AC1042" s="3">
        <f>_xlfn.XLOOKUP(A1042,Album!A:A,Album!J:J)</f>
        <v>0</v>
      </c>
      <c r="AD1042" s="3">
        <f>_xlfn.XLOOKUP(D1042,Artists!A:A,Artists!B:B)</f>
        <v>0</v>
      </c>
      <c r="AE1042" s="3">
        <f>_xlfn.XLOOKUP(D1042,Artists!A:A,Artists!C:C)</f>
        <v>0</v>
      </c>
      <c r="AF1042" s="3" t="str">
        <f t="shared" si="100"/>
        <v>OTHR</v>
      </c>
      <c r="AG1042" s="3" t="str">
        <f t="shared" si="101"/>
        <v>OTHR</v>
      </c>
    </row>
    <row r="1043" spans="24:33" x14ac:dyDescent="0.3">
      <c r="X1043" s="3" t="str">
        <f t="shared" si="96"/>
        <v>-SADNE-</v>
      </c>
      <c r="Y1043" s="3" t="str">
        <f t="shared" si="97"/>
        <v>-SLOWSS-</v>
      </c>
      <c r="Z1043" s="4" t="str">
        <f t="shared" si="98"/>
        <v>{"couname":"","img":"0","pty":"","artist":"","genres":"","duration":"","spotId":"","Items":["-SADNE-","-SLOWSS-","OTHR","OTHR","XT_OffAnimals"]},</v>
      </c>
      <c r="AA1043" s="5" t="s">
        <v>5</v>
      </c>
      <c r="AB1043" s="3" t="str">
        <f t="shared" si="99"/>
        <v>["-SADNE-","-SLOWSS-","OTHR","OTHR","XT_OffAnimals"]</v>
      </c>
      <c r="AC1043" s="3">
        <f>_xlfn.XLOOKUP(A1043,Album!A:A,Album!J:J)</f>
        <v>0</v>
      </c>
      <c r="AD1043" s="3">
        <f>_xlfn.XLOOKUP(D1043,Artists!A:A,Artists!B:B)</f>
        <v>0</v>
      </c>
      <c r="AE1043" s="3">
        <f>_xlfn.XLOOKUP(D1043,Artists!A:A,Artists!C:C)</f>
        <v>0</v>
      </c>
      <c r="AF1043" s="3" t="str">
        <f t="shared" si="100"/>
        <v>OTHR</v>
      </c>
      <c r="AG1043" s="3" t="str">
        <f t="shared" si="101"/>
        <v>OTHR</v>
      </c>
    </row>
    <row r="1044" spans="24:33" x14ac:dyDescent="0.3">
      <c r="X1044" s="3" t="str">
        <f t="shared" si="96"/>
        <v>-SADNE-</v>
      </c>
      <c r="Y1044" s="3" t="str">
        <f t="shared" si="97"/>
        <v>-SLOWSS-</v>
      </c>
      <c r="Z1044" s="4" t="str">
        <f t="shared" si="98"/>
        <v>{"couname":"","img":"0","pty":"","artist":"","genres":"","duration":"","spotId":"","Items":["-SADNE-","-SLOWSS-","OTHR","OTHR","XT_OffAnimals"]},</v>
      </c>
      <c r="AA1044" s="5" t="s">
        <v>5</v>
      </c>
      <c r="AB1044" s="3" t="str">
        <f t="shared" si="99"/>
        <v>["-SADNE-","-SLOWSS-","OTHR","OTHR","XT_OffAnimals"]</v>
      </c>
      <c r="AC1044" s="3">
        <f>_xlfn.XLOOKUP(A1044,Album!A:A,Album!J:J)</f>
        <v>0</v>
      </c>
      <c r="AD1044" s="3">
        <f>_xlfn.XLOOKUP(D1044,Artists!A:A,Artists!B:B)</f>
        <v>0</v>
      </c>
      <c r="AE1044" s="3">
        <f>_xlfn.XLOOKUP(D1044,Artists!A:A,Artists!C:C)</f>
        <v>0</v>
      </c>
      <c r="AF1044" s="3" t="str">
        <f t="shared" si="100"/>
        <v>OTHR</v>
      </c>
      <c r="AG1044" s="3" t="str">
        <f t="shared" si="101"/>
        <v>OTHR</v>
      </c>
    </row>
    <row r="1045" spans="24:33" x14ac:dyDescent="0.3">
      <c r="X1045" s="3" t="str">
        <f t="shared" si="96"/>
        <v>-SADNE-</v>
      </c>
      <c r="Y1045" s="3" t="str">
        <f t="shared" si="97"/>
        <v>-SLOWSS-</v>
      </c>
      <c r="Z1045" s="4" t="str">
        <f t="shared" si="98"/>
        <v>{"couname":"","img":"0","pty":"","artist":"","genres":"","duration":"","spotId":"","Items":["-SADNE-","-SLOWSS-","OTHR","OTHR","XT_OffAnimals"]},</v>
      </c>
      <c r="AA1045" s="5" t="s">
        <v>5</v>
      </c>
      <c r="AB1045" s="3" t="str">
        <f t="shared" si="99"/>
        <v>["-SADNE-","-SLOWSS-","OTHR","OTHR","XT_OffAnimals"]</v>
      </c>
      <c r="AC1045" s="3">
        <f>_xlfn.XLOOKUP(A1045,Album!A:A,Album!J:J)</f>
        <v>0</v>
      </c>
      <c r="AD1045" s="3">
        <f>_xlfn.XLOOKUP(D1045,Artists!A:A,Artists!B:B)</f>
        <v>0</v>
      </c>
      <c r="AE1045" s="3">
        <f>_xlfn.XLOOKUP(D1045,Artists!A:A,Artists!C:C)</f>
        <v>0</v>
      </c>
      <c r="AF1045" s="3" t="str">
        <f t="shared" si="100"/>
        <v>OTHR</v>
      </c>
      <c r="AG1045" s="3" t="str">
        <f t="shared" si="101"/>
        <v>OTHR</v>
      </c>
    </row>
    <row r="1046" spans="24:33" x14ac:dyDescent="0.3">
      <c r="X1046" s="3" t="str">
        <f t="shared" si="96"/>
        <v>-SADNE-</v>
      </c>
      <c r="Y1046" s="3" t="str">
        <f t="shared" si="97"/>
        <v>-SLOWSS-</v>
      </c>
      <c r="Z1046" s="4" t="str">
        <f t="shared" si="98"/>
        <v>{"couname":"","img":"0","pty":"","artist":"","genres":"","duration":"","spotId":"","Items":["-SADNE-","-SLOWSS-","OTHR","OTHR","XT_OffAnimals"]},</v>
      </c>
      <c r="AA1046" s="5" t="s">
        <v>5</v>
      </c>
      <c r="AB1046" s="3" t="str">
        <f t="shared" si="99"/>
        <v>["-SADNE-","-SLOWSS-","OTHR","OTHR","XT_OffAnimals"]</v>
      </c>
      <c r="AC1046" s="3">
        <f>_xlfn.XLOOKUP(A1046,Album!A:A,Album!J:J)</f>
        <v>0</v>
      </c>
      <c r="AD1046" s="3">
        <f>_xlfn.XLOOKUP(D1046,Artists!A:A,Artists!B:B)</f>
        <v>0</v>
      </c>
      <c r="AE1046" s="3">
        <f>_xlfn.XLOOKUP(D1046,Artists!A:A,Artists!C:C)</f>
        <v>0</v>
      </c>
      <c r="AF1046" s="3" t="str">
        <f t="shared" si="100"/>
        <v>OTHR</v>
      </c>
      <c r="AG1046" s="3" t="str">
        <f t="shared" si="101"/>
        <v>OTHR</v>
      </c>
    </row>
    <row r="1047" spans="24:33" x14ac:dyDescent="0.3">
      <c r="X1047" s="3" t="str">
        <f t="shared" si="96"/>
        <v>-SADNE-</v>
      </c>
      <c r="Y1047" s="3" t="str">
        <f t="shared" si="97"/>
        <v>-SLOWSS-</v>
      </c>
      <c r="Z1047" s="4" t="str">
        <f t="shared" si="98"/>
        <v>{"couname":"","img":"0","pty":"","artist":"","genres":"","duration":"","spotId":"","Items":["-SADNE-","-SLOWSS-","OTHR","OTHR","XT_OffAnimals"]},</v>
      </c>
      <c r="AA1047" s="5" t="s">
        <v>5</v>
      </c>
      <c r="AB1047" s="3" t="str">
        <f t="shared" si="99"/>
        <v>["-SADNE-","-SLOWSS-","OTHR","OTHR","XT_OffAnimals"]</v>
      </c>
      <c r="AC1047" s="3">
        <f>_xlfn.XLOOKUP(A1047,Album!A:A,Album!J:J)</f>
        <v>0</v>
      </c>
      <c r="AD1047" s="3">
        <f>_xlfn.XLOOKUP(D1047,Artists!A:A,Artists!B:B)</f>
        <v>0</v>
      </c>
      <c r="AE1047" s="3">
        <f>_xlfn.XLOOKUP(D1047,Artists!A:A,Artists!C:C)</f>
        <v>0</v>
      </c>
      <c r="AF1047" s="3" t="str">
        <f t="shared" si="100"/>
        <v>OTHR</v>
      </c>
      <c r="AG1047" s="3" t="str">
        <f t="shared" si="101"/>
        <v>OTHR</v>
      </c>
    </row>
    <row r="1048" spans="24:33" x14ac:dyDescent="0.3">
      <c r="X1048" s="3" t="str">
        <f t="shared" si="96"/>
        <v>-SADNE-</v>
      </c>
      <c r="Y1048" s="3" t="str">
        <f t="shared" si="97"/>
        <v>-SLOWSS-</v>
      </c>
      <c r="Z1048" s="4" t="str">
        <f t="shared" si="98"/>
        <v>{"couname":"","img":"0","pty":"","artist":"","genres":"","duration":"","spotId":"","Items":["-SADNE-","-SLOWSS-","OTHR","OTHR","XT_OffAnimals"]},</v>
      </c>
      <c r="AA1048" s="5" t="s">
        <v>5</v>
      </c>
      <c r="AB1048" s="3" t="str">
        <f t="shared" si="99"/>
        <v>["-SADNE-","-SLOWSS-","OTHR","OTHR","XT_OffAnimals"]</v>
      </c>
      <c r="AC1048" s="3">
        <f>_xlfn.XLOOKUP(A1048,Album!A:A,Album!J:J)</f>
        <v>0</v>
      </c>
      <c r="AD1048" s="3">
        <f>_xlfn.XLOOKUP(D1048,Artists!A:A,Artists!B:B)</f>
        <v>0</v>
      </c>
      <c r="AE1048" s="3">
        <f>_xlfn.XLOOKUP(D1048,Artists!A:A,Artists!C:C)</f>
        <v>0</v>
      </c>
      <c r="AF1048" s="3" t="str">
        <f t="shared" si="100"/>
        <v>OTHR</v>
      </c>
      <c r="AG1048" s="3" t="str">
        <f t="shared" si="101"/>
        <v>OTHR</v>
      </c>
    </row>
    <row r="1049" spans="24:33" x14ac:dyDescent="0.3">
      <c r="X1049" s="3" t="str">
        <f t="shared" si="96"/>
        <v>-SADNE-</v>
      </c>
      <c r="Y1049" s="3" t="str">
        <f t="shared" si="97"/>
        <v>-SLOWSS-</v>
      </c>
      <c r="Z1049" s="4" t="str">
        <f t="shared" si="98"/>
        <v>{"couname":"","img":"0","pty":"","artist":"","genres":"","duration":"","spotId":"","Items":["-SADNE-","-SLOWSS-","OTHR","OTHR","XT_OffAnimals"]},</v>
      </c>
      <c r="AA1049" s="5" t="s">
        <v>5</v>
      </c>
      <c r="AB1049" s="3" t="str">
        <f t="shared" si="99"/>
        <v>["-SADNE-","-SLOWSS-","OTHR","OTHR","XT_OffAnimals"]</v>
      </c>
      <c r="AC1049" s="3">
        <f>_xlfn.XLOOKUP(A1049,Album!A:A,Album!J:J)</f>
        <v>0</v>
      </c>
      <c r="AD1049" s="3">
        <f>_xlfn.XLOOKUP(D1049,Artists!A:A,Artists!B:B)</f>
        <v>0</v>
      </c>
      <c r="AE1049" s="3">
        <f>_xlfn.XLOOKUP(D1049,Artists!A:A,Artists!C:C)</f>
        <v>0</v>
      </c>
      <c r="AF1049" s="3" t="str">
        <f t="shared" si="100"/>
        <v>OTHR</v>
      </c>
      <c r="AG1049" s="3" t="str">
        <f t="shared" si="101"/>
        <v>OTHR</v>
      </c>
    </row>
    <row r="1050" spans="24:33" x14ac:dyDescent="0.3">
      <c r="X1050" s="3" t="str">
        <f t="shared" si="96"/>
        <v>-SADNE-</v>
      </c>
      <c r="Y1050" s="3" t="str">
        <f t="shared" si="97"/>
        <v>-SLOWSS-</v>
      </c>
      <c r="Z1050" s="4" t="str">
        <f t="shared" si="98"/>
        <v>{"couname":"","img":"0","pty":"","artist":"","genres":"","duration":"","spotId":"","Items":["-SADNE-","-SLOWSS-","OTHR","OTHR","XT_OffAnimals"]},</v>
      </c>
      <c r="AA1050" s="5" t="s">
        <v>5</v>
      </c>
      <c r="AB1050" s="3" t="str">
        <f t="shared" si="99"/>
        <v>["-SADNE-","-SLOWSS-","OTHR","OTHR","XT_OffAnimals"]</v>
      </c>
      <c r="AC1050" s="3">
        <f>_xlfn.XLOOKUP(A1050,Album!A:A,Album!J:J)</f>
        <v>0</v>
      </c>
      <c r="AD1050" s="3">
        <f>_xlfn.XLOOKUP(D1050,Artists!A:A,Artists!B:B)</f>
        <v>0</v>
      </c>
      <c r="AE1050" s="3">
        <f>_xlfn.XLOOKUP(D1050,Artists!A:A,Artists!C:C)</f>
        <v>0</v>
      </c>
      <c r="AF1050" s="3" t="str">
        <f t="shared" si="100"/>
        <v>OTHR</v>
      </c>
      <c r="AG1050" s="3" t="str">
        <f t="shared" si="101"/>
        <v>OTHR</v>
      </c>
    </row>
    <row r="1051" spans="24:33" x14ac:dyDescent="0.3">
      <c r="X1051" s="3" t="str">
        <f t="shared" si="96"/>
        <v>-SADNE-</v>
      </c>
      <c r="Y1051" s="3" t="str">
        <f t="shared" si="97"/>
        <v>-SLOWSS-</v>
      </c>
      <c r="Z1051" s="4" t="str">
        <f t="shared" si="98"/>
        <v>{"couname":"","img":"0","pty":"","artist":"","genres":"","duration":"","spotId":"","Items":["-SADNE-","-SLOWSS-","OTHR","OTHR","XT_OffAnimals"]},</v>
      </c>
      <c r="AA1051" s="5" t="s">
        <v>5</v>
      </c>
      <c r="AB1051" s="3" t="str">
        <f t="shared" si="99"/>
        <v>["-SADNE-","-SLOWSS-","OTHR","OTHR","XT_OffAnimals"]</v>
      </c>
      <c r="AC1051" s="3">
        <f>_xlfn.XLOOKUP(A1051,Album!A:A,Album!J:J)</f>
        <v>0</v>
      </c>
      <c r="AD1051" s="3">
        <f>_xlfn.XLOOKUP(D1051,Artists!A:A,Artists!B:B)</f>
        <v>0</v>
      </c>
      <c r="AE1051" s="3">
        <f>_xlfn.XLOOKUP(D1051,Artists!A:A,Artists!C:C)</f>
        <v>0</v>
      </c>
      <c r="AF1051" s="3" t="str">
        <f t="shared" si="100"/>
        <v>OTHR</v>
      </c>
      <c r="AG1051" s="3" t="str">
        <f t="shared" si="101"/>
        <v>OTHR</v>
      </c>
    </row>
    <row r="1052" spans="24:33" x14ac:dyDescent="0.3">
      <c r="X1052" s="3" t="str">
        <f t="shared" si="96"/>
        <v>-SADNE-</v>
      </c>
      <c r="Y1052" s="3" t="str">
        <f t="shared" si="97"/>
        <v>-SLOWSS-</v>
      </c>
      <c r="Z1052" s="4" t="str">
        <f t="shared" si="98"/>
        <v>{"couname":"","img":"0","pty":"","artist":"","genres":"","duration":"","spotId":"","Items":["-SADNE-","-SLOWSS-","OTHR","OTHR","XT_OffAnimals"]},</v>
      </c>
      <c r="AA1052" s="5" t="s">
        <v>5</v>
      </c>
      <c r="AB1052" s="3" t="str">
        <f t="shared" si="99"/>
        <v>["-SADNE-","-SLOWSS-","OTHR","OTHR","XT_OffAnimals"]</v>
      </c>
      <c r="AC1052" s="3">
        <f>_xlfn.XLOOKUP(A1052,Album!A:A,Album!J:J)</f>
        <v>0</v>
      </c>
      <c r="AD1052" s="3">
        <f>_xlfn.XLOOKUP(D1052,Artists!A:A,Artists!B:B)</f>
        <v>0</v>
      </c>
      <c r="AE1052" s="3">
        <f>_xlfn.XLOOKUP(D1052,Artists!A:A,Artists!C:C)</f>
        <v>0</v>
      </c>
      <c r="AF1052" s="3" t="str">
        <f t="shared" si="100"/>
        <v>OTHR</v>
      </c>
      <c r="AG1052" s="3" t="str">
        <f t="shared" si="101"/>
        <v>OTHR</v>
      </c>
    </row>
    <row r="1053" spans="24:33" x14ac:dyDescent="0.3">
      <c r="X1053" s="3" t="str">
        <f t="shared" si="96"/>
        <v>-SADNE-</v>
      </c>
      <c r="Y1053" s="3" t="str">
        <f t="shared" si="97"/>
        <v>-SLOWSS-</v>
      </c>
      <c r="Z1053" s="4" t="str">
        <f t="shared" si="98"/>
        <v>{"couname":"","img":"0","pty":"","artist":"","genres":"","duration":"","spotId":"","Items":["-SADNE-","-SLOWSS-","OTHR","OTHR","XT_OffAnimals"]},</v>
      </c>
      <c r="AA1053" s="5" t="s">
        <v>5</v>
      </c>
      <c r="AB1053" s="3" t="str">
        <f t="shared" si="99"/>
        <v>["-SADNE-","-SLOWSS-","OTHR","OTHR","XT_OffAnimals"]</v>
      </c>
      <c r="AC1053" s="3">
        <f>_xlfn.XLOOKUP(A1053,Album!A:A,Album!J:J)</f>
        <v>0</v>
      </c>
      <c r="AD1053" s="3">
        <f>_xlfn.XLOOKUP(D1053,Artists!A:A,Artists!B:B)</f>
        <v>0</v>
      </c>
      <c r="AE1053" s="3">
        <f>_xlfn.XLOOKUP(D1053,Artists!A:A,Artists!C:C)</f>
        <v>0</v>
      </c>
      <c r="AF1053" s="3" t="str">
        <f t="shared" si="100"/>
        <v>OTHR</v>
      </c>
      <c r="AG1053" s="3" t="str">
        <f t="shared" si="101"/>
        <v>OTHR</v>
      </c>
    </row>
    <row r="1054" spans="24:33" x14ac:dyDescent="0.3">
      <c r="X1054" s="3" t="str">
        <f t="shared" si="96"/>
        <v>-SADNE-</v>
      </c>
      <c r="Y1054" s="3" t="str">
        <f t="shared" si="97"/>
        <v>-SLOWSS-</v>
      </c>
      <c r="Z1054" s="4" t="str">
        <f t="shared" si="98"/>
        <v>{"couname":"","img":"0","pty":"","artist":"","genres":"","duration":"","spotId":"","Items":["-SADNE-","-SLOWSS-","OTHR","OTHR","XT_OffAnimals"]},</v>
      </c>
      <c r="AA1054" s="5" t="s">
        <v>5</v>
      </c>
      <c r="AB1054" s="3" t="str">
        <f t="shared" si="99"/>
        <v>["-SADNE-","-SLOWSS-","OTHR","OTHR","XT_OffAnimals"]</v>
      </c>
      <c r="AC1054" s="3">
        <f>_xlfn.XLOOKUP(A1054,Album!A:A,Album!J:J)</f>
        <v>0</v>
      </c>
      <c r="AD1054" s="3">
        <f>_xlfn.XLOOKUP(D1054,Artists!A:A,Artists!B:B)</f>
        <v>0</v>
      </c>
      <c r="AE1054" s="3">
        <f>_xlfn.XLOOKUP(D1054,Artists!A:A,Artists!C:C)</f>
        <v>0</v>
      </c>
      <c r="AF1054" s="3" t="str">
        <f t="shared" si="100"/>
        <v>OTHR</v>
      </c>
      <c r="AG1054" s="3" t="str">
        <f t="shared" si="101"/>
        <v>OTHR</v>
      </c>
    </row>
    <row r="1055" spans="24:33" x14ac:dyDescent="0.3">
      <c r="X1055" s="3" t="str">
        <f t="shared" si="96"/>
        <v>-SADNE-</v>
      </c>
      <c r="Y1055" s="3" t="str">
        <f t="shared" si="97"/>
        <v>-SLOWSS-</v>
      </c>
      <c r="Z1055" s="4" t="str">
        <f t="shared" si="98"/>
        <v>{"couname":"","img":"0","pty":"","artist":"","genres":"","duration":"","spotId":"","Items":["-SADNE-","-SLOWSS-","OTHR","OTHR","XT_OffAnimals"]},</v>
      </c>
      <c r="AA1055" s="5" t="s">
        <v>5</v>
      </c>
      <c r="AB1055" s="3" t="str">
        <f t="shared" si="99"/>
        <v>["-SADNE-","-SLOWSS-","OTHR","OTHR","XT_OffAnimals"]</v>
      </c>
      <c r="AC1055" s="3">
        <f>_xlfn.XLOOKUP(A1055,Album!A:A,Album!J:J)</f>
        <v>0</v>
      </c>
      <c r="AD1055" s="3">
        <f>_xlfn.XLOOKUP(D1055,Artists!A:A,Artists!B:B)</f>
        <v>0</v>
      </c>
      <c r="AE1055" s="3">
        <f>_xlfn.XLOOKUP(D1055,Artists!A:A,Artists!C:C)</f>
        <v>0</v>
      </c>
      <c r="AF1055" s="3" t="str">
        <f t="shared" si="100"/>
        <v>OTHR</v>
      </c>
      <c r="AG1055" s="3" t="str">
        <f t="shared" si="101"/>
        <v>OTHR</v>
      </c>
    </row>
    <row r="1056" spans="24:33" x14ac:dyDescent="0.3">
      <c r="X1056" s="3" t="str">
        <f t="shared" si="96"/>
        <v>-SADNE-</v>
      </c>
      <c r="Y1056" s="3" t="str">
        <f t="shared" si="97"/>
        <v>-SLOWSS-</v>
      </c>
      <c r="Z1056" s="4" t="str">
        <f t="shared" si="98"/>
        <v>{"couname":"","img":"0","pty":"","artist":"","genres":"","duration":"","spotId":"","Items":["-SADNE-","-SLOWSS-","OTHR","OTHR","XT_OffAnimals"]},</v>
      </c>
      <c r="AA1056" s="5" t="s">
        <v>5</v>
      </c>
      <c r="AB1056" s="3" t="str">
        <f t="shared" si="99"/>
        <v>["-SADNE-","-SLOWSS-","OTHR","OTHR","XT_OffAnimals"]</v>
      </c>
      <c r="AC1056" s="3">
        <f>_xlfn.XLOOKUP(A1056,Album!A:A,Album!J:J)</f>
        <v>0</v>
      </c>
      <c r="AD1056" s="3">
        <f>_xlfn.XLOOKUP(D1056,Artists!A:A,Artists!B:B)</f>
        <v>0</v>
      </c>
      <c r="AE1056" s="3">
        <f>_xlfn.XLOOKUP(D1056,Artists!A:A,Artists!C:C)</f>
        <v>0</v>
      </c>
      <c r="AF1056" s="3" t="str">
        <f t="shared" si="100"/>
        <v>OTHR</v>
      </c>
      <c r="AG1056" s="3" t="str">
        <f t="shared" si="101"/>
        <v>OTHR</v>
      </c>
    </row>
    <row r="1057" spans="24:33" x14ac:dyDescent="0.3">
      <c r="X1057" s="3" t="str">
        <f t="shared" si="96"/>
        <v>-SADNE-</v>
      </c>
      <c r="Y1057" s="3" t="str">
        <f t="shared" si="97"/>
        <v>-SLOWSS-</v>
      </c>
      <c r="Z1057" s="4" t="str">
        <f t="shared" si="98"/>
        <v>{"couname":"","img":"0","pty":"","artist":"","genres":"","duration":"","spotId":"","Items":["-SADNE-","-SLOWSS-","OTHR","OTHR","XT_OffAnimals"]},</v>
      </c>
      <c r="AA1057" s="5" t="s">
        <v>5</v>
      </c>
      <c r="AB1057" s="3" t="str">
        <f t="shared" si="99"/>
        <v>["-SADNE-","-SLOWSS-","OTHR","OTHR","XT_OffAnimals"]</v>
      </c>
      <c r="AC1057" s="3">
        <f>_xlfn.XLOOKUP(A1057,Album!A:A,Album!J:J)</f>
        <v>0</v>
      </c>
      <c r="AD1057" s="3">
        <f>_xlfn.XLOOKUP(D1057,Artists!A:A,Artists!B:B)</f>
        <v>0</v>
      </c>
      <c r="AE1057" s="3">
        <f>_xlfn.XLOOKUP(D1057,Artists!A:A,Artists!C:C)</f>
        <v>0</v>
      </c>
      <c r="AF1057" s="3" t="str">
        <f t="shared" si="100"/>
        <v>OTHR</v>
      </c>
      <c r="AG1057" s="3" t="str">
        <f t="shared" si="101"/>
        <v>OTHR</v>
      </c>
    </row>
    <row r="1058" spans="24:33" x14ac:dyDescent="0.3">
      <c r="X1058" s="3" t="str">
        <f t="shared" si="96"/>
        <v>-SADNE-</v>
      </c>
      <c r="Y1058" s="3" t="str">
        <f t="shared" si="97"/>
        <v>-SLOWSS-</v>
      </c>
      <c r="Z1058" s="4" t="str">
        <f t="shared" si="98"/>
        <v>{"couname":"","img":"0","pty":"","artist":"","genres":"","duration":"","spotId":"","Items":["-SADNE-","-SLOWSS-","OTHR","OTHR","XT_OffAnimals"]},</v>
      </c>
      <c r="AA1058" s="5" t="s">
        <v>5</v>
      </c>
      <c r="AB1058" s="3" t="str">
        <f t="shared" si="99"/>
        <v>["-SADNE-","-SLOWSS-","OTHR","OTHR","XT_OffAnimals"]</v>
      </c>
      <c r="AC1058" s="3">
        <f>_xlfn.XLOOKUP(A1058,Album!A:A,Album!J:J)</f>
        <v>0</v>
      </c>
      <c r="AD1058" s="3">
        <f>_xlfn.XLOOKUP(D1058,Artists!A:A,Artists!B:B)</f>
        <v>0</v>
      </c>
      <c r="AE1058" s="3">
        <f>_xlfn.XLOOKUP(D1058,Artists!A:A,Artists!C:C)</f>
        <v>0</v>
      </c>
      <c r="AF1058" s="3" t="str">
        <f t="shared" si="100"/>
        <v>OTHR</v>
      </c>
      <c r="AG1058" s="3" t="str">
        <f t="shared" si="101"/>
        <v>OTHR</v>
      </c>
    </row>
    <row r="1059" spans="24:33" x14ac:dyDescent="0.3">
      <c r="X1059" s="3" t="str">
        <f t="shared" si="96"/>
        <v>-SADNE-</v>
      </c>
      <c r="Y1059" s="3" t="str">
        <f t="shared" si="97"/>
        <v>-SLOWSS-</v>
      </c>
      <c r="Z1059" s="4" t="str">
        <f t="shared" si="98"/>
        <v>{"couname":"","img":"0","pty":"","artist":"","genres":"","duration":"","spotId":"","Items":["-SADNE-","-SLOWSS-","OTHR","OTHR","XT_OffAnimals"]},</v>
      </c>
      <c r="AA1059" s="5" t="s">
        <v>5</v>
      </c>
      <c r="AB1059" s="3" t="str">
        <f t="shared" si="99"/>
        <v>["-SADNE-","-SLOWSS-","OTHR","OTHR","XT_OffAnimals"]</v>
      </c>
      <c r="AC1059" s="3">
        <f>_xlfn.XLOOKUP(A1059,Album!A:A,Album!J:J)</f>
        <v>0</v>
      </c>
      <c r="AD1059" s="3">
        <f>_xlfn.XLOOKUP(D1059,Artists!A:A,Artists!B:B)</f>
        <v>0</v>
      </c>
      <c r="AE1059" s="3">
        <f>_xlfn.XLOOKUP(D1059,Artists!A:A,Artists!C:C)</f>
        <v>0</v>
      </c>
      <c r="AF1059" s="3" t="str">
        <f t="shared" si="100"/>
        <v>OTHR</v>
      </c>
      <c r="AG1059" s="3" t="str">
        <f t="shared" si="101"/>
        <v>OTHR</v>
      </c>
    </row>
    <row r="1060" spans="24:33" x14ac:dyDescent="0.3">
      <c r="X1060" s="3" t="str">
        <f t="shared" si="96"/>
        <v>-SADNE-</v>
      </c>
      <c r="Y1060" s="3" t="str">
        <f t="shared" si="97"/>
        <v>-SLOWSS-</v>
      </c>
      <c r="Z1060" s="4" t="str">
        <f t="shared" si="98"/>
        <v>{"couname":"","img":"0","pty":"","artist":"","genres":"","duration":"","spotId":"","Items":["-SADNE-","-SLOWSS-","OTHR","OTHR","XT_OffAnimals"]},</v>
      </c>
      <c r="AA1060" s="5" t="s">
        <v>5</v>
      </c>
      <c r="AB1060" s="3" t="str">
        <f t="shared" si="99"/>
        <v>["-SADNE-","-SLOWSS-","OTHR","OTHR","XT_OffAnimals"]</v>
      </c>
      <c r="AC1060" s="3">
        <f>_xlfn.XLOOKUP(A1060,Album!A:A,Album!J:J)</f>
        <v>0</v>
      </c>
      <c r="AD1060" s="3">
        <f>_xlfn.XLOOKUP(D1060,Artists!A:A,Artists!B:B)</f>
        <v>0</v>
      </c>
      <c r="AE1060" s="3">
        <f>_xlfn.XLOOKUP(D1060,Artists!A:A,Artists!C:C)</f>
        <v>0</v>
      </c>
      <c r="AF1060" s="3" t="str">
        <f t="shared" si="100"/>
        <v>OTHR</v>
      </c>
      <c r="AG1060" s="3" t="str">
        <f t="shared" si="101"/>
        <v>OTHR</v>
      </c>
    </row>
    <row r="1061" spans="24:33" x14ac:dyDescent="0.3">
      <c r="X1061" s="3" t="str">
        <f t="shared" si="96"/>
        <v>-SADNE-</v>
      </c>
      <c r="Y1061" s="3" t="str">
        <f t="shared" si="97"/>
        <v>-SLOWSS-</v>
      </c>
      <c r="Z1061" s="4" t="str">
        <f t="shared" si="98"/>
        <v>{"couname":"","img":"0","pty":"","artist":"","genres":"","duration":"","spotId":"","Items":["-SADNE-","-SLOWSS-","OTHR","OTHR","XT_OffAnimals"]},</v>
      </c>
      <c r="AA1061" s="5" t="s">
        <v>5</v>
      </c>
      <c r="AB1061" s="3" t="str">
        <f t="shared" si="99"/>
        <v>["-SADNE-","-SLOWSS-","OTHR","OTHR","XT_OffAnimals"]</v>
      </c>
      <c r="AC1061" s="3">
        <f>_xlfn.XLOOKUP(A1061,Album!A:A,Album!J:J)</f>
        <v>0</v>
      </c>
      <c r="AD1061" s="3">
        <f>_xlfn.XLOOKUP(D1061,Artists!A:A,Artists!B:B)</f>
        <v>0</v>
      </c>
      <c r="AE1061" s="3">
        <f>_xlfn.XLOOKUP(D1061,Artists!A:A,Artists!C:C)</f>
        <v>0</v>
      </c>
      <c r="AF1061" s="3" t="str">
        <f t="shared" si="100"/>
        <v>OTHR</v>
      </c>
      <c r="AG1061" s="3" t="str">
        <f t="shared" si="101"/>
        <v>OTHR</v>
      </c>
    </row>
    <row r="1062" spans="24:33" x14ac:dyDescent="0.3">
      <c r="X1062" s="3" t="str">
        <f t="shared" si="96"/>
        <v>-SADNE-</v>
      </c>
      <c r="Y1062" s="3" t="str">
        <f t="shared" si="97"/>
        <v>-SLOWSS-</v>
      </c>
      <c r="Z1062" s="4" t="str">
        <f t="shared" si="98"/>
        <v>{"couname":"","img":"0","pty":"","artist":"","genres":"","duration":"","spotId":"","Items":["-SADNE-","-SLOWSS-","OTHR","OTHR","XT_OffAnimals"]},</v>
      </c>
      <c r="AA1062" s="5" t="s">
        <v>5</v>
      </c>
      <c r="AB1062" s="3" t="str">
        <f t="shared" si="99"/>
        <v>["-SADNE-","-SLOWSS-","OTHR","OTHR","XT_OffAnimals"]</v>
      </c>
      <c r="AC1062" s="3">
        <f>_xlfn.XLOOKUP(A1062,Album!A:A,Album!J:J)</f>
        <v>0</v>
      </c>
      <c r="AD1062" s="3">
        <f>_xlfn.XLOOKUP(D1062,Artists!A:A,Artists!B:B)</f>
        <v>0</v>
      </c>
      <c r="AE1062" s="3">
        <f>_xlfn.XLOOKUP(D1062,Artists!A:A,Artists!C:C)</f>
        <v>0</v>
      </c>
      <c r="AF1062" s="3" t="str">
        <f t="shared" si="100"/>
        <v>OTHR</v>
      </c>
      <c r="AG1062" s="3" t="str">
        <f t="shared" si="101"/>
        <v>OTHR</v>
      </c>
    </row>
    <row r="1063" spans="24:33" x14ac:dyDescent="0.3">
      <c r="X1063" s="3" t="str">
        <f t="shared" si="96"/>
        <v>-SADNE-</v>
      </c>
      <c r="Y1063" s="3" t="str">
        <f t="shared" si="97"/>
        <v>-SLOWSS-</v>
      </c>
      <c r="Z1063" s="4" t="str">
        <f t="shared" si="98"/>
        <v>{"couname":"","img":"0","pty":"","artist":"","genres":"","duration":"","spotId":"","Items":["-SADNE-","-SLOWSS-","OTHR","OTHR","XT_OffAnimals"]},</v>
      </c>
      <c r="AA1063" s="5" t="s">
        <v>5</v>
      </c>
      <c r="AB1063" s="3" t="str">
        <f t="shared" si="99"/>
        <v>["-SADNE-","-SLOWSS-","OTHR","OTHR","XT_OffAnimals"]</v>
      </c>
      <c r="AC1063" s="3">
        <f>_xlfn.XLOOKUP(A1063,Album!A:A,Album!J:J)</f>
        <v>0</v>
      </c>
      <c r="AD1063" s="3">
        <f>_xlfn.XLOOKUP(D1063,Artists!A:A,Artists!B:B)</f>
        <v>0</v>
      </c>
      <c r="AE1063" s="3">
        <f>_xlfn.XLOOKUP(D1063,Artists!A:A,Artists!C:C)</f>
        <v>0</v>
      </c>
      <c r="AF1063" s="3" t="str">
        <f t="shared" si="100"/>
        <v>OTHR</v>
      </c>
      <c r="AG1063" s="3" t="str">
        <f t="shared" si="101"/>
        <v>OTHR</v>
      </c>
    </row>
    <row r="1064" spans="24:33" x14ac:dyDescent="0.3">
      <c r="X1064" s="3" t="str">
        <f t="shared" si="96"/>
        <v>-SADNE-</v>
      </c>
      <c r="Y1064" s="3" t="str">
        <f t="shared" si="97"/>
        <v>-SLOWSS-</v>
      </c>
      <c r="Z1064" s="4" t="str">
        <f t="shared" si="98"/>
        <v>{"couname":"","img":"0","pty":"","artist":"","genres":"","duration":"","spotId":"","Items":["-SADNE-","-SLOWSS-","OTHR","OTHR","XT_OffAnimals"]},</v>
      </c>
      <c r="AA1064" s="5" t="s">
        <v>5</v>
      </c>
      <c r="AB1064" s="3" t="str">
        <f t="shared" si="99"/>
        <v>["-SADNE-","-SLOWSS-","OTHR","OTHR","XT_OffAnimals"]</v>
      </c>
      <c r="AC1064" s="3">
        <f>_xlfn.XLOOKUP(A1064,Album!A:A,Album!J:J)</f>
        <v>0</v>
      </c>
      <c r="AD1064" s="3">
        <f>_xlfn.XLOOKUP(D1064,Artists!A:A,Artists!B:B)</f>
        <v>0</v>
      </c>
      <c r="AE1064" s="3">
        <f>_xlfn.XLOOKUP(D1064,Artists!A:A,Artists!C:C)</f>
        <v>0</v>
      </c>
      <c r="AF1064" s="3" t="str">
        <f t="shared" si="100"/>
        <v>OTHR</v>
      </c>
      <c r="AG1064" s="3" t="str">
        <f t="shared" si="101"/>
        <v>OTHR</v>
      </c>
    </row>
    <row r="1065" spans="24:33" x14ac:dyDescent="0.3">
      <c r="X1065" s="3" t="str">
        <f t="shared" si="96"/>
        <v>-SADNE-</v>
      </c>
      <c r="Y1065" s="3" t="str">
        <f t="shared" si="97"/>
        <v>-SLOWSS-</v>
      </c>
      <c r="Z1065" s="4" t="str">
        <f t="shared" si="98"/>
        <v>{"couname":"","img":"0","pty":"","artist":"","genres":"","duration":"","spotId":"","Items":["-SADNE-","-SLOWSS-","OTHR","OTHR","XT_OffAnimals"]},</v>
      </c>
      <c r="AA1065" s="5" t="s">
        <v>5</v>
      </c>
      <c r="AB1065" s="3" t="str">
        <f t="shared" si="99"/>
        <v>["-SADNE-","-SLOWSS-","OTHR","OTHR","XT_OffAnimals"]</v>
      </c>
      <c r="AC1065" s="3">
        <f>_xlfn.XLOOKUP(A1065,Album!A:A,Album!J:J)</f>
        <v>0</v>
      </c>
      <c r="AD1065" s="3">
        <f>_xlfn.XLOOKUP(D1065,Artists!A:A,Artists!B:B)</f>
        <v>0</v>
      </c>
      <c r="AE1065" s="3">
        <f>_xlfn.XLOOKUP(D1065,Artists!A:A,Artists!C:C)</f>
        <v>0</v>
      </c>
      <c r="AF1065" s="3" t="str">
        <f t="shared" si="100"/>
        <v>OTHR</v>
      </c>
      <c r="AG1065" s="3" t="str">
        <f t="shared" si="101"/>
        <v>OTHR</v>
      </c>
    </row>
    <row r="1066" spans="24:33" x14ac:dyDescent="0.3">
      <c r="X1066" s="3" t="str">
        <f t="shared" si="96"/>
        <v>-SADNE-</v>
      </c>
      <c r="Y1066" s="3" t="str">
        <f t="shared" si="97"/>
        <v>-SLOWSS-</v>
      </c>
      <c r="Z1066" s="4" t="str">
        <f t="shared" si="98"/>
        <v>{"couname":"","img":"0","pty":"","artist":"","genres":"","duration":"","spotId":"","Items":["-SADNE-","-SLOWSS-","OTHR","OTHR","XT_OffAnimals"]},</v>
      </c>
      <c r="AA1066" s="5" t="s">
        <v>5</v>
      </c>
      <c r="AB1066" s="3" t="str">
        <f t="shared" si="99"/>
        <v>["-SADNE-","-SLOWSS-","OTHR","OTHR","XT_OffAnimals"]</v>
      </c>
      <c r="AC1066" s="3">
        <f>_xlfn.XLOOKUP(A1066,Album!A:A,Album!J:J)</f>
        <v>0</v>
      </c>
      <c r="AD1066" s="3">
        <f>_xlfn.XLOOKUP(D1066,Artists!A:A,Artists!B:B)</f>
        <v>0</v>
      </c>
      <c r="AE1066" s="3">
        <f>_xlfn.XLOOKUP(D1066,Artists!A:A,Artists!C:C)</f>
        <v>0</v>
      </c>
      <c r="AF1066" s="3" t="str">
        <f t="shared" si="100"/>
        <v>OTHR</v>
      </c>
      <c r="AG1066" s="3" t="str">
        <f t="shared" si="101"/>
        <v>OTHR</v>
      </c>
    </row>
    <row r="1067" spans="24:33" x14ac:dyDescent="0.3">
      <c r="X1067" s="3" t="str">
        <f t="shared" si="96"/>
        <v>-SADNE-</v>
      </c>
      <c r="Y1067" s="3" t="str">
        <f t="shared" si="97"/>
        <v>-SLOWSS-</v>
      </c>
      <c r="Z1067" s="4" t="str">
        <f t="shared" si="98"/>
        <v>{"couname":"","img":"0","pty":"","artist":"","genres":"","duration":"","spotId":"","Items":["-SADNE-","-SLOWSS-","OTHR","OTHR","XT_OffAnimals"]},</v>
      </c>
      <c r="AA1067" s="5" t="s">
        <v>5</v>
      </c>
      <c r="AB1067" s="3" t="str">
        <f t="shared" si="99"/>
        <v>["-SADNE-","-SLOWSS-","OTHR","OTHR","XT_OffAnimals"]</v>
      </c>
      <c r="AC1067" s="3">
        <f>_xlfn.XLOOKUP(A1067,Album!A:A,Album!J:J)</f>
        <v>0</v>
      </c>
      <c r="AD1067" s="3">
        <f>_xlfn.XLOOKUP(D1067,Artists!A:A,Artists!B:B)</f>
        <v>0</v>
      </c>
      <c r="AE1067" s="3">
        <f>_xlfn.XLOOKUP(D1067,Artists!A:A,Artists!C:C)</f>
        <v>0</v>
      </c>
      <c r="AF1067" s="3" t="str">
        <f t="shared" si="100"/>
        <v>OTHR</v>
      </c>
      <c r="AG1067" s="3" t="str">
        <f t="shared" si="101"/>
        <v>OTHR</v>
      </c>
    </row>
    <row r="1068" spans="24:33" x14ac:dyDescent="0.3">
      <c r="X1068" s="3" t="str">
        <f t="shared" si="96"/>
        <v>-SADNE-</v>
      </c>
      <c r="Y1068" s="3" t="str">
        <f t="shared" si="97"/>
        <v>-SLOWSS-</v>
      </c>
      <c r="Z1068" s="4" t="str">
        <f t="shared" si="98"/>
        <v>{"couname":"","img":"0","pty":"","artist":"","genres":"","duration":"","spotId":"","Items":["-SADNE-","-SLOWSS-","OTHR","OTHR","XT_OffAnimals"]},</v>
      </c>
      <c r="AA1068" s="5" t="s">
        <v>5</v>
      </c>
      <c r="AB1068" s="3" t="str">
        <f t="shared" si="99"/>
        <v>["-SADNE-","-SLOWSS-","OTHR","OTHR","XT_OffAnimals"]</v>
      </c>
      <c r="AC1068" s="3">
        <f>_xlfn.XLOOKUP(A1068,Album!A:A,Album!J:J)</f>
        <v>0</v>
      </c>
      <c r="AD1068" s="3">
        <f>_xlfn.XLOOKUP(D1068,Artists!A:A,Artists!B:B)</f>
        <v>0</v>
      </c>
      <c r="AE1068" s="3">
        <f>_xlfn.XLOOKUP(D1068,Artists!A:A,Artists!C:C)</f>
        <v>0</v>
      </c>
      <c r="AF1068" s="3" t="str">
        <f t="shared" si="100"/>
        <v>OTHR</v>
      </c>
      <c r="AG1068" s="3" t="str">
        <f t="shared" si="101"/>
        <v>OTHR</v>
      </c>
    </row>
    <row r="1069" spans="24:33" x14ac:dyDescent="0.3">
      <c r="X1069" s="3" t="str">
        <f t="shared" si="96"/>
        <v>-SADNE-</v>
      </c>
      <c r="Y1069" s="3" t="str">
        <f t="shared" si="97"/>
        <v>-SLOWSS-</v>
      </c>
      <c r="Z1069" s="4" t="str">
        <f t="shared" si="98"/>
        <v>{"couname":"","img":"0","pty":"","artist":"","genres":"","duration":"","spotId":"","Items":["-SADNE-","-SLOWSS-","OTHR","OTHR","XT_OffAnimals"]},</v>
      </c>
      <c r="AA1069" s="5" t="s">
        <v>5</v>
      </c>
      <c r="AB1069" s="3" t="str">
        <f t="shared" si="99"/>
        <v>["-SADNE-","-SLOWSS-","OTHR","OTHR","XT_OffAnimals"]</v>
      </c>
      <c r="AC1069" s="3">
        <f>_xlfn.XLOOKUP(A1069,Album!A:A,Album!J:J)</f>
        <v>0</v>
      </c>
      <c r="AD1069" s="3">
        <f>_xlfn.XLOOKUP(D1069,Artists!A:A,Artists!B:B)</f>
        <v>0</v>
      </c>
      <c r="AE1069" s="3">
        <f>_xlfn.XLOOKUP(D1069,Artists!A:A,Artists!C:C)</f>
        <v>0</v>
      </c>
      <c r="AF1069" s="3" t="str">
        <f t="shared" si="100"/>
        <v>OTHR</v>
      </c>
      <c r="AG1069" s="3" t="str">
        <f t="shared" si="101"/>
        <v>OTHR</v>
      </c>
    </row>
    <row r="1070" spans="24:33" x14ac:dyDescent="0.3">
      <c r="X1070" s="3" t="str">
        <f t="shared" si="96"/>
        <v>-SADNE-</v>
      </c>
      <c r="Y1070" s="3" t="str">
        <f t="shared" si="97"/>
        <v>-SLOWSS-</v>
      </c>
      <c r="Z1070" s="4" t="str">
        <f t="shared" si="98"/>
        <v>{"couname":"","img":"0","pty":"","artist":"","genres":"","duration":"","spotId":"","Items":["-SADNE-","-SLOWSS-","OTHR","OTHR","XT_OffAnimals"]},</v>
      </c>
      <c r="AA1070" s="5" t="s">
        <v>5</v>
      </c>
      <c r="AB1070" s="3" t="str">
        <f t="shared" si="99"/>
        <v>["-SADNE-","-SLOWSS-","OTHR","OTHR","XT_OffAnimals"]</v>
      </c>
      <c r="AC1070" s="3">
        <f>_xlfn.XLOOKUP(A1070,Album!A:A,Album!J:J)</f>
        <v>0</v>
      </c>
      <c r="AD1070" s="3">
        <f>_xlfn.XLOOKUP(D1070,Artists!A:A,Artists!B:B)</f>
        <v>0</v>
      </c>
      <c r="AE1070" s="3">
        <f>_xlfn.XLOOKUP(D1070,Artists!A:A,Artists!C:C)</f>
        <v>0</v>
      </c>
      <c r="AF1070" s="3" t="str">
        <f t="shared" si="100"/>
        <v>OTHR</v>
      </c>
      <c r="AG1070" s="3" t="str">
        <f t="shared" si="101"/>
        <v>OTHR</v>
      </c>
    </row>
    <row r="1071" spans="24:33" x14ac:dyDescent="0.3">
      <c r="X1071" s="3" t="str">
        <f t="shared" si="96"/>
        <v>-SADNE-</v>
      </c>
      <c r="Y1071" s="3" t="str">
        <f t="shared" si="97"/>
        <v>-SLOWSS-</v>
      </c>
      <c r="Z1071" s="4" t="str">
        <f t="shared" si="98"/>
        <v>{"couname":"","img":"0","pty":"","artist":"","genres":"","duration":"","spotId":"","Items":["-SADNE-","-SLOWSS-","OTHR","OTHR","XT_OffAnimals"]},</v>
      </c>
      <c r="AA1071" s="5" t="s">
        <v>5</v>
      </c>
      <c r="AB1071" s="3" t="str">
        <f t="shared" si="99"/>
        <v>["-SADNE-","-SLOWSS-","OTHR","OTHR","XT_OffAnimals"]</v>
      </c>
      <c r="AC1071" s="3">
        <f>_xlfn.XLOOKUP(A1071,Album!A:A,Album!J:J)</f>
        <v>0</v>
      </c>
      <c r="AD1071" s="3">
        <f>_xlfn.XLOOKUP(D1071,Artists!A:A,Artists!B:B)</f>
        <v>0</v>
      </c>
      <c r="AE1071" s="3">
        <f>_xlfn.XLOOKUP(D1071,Artists!A:A,Artists!C:C)</f>
        <v>0</v>
      </c>
      <c r="AF1071" s="3" t="str">
        <f t="shared" si="100"/>
        <v>OTHR</v>
      </c>
      <c r="AG1071" s="3" t="str">
        <f t="shared" si="101"/>
        <v>OTHR</v>
      </c>
    </row>
    <row r="1072" spans="24:33" x14ac:dyDescent="0.3">
      <c r="X1072" s="3" t="str">
        <f t="shared" si="96"/>
        <v>-SADNE-</v>
      </c>
      <c r="Y1072" s="3" t="str">
        <f t="shared" si="97"/>
        <v>-SLOWSS-</v>
      </c>
      <c r="Z1072" s="4" t="str">
        <f t="shared" si="98"/>
        <v>{"couname":"","img":"0","pty":"","artist":"","genres":"","duration":"","spotId":"","Items":["-SADNE-","-SLOWSS-","OTHR","OTHR","XT_OffAnimals"]},</v>
      </c>
      <c r="AA1072" s="5" t="s">
        <v>5</v>
      </c>
      <c r="AB1072" s="3" t="str">
        <f t="shared" si="99"/>
        <v>["-SADNE-","-SLOWSS-","OTHR","OTHR","XT_OffAnimals"]</v>
      </c>
      <c r="AC1072" s="3">
        <f>_xlfn.XLOOKUP(A1072,Album!A:A,Album!J:J)</f>
        <v>0</v>
      </c>
      <c r="AD1072" s="3">
        <f>_xlfn.XLOOKUP(D1072,Artists!A:A,Artists!B:B)</f>
        <v>0</v>
      </c>
      <c r="AE1072" s="3">
        <f>_xlfn.XLOOKUP(D1072,Artists!A:A,Artists!C:C)</f>
        <v>0</v>
      </c>
      <c r="AF1072" s="3" t="str">
        <f t="shared" si="100"/>
        <v>OTHR</v>
      </c>
      <c r="AG1072" s="3" t="str">
        <f t="shared" si="101"/>
        <v>OTHR</v>
      </c>
    </row>
    <row r="1073" spans="24:33" x14ac:dyDescent="0.3">
      <c r="X1073" s="3" t="str">
        <f t="shared" si="96"/>
        <v>-SADNE-</v>
      </c>
      <c r="Y1073" s="3" t="str">
        <f t="shared" si="97"/>
        <v>-SLOWSS-</v>
      </c>
      <c r="Z1073" s="4" t="str">
        <f t="shared" si="98"/>
        <v>{"couname":"","img":"0","pty":"","artist":"","genres":"","duration":"","spotId":"","Items":["-SADNE-","-SLOWSS-","OTHR","OTHR","XT_OffAnimals"]},</v>
      </c>
      <c r="AA1073" s="5" t="s">
        <v>5</v>
      </c>
      <c r="AB1073" s="3" t="str">
        <f t="shared" si="99"/>
        <v>["-SADNE-","-SLOWSS-","OTHR","OTHR","XT_OffAnimals"]</v>
      </c>
      <c r="AC1073" s="3">
        <f>_xlfn.XLOOKUP(A1073,Album!A:A,Album!J:J)</f>
        <v>0</v>
      </c>
      <c r="AD1073" s="3">
        <f>_xlfn.XLOOKUP(D1073,Artists!A:A,Artists!B:B)</f>
        <v>0</v>
      </c>
      <c r="AE1073" s="3">
        <f>_xlfn.XLOOKUP(D1073,Artists!A:A,Artists!C:C)</f>
        <v>0</v>
      </c>
      <c r="AF1073" s="3" t="str">
        <f t="shared" si="100"/>
        <v>OTHR</v>
      </c>
      <c r="AG1073" s="3" t="str">
        <f t="shared" si="101"/>
        <v>OTHR</v>
      </c>
    </row>
    <row r="1074" spans="24:33" x14ac:dyDescent="0.3">
      <c r="X1074" s="3" t="str">
        <f t="shared" si="96"/>
        <v>-SADNE-</v>
      </c>
      <c r="Y1074" s="3" t="str">
        <f t="shared" si="97"/>
        <v>-SLOWSS-</v>
      </c>
      <c r="Z1074" s="4" t="str">
        <f t="shared" si="98"/>
        <v>{"couname":"","img":"0","pty":"","artist":"","genres":"","duration":"","spotId":"","Items":["-SADNE-","-SLOWSS-","OTHR","OTHR","XT_OffAnimals"]},</v>
      </c>
      <c r="AA1074" s="5" t="s">
        <v>5</v>
      </c>
      <c r="AB1074" s="3" t="str">
        <f t="shared" si="99"/>
        <v>["-SADNE-","-SLOWSS-","OTHR","OTHR","XT_OffAnimals"]</v>
      </c>
      <c r="AC1074" s="3">
        <f>_xlfn.XLOOKUP(A1074,Album!A:A,Album!J:J)</f>
        <v>0</v>
      </c>
      <c r="AD1074" s="3">
        <f>_xlfn.XLOOKUP(D1074,Artists!A:A,Artists!B:B)</f>
        <v>0</v>
      </c>
      <c r="AE1074" s="3">
        <f>_xlfn.XLOOKUP(D1074,Artists!A:A,Artists!C:C)</f>
        <v>0</v>
      </c>
      <c r="AF1074" s="3" t="str">
        <f t="shared" si="100"/>
        <v>OTHR</v>
      </c>
      <c r="AG1074" s="3" t="str">
        <f t="shared" si="101"/>
        <v>OTHR</v>
      </c>
    </row>
    <row r="1075" spans="24:33" x14ac:dyDescent="0.3">
      <c r="X1075" s="3" t="str">
        <f t="shared" si="96"/>
        <v>-SADNE-</v>
      </c>
      <c r="Y1075" s="3" t="str">
        <f t="shared" si="97"/>
        <v>-SLOWSS-</v>
      </c>
      <c r="Z1075" s="4" t="str">
        <f t="shared" si="98"/>
        <v>{"couname":"","img":"0","pty":"","artist":"","genres":"","duration":"","spotId":"","Items":["-SADNE-","-SLOWSS-","OTHR","OTHR","XT_OffAnimals"]},</v>
      </c>
      <c r="AA1075" s="5" t="s">
        <v>5</v>
      </c>
      <c r="AB1075" s="3" t="str">
        <f t="shared" si="99"/>
        <v>["-SADNE-","-SLOWSS-","OTHR","OTHR","XT_OffAnimals"]</v>
      </c>
      <c r="AC1075" s="3">
        <f>_xlfn.XLOOKUP(A1075,Album!A:A,Album!J:J)</f>
        <v>0</v>
      </c>
      <c r="AD1075" s="3">
        <f>_xlfn.XLOOKUP(D1075,Artists!A:A,Artists!B:B)</f>
        <v>0</v>
      </c>
      <c r="AE1075" s="3">
        <f>_xlfn.XLOOKUP(D1075,Artists!A:A,Artists!C:C)</f>
        <v>0</v>
      </c>
      <c r="AF1075" s="3" t="str">
        <f t="shared" si="100"/>
        <v>OTHR</v>
      </c>
      <c r="AG1075" s="3" t="str">
        <f t="shared" si="101"/>
        <v>OTHR</v>
      </c>
    </row>
    <row r="1076" spans="24:33" x14ac:dyDescent="0.3">
      <c r="X1076" s="3" t="str">
        <f t="shared" si="96"/>
        <v>-SADNE-</v>
      </c>
      <c r="Y1076" s="3" t="str">
        <f t="shared" si="97"/>
        <v>-SLOWSS-</v>
      </c>
      <c r="Z1076" s="4" t="str">
        <f t="shared" si="98"/>
        <v>{"couname":"","img":"0","pty":"","artist":"","genres":"","duration":"","spotId":"","Items":["-SADNE-","-SLOWSS-","OTHR","OTHR","XT_OffAnimals"]},</v>
      </c>
      <c r="AA1076" s="5" t="s">
        <v>5</v>
      </c>
      <c r="AB1076" s="3" t="str">
        <f t="shared" si="99"/>
        <v>["-SADNE-","-SLOWSS-","OTHR","OTHR","XT_OffAnimals"]</v>
      </c>
      <c r="AC1076" s="3">
        <f>_xlfn.XLOOKUP(A1076,Album!A:A,Album!J:J)</f>
        <v>0</v>
      </c>
      <c r="AD1076" s="3">
        <f>_xlfn.XLOOKUP(D1076,Artists!A:A,Artists!B:B)</f>
        <v>0</v>
      </c>
      <c r="AE1076" s="3">
        <f>_xlfn.XLOOKUP(D1076,Artists!A:A,Artists!C:C)</f>
        <v>0</v>
      </c>
      <c r="AF1076" s="3" t="str">
        <f t="shared" si="100"/>
        <v>OTHR</v>
      </c>
      <c r="AG1076" s="3" t="str">
        <f t="shared" si="101"/>
        <v>OTHR</v>
      </c>
    </row>
    <row r="1077" spans="24:33" x14ac:dyDescent="0.3">
      <c r="X1077" s="3" t="str">
        <f t="shared" si="96"/>
        <v>-SADNE-</v>
      </c>
      <c r="Y1077" s="3" t="str">
        <f t="shared" si="97"/>
        <v>-SLOWSS-</v>
      </c>
      <c r="Z1077" s="4" t="str">
        <f t="shared" si="98"/>
        <v>{"couname":"","img":"0","pty":"","artist":"","genres":"","duration":"","spotId":"","Items":["-SADNE-","-SLOWSS-","OTHR","OTHR","XT_OffAnimals"]},</v>
      </c>
      <c r="AA1077" s="5" t="s">
        <v>5</v>
      </c>
      <c r="AB1077" s="3" t="str">
        <f t="shared" si="99"/>
        <v>["-SADNE-","-SLOWSS-","OTHR","OTHR","XT_OffAnimals"]</v>
      </c>
      <c r="AC1077" s="3">
        <f>_xlfn.XLOOKUP(A1077,Album!A:A,Album!J:J)</f>
        <v>0</v>
      </c>
      <c r="AD1077" s="3">
        <f>_xlfn.XLOOKUP(D1077,Artists!A:A,Artists!B:B)</f>
        <v>0</v>
      </c>
      <c r="AE1077" s="3">
        <f>_xlfn.XLOOKUP(D1077,Artists!A:A,Artists!C:C)</f>
        <v>0</v>
      </c>
      <c r="AF1077" s="3" t="str">
        <f t="shared" si="100"/>
        <v>OTHR</v>
      </c>
      <c r="AG1077" s="3" t="str">
        <f t="shared" si="101"/>
        <v>OTHR</v>
      </c>
    </row>
    <row r="1078" spans="24:33" x14ac:dyDescent="0.3">
      <c r="X1078" s="3" t="str">
        <f t="shared" si="96"/>
        <v>-SADNE-</v>
      </c>
      <c r="Y1078" s="3" t="str">
        <f t="shared" si="97"/>
        <v>-SLOWSS-</v>
      </c>
      <c r="Z1078" s="4" t="str">
        <f t="shared" si="98"/>
        <v>{"couname":"","img":"0","pty":"","artist":"","genres":"","duration":"","spotId":"","Items":["-SADNE-","-SLOWSS-","OTHR","OTHR","XT_OffAnimals"]},</v>
      </c>
      <c r="AA1078" s="5" t="s">
        <v>5</v>
      </c>
      <c r="AB1078" s="3" t="str">
        <f t="shared" si="99"/>
        <v>["-SADNE-","-SLOWSS-","OTHR","OTHR","XT_OffAnimals"]</v>
      </c>
      <c r="AC1078" s="3">
        <f>_xlfn.XLOOKUP(A1078,Album!A:A,Album!J:J)</f>
        <v>0</v>
      </c>
      <c r="AD1078" s="3">
        <f>_xlfn.XLOOKUP(D1078,Artists!A:A,Artists!B:B)</f>
        <v>0</v>
      </c>
      <c r="AE1078" s="3">
        <f>_xlfn.XLOOKUP(D1078,Artists!A:A,Artists!C:C)</f>
        <v>0</v>
      </c>
      <c r="AF1078" s="3" t="str">
        <f t="shared" si="100"/>
        <v>OTHR</v>
      </c>
      <c r="AG1078" s="3" t="str">
        <f t="shared" si="101"/>
        <v>OTHR</v>
      </c>
    </row>
    <row r="1079" spans="24:33" x14ac:dyDescent="0.3">
      <c r="X1079" s="3" t="str">
        <f t="shared" si="96"/>
        <v>-SADNE-</v>
      </c>
      <c r="Y1079" s="3" t="str">
        <f t="shared" si="97"/>
        <v>-SLOWSS-</v>
      </c>
      <c r="Z1079" s="4" t="str">
        <f t="shared" si="98"/>
        <v>{"couname":"","img":"0","pty":"","artist":"","genres":"","duration":"","spotId":"","Items":["-SADNE-","-SLOWSS-","OTHR","OTHR","XT_OffAnimals"]},</v>
      </c>
      <c r="AA1079" s="5" t="s">
        <v>5</v>
      </c>
      <c r="AB1079" s="3" t="str">
        <f t="shared" si="99"/>
        <v>["-SADNE-","-SLOWSS-","OTHR","OTHR","XT_OffAnimals"]</v>
      </c>
      <c r="AC1079" s="3">
        <f>_xlfn.XLOOKUP(A1079,Album!A:A,Album!J:J)</f>
        <v>0</v>
      </c>
      <c r="AD1079" s="3">
        <f>_xlfn.XLOOKUP(D1079,Artists!A:A,Artists!B:B)</f>
        <v>0</v>
      </c>
      <c r="AE1079" s="3">
        <f>_xlfn.XLOOKUP(D1079,Artists!A:A,Artists!C:C)</f>
        <v>0</v>
      </c>
      <c r="AF1079" s="3" t="str">
        <f t="shared" si="100"/>
        <v>OTHR</v>
      </c>
      <c r="AG1079" s="3" t="str">
        <f t="shared" si="101"/>
        <v>OTHR</v>
      </c>
    </row>
    <row r="1080" spans="24:33" x14ac:dyDescent="0.3">
      <c r="X1080" s="3" t="str">
        <f t="shared" si="96"/>
        <v>-SADNE-</v>
      </c>
      <c r="Y1080" s="3" t="str">
        <f t="shared" si="97"/>
        <v>-SLOWSS-</v>
      </c>
      <c r="Z1080" s="4" t="str">
        <f t="shared" si="98"/>
        <v>{"couname":"","img":"0","pty":"","artist":"","genres":"","duration":"","spotId":"","Items":["-SADNE-","-SLOWSS-","OTHR","OTHR","XT_OffAnimals"]},</v>
      </c>
      <c r="AA1080" s="5" t="s">
        <v>5</v>
      </c>
      <c r="AB1080" s="3" t="str">
        <f t="shared" si="99"/>
        <v>["-SADNE-","-SLOWSS-","OTHR","OTHR","XT_OffAnimals"]</v>
      </c>
      <c r="AC1080" s="3">
        <f>_xlfn.XLOOKUP(A1080,Album!A:A,Album!J:J)</f>
        <v>0</v>
      </c>
      <c r="AD1080" s="3">
        <f>_xlfn.XLOOKUP(D1080,Artists!A:A,Artists!B:B)</f>
        <v>0</v>
      </c>
      <c r="AE1080" s="3">
        <f>_xlfn.XLOOKUP(D1080,Artists!A:A,Artists!C:C)</f>
        <v>0</v>
      </c>
      <c r="AF1080" s="3" t="str">
        <f t="shared" si="100"/>
        <v>OTHR</v>
      </c>
      <c r="AG1080" s="3" t="str">
        <f t="shared" si="101"/>
        <v>OTHR</v>
      </c>
    </row>
    <row r="1081" spans="24:33" x14ac:dyDescent="0.3">
      <c r="X1081" s="3" t="str">
        <f t="shared" si="96"/>
        <v>-SADNE-</v>
      </c>
      <c r="Y1081" s="3" t="str">
        <f t="shared" si="97"/>
        <v>-SLOWSS-</v>
      </c>
      <c r="Z1081" s="4" t="str">
        <f t="shared" si="98"/>
        <v>{"couname":"","img":"0","pty":"","artist":"","genres":"","duration":"","spotId":"","Items":["-SADNE-","-SLOWSS-","OTHR","OTHR","XT_OffAnimals"]},</v>
      </c>
      <c r="AA1081" s="5" t="s">
        <v>5</v>
      </c>
      <c r="AB1081" s="3" t="str">
        <f t="shared" si="99"/>
        <v>["-SADNE-","-SLOWSS-","OTHR","OTHR","XT_OffAnimals"]</v>
      </c>
      <c r="AC1081" s="3">
        <f>_xlfn.XLOOKUP(A1081,Album!A:A,Album!J:J)</f>
        <v>0</v>
      </c>
      <c r="AD1081" s="3">
        <f>_xlfn.XLOOKUP(D1081,Artists!A:A,Artists!B:B)</f>
        <v>0</v>
      </c>
      <c r="AE1081" s="3">
        <f>_xlfn.XLOOKUP(D1081,Artists!A:A,Artists!C:C)</f>
        <v>0</v>
      </c>
      <c r="AF1081" s="3" t="str">
        <f t="shared" si="100"/>
        <v>OTHR</v>
      </c>
      <c r="AG1081" s="3" t="str">
        <f t="shared" si="101"/>
        <v>OTHR</v>
      </c>
    </row>
    <row r="1082" spans="24:33" x14ac:dyDescent="0.3">
      <c r="X1082" s="3" t="str">
        <f t="shared" si="96"/>
        <v>-SADNE-</v>
      </c>
      <c r="Y1082" s="3" t="str">
        <f t="shared" si="97"/>
        <v>-SLOWSS-</v>
      </c>
      <c r="Z1082" s="4" t="str">
        <f t="shared" si="98"/>
        <v>{"couname":"","img":"0","pty":"","artist":"","genres":"","duration":"","spotId":"","Items":["-SADNE-","-SLOWSS-","OTHR","OTHR","XT_OffAnimals"]},</v>
      </c>
      <c r="AA1082" s="5" t="s">
        <v>5</v>
      </c>
      <c r="AB1082" s="3" t="str">
        <f t="shared" si="99"/>
        <v>["-SADNE-","-SLOWSS-","OTHR","OTHR","XT_OffAnimals"]</v>
      </c>
      <c r="AC1082" s="3">
        <f>_xlfn.XLOOKUP(A1082,Album!A:A,Album!J:J)</f>
        <v>0</v>
      </c>
      <c r="AD1082" s="3">
        <f>_xlfn.XLOOKUP(D1082,Artists!A:A,Artists!B:B)</f>
        <v>0</v>
      </c>
      <c r="AE1082" s="3">
        <f>_xlfn.XLOOKUP(D1082,Artists!A:A,Artists!C:C)</f>
        <v>0</v>
      </c>
      <c r="AF1082" s="3" t="str">
        <f t="shared" si="100"/>
        <v>OTHR</v>
      </c>
      <c r="AG1082" s="3" t="str">
        <f t="shared" si="101"/>
        <v>OTHR</v>
      </c>
    </row>
    <row r="1083" spans="24:33" x14ac:dyDescent="0.3">
      <c r="X1083" s="3" t="str">
        <f t="shared" si="96"/>
        <v>-SADNE-</v>
      </c>
      <c r="Y1083" s="3" t="str">
        <f t="shared" si="97"/>
        <v>-SLOWSS-</v>
      </c>
      <c r="Z1083" s="4" t="str">
        <f t="shared" si="98"/>
        <v>{"couname":"","img":"0","pty":"","artist":"","genres":"","duration":"","spotId":"","Items":["-SADNE-","-SLOWSS-","OTHR","OTHR","XT_OffAnimals"]},</v>
      </c>
      <c r="AA1083" s="5" t="s">
        <v>5</v>
      </c>
      <c r="AB1083" s="3" t="str">
        <f t="shared" si="99"/>
        <v>["-SADNE-","-SLOWSS-","OTHR","OTHR","XT_OffAnimals"]</v>
      </c>
      <c r="AC1083" s="3">
        <f>_xlfn.XLOOKUP(A1083,Album!A:A,Album!J:J)</f>
        <v>0</v>
      </c>
      <c r="AD1083" s="3">
        <f>_xlfn.XLOOKUP(D1083,Artists!A:A,Artists!B:B)</f>
        <v>0</v>
      </c>
      <c r="AE1083" s="3">
        <f>_xlfn.XLOOKUP(D1083,Artists!A:A,Artists!C:C)</f>
        <v>0</v>
      </c>
      <c r="AF1083" s="3" t="str">
        <f t="shared" si="100"/>
        <v>OTHR</v>
      </c>
      <c r="AG1083" s="3" t="str">
        <f t="shared" si="101"/>
        <v>OTHR</v>
      </c>
    </row>
    <row r="1084" spans="24:33" x14ac:dyDescent="0.3">
      <c r="X1084" s="3" t="str">
        <f t="shared" si="96"/>
        <v>-SADNE-</v>
      </c>
      <c r="Y1084" s="3" t="str">
        <f t="shared" si="97"/>
        <v>-SLOWSS-</v>
      </c>
      <c r="Z1084" s="4" t="str">
        <f t="shared" si="98"/>
        <v>{"couname":"","img":"0","pty":"","artist":"","genres":"","duration":"","spotId":"","Items":["-SADNE-","-SLOWSS-","OTHR","OTHR","XT_OffAnimals"]},</v>
      </c>
      <c r="AA1084" s="5" t="s">
        <v>5</v>
      </c>
      <c r="AB1084" s="3" t="str">
        <f t="shared" si="99"/>
        <v>["-SADNE-","-SLOWSS-","OTHR","OTHR","XT_OffAnimals"]</v>
      </c>
      <c r="AC1084" s="3">
        <f>_xlfn.XLOOKUP(A1084,Album!A:A,Album!J:J)</f>
        <v>0</v>
      </c>
      <c r="AD1084" s="3">
        <f>_xlfn.XLOOKUP(D1084,Artists!A:A,Artists!B:B)</f>
        <v>0</v>
      </c>
      <c r="AE1084" s="3">
        <f>_xlfn.XLOOKUP(D1084,Artists!A:A,Artists!C:C)</f>
        <v>0</v>
      </c>
      <c r="AF1084" s="3" t="str">
        <f t="shared" si="100"/>
        <v>OTHR</v>
      </c>
      <c r="AG1084" s="3" t="str">
        <f t="shared" si="101"/>
        <v>OTHR</v>
      </c>
    </row>
    <row r="1085" spans="24:33" x14ac:dyDescent="0.3">
      <c r="X1085" s="3" t="str">
        <f t="shared" si="96"/>
        <v>-SADNE-</v>
      </c>
      <c r="Y1085" s="3" t="str">
        <f t="shared" si="97"/>
        <v>-SLOWSS-</v>
      </c>
      <c r="Z1085" s="4" t="str">
        <f t="shared" si="98"/>
        <v>{"couname":"","img":"0","pty":"","artist":"","genres":"","duration":"","spotId":"","Items":["-SADNE-","-SLOWSS-","OTHR","OTHR","XT_OffAnimals"]},</v>
      </c>
      <c r="AA1085" s="5" t="s">
        <v>5</v>
      </c>
      <c r="AB1085" s="3" t="str">
        <f t="shared" si="99"/>
        <v>["-SADNE-","-SLOWSS-","OTHR","OTHR","XT_OffAnimals"]</v>
      </c>
      <c r="AC1085" s="3">
        <f>_xlfn.XLOOKUP(A1085,Album!A:A,Album!J:J)</f>
        <v>0</v>
      </c>
      <c r="AD1085" s="3">
        <f>_xlfn.XLOOKUP(D1085,Artists!A:A,Artists!B:B)</f>
        <v>0</v>
      </c>
      <c r="AE1085" s="3">
        <f>_xlfn.XLOOKUP(D1085,Artists!A:A,Artists!C:C)</f>
        <v>0</v>
      </c>
      <c r="AF1085" s="3" t="str">
        <f t="shared" si="100"/>
        <v>OTHR</v>
      </c>
      <c r="AG1085" s="3" t="str">
        <f t="shared" si="101"/>
        <v>OTHR</v>
      </c>
    </row>
    <row r="1086" spans="24:33" x14ac:dyDescent="0.3">
      <c r="X1086" s="3" t="str">
        <f t="shared" si="96"/>
        <v>-SADNE-</v>
      </c>
      <c r="Y1086" s="3" t="str">
        <f t="shared" si="97"/>
        <v>-SLOWSS-</v>
      </c>
      <c r="Z1086" s="4" t="str">
        <f t="shared" si="98"/>
        <v>{"couname":"","img":"0","pty":"","artist":"","genres":"","duration":"","spotId":"","Items":["-SADNE-","-SLOWSS-","OTHR","OTHR","XT_OffAnimals"]},</v>
      </c>
      <c r="AA1086" s="5" t="s">
        <v>5</v>
      </c>
      <c r="AB1086" s="3" t="str">
        <f t="shared" si="99"/>
        <v>["-SADNE-","-SLOWSS-","OTHR","OTHR","XT_OffAnimals"]</v>
      </c>
      <c r="AC1086" s="3">
        <f>_xlfn.XLOOKUP(A1086,Album!A:A,Album!J:J)</f>
        <v>0</v>
      </c>
      <c r="AD1086" s="3">
        <f>_xlfn.XLOOKUP(D1086,Artists!A:A,Artists!B:B)</f>
        <v>0</v>
      </c>
      <c r="AE1086" s="3">
        <f>_xlfn.XLOOKUP(D1086,Artists!A:A,Artists!C:C)</f>
        <v>0</v>
      </c>
      <c r="AF1086" s="3" t="str">
        <f t="shared" si="100"/>
        <v>OTHR</v>
      </c>
      <c r="AG1086" s="3" t="str">
        <f t="shared" si="101"/>
        <v>OTHR</v>
      </c>
    </row>
    <row r="1087" spans="24:33" x14ac:dyDescent="0.3">
      <c r="X1087" s="3" t="str">
        <f t="shared" si="96"/>
        <v>-SADNE-</v>
      </c>
      <c r="Y1087" s="3" t="str">
        <f t="shared" si="97"/>
        <v>-SLOWSS-</v>
      </c>
      <c r="Z1087" s="4" t="str">
        <f t="shared" si="98"/>
        <v>{"couname":"","img":"0","pty":"","artist":"","genres":"","duration":"","spotId":"","Items":["-SADNE-","-SLOWSS-","OTHR","OTHR","XT_OffAnimals"]},</v>
      </c>
      <c r="AA1087" s="5" t="s">
        <v>5</v>
      </c>
      <c r="AB1087" s="3" t="str">
        <f t="shared" si="99"/>
        <v>["-SADNE-","-SLOWSS-","OTHR","OTHR","XT_OffAnimals"]</v>
      </c>
      <c r="AC1087" s="3">
        <f>_xlfn.XLOOKUP(A1087,Album!A:A,Album!J:J)</f>
        <v>0</v>
      </c>
      <c r="AD1087" s="3">
        <f>_xlfn.XLOOKUP(D1087,Artists!A:A,Artists!B:B)</f>
        <v>0</v>
      </c>
      <c r="AE1087" s="3">
        <f>_xlfn.XLOOKUP(D1087,Artists!A:A,Artists!C:C)</f>
        <v>0</v>
      </c>
      <c r="AF1087" s="3" t="str">
        <f t="shared" si="100"/>
        <v>OTHR</v>
      </c>
      <c r="AG1087" s="3" t="str">
        <f t="shared" si="101"/>
        <v>OTHR</v>
      </c>
    </row>
    <row r="1088" spans="24:33" x14ac:dyDescent="0.3">
      <c r="X1088" s="3" t="str">
        <f t="shared" si="96"/>
        <v>-SADNE-</v>
      </c>
      <c r="Y1088" s="3" t="str">
        <f t="shared" si="97"/>
        <v>-SLOWSS-</v>
      </c>
      <c r="Z1088" s="4" t="str">
        <f t="shared" si="98"/>
        <v>{"couname":"","img":"0","pty":"","artist":"","genres":"","duration":"","spotId":"","Items":["-SADNE-","-SLOWSS-","OTHR","OTHR","XT_OffAnimals"]},</v>
      </c>
      <c r="AA1088" s="5" t="s">
        <v>5</v>
      </c>
      <c r="AB1088" s="3" t="str">
        <f t="shared" si="99"/>
        <v>["-SADNE-","-SLOWSS-","OTHR","OTHR","XT_OffAnimals"]</v>
      </c>
      <c r="AC1088" s="3">
        <f>_xlfn.XLOOKUP(A1088,Album!A:A,Album!J:J)</f>
        <v>0</v>
      </c>
      <c r="AD1088" s="3">
        <f>_xlfn.XLOOKUP(D1088,Artists!A:A,Artists!B:B)</f>
        <v>0</v>
      </c>
      <c r="AE1088" s="3">
        <f>_xlfn.XLOOKUP(D1088,Artists!A:A,Artists!C:C)</f>
        <v>0</v>
      </c>
      <c r="AF1088" s="3" t="str">
        <f t="shared" si="100"/>
        <v>OTHR</v>
      </c>
      <c r="AG1088" s="3" t="str">
        <f t="shared" si="101"/>
        <v>OTHR</v>
      </c>
    </row>
    <row r="1089" spans="24:33" x14ac:dyDescent="0.3">
      <c r="X1089" s="3" t="str">
        <f t="shared" si="96"/>
        <v>-SADNE-</v>
      </c>
      <c r="Y1089" s="3" t="str">
        <f t="shared" si="97"/>
        <v>-SLOWSS-</v>
      </c>
      <c r="Z1089" s="4" t="str">
        <f t="shared" si="98"/>
        <v>{"couname":"","img":"0","pty":"","artist":"","genres":"","duration":"","spotId":"","Items":["-SADNE-","-SLOWSS-","OTHR","OTHR","XT_OffAnimals"]},</v>
      </c>
      <c r="AA1089" s="5" t="s">
        <v>5</v>
      </c>
      <c r="AB1089" s="3" t="str">
        <f t="shared" si="99"/>
        <v>["-SADNE-","-SLOWSS-","OTHR","OTHR","XT_OffAnimals"]</v>
      </c>
      <c r="AC1089" s="3">
        <f>_xlfn.XLOOKUP(A1089,Album!A:A,Album!J:J)</f>
        <v>0</v>
      </c>
      <c r="AD1089" s="3">
        <f>_xlfn.XLOOKUP(D1089,Artists!A:A,Artists!B:B)</f>
        <v>0</v>
      </c>
      <c r="AE1089" s="3">
        <f>_xlfn.XLOOKUP(D1089,Artists!A:A,Artists!C:C)</f>
        <v>0</v>
      </c>
      <c r="AF1089" s="3" t="str">
        <f t="shared" si="100"/>
        <v>OTHR</v>
      </c>
      <c r="AG1089" s="3" t="str">
        <f t="shared" si="101"/>
        <v>OTHR</v>
      </c>
    </row>
    <row r="1090" spans="24:33" x14ac:dyDescent="0.3">
      <c r="X1090" s="3" t="str">
        <f t="shared" ref="X1090:X1153" si="102">IF(OR(U1090&lt;0.301, AND(U1090&lt;0.4, P1090=0)), "-SADNE-", "-HAPPY-")</f>
        <v>-SADNE-</v>
      </c>
      <c r="Y1090" s="3" t="str">
        <f t="shared" ref="Y1090:Y1153" si="103">IF(OR(AND(L1090&lt;0.5,M1090&lt;0.5),AND(L1090&lt;0.45,V1090&lt;100),AND(M1090&lt;0.45,V1090&lt;100),AND(U1090&lt;0.39,V1090&lt;100)),"-SLOWSS-","-ENERGY-")</f>
        <v>-SLOWSS-</v>
      </c>
      <c r="Z1090" s="4" t="str">
        <f t="shared" si="98"/>
        <v>{"couname":"","img":"0","pty":"","artist":"","genres":"","duration":"","spotId":"","Items":["-SADNE-","-SLOWSS-","OTHR","OTHR","XT_OffAnimals"]},</v>
      </c>
      <c r="AA1090" s="5" t="s">
        <v>5</v>
      </c>
      <c r="AB1090" s="3" t="str">
        <f t="shared" si="99"/>
        <v>["-SADNE-","-SLOWSS-","OTHR","OTHR","XT_OffAnimals"]</v>
      </c>
      <c r="AC1090" s="3">
        <f>_xlfn.XLOOKUP(A1090,Album!A:A,Album!J:J)</f>
        <v>0</v>
      </c>
      <c r="AD1090" s="3">
        <f>_xlfn.XLOOKUP(D1090,Artists!A:A,Artists!B:B)</f>
        <v>0</v>
      </c>
      <c r="AE1090" s="3">
        <f>_xlfn.XLOOKUP(D1090,Artists!A:A,Artists!C:C)</f>
        <v>0</v>
      </c>
      <c r="AF1090" s="3" t="str">
        <f t="shared" si="100"/>
        <v>OTHR</v>
      </c>
      <c r="AG1090" s="3" t="str">
        <f t="shared" si="101"/>
        <v>OTHR</v>
      </c>
    </row>
    <row r="1091" spans="24:33" x14ac:dyDescent="0.3">
      <c r="X1091" s="3" t="str">
        <f t="shared" si="102"/>
        <v>-SADNE-</v>
      </c>
      <c r="Y1091" s="3" t="str">
        <f t="shared" si="103"/>
        <v>-SLOWSS-</v>
      </c>
      <c r="Z1091" s="4" t="str">
        <f t="shared" ref="Z1091:Z1154" si="104">"{"&amp;CHAR(34)&amp;"couname"&amp;CHAR(34)&amp;":"&amp;CHAR(34)&amp;B1091&amp;CHAR(34)&amp;","&amp;CHAR(34)&amp;"img"&amp;CHAR(34)&amp;":"&amp;CHAR(34)&amp;AC1091&amp;CHAR(34)&amp;","&amp;CHAR(34)&amp;"pty"&amp;CHAR(34)&amp;":"&amp;CHAR(34)&amp;G1091&amp;CHAR(34)&amp;","&amp;CHAR(34)&amp;"artist"&amp;CHAR(34)&amp;":"&amp;CHAR(34)&amp;D1091&amp;CHAR(34)&amp;","&amp;CHAR(34)&amp;"genres"&amp;CHAR(34)&amp;":"&amp;CHAR(34)&amp;J1091&amp;CHAR(34)&amp;","&amp;CHAR(34)&amp;"duration"&amp;CHAR(34)&amp;":"&amp;CHAR(34)&amp;F1091&amp;CHAR(34)&amp;","&amp;CHAR(34)&amp;"spotId"&amp;CHAR(34)&amp;":"&amp;CHAR(34)&amp;A1091&amp;CHAR(34)&amp;","&amp;CHAR(34)&amp;"Items"&amp;CHAR(34)&amp;":"&amp;AB1091&amp;"},"</f>
        <v>{"couname":"","img":"0","pty":"","artist":"","genres":"","duration":"","spotId":"","Items":["-SADNE-","-SLOWSS-","OTHR","OTHR","XT_OffAnimals"]},</v>
      </c>
      <c r="AA1091" s="5" t="s">
        <v>5</v>
      </c>
      <c r="AB1091" s="3" t="str">
        <f t="shared" ref="AB1091:AB1154" si="105" xml:space="preserve"> "[" &amp; _xlfn.TEXTJOIN(",",TRUE,CHAR(34) &amp; X1091&amp; CHAR(34), CHAR(34) &amp; Y1091 &amp; CHAR(34),  CHAR(34) &amp; AF1091 &amp; CHAR(34), CHAR(34) &amp;AG1091 &amp; CHAR(34), CHAR(34) &amp; AA1091 &amp; CHAR(34)) &amp; "]"</f>
        <v>["-SADNE-","-SLOWSS-","OTHR","OTHR","XT_OffAnimals"]</v>
      </c>
      <c r="AC1091" s="3">
        <f>_xlfn.XLOOKUP(A1091,Album!A:A,Album!J:J)</f>
        <v>0</v>
      </c>
      <c r="AD1091" s="3">
        <f>_xlfn.XLOOKUP(D1091,Artists!A:A,Artists!B:B)</f>
        <v>0</v>
      </c>
      <c r="AE1091" s="3">
        <f>_xlfn.XLOOKUP(D1091,Artists!A:A,Artists!C:C)</f>
        <v>0</v>
      </c>
      <c r="AF1091" s="3" t="str">
        <f t="shared" ref="AF1091:AF1154" si="106">IF(ISNUMBER(SEARCH("female", AD1091)), "GIRL", IF(ISNUMBER(SEARCH("male", AD1091)), "DUDE", "OTHR"))</f>
        <v>OTHR</v>
      </c>
      <c r="AG1091" s="3" t="str">
        <f t="shared" ref="AG1091:AG1154" si="107">IF(ISNUMBER(SEARCH("band", AD1091)), "BAND", IF(ISNUMBER(SEARCH("solo", AD1091)), "SOLO", "OTHR"))</f>
        <v>OTHR</v>
      </c>
    </row>
    <row r="1092" spans="24:33" x14ac:dyDescent="0.3">
      <c r="X1092" s="3" t="str">
        <f t="shared" si="102"/>
        <v>-SADNE-</v>
      </c>
      <c r="Y1092" s="3" t="str">
        <f t="shared" si="103"/>
        <v>-SLOWSS-</v>
      </c>
      <c r="Z1092" s="4" t="str">
        <f t="shared" si="104"/>
        <v>{"couname":"","img":"0","pty":"","artist":"","genres":"","duration":"","spotId":"","Items":["-SADNE-","-SLOWSS-","OTHR","OTHR","XT_OffAnimals"]},</v>
      </c>
      <c r="AA1092" s="5" t="s">
        <v>5</v>
      </c>
      <c r="AB1092" s="3" t="str">
        <f t="shared" si="105"/>
        <v>["-SADNE-","-SLOWSS-","OTHR","OTHR","XT_OffAnimals"]</v>
      </c>
      <c r="AC1092" s="3">
        <f>_xlfn.XLOOKUP(A1092,Album!A:A,Album!J:J)</f>
        <v>0</v>
      </c>
      <c r="AD1092" s="3">
        <f>_xlfn.XLOOKUP(D1092,Artists!A:A,Artists!B:B)</f>
        <v>0</v>
      </c>
      <c r="AE1092" s="3">
        <f>_xlfn.XLOOKUP(D1092,Artists!A:A,Artists!C:C)</f>
        <v>0</v>
      </c>
      <c r="AF1092" s="3" t="str">
        <f t="shared" si="106"/>
        <v>OTHR</v>
      </c>
      <c r="AG1092" s="3" t="str">
        <f t="shared" si="107"/>
        <v>OTHR</v>
      </c>
    </row>
    <row r="1093" spans="24:33" x14ac:dyDescent="0.3">
      <c r="X1093" s="3" t="str">
        <f t="shared" si="102"/>
        <v>-SADNE-</v>
      </c>
      <c r="Y1093" s="3" t="str">
        <f t="shared" si="103"/>
        <v>-SLOWSS-</v>
      </c>
      <c r="Z1093" s="4" t="str">
        <f t="shared" si="104"/>
        <v>{"couname":"","img":"0","pty":"","artist":"","genres":"","duration":"","spotId":"","Items":["-SADNE-","-SLOWSS-","OTHR","OTHR","XT_OffAnimals"]},</v>
      </c>
      <c r="AA1093" s="5" t="s">
        <v>5</v>
      </c>
      <c r="AB1093" s="3" t="str">
        <f t="shared" si="105"/>
        <v>["-SADNE-","-SLOWSS-","OTHR","OTHR","XT_OffAnimals"]</v>
      </c>
      <c r="AC1093" s="3">
        <f>_xlfn.XLOOKUP(A1093,Album!A:A,Album!J:J)</f>
        <v>0</v>
      </c>
      <c r="AD1093" s="3">
        <f>_xlfn.XLOOKUP(D1093,Artists!A:A,Artists!B:B)</f>
        <v>0</v>
      </c>
      <c r="AE1093" s="3">
        <f>_xlfn.XLOOKUP(D1093,Artists!A:A,Artists!C:C)</f>
        <v>0</v>
      </c>
      <c r="AF1093" s="3" t="str">
        <f t="shared" si="106"/>
        <v>OTHR</v>
      </c>
      <c r="AG1093" s="3" t="str">
        <f t="shared" si="107"/>
        <v>OTHR</v>
      </c>
    </row>
    <row r="1094" spans="24:33" x14ac:dyDescent="0.3">
      <c r="X1094" s="3" t="str">
        <f t="shared" si="102"/>
        <v>-SADNE-</v>
      </c>
      <c r="Y1094" s="3" t="str">
        <f t="shared" si="103"/>
        <v>-SLOWSS-</v>
      </c>
      <c r="Z1094" s="4" t="str">
        <f t="shared" si="104"/>
        <v>{"couname":"","img":"0","pty":"","artist":"","genres":"","duration":"","spotId":"","Items":["-SADNE-","-SLOWSS-","OTHR","OTHR","XT_OffAnimals"]},</v>
      </c>
      <c r="AA1094" s="5" t="s">
        <v>5</v>
      </c>
      <c r="AB1094" s="3" t="str">
        <f t="shared" si="105"/>
        <v>["-SADNE-","-SLOWSS-","OTHR","OTHR","XT_OffAnimals"]</v>
      </c>
      <c r="AC1094" s="3">
        <f>_xlfn.XLOOKUP(A1094,Album!A:A,Album!J:J)</f>
        <v>0</v>
      </c>
      <c r="AD1094" s="3">
        <f>_xlfn.XLOOKUP(D1094,Artists!A:A,Artists!B:B)</f>
        <v>0</v>
      </c>
      <c r="AE1094" s="3">
        <f>_xlfn.XLOOKUP(D1094,Artists!A:A,Artists!C:C)</f>
        <v>0</v>
      </c>
      <c r="AF1094" s="3" t="str">
        <f t="shared" si="106"/>
        <v>OTHR</v>
      </c>
      <c r="AG1094" s="3" t="str">
        <f t="shared" si="107"/>
        <v>OTHR</v>
      </c>
    </row>
    <row r="1095" spans="24:33" x14ac:dyDescent="0.3">
      <c r="X1095" s="3" t="str">
        <f t="shared" si="102"/>
        <v>-SADNE-</v>
      </c>
      <c r="Y1095" s="3" t="str">
        <f t="shared" si="103"/>
        <v>-SLOWSS-</v>
      </c>
      <c r="Z1095" s="4" t="str">
        <f t="shared" si="104"/>
        <v>{"couname":"","img":"0","pty":"","artist":"","genres":"","duration":"","spotId":"","Items":["-SADNE-","-SLOWSS-","OTHR","OTHR","XT_OffAnimals"]},</v>
      </c>
      <c r="AA1095" s="5" t="s">
        <v>5</v>
      </c>
      <c r="AB1095" s="3" t="str">
        <f t="shared" si="105"/>
        <v>["-SADNE-","-SLOWSS-","OTHR","OTHR","XT_OffAnimals"]</v>
      </c>
      <c r="AC1095" s="3">
        <f>_xlfn.XLOOKUP(A1095,Album!A:A,Album!J:J)</f>
        <v>0</v>
      </c>
      <c r="AD1095" s="3">
        <f>_xlfn.XLOOKUP(D1095,Artists!A:A,Artists!B:B)</f>
        <v>0</v>
      </c>
      <c r="AE1095" s="3">
        <f>_xlfn.XLOOKUP(D1095,Artists!A:A,Artists!C:C)</f>
        <v>0</v>
      </c>
      <c r="AF1095" s="3" t="str">
        <f t="shared" si="106"/>
        <v>OTHR</v>
      </c>
      <c r="AG1095" s="3" t="str">
        <f t="shared" si="107"/>
        <v>OTHR</v>
      </c>
    </row>
    <row r="1096" spans="24:33" x14ac:dyDescent="0.3">
      <c r="X1096" s="3" t="str">
        <f t="shared" si="102"/>
        <v>-SADNE-</v>
      </c>
      <c r="Y1096" s="3" t="str">
        <f t="shared" si="103"/>
        <v>-SLOWSS-</v>
      </c>
      <c r="Z1096" s="4" t="str">
        <f t="shared" si="104"/>
        <v>{"couname":"","img":"0","pty":"","artist":"","genres":"","duration":"","spotId":"","Items":["-SADNE-","-SLOWSS-","OTHR","OTHR","XT_OffAnimals"]},</v>
      </c>
      <c r="AA1096" s="5" t="s">
        <v>5</v>
      </c>
      <c r="AB1096" s="3" t="str">
        <f t="shared" si="105"/>
        <v>["-SADNE-","-SLOWSS-","OTHR","OTHR","XT_OffAnimals"]</v>
      </c>
      <c r="AC1096" s="3">
        <f>_xlfn.XLOOKUP(A1096,Album!A:A,Album!J:J)</f>
        <v>0</v>
      </c>
      <c r="AD1096" s="3">
        <f>_xlfn.XLOOKUP(D1096,Artists!A:A,Artists!B:B)</f>
        <v>0</v>
      </c>
      <c r="AE1096" s="3">
        <f>_xlfn.XLOOKUP(D1096,Artists!A:A,Artists!C:C)</f>
        <v>0</v>
      </c>
      <c r="AF1096" s="3" t="str">
        <f t="shared" si="106"/>
        <v>OTHR</v>
      </c>
      <c r="AG1096" s="3" t="str">
        <f t="shared" si="107"/>
        <v>OTHR</v>
      </c>
    </row>
    <row r="1097" spans="24:33" x14ac:dyDescent="0.3">
      <c r="X1097" s="3" t="str">
        <f t="shared" si="102"/>
        <v>-SADNE-</v>
      </c>
      <c r="Y1097" s="3" t="str">
        <f t="shared" si="103"/>
        <v>-SLOWSS-</v>
      </c>
      <c r="Z1097" s="4" t="str">
        <f t="shared" si="104"/>
        <v>{"couname":"","img":"0","pty":"","artist":"","genres":"","duration":"","spotId":"","Items":["-SADNE-","-SLOWSS-","OTHR","OTHR","XT_OffAnimals"]},</v>
      </c>
      <c r="AA1097" s="5" t="s">
        <v>5</v>
      </c>
      <c r="AB1097" s="3" t="str">
        <f t="shared" si="105"/>
        <v>["-SADNE-","-SLOWSS-","OTHR","OTHR","XT_OffAnimals"]</v>
      </c>
      <c r="AC1097" s="3">
        <f>_xlfn.XLOOKUP(A1097,Album!A:A,Album!J:J)</f>
        <v>0</v>
      </c>
      <c r="AD1097" s="3">
        <f>_xlfn.XLOOKUP(D1097,Artists!A:A,Artists!B:B)</f>
        <v>0</v>
      </c>
      <c r="AE1097" s="3">
        <f>_xlfn.XLOOKUP(D1097,Artists!A:A,Artists!C:C)</f>
        <v>0</v>
      </c>
      <c r="AF1097" s="3" t="str">
        <f t="shared" si="106"/>
        <v>OTHR</v>
      </c>
      <c r="AG1097" s="3" t="str">
        <f t="shared" si="107"/>
        <v>OTHR</v>
      </c>
    </row>
    <row r="1098" spans="24:33" x14ac:dyDescent="0.3">
      <c r="X1098" s="3" t="str">
        <f t="shared" si="102"/>
        <v>-SADNE-</v>
      </c>
      <c r="Y1098" s="3" t="str">
        <f t="shared" si="103"/>
        <v>-SLOWSS-</v>
      </c>
      <c r="Z1098" s="4" t="str">
        <f t="shared" si="104"/>
        <v>{"couname":"","img":"0","pty":"","artist":"","genres":"","duration":"","spotId":"","Items":["-SADNE-","-SLOWSS-","OTHR","OTHR","XT_OffAnimals"]},</v>
      </c>
      <c r="AA1098" s="5" t="s">
        <v>5</v>
      </c>
      <c r="AB1098" s="3" t="str">
        <f t="shared" si="105"/>
        <v>["-SADNE-","-SLOWSS-","OTHR","OTHR","XT_OffAnimals"]</v>
      </c>
      <c r="AC1098" s="3">
        <f>_xlfn.XLOOKUP(A1098,Album!A:A,Album!J:J)</f>
        <v>0</v>
      </c>
      <c r="AD1098" s="3">
        <f>_xlfn.XLOOKUP(D1098,Artists!A:A,Artists!B:B)</f>
        <v>0</v>
      </c>
      <c r="AE1098" s="3">
        <f>_xlfn.XLOOKUP(D1098,Artists!A:A,Artists!C:C)</f>
        <v>0</v>
      </c>
      <c r="AF1098" s="3" t="str">
        <f t="shared" si="106"/>
        <v>OTHR</v>
      </c>
      <c r="AG1098" s="3" t="str">
        <f t="shared" si="107"/>
        <v>OTHR</v>
      </c>
    </row>
    <row r="1099" spans="24:33" x14ac:dyDescent="0.3">
      <c r="X1099" s="3" t="str">
        <f t="shared" si="102"/>
        <v>-SADNE-</v>
      </c>
      <c r="Y1099" s="3" t="str">
        <f t="shared" si="103"/>
        <v>-SLOWSS-</v>
      </c>
      <c r="Z1099" s="4" t="str">
        <f t="shared" si="104"/>
        <v>{"couname":"","img":"0","pty":"","artist":"","genres":"","duration":"","spotId":"","Items":["-SADNE-","-SLOWSS-","OTHR","OTHR","XT_OffAnimals"]},</v>
      </c>
      <c r="AA1099" s="5" t="s">
        <v>5</v>
      </c>
      <c r="AB1099" s="3" t="str">
        <f t="shared" si="105"/>
        <v>["-SADNE-","-SLOWSS-","OTHR","OTHR","XT_OffAnimals"]</v>
      </c>
      <c r="AC1099" s="3">
        <f>_xlfn.XLOOKUP(A1099,Album!A:A,Album!J:J)</f>
        <v>0</v>
      </c>
      <c r="AD1099" s="3">
        <f>_xlfn.XLOOKUP(D1099,Artists!A:A,Artists!B:B)</f>
        <v>0</v>
      </c>
      <c r="AE1099" s="3">
        <f>_xlfn.XLOOKUP(D1099,Artists!A:A,Artists!C:C)</f>
        <v>0</v>
      </c>
      <c r="AF1099" s="3" t="str">
        <f t="shared" si="106"/>
        <v>OTHR</v>
      </c>
      <c r="AG1099" s="3" t="str">
        <f t="shared" si="107"/>
        <v>OTHR</v>
      </c>
    </row>
    <row r="1100" spans="24:33" x14ac:dyDescent="0.3">
      <c r="X1100" s="3" t="str">
        <f t="shared" si="102"/>
        <v>-SADNE-</v>
      </c>
      <c r="Y1100" s="3" t="str">
        <f t="shared" si="103"/>
        <v>-SLOWSS-</v>
      </c>
      <c r="Z1100" s="4" t="str">
        <f t="shared" si="104"/>
        <v>{"couname":"","img":"0","pty":"","artist":"","genres":"","duration":"","spotId":"","Items":["-SADNE-","-SLOWSS-","OTHR","OTHR","XT_OffAnimals"]},</v>
      </c>
      <c r="AA1100" s="5" t="s">
        <v>5</v>
      </c>
      <c r="AB1100" s="3" t="str">
        <f t="shared" si="105"/>
        <v>["-SADNE-","-SLOWSS-","OTHR","OTHR","XT_OffAnimals"]</v>
      </c>
      <c r="AC1100" s="3">
        <f>_xlfn.XLOOKUP(A1100,Album!A:A,Album!J:J)</f>
        <v>0</v>
      </c>
      <c r="AD1100" s="3">
        <f>_xlfn.XLOOKUP(D1100,Artists!A:A,Artists!B:B)</f>
        <v>0</v>
      </c>
      <c r="AE1100" s="3">
        <f>_xlfn.XLOOKUP(D1100,Artists!A:A,Artists!C:C)</f>
        <v>0</v>
      </c>
      <c r="AF1100" s="3" t="str">
        <f t="shared" si="106"/>
        <v>OTHR</v>
      </c>
      <c r="AG1100" s="3" t="str">
        <f t="shared" si="107"/>
        <v>OTHR</v>
      </c>
    </row>
    <row r="1101" spans="24:33" x14ac:dyDescent="0.3">
      <c r="X1101" s="3" t="str">
        <f t="shared" si="102"/>
        <v>-SADNE-</v>
      </c>
      <c r="Y1101" s="3" t="str">
        <f t="shared" si="103"/>
        <v>-SLOWSS-</v>
      </c>
      <c r="Z1101" s="4" t="str">
        <f t="shared" si="104"/>
        <v>{"couname":"","img":"0","pty":"","artist":"","genres":"","duration":"","spotId":"","Items":["-SADNE-","-SLOWSS-","OTHR","OTHR","XT_OffAnimals"]},</v>
      </c>
      <c r="AA1101" s="5" t="s">
        <v>5</v>
      </c>
      <c r="AB1101" s="3" t="str">
        <f t="shared" si="105"/>
        <v>["-SADNE-","-SLOWSS-","OTHR","OTHR","XT_OffAnimals"]</v>
      </c>
      <c r="AC1101" s="3">
        <f>_xlfn.XLOOKUP(A1101,Album!A:A,Album!J:J)</f>
        <v>0</v>
      </c>
      <c r="AD1101" s="3">
        <f>_xlfn.XLOOKUP(D1101,Artists!A:A,Artists!B:B)</f>
        <v>0</v>
      </c>
      <c r="AE1101" s="3">
        <f>_xlfn.XLOOKUP(D1101,Artists!A:A,Artists!C:C)</f>
        <v>0</v>
      </c>
      <c r="AF1101" s="3" t="str">
        <f t="shared" si="106"/>
        <v>OTHR</v>
      </c>
      <c r="AG1101" s="3" t="str">
        <f t="shared" si="107"/>
        <v>OTHR</v>
      </c>
    </row>
    <row r="1102" spans="24:33" x14ac:dyDescent="0.3">
      <c r="X1102" s="3" t="str">
        <f t="shared" si="102"/>
        <v>-SADNE-</v>
      </c>
      <c r="Y1102" s="3" t="str">
        <f t="shared" si="103"/>
        <v>-SLOWSS-</v>
      </c>
      <c r="Z1102" s="4" t="str">
        <f t="shared" si="104"/>
        <v>{"couname":"","img":"0","pty":"","artist":"","genres":"","duration":"","spotId":"","Items":["-SADNE-","-SLOWSS-","OTHR","OTHR","XT_OffAnimals"]},</v>
      </c>
      <c r="AA1102" s="5" t="s">
        <v>5</v>
      </c>
      <c r="AB1102" s="3" t="str">
        <f t="shared" si="105"/>
        <v>["-SADNE-","-SLOWSS-","OTHR","OTHR","XT_OffAnimals"]</v>
      </c>
      <c r="AC1102" s="3">
        <f>_xlfn.XLOOKUP(A1102,Album!A:A,Album!J:J)</f>
        <v>0</v>
      </c>
      <c r="AD1102" s="3">
        <f>_xlfn.XLOOKUP(D1102,Artists!A:A,Artists!B:B)</f>
        <v>0</v>
      </c>
      <c r="AE1102" s="3">
        <f>_xlfn.XLOOKUP(D1102,Artists!A:A,Artists!C:C)</f>
        <v>0</v>
      </c>
      <c r="AF1102" s="3" t="str">
        <f t="shared" si="106"/>
        <v>OTHR</v>
      </c>
      <c r="AG1102" s="3" t="str">
        <f t="shared" si="107"/>
        <v>OTHR</v>
      </c>
    </row>
    <row r="1103" spans="24:33" x14ac:dyDescent="0.3">
      <c r="X1103" s="3" t="str">
        <f t="shared" si="102"/>
        <v>-SADNE-</v>
      </c>
      <c r="Y1103" s="3" t="str">
        <f t="shared" si="103"/>
        <v>-SLOWSS-</v>
      </c>
      <c r="Z1103" s="4" t="str">
        <f t="shared" si="104"/>
        <v>{"couname":"","img":"0","pty":"","artist":"","genres":"","duration":"","spotId":"","Items":["-SADNE-","-SLOWSS-","OTHR","OTHR","XT_OffAnimals"]},</v>
      </c>
      <c r="AA1103" s="5" t="s">
        <v>5</v>
      </c>
      <c r="AB1103" s="3" t="str">
        <f t="shared" si="105"/>
        <v>["-SADNE-","-SLOWSS-","OTHR","OTHR","XT_OffAnimals"]</v>
      </c>
      <c r="AC1103" s="3">
        <f>_xlfn.XLOOKUP(A1103,Album!A:A,Album!J:J)</f>
        <v>0</v>
      </c>
      <c r="AD1103" s="3">
        <f>_xlfn.XLOOKUP(D1103,Artists!A:A,Artists!B:B)</f>
        <v>0</v>
      </c>
      <c r="AE1103" s="3">
        <f>_xlfn.XLOOKUP(D1103,Artists!A:A,Artists!C:C)</f>
        <v>0</v>
      </c>
      <c r="AF1103" s="3" t="str">
        <f t="shared" si="106"/>
        <v>OTHR</v>
      </c>
      <c r="AG1103" s="3" t="str">
        <f t="shared" si="107"/>
        <v>OTHR</v>
      </c>
    </row>
    <row r="1104" spans="24:33" x14ac:dyDescent="0.3">
      <c r="X1104" s="3" t="str">
        <f t="shared" si="102"/>
        <v>-SADNE-</v>
      </c>
      <c r="Y1104" s="3" t="str">
        <f t="shared" si="103"/>
        <v>-SLOWSS-</v>
      </c>
      <c r="Z1104" s="4" t="str">
        <f t="shared" si="104"/>
        <v>{"couname":"","img":"0","pty":"","artist":"","genres":"","duration":"","spotId":"","Items":["-SADNE-","-SLOWSS-","OTHR","OTHR","XT_OffAnimals"]},</v>
      </c>
      <c r="AA1104" s="5" t="s">
        <v>5</v>
      </c>
      <c r="AB1104" s="3" t="str">
        <f t="shared" si="105"/>
        <v>["-SADNE-","-SLOWSS-","OTHR","OTHR","XT_OffAnimals"]</v>
      </c>
      <c r="AC1104" s="3">
        <f>_xlfn.XLOOKUP(A1104,Album!A:A,Album!J:J)</f>
        <v>0</v>
      </c>
      <c r="AD1104" s="3">
        <f>_xlfn.XLOOKUP(D1104,Artists!A:A,Artists!B:B)</f>
        <v>0</v>
      </c>
      <c r="AE1104" s="3">
        <f>_xlfn.XLOOKUP(D1104,Artists!A:A,Artists!C:C)</f>
        <v>0</v>
      </c>
      <c r="AF1104" s="3" t="str">
        <f t="shared" si="106"/>
        <v>OTHR</v>
      </c>
      <c r="AG1104" s="3" t="str">
        <f t="shared" si="107"/>
        <v>OTHR</v>
      </c>
    </row>
    <row r="1105" spans="24:33" x14ac:dyDescent="0.3">
      <c r="X1105" s="3" t="str">
        <f t="shared" si="102"/>
        <v>-SADNE-</v>
      </c>
      <c r="Y1105" s="3" t="str">
        <f t="shared" si="103"/>
        <v>-SLOWSS-</v>
      </c>
      <c r="Z1105" s="4" t="str">
        <f t="shared" si="104"/>
        <v>{"couname":"","img":"0","pty":"","artist":"","genres":"","duration":"","spotId":"","Items":["-SADNE-","-SLOWSS-","OTHR","OTHR","XT_OffAnimals"]},</v>
      </c>
      <c r="AA1105" s="5" t="s">
        <v>5</v>
      </c>
      <c r="AB1105" s="3" t="str">
        <f t="shared" si="105"/>
        <v>["-SADNE-","-SLOWSS-","OTHR","OTHR","XT_OffAnimals"]</v>
      </c>
      <c r="AC1105" s="3">
        <f>_xlfn.XLOOKUP(A1105,Album!A:A,Album!J:J)</f>
        <v>0</v>
      </c>
      <c r="AD1105" s="3">
        <f>_xlfn.XLOOKUP(D1105,Artists!A:A,Artists!B:B)</f>
        <v>0</v>
      </c>
      <c r="AE1105" s="3">
        <f>_xlfn.XLOOKUP(D1105,Artists!A:A,Artists!C:C)</f>
        <v>0</v>
      </c>
      <c r="AF1105" s="3" t="str">
        <f t="shared" si="106"/>
        <v>OTHR</v>
      </c>
      <c r="AG1105" s="3" t="str">
        <f t="shared" si="107"/>
        <v>OTHR</v>
      </c>
    </row>
    <row r="1106" spans="24:33" x14ac:dyDescent="0.3">
      <c r="X1106" s="3" t="str">
        <f t="shared" si="102"/>
        <v>-SADNE-</v>
      </c>
      <c r="Y1106" s="3" t="str">
        <f t="shared" si="103"/>
        <v>-SLOWSS-</v>
      </c>
      <c r="Z1106" s="4" t="str">
        <f t="shared" si="104"/>
        <v>{"couname":"","img":"0","pty":"","artist":"","genres":"","duration":"","spotId":"","Items":["-SADNE-","-SLOWSS-","OTHR","OTHR","XT_OffAnimals"]},</v>
      </c>
      <c r="AA1106" s="5" t="s">
        <v>5</v>
      </c>
      <c r="AB1106" s="3" t="str">
        <f t="shared" si="105"/>
        <v>["-SADNE-","-SLOWSS-","OTHR","OTHR","XT_OffAnimals"]</v>
      </c>
      <c r="AC1106" s="3">
        <f>_xlfn.XLOOKUP(A1106,Album!A:A,Album!J:J)</f>
        <v>0</v>
      </c>
      <c r="AD1106" s="3">
        <f>_xlfn.XLOOKUP(D1106,Artists!A:A,Artists!B:B)</f>
        <v>0</v>
      </c>
      <c r="AE1106" s="3">
        <f>_xlfn.XLOOKUP(D1106,Artists!A:A,Artists!C:C)</f>
        <v>0</v>
      </c>
      <c r="AF1106" s="3" t="str">
        <f t="shared" si="106"/>
        <v>OTHR</v>
      </c>
      <c r="AG1106" s="3" t="str">
        <f t="shared" si="107"/>
        <v>OTHR</v>
      </c>
    </row>
    <row r="1107" spans="24:33" x14ac:dyDescent="0.3">
      <c r="X1107" s="3" t="str">
        <f t="shared" si="102"/>
        <v>-SADNE-</v>
      </c>
      <c r="Y1107" s="3" t="str">
        <f t="shared" si="103"/>
        <v>-SLOWSS-</v>
      </c>
      <c r="Z1107" s="4" t="str">
        <f t="shared" si="104"/>
        <v>{"couname":"","img":"0","pty":"","artist":"","genres":"","duration":"","spotId":"","Items":["-SADNE-","-SLOWSS-","OTHR","OTHR","XT_OffAnimals"]},</v>
      </c>
      <c r="AA1107" s="5" t="s">
        <v>5</v>
      </c>
      <c r="AB1107" s="3" t="str">
        <f t="shared" si="105"/>
        <v>["-SADNE-","-SLOWSS-","OTHR","OTHR","XT_OffAnimals"]</v>
      </c>
      <c r="AC1107" s="3">
        <f>_xlfn.XLOOKUP(A1107,Album!A:A,Album!J:J)</f>
        <v>0</v>
      </c>
      <c r="AD1107" s="3">
        <f>_xlfn.XLOOKUP(D1107,Artists!A:A,Artists!B:B)</f>
        <v>0</v>
      </c>
      <c r="AE1107" s="3">
        <f>_xlfn.XLOOKUP(D1107,Artists!A:A,Artists!C:C)</f>
        <v>0</v>
      </c>
      <c r="AF1107" s="3" t="str">
        <f t="shared" si="106"/>
        <v>OTHR</v>
      </c>
      <c r="AG1107" s="3" t="str">
        <f t="shared" si="107"/>
        <v>OTHR</v>
      </c>
    </row>
    <row r="1108" spans="24:33" x14ac:dyDescent="0.3">
      <c r="X1108" s="3" t="str">
        <f t="shared" si="102"/>
        <v>-SADNE-</v>
      </c>
      <c r="Y1108" s="3" t="str">
        <f t="shared" si="103"/>
        <v>-SLOWSS-</v>
      </c>
      <c r="Z1108" s="4" t="str">
        <f t="shared" si="104"/>
        <v>{"couname":"","img":"0","pty":"","artist":"","genres":"","duration":"","spotId":"","Items":["-SADNE-","-SLOWSS-","OTHR","OTHR","XT_OffAnimals"]},</v>
      </c>
      <c r="AA1108" s="5" t="s">
        <v>5</v>
      </c>
      <c r="AB1108" s="3" t="str">
        <f t="shared" si="105"/>
        <v>["-SADNE-","-SLOWSS-","OTHR","OTHR","XT_OffAnimals"]</v>
      </c>
      <c r="AC1108" s="3">
        <f>_xlfn.XLOOKUP(A1108,Album!A:A,Album!J:J)</f>
        <v>0</v>
      </c>
      <c r="AD1108" s="3">
        <f>_xlfn.XLOOKUP(D1108,Artists!A:A,Artists!B:B)</f>
        <v>0</v>
      </c>
      <c r="AE1108" s="3">
        <f>_xlfn.XLOOKUP(D1108,Artists!A:A,Artists!C:C)</f>
        <v>0</v>
      </c>
      <c r="AF1108" s="3" t="str">
        <f t="shared" si="106"/>
        <v>OTHR</v>
      </c>
      <c r="AG1108" s="3" t="str">
        <f t="shared" si="107"/>
        <v>OTHR</v>
      </c>
    </row>
    <row r="1109" spans="24:33" x14ac:dyDescent="0.3">
      <c r="X1109" s="3" t="str">
        <f t="shared" si="102"/>
        <v>-SADNE-</v>
      </c>
      <c r="Y1109" s="3" t="str">
        <f t="shared" si="103"/>
        <v>-SLOWSS-</v>
      </c>
      <c r="Z1109" s="4" t="str">
        <f t="shared" si="104"/>
        <v>{"couname":"","img":"0","pty":"","artist":"","genres":"","duration":"","spotId":"","Items":["-SADNE-","-SLOWSS-","OTHR","OTHR","XT_OffAnimals"]},</v>
      </c>
      <c r="AA1109" s="5" t="s">
        <v>5</v>
      </c>
      <c r="AB1109" s="3" t="str">
        <f t="shared" si="105"/>
        <v>["-SADNE-","-SLOWSS-","OTHR","OTHR","XT_OffAnimals"]</v>
      </c>
      <c r="AC1109" s="3">
        <f>_xlfn.XLOOKUP(A1109,Album!A:A,Album!J:J)</f>
        <v>0</v>
      </c>
      <c r="AD1109" s="3">
        <f>_xlfn.XLOOKUP(D1109,Artists!A:A,Artists!B:B)</f>
        <v>0</v>
      </c>
      <c r="AE1109" s="3">
        <f>_xlfn.XLOOKUP(D1109,Artists!A:A,Artists!C:C)</f>
        <v>0</v>
      </c>
      <c r="AF1109" s="3" t="str">
        <f t="shared" si="106"/>
        <v>OTHR</v>
      </c>
      <c r="AG1109" s="3" t="str">
        <f t="shared" si="107"/>
        <v>OTHR</v>
      </c>
    </row>
    <row r="1110" spans="24:33" x14ac:dyDescent="0.3">
      <c r="X1110" s="3" t="str">
        <f t="shared" si="102"/>
        <v>-SADNE-</v>
      </c>
      <c r="Y1110" s="3" t="str">
        <f t="shared" si="103"/>
        <v>-SLOWSS-</v>
      </c>
      <c r="Z1110" s="4" t="str">
        <f t="shared" si="104"/>
        <v>{"couname":"","img":"0","pty":"","artist":"","genres":"","duration":"","spotId":"","Items":["-SADNE-","-SLOWSS-","OTHR","OTHR","XT_OffAnimals"]},</v>
      </c>
      <c r="AA1110" s="5" t="s">
        <v>5</v>
      </c>
      <c r="AB1110" s="3" t="str">
        <f t="shared" si="105"/>
        <v>["-SADNE-","-SLOWSS-","OTHR","OTHR","XT_OffAnimals"]</v>
      </c>
      <c r="AC1110" s="3">
        <f>_xlfn.XLOOKUP(A1110,Album!A:A,Album!J:J)</f>
        <v>0</v>
      </c>
      <c r="AD1110" s="3">
        <f>_xlfn.XLOOKUP(D1110,Artists!A:A,Artists!B:B)</f>
        <v>0</v>
      </c>
      <c r="AE1110" s="3">
        <f>_xlfn.XLOOKUP(D1110,Artists!A:A,Artists!C:C)</f>
        <v>0</v>
      </c>
      <c r="AF1110" s="3" t="str">
        <f t="shared" si="106"/>
        <v>OTHR</v>
      </c>
      <c r="AG1110" s="3" t="str">
        <f t="shared" si="107"/>
        <v>OTHR</v>
      </c>
    </row>
    <row r="1111" spans="24:33" x14ac:dyDescent="0.3">
      <c r="X1111" s="3" t="str">
        <f t="shared" si="102"/>
        <v>-SADNE-</v>
      </c>
      <c r="Y1111" s="3" t="str">
        <f t="shared" si="103"/>
        <v>-SLOWSS-</v>
      </c>
      <c r="Z1111" s="4" t="str">
        <f t="shared" si="104"/>
        <v>{"couname":"","img":"0","pty":"","artist":"","genres":"","duration":"","spotId":"","Items":["-SADNE-","-SLOWSS-","OTHR","OTHR","XT_OffAnimals"]},</v>
      </c>
      <c r="AA1111" s="5" t="s">
        <v>5</v>
      </c>
      <c r="AB1111" s="3" t="str">
        <f t="shared" si="105"/>
        <v>["-SADNE-","-SLOWSS-","OTHR","OTHR","XT_OffAnimals"]</v>
      </c>
      <c r="AC1111" s="3">
        <f>_xlfn.XLOOKUP(A1111,Album!A:A,Album!J:J)</f>
        <v>0</v>
      </c>
      <c r="AD1111" s="3">
        <f>_xlfn.XLOOKUP(D1111,Artists!A:A,Artists!B:B)</f>
        <v>0</v>
      </c>
      <c r="AE1111" s="3">
        <f>_xlfn.XLOOKUP(D1111,Artists!A:A,Artists!C:C)</f>
        <v>0</v>
      </c>
      <c r="AF1111" s="3" t="str">
        <f t="shared" si="106"/>
        <v>OTHR</v>
      </c>
      <c r="AG1111" s="3" t="str">
        <f t="shared" si="107"/>
        <v>OTHR</v>
      </c>
    </row>
    <row r="1112" spans="24:33" x14ac:dyDescent="0.3">
      <c r="X1112" s="3" t="str">
        <f t="shared" si="102"/>
        <v>-SADNE-</v>
      </c>
      <c r="Y1112" s="3" t="str">
        <f t="shared" si="103"/>
        <v>-SLOWSS-</v>
      </c>
      <c r="Z1112" s="4" t="str">
        <f t="shared" si="104"/>
        <v>{"couname":"","img":"0","pty":"","artist":"","genres":"","duration":"","spotId":"","Items":["-SADNE-","-SLOWSS-","OTHR","OTHR","XT_OffAnimals"]},</v>
      </c>
      <c r="AA1112" s="5" t="s">
        <v>5</v>
      </c>
      <c r="AB1112" s="3" t="str">
        <f t="shared" si="105"/>
        <v>["-SADNE-","-SLOWSS-","OTHR","OTHR","XT_OffAnimals"]</v>
      </c>
      <c r="AC1112" s="3">
        <f>_xlfn.XLOOKUP(A1112,Album!A:A,Album!J:J)</f>
        <v>0</v>
      </c>
      <c r="AD1112" s="3">
        <f>_xlfn.XLOOKUP(D1112,Artists!A:A,Artists!B:B)</f>
        <v>0</v>
      </c>
      <c r="AE1112" s="3">
        <f>_xlfn.XLOOKUP(D1112,Artists!A:A,Artists!C:C)</f>
        <v>0</v>
      </c>
      <c r="AF1112" s="3" t="str">
        <f t="shared" si="106"/>
        <v>OTHR</v>
      </c>
      <c r="AG1112" s="3" t="str">
        <f t="shared" si="107"/>
        <v>OTHR</v>
      </c>
    </row>
    <row r="1113" spans="24:33" x14ac:dyDescent="0.3">
      <c r="X1113" s="3" t="str">
        <f t="shared" si="102"/>
        <v>-SADNE-</v>
      </c>
      <c r="Y1113" s="3" t="str">
        <f t="shared" si="103"/>
        <v>-SLOWSS-</v>
      </c>
      <c r="Z1113" s="4" t="str">
        <f t="shared" si="104"/>
        <v>{"couname":"","img":"0","pty":"","artist":"","genres":"","duration":"","spotId":"","Items":["-SADNE-","-SLOWSS-","OTHR","OTHR","XT_OffAnimals"]},</v>
      </c>
      <c r="AA1113" s="5" t="s">
        <v>5</v>
      </c>
      <c r="AB1113" s="3" t="str">
        <f t="shared" si="105"/>
        <v>["-SADNE-","-SLOWSS-","OTHR","OTHR","XT_OffAnimals"]</v>
      </c>
      <c r="AC1113" s="3">
        <f>_xlfn.XLOOKUP(A1113,Album!A:A,Album!J:J)</f>
        <v>0</v>
      </c>
      <c r="AD1113" s="3">
        <f>_xlfn.XLOOKUP(D1113,Artists!A:A,Artists!B:B)</f>
        <v>0</v>
      </c>
      <c r="AE1113" s="3">
        <f>_xlfn.XLOOKUP(D1113,Artists!A:A,Artists!C:C)</f>
        <v>0</v>
      </c>
      <c r="AF1113" s="3" t="str">
        <f t="shared" si="106"/>
        <v>OTHR</v>
      </c>
      <c r="AG1113" s="3" t="str">
        <f t="shared" si="107"/>
        <v>OTHR</v>
      </c>
    </row>
    <row r="1114" spans="24:33" x14ac:dyDescent="0.3">
      <c r="X1114" s="3" t="str">
        <f t="shared" si="102"/>
        <v>-SADNE-</v>
      </c>
      <c r="Y1114" s="3" t="str">
        <f t="shared" si="103"/>
        <v>-SLOWSS-</v>
      </c>
      <c r="Z1114" s="4" t="str">
        <f t="shared" si="104"/>
        <v>{"couname":"","img":"0","pty":"","artist":"","genres":"","duration":"","spotId":"","Items":["-SADNE-","-SLOWSS-","OTHR","OTHR","XT_OffAnimals"]},</v>
      </c>
      <c r="AA1114" s="5" t="s">
        <v>5</v>
      </c>
      <c r="AB1114" s="3" t="str">
        <f t="shared" si="105"/>
        <v>["-SADNE-","-SLOWSS-","OTHR","OTHR","XT_OffAnimals"]</v>
      </c>
      <c r="AC1114" s="3">
        <f>_xlfn.XLOOKUP(A1114,Album!A:A,Album!J:J)</f>
        <v>0</v>
      </c>
      <c r="AD1114" s="3">
        <f>_xlfn.XLOOKUP(D1114,Artists!A:A,Artists!B:B)</f>
        <v>0</v>
      </c>
      <c r="AE1114" s="3">
        <f>_xlfn.XLOOKUP(D1114,Artists!A:A,Artists!C:C)</f>
        <v>0</v>
      </c>
      <c r="AF1114" s="3" t="str">
        <f t="shared" si="106"/>
        <v>OTHR</v>
      </c>
      <c r="AG1114" s="3" t="str">
        <f t="shared" si="107"/>
        <v>OTHR</v>
      </c>
    </row>
    <row r="1115" spans="24:33" x14ac:dyDescent="0.3">
      <c r="X1115" s="3" t="str">
        <f t="shared" si="102"/>
        <v>-SADNE-</v>
      </c>
      <c r="Y1115" s="3" t="str">
        <f t="shared" si="103"/>
        <v>-SLOWSS-</v>
      </c>
      <c r="Z1115" s="4" t="str">
        <f t="shared" si="104"/>
        <v>{"couname":"","img":"0","pty":"","artist":"","genres":"","duration":"","spotId":"","Items":["-SADNE-","-SLOWSS-","OTHR","OTHR","XT_OffAnimals"]},</v>
      </c>
      <c r="AA1115" s="5" t="s">
        <v>5</v>
      </c>
      <c r="AB1115" s="3" t="str">
        <f t="shared" si="105"/>
        <v>["-SADNE-","-SLOWSS-","OTHR","OTHR","XT_OffAnimals"]</v>
      </c>
      <c r="AC1115" s="3">
        <f>_xlfn.XLOOKUP(A1115,Album!A:A,Album!J:J)</f>
        <v>0</v>
      </c>
      <c r="AD1115" s="3">
        <f>_xlfn.XLOOKUP(D1115,Artists!A:A,Artists!B:B)</f>
        <v>0</v>
      </c>
      <c r="AE1115" s="3">
        <f>_xlfn.XLOOKUP(D1115,Artists!A:A,Artists!C:C)</f>
        <v>0</v>
      </c>
      <c r="AF1115" s="3" t="str">
        <f t="shared" si="106"/>
        <v>OTHR</v>
      </c>
      <c r="AG1115" s="3" t="str">
        <f t="shared" si="107"/>
        <v>OTHR</v>
      </c>
    </row>
    <row r="1116" spans="24:33" x14ac:dyDescent="0.3">
      <c r="X1116" s="3" t="str">
        <f t="shared" si="102"/>
        <v>-SADNE-</v>
      </c>
      <c r="Y1116" s="3" t="str">
        <f t="shared" si="103"/>
        <v>-SLOWSS-</v>
      </c>
      <c r="Z1116" s="4" t="str">
        <f t="shared" si="104"/>
        <v>{"couname":"","img":"0","pty":"","artist":"","genres":"","duration":"","spotId":"","Items":["-SADNE-","-SLOWSS-","OTHR","OTHR","XT_OffAnimals"]},</v>
      </c>
      <c r="AA1116" s="5" t="s">
        <v>5</v>
      </c>
      <c r="AB1116" s="3" t="str">
        <f t="shared" si="105"/>
        <v>["-SADNE-","-SLOWSS-","OTHR","OTHR","XT_OffAnimals"]</v>
      </c>
      <c r="AC1116" s="3">
        <f>_xlfn.XLOOKUP(A1116,Album!A:A,Album!J:J)</f>
        <v>0</v>
      </c>
      <c r="AD1116" s="3">
        <f>_xlfn.XLOOKUP(D1116,Artists!A:A,Artists!B:B)</f>
        <v>0</v>
      </c>
      <c r="AE1116" s="3">
        <f>_xlfn.XLOOKUP(D1116,Artists!A:A,Artists!C:C)</f>
        <v>0</v>
      </c>
      <c r="AF1116" s="3" t="str">
        <f t="shared" si="106"/>
        <v>OTHR</v>
      </c>
      <c r="AG1116" s="3" t="str">
        <f t="shared" si="107"/>
        <v>OTHR</v>
      </c>
    </row>
    <row r="1117" spans="24:33" x14ac:dyDescent="0.3">
      <c r="X1117" s="3" t="str">
        <f t="shared" si="102"/>
        <v>-SADNE-</v>
      </c>
      <c r="Y1117" s="3" t="str">
        <f t="shared" si="103"/>
        <v>-SLOWSS-</v>
      </c>
      <c r="Z1117" s="4" t="str">
        <f t="shared" si="104"/>
        <v>{"couname":"","img":"0","pty":"","artist":"","genres":"","duration":"","spotId":"","Items":["-SADNE-","-SLOWSS-","OTHR","OTHR","XT_OffAnimals"]},</v>
      </c>
      <c r="AA1117" s="5" t="s">
        <v>5</v>
      </c>
      <c r="AB1117" s="3" t="str">
        <f t="shared" si="105"/>
        <v>["-SADNE-","-SLOWSS-","OTHR","OTHR","XT_OffAnimals"]</v>
      </c>
      <c r="AC1117" s="3">
        <f>_xlfn.XLOOKUP(A1117,Album!A:A,Album!J:J)</f>
        <v>0</v>
      </c>
      <c r="AD1117" s="3">
        <f>_xlfn.XLOOKUP(D1117,Artists!A:A,Artists!B:B)</f>
        <v>0</v>
      </c>
      <c r="AE1117" s="3">
        <f>_xlfn.XLOOKUP(D1117,Artists!A:A,Artists!C:C)</f>
        <v>0</v>
      </c>
      <c r="AF1117" s="3" t="str">
        <f t="shared" si="106"/>
        <v>OTHR</v>
      </c>
      <c r="AG1117" s="3" t="str">
        <f t="shared" si="107"/>
        <v>OTHR</v>
      </c>
    </row>
    <row r="1118" spans="24:33" x14ac:dyDescent="0.3">
      <c r="X1118" s="3" t="str">
        <f t="shared" si="102"/>
        <v>-SADNE-</v>
      </c>
      <c r="Y1118" s="3" t="str">
        <f t="shared" si="103"/>
        <v>-SLOWSS-</v>
      </c>
      <c r="Z1118" s="4" t="str">
        <f t="shared" si="104"/>
        <v>{"couname":"","img":"0","pty":"","artist":"","genres":"","duration":"","spotId":"","Items":["-SADNE-","-SLOWSS-","OTHR","OTHR","XT_OffAnimals"]},</v>
      </c>
      <c r="AA1118" s="5" t="s">
        <v>5</v>
      </c>
      <c r="AB1118" s="3" t="str">
        <f t="shared" si="105"/>
        <v>["-SADNE-","-SLOWSS-","OTHR","OTHR","XT_OffAnimals"]</v>
      </c>
      <c r="AC1118" s="3">
        <f>_xlfn.XLOOKUP(A1118,Album!A:A,Album!J:J)</f>
        <v>0</v>
      </c>
      <c r="AD1118" s="3">
        <f>_xlfn.XLOOKUP(D1118,Artists!A:A,Artists!B:B)</f>
        <v>0</v>
      </c>
      <c r="AE1118" s="3">
        <f>_xlfn.XLOOKUP(D1118,Artists!A:A,Artists!C:C)</f>
        <v>0</v>
      </c>
      <c r="AF1118" s="3" t="str">
        <f t="shared" si="106"/>
        <v>OTHR</v>
      </c>
      <c r="AG1118" s="3" t="str">
        <f t="shared" si="107"/>
        <v>OTHR</v>
      </c>
    </row>
    <row r="1119" spans="24:33" x14ac:dyDescent="0.3">
      <c r="X1119" s="3" t="str">
        <f t="shared" si="102"/>
        <v>-SADNE-</v>
      </c>
      <c r="Y1119" s="3" t="str">
        <f t="shared" si="103"/>
        <v>-SLOWSS-</v>
      </c>
      <c r="Z1119" s="4" t="str">
        <f t="shared" si="104"/>
        <v>{"couname":"","img":"0","pty":"","artist":"","genres":"","duration":"","spotId":"","Items":["-SADNE-","-SLOWSS-","OTHR","OTHR","XT_OffAnimals"]},</v>
      </c>
      <c r="AA1119" s="5" t="s">
        <v>5</v>
      </c>
      <c r="AB1119" s="3" t="str">
        <f t="shared" si="105"/>
        <v>["-SADNE-","-SLOWSS-","OTHR","OTHR","XT_OffAnimals"]</v>
      </c>
      <c r="AC1119" s="3">
        <f>_xlfn.XLOOKUP(A1119,Album!A:A,Album!J:J)</f>
        <v>0</v>
      </c>
      <c r="AD1119" s="3">
        <f>_xlfn.XLOOKUP(D1119,Artists!A:A,Artists!B:B)</f>
        <v>0</v>
      </c>
      <c r="AE1119" s="3">
        <f>_xlfn.XLOOKUP(D1119,Artists!A:A,Artists!C:C)</f>
        <v>0</v>
      </c>
      <c r="AF1119" s="3" t="str">
        <f t="shared" si="106"/>
        <v>OTHR</v>
      </c>
      <c r="AG1119" s="3" t="str">
        <f t="shared" si="107"/>
        <v>OTHR</v>
      </c>
    </row>
    <row r="1120" spans="24:33" x14ac:dyDescent="0.3">
      <c r="X1120" s="3" t="str">
        <f t="shared" si="102"/>
        <v>-SADNE-</v>
      </c>
      <c r="Y1120" s="3" t="str">
        <f t="shared" si="103"/>
        <v>-SLOWSS-</v>
      </c>
      <c r="Z1120" s="4" t="str">
        <f t="shared" si="104"/>
        <v>{"couname":"","img":"0","pty":"","artist":"","genres":"","duration":"","spotId":"","Items":["-SADNE-","-SLOWSS-","OTHR","OTHR","XT_OffAnimals"]},</v>
      </c>
      <c r="AA1120" s="5" t="s">
        <v>5</v>
      </c>
      <c r="AB1120" s="3" t="str">
        <f t="shared" si="105"/>
        <v>["-SADNE-","-SLOWSS-","OTHR","OTHR","XT_OffAnimals"]</v>
      </c>
      <c r="AC1120" s="3">
        <f>_xlfn.XLOOKUP(A1120,Album!A:A,Album!J:J)</f>
        <v>0</v>
      </c>
      <c r="AD1120" s="3">
        <f>_xlfn.XLOOKUP(D1120,Artists!A:A,Artists!B:B)</f>
        <v>0</v>
      </c>
      <c r="AE1120" s="3">
        <f>_xlfn.XLOOKUP(D1120,Artists!A:A,Artists!C:C)</f>
        <v>0</v>
      </c>
      <c r="AF1120" s="3" t="str">
        <f t="shared" si="106"/>
        <v>OTHR</v>
      </c>
      <c r="AG1120" s="3" t="str">
        <f t="shared" si="107"/>
        <v>OTHR</v>
      </c>
    </row>
    <row r="1121" spans="24:33" x14ac:dyDescent="0.3">
      <c r="X1121" s="3" t="str">
        <f t="shared" si="102"/>
        <v>-SADNE-</v>
      </c>
      <c r="Y1121" s="3" t="str">
        <f t="shared" si="103"/>
        <v>-SLOWSS-</v>
      </c>
      <c r="Z1121" s="4" t="str">
        <f t="shared" si="104"/>
        <v>{"couname":"","img":"0","pty":"","artist":"","genres":"","duration":"","spotId":"","Items":["-SADNE-","-SLOWSS-","OTHR","OTHR","XT_OffAnimals"]},</v>
      </c>
      <c r="AA1121" s="5" t="s">
        <v>5</v>
      </c>
      <c r="AB1121" s="3" t="str">
        <f t="shared" si="105"/>
        <v>["-SADNE-","-SLOWSS-","OTHR","OTHR","XT_OffAnimals"]</v>
      </c>
      <c r="AC1121" s="3">
        <f>_xlfn.XLOOKUP(A1121,Album!A:A,Album!J:J)</f>
        <v>0</v>
      </c>
      <c r="AD1121" s="3">
        <f>_xlfn.XLOOKUP(D1121,Artists!A:A,Artists!B:B)</f>
        <v>0</v>
      </c>
      <c r="AE1121" s="3">
        <f>_xlfn.XLOOKUP(D1121,Artists!A:A,Artists!C:C)</f>
        <v>0</v>
      </c>
      <c r="AF1121" s="3" t="str">
        <f t="shared" si="106"/>
        <v>OTHR</v>
      </c>
      <c r="AG1121" s="3" t="str">
        <f t="shared" si="107"/>
        <v>OTHR</v>
      </c>
    </row>
    <row r="1122" spans="24:33" x14ac:dyDescent="0.3">
      <c r="X1122" s="3" t="str">
        <f t="shared" si="102"/>
        <v>-SADNE-</v>
      </c>
      <c r="Y1122" s="3" t="str">
        <f t="shared" si="103"/>
        <v>-SLOWSS-</v>
      </c>
      <c r="Z1122" s="4" t="str">
        <f t="shared" si="104"/>
        <v>{"couname":"","img":"0","pty":"","artist":"","genres":"","duration":"","spotId":"","Items":["-SADNE-","-SLOWSS-","OTHR","OTHR","XT_OffAnimals"]},</v>
      </c>
      <c r="AA1122" s="5" t="s">
        <v>5</v>
      </c>
      <c r="AB1122" s="3" t="str">
        <f t="shared" si="105"/>
        <v>["-SADNE-","-SLOWSS-","OTHR","OTHR","XT_OffAnimals"]</v>
      </c>
      <c r="AC1122" s="3">
        <f>_xlfn.XLOOKUP(A1122,Album!A:A,Album!J:J)</f>
        <v>0</v>
      </c>
      <c r="AD1122" s="3">
        <f>_xlfn.XLOOKUP(D1122,Artists!A:A,Artists!B:B)</f>
        <v>0</v>
      </c>
      <c r="AE1122" s="3">
        <f>_xlfn.XLOOKUP(D1122,Artists!A:A,Artists!C:C)</f>
        <v>0</v>
      </c>
      <c r="AF1122" s="3" t="str">
        <f t="shared" si="106"/>
        <v>OTHR</v>
      </c>
      <c r="AG1122" s="3" t="str">
        <f t="shared" si="107"/>
        <v>OTHR</v>
      </c>
    </row>
    <row r="1123" spans="24:33" x14ac:dyDescent="0.3">
      <c r="X1123" s="3" t="str">
        <f t="shared" si="102"/>
        <v>-SADNE-</v>
      </c>
      <c r="Y1123" s="3" t="str">
        <f t="shared" si="103"/>
        <v>-SLOWSS-</v>
      </c>
      <c r="Z1123" s="4" t="str">
        <f t="shared" si="104"/>
        <v>{"couname":"","img":"0","pty":"","artist":"","genres":"","duration":"","spotId":"","Items":["-SADNE-","-SLOWSS-","OTHR","OTHR","XT_OffAnimals"]},</v>
      </c>
      <c r="AA1123" s="5" t="s">
        <v>5</v>
      </c>
      <c r="AB1123" s="3" t="str">
        <f t="shared" si="105"/>
        <v>["-SADNE-","-SLOWSS-","OTHR","OTHR","XT_OffAnimals"]</v>
      </c>
      <c r="AC1123" s="3">
        <f>_xlfn.XLOOKUP(A1123,Album!A:A,Album!J:J)</f>
        <v>0</v>
      </c>
      <c r="AD1123" s="3">
        <f>_xlfn.XLOOKUP(D1123,Artists!A:A,Artists!B:B)</f>
        <v>0</v>
      </c>
      <c r="AE1123" s="3">
        <f>_xlfn.XLOOKUP(D1123,Artists!A:A,Artists!C:C)</f>
        <v>0</v>
      </c>
      <c r="AF1123" s="3" t="str">
        <f t="shared" si="106"/>
        <v>OTHR</v>
      </c>
      <c r="AG1123" s="3" t="str">
        <f t="shared" si="107"/>
        <v>OTHR</v>
      </c>
    </row>
    <row r="1124" spans="24:33" x14ac:dyDescent="0.3">
      <c r="X1124" s="3" t="str">
        <f t="shared" si="102"/>
        <v>-SADNE-</v>
      </c>
      <c r="Y1124" s="3" t="str">
        <f t="shared" si="103"/>
        <v>-SLOWSS-</v>
      </c>
      <c r="Z1124" s="4" t="str">
        <f t="shared" si="104"/>
        <v>{"couname":"","img":"0","pty":"","artist":"","genres":"","duration":"","spotId":"","Items":["-SADNE-","-SLOWSS-","OTHR","OTHR","XT_OffAnimals"]},</v>
      </c>
      <c r="AA1124" s="5" t="s">
        <v>5</v>
      </c>
      <c r="AB1124" s="3" t="str">
        <f t="shared" si="105"/>
        <v>["-SADNE-","-SLOWSS-","OTHR","OTHR","XT_OffAnimals"]</v>
      </c>
      <c r="AC1124" s="3">
        <f>_xlfn.XLOOKUP(A1124,Album!A:A,Album!J:J)</f>
        <v>0</v>
      </c>
      <c r="AD1124" s="3">
        <f>_xlfn.XLOOKUP(D1124,Artists!A:A,Artists!B:B)</f>
        <v>0</v>
      </c>
      <c r="AE1124" s="3">
        <f>_xlfn.XLOOKUP(D1124,Artists!A:A,Artists!C:C)</f>
        <v>0</v>
      </c>
      <c r="AF1124" s="3" t="str">
        <f t="shared" si="106"/>
        <v>OTHR</v>
      </c>
      <c r="AG1124" s="3" t="str">
        <f t="shared" si="107"/>
        <v>OTHR</v>
      </c>
    </row>
    <row r="1125" spans="24:33" x14ac:dyDescent="0.3">
      <c r="X1125" s="3" t="str">
        <f t="shared" si="102"/>
        <v>-SADNE-</v>
      </c>
      <c r="Y1125" s="3" t="str">
        <f t="shared" si="103"/>
        <v>-SLOWSS-</v>
      </c>
      <c r="Z1125" s="4" t="str">
        <f t="shared" si="104"/>
        <v>{"couname":"","img":"0","pty":"","artist":"","genres":"","duration":"","spotId":"","Items":["-SADNE-","-SLOWSS-","OTHR","OTHR","XT_OffAnimals"]},</v>
      </c>
      <c r="AA1125" s="5" t="s">
        <v>5</v>
      </c>
      <c r="AB1125" s="3" t="str">
        <f t="shared" si="105"/>
        <v>["-SADNE-","-SLOWSS-","OTHR","OTHR","XT_OffAnimals"]</v>
      </c>
      <c r="AC1125" s="3">
        <f>_xlfn.XLOOKUP(A1125,Album!A:A,Album!J:J)</f>
        <v>0</v>
      </c>
      <c r="AD1125" s="3">
        <f>_xlfn.XLOOKUP(D1125,Artists!A:A,Artists!B:B)</f>
        <v>0</v>
      </c>
      <c r="AE1125" s="3">
        <f>_xlfn.XLOOKUP(D1125,Artists!A:A,Artists!C:C)</f>
        <v>0</v>
      </c>
      <c r="AF1125" s="3" t="str">
        <f t="shared" si="106"/>
        <v>OTHR</v>
      </c>
      <c r="AG1125" s="3" t="str">
        <f t="shared" si="107"/>
        <v>OTHR</v>
      </c>
    </row>
    <row r="1126" spans="24:33" x14ac:dyDescent="0.3">
      <c r="X1126" s="3" t="str">
        <f t="shared" si="102"/>
        <v>-SADNE-</v>
      </c>
      <c r="Y1126" s="3" t="str">
        <f t="shared" si="103"/>
        <v>-SLOWSS-</v>
      </c>
      <c r="Z1126" s="4" t="str">
        <f t="shared" si="104"/>
        <v>{"couname":"","img":"0","pty":"","artist":"","genres":"","duration":"","spotId":"","Items":["-SADNE-","-SLOWSS-","OTHR","OTHR","XT_OffAnimals"]},</v>
      </c>
      <c r="AA1126" s="5" t="s">
        <v>5</v>
      </c>
      <c r="AB1126" s="3" t="str">
        <f t="shared" si="105"/>
        <v>["-SADNE-","-SLOWSS-","OTHR","OTHR","XT_OffAnimals"]</v>
      </c>
      <c r="AC1126" s="3">
        <f>_xlfn.XLOOKUP(A1126,Album!A:A,Album!J:J)</f>
        <v>0</v>
      </c>
      <c r="AD1126" s="3">
        <f>_xlfn.XLOOKUP(D1126,Artists!A:A,Artists!B:B)</f>
        <v>0</v>
      </c>
      <c r="AE1126" s="3">
        <f>_xlfn.XLOOKUP(D1126,Artists!A:A,Artists!C:C)</f>
        <v>0</v>
      </c>
      <c r="AF1126" s="3" t="str">
        <f t="shared" si="106"/>
        <v>OTHR</v>
      </c>
      <c r="AG1126" s="3" t="str">
        <f t="shared" si="107"/>
        <v>OTHR</v>
      </c>
    </row>
    <row r="1127" spans="24:33" x14ac:dyDescent="0.3">
      <c r="X1127" s="3" t="str">
        <f t="shared" si="102"/>
        <v>-SADNE-</v>
      </c>
      <c r="Y1127" s="3" t="str">
        <f t="shared" si="103"/>
        <v>-SLOWSS-</v>
      </c>
      <c r="Z1127" s="4" t="str">
        <f t="shared" si="104"/>
        <v>{"couname":"","img":"0","pty":"","artist":"","genres":"","duration":"","spotId":"","Items":["-SADNE-","-SLOWSS-","OTHR","OTHR","XT_OffAnimals"]},</v>
      </c>
      <c r="AA1127" s="5" t="s">
        <v>5</v>
      </c>
      <c r="AB1127" s="3" t="str">
        <f t="shared" si="105"/>
        <v>["-SADNE-","-SLOWSS-","OTHR","OTHR","XT_OffAnimals"]</v>
      </c>
      <c r="AC1127" s="3">
        <f>_xlfn.XLOOKUP(A1127,Album!A:A,Album!J:J)</f>
        <v>0</v>
      </c>
      <c r="AD1127" s="3">
        <f>_xlfn.XLOOKUP(D1127,Artists!A:A,Artists!B:B)</f>
        <v>0</v>
      </c>
      <c r="AE1127" s="3">
        <f>_xlfn.XLOOKUP(D1127,Artists!A:A,Artists!C:C)</f>
        <v>0</v>
      </c>
      <c r="AF1127" s="3" t="str">
        <f t="shared" si="106"/>
        <v>OTHR</v>
      </c>
      <c r="AG1127" s="3" t="str">
        <f t="shared" si="107"/>
        <v>OTHR</v>
      </c>
    </row>
    <row r="1128" spans="24:33" x14ac:dyDescent="0.3">
      <c r="X1128" s="3" t="str">
        <f t="shared" si="102"/>
        <v>-SADNE-</v>
      </c>
      <c r="Y1128" s="3" t="str">
        <f t="shared" si="103"/>
        <v>-SLOWSS-</v>
      </c>
      <c r="Z1128" s="4" t="str">
        <f t="shared" si="104"/>
        <v>{"couname":"","img":"0","pty":"","artist":"","genres":"","duration":"","spotId":"","Items":["-SADNE-","-SLOWSS-","OTHR","OTHR","XT_OffAnimals"]},</v>
      </c>
      <c r="AA1128" s="5" t="s">
        <v>5</v>
      </c>
      <c r="AB1128" s="3" t="str">
        <f t="shared" si="105"/>
        <v>["-SADNE-","-SLOWSS-","OTHR","OTHR","XT_OffAnimals"]</v>
      </c>
      <c r="AC1128" s="3">
        <f>_xlfn.XLOOKUP(A1128,Album!A:A,Album!J:J)</f>
        <v>0</v>
      </c>
      <c r="AD1128" s="3">
        <f>_xlfn.XLOOKUP(D1128,Artists!A:A,Artists!B:B)</f>
        <v>0</v>
      </c>
      <c r="AE1128" s="3">
        <f>_xlfn.XLOOKUP(D1128,Artists!A:A,Artists!C:C)</f>
        <v>0</v>
      </c>
      <c r="AF1128" s="3" t="str">
        <f t="shared" si="106"/>
        <v>OTHR</v>
      </c>
      <c r="AG1128" s="3" t="str">
        <f t="shared" si="107"/>
        <v>OTHR</v>
      </c>
    </row>
    <row r="1129" spans="24:33" x14ac:dyDescent="0.3">
      <c r="X1129" s="3" t="str">
        <f t="shared" si="102"/>
        <v>-SADNE-</v>
      </c>
      <c r="Y1129" s="3" t="str">
        <f t="shared" si="103"/>
        <v>-SLOWSS-</v>
      </c>
      <c r="Z1129" s="4" t="str">
        <f t="shared" si="104"/>
        <v>{"couname":"","img":"0","pty":"","artist":"","genres":"","duration":"","spotId":"","Items":["-SADNE-","-SLOWSS-","OTHR","OTHR","XT_OffAnimals"]},</v>
      </c>
      <c r="AA1129" s="5" t="s">
        <v>5</v>
      </c>
      <c r="AB1129" s="3" t="str">
        <f t="shared" si="105"/>
        <v>["-SADNE-","-SLOWSS-","OTHR","OTHR","XT_OffAnimals"]</v>
      </c>
      <c r="AC1129" s="3">
        <f>_xlfn.XLOOKUP(A1129,Album!A:A,Album!J:J)</f>
        <v>0</v>
      </c>
      <c r="AD1129" s="3">
        <f>_xlfn.XLOOKUP(D1129,Artists!A:A,Artists!B:B)</f>
        <v>0</v>
      </c>
      <c r="AE1129" s="3">
        <f>_xlfn.XLOOKUP(D1129,Artists!A:A,Artists!C:C)</f>
        <v>0</v>
      </c>
      <c r="AF1129" s="3" t="str">
        <f t="shared" si="106"/>
        <v>OTHR</v>
      </c>
      <c r="AG1129" s="3" t="str">
        <f t="shared" si="107"/>
        <v>OTHR</v>
      </c>
    </row>
    <row r="1130" spans="24:33" x14ac:dyDescent="0.3">
      <c r="X1130" s="3" t="str">
        <f t="shared" si="102"/>
        <v>-SADNE-</v>
      </c>
      <c r="Y1130" s="3" t="str">
        <f t="shared" si="103"/>
        <v>-SLOWSS-</v>
      </c>
      <c r="Z1130" s="4" t="str">
        <f t="shared" si="104"/>
        <v>{"couname":"","img":"0","pty":"","artist":"","genres":"","duration":"","spotId":"","Items":["-SADNE-","-SLOWSS-","OTHR","OTHR","XT_OffAnimals"]},</v>
      </c>
      <c r="AA1130" s="5" t="s">
        <v>5</v>
      </c>
      <c r="AB1130" s="3" t="str">
        <f t="shared" si="105"/>
        <v>["-SADNE-","-SLOWSS-","OTHR","OTHR","XT_OffAnimals"]</v>
      </c>
      <c r="AC1130" s="3">
        <f>_xlfn.XLOOKUP(A1130,Album!A:A,Album!J:J)</f>
        <v>0</v>
      </c>
      <c r="AD1130" s="3">
        <f>_xlfn.XLOOKUP(D1130,Artists!A:A,Artists!B:B)</f>
        <v>0</v>
      </c>
      <c r="AE1130" s="3">
        <f>_xlfn.XLOOKUP(D1130,Artists!A:A,Artists!C:C)</f>
        <v>0</v>
      </c>
      <c r="AF1130" s="3" t="str">
        <f t="shared" si="106"/>
        <v>OTHR</v>
      </c>
      <c r="AG1130" s="3" t="str">
        <f t="shared" si="107"/>
        <v>OTHR</v>
      </c>
    </row>
    <row r="1131" spans="24:33" x14ac:dyDescent="0.3">
      <c r="X1131" s="3" t="str">
        <f t="shared" si="102"/>
        <v>-SADNE-</v>
      </c>
      <c r="Y1131" s="3" t="str">
        <f t="shared" si="103"/>
        <v>-SLOWSS-</v>
      </c>
      <c r="Z1131" s="4" t="str">
        <f t="shared" si="104"/>
        <v>{"couname":"","img":"0","pty":"","artist":"","genres":"","duration":"","spotId":"","Items":["-SADNE-","-SLOWSS-","OTHR","OTHR","XT_OffAnimals"]},</v>
      </c>
      <c r="AA1131" s="5" t="s">
        <v>5</v>
      </c>
      <c r="AB1131" s="3" t="str">
        <f t="shared" si="105"/>
        <v>["-SADNE-","-SLOWSS-","OTHR","OTHR","XT_OffAnimals"]</v>
      </c>
      <c r="AC1131" s="3">
        <f>_xlfn.XLOOKUP(A1131,Album!A:A,Album!J:J)</f>
        <v>0</v>
      </c>
      <c r="AD1131" s="3">
        <f>_xlfn.XLOOKUP(D1131,Artists!A:A,Artists!B:B)</f>
        <v>0</v>
      </c>
      <c r="AE1131" s="3">
        <f>_xlfn.XLOOKUP(D1131,Artists!A:A,Artists!C:C)</f>
        <v>0</v>
      </c>
      <c r="AF1131" s="3" t="str">
        <f t="shared" si="106"/>
        <v>OTHR</v>
      </c>
      <c r="AG1131" s="3" t="str">
        <f t="shared" si="107"/>
        <v>OTHR</v>
      </c>
    </row>
    <row r="1132" spans="24:33" x14ac:dyDescent="0.3">
      <c r="X1132" s="3" t="str">
        <f t="shared" si="102"/>
        <v>-SADNE-</v>
      </c>
      <c r="Y1132" s="3" t="str">
        <f t="shared" si="103"/>
        <v>-SLOWSS-</v>
      </c>
      <c r="Z1132" s="4" t="str">
        <f t="shared" si="104"/>
        <v>{"couname":"","img":"0","pty":"","artist":"","genres":"","duration":"","spotId":"","Items":["-SADNE-","-SLOWSS-","OTHR","OTHR","XT_OffAnimals"]},</v>
      </c>
      <c r="AA1132" s="5" t="s">
        <v>5</v>
      </c>
      <c r="AB1132" s="3" t="str">
        <f t="shared" si="105"/>
        <v>["-SADNE-","-SLOWSS-","OTHR","OTHR","XT_OffAnimals"]</v>
      </c>
      <c r="AC1132" s="3">
        <f>_xlfn.XLOOKUP(A1132,Album!A:A,Album!J:J)</f>
        <v>0</v>
      </c>
      <c r="AD1132" s="3">
        <f>_xlfn.XLOOKUP(D1132,Artists!A:A,Artists!B:B)</f>
        <v>0</v>
      </c>
      <c r="AE1132" s="3">
        <f>_xlfn.XLOOKUP(D1132,Artists!A:A,Artists!C:C)</f>
        <v>0</v>
      </c>
      <c r="AF1132" s="3" t="str">
        <f t="shared" si="106"/>
        <v>OTHR</v>
      </c>
      <c r="AG1132" s="3" t="str">
        <f t="shared" si="107"/>
        <v>OTHR</v>
      </c>
    </row>
    <row r="1133" spans="24:33" x14ac:dyDescent="0.3">
      <c r="X1133" s="3" t="str">
        <f t="shared" si="102"/>
        <v>-SADNE-</v>
      </c>
      <c r="Y1133" s="3" t="str">
        <f t="shared" si="103"/>
        <v>-SLOWSS-</v>
      </c>
      <c r="Z1133" s="4" t="str">
        <f t="shared" si="104"/>
        <v>{"couname":"","img":"0","pty":"","artist":"","genres":"","duration":"","spotId":"","Items":["-SADNE-","-SLOWSS-","OTHR","OTHR","XT_OffAnimals"]},</v>
      </c>
      <c r="AA1133" s="5" t="s">
        <v>5</v>
      </c>
      <c r="AB1133" s="3" t="str">
        <f t="shared" si="105"/>
        <v>["-SADNE-","-SLOWSS-","OTHR","OTHR","XT_OffAnimals"]</v>
      </c>
      <c r="AC1133" s="3">
        <f>_xlfn.XLOOKUP(A1133,Album!A:A,Album!J:J)</f>
        <v>0</v>
      </c>
      <c r="AD1133" s="3">
        <f>_xlfn.XLOOKUP(D1133,Artists!A:A,Artists!B:B)</f>
        <v>0</v>
      </c>
      <c r="AE1133" s="3">
        <f>_xlfn.XLOOKUP(D1133,Artists!A:A,Artists!C:C)</f>
        <v>0</v>
      </c>
      <c r="AF1133" s="3" t="str">
        <f t="shared" si="106"/>
        <v>OTHR</v>
      </c>
      <c r="AG1133" s="3" t="str">
        <f t="shared" si="107"/>
        <v>OTHR</v>
      </c>
    </row>
    <row r="1134" spans="24:33" x14ac:dyDescent="0.3">
      <c r="X1134" s="3" t="str">
        <f t="shared" si="102"/>
        <v>-SADNE-</v>
      </c>
      <c r="Y1134" s="3" t="str">
        <f t="shared" si="103"/>
        <v>-SLOWSS-</v>
      </c>
      <c r="Z1134" s="4" t="str">
        <f t="shared" si="104"/>
        <v>{"couname":"","img":"0","pty":"","artist":"","genres":"","duration":"","spotId":"","Items":["-SADNE-","-SLOWSS-","OTHR","OTHR","XT_OffAnimals"]},</v>
      </c>
      <c r="AA1134" s="5" t="s">
        <v>5</v>
      </c>
      <c r="AB1134" s="3" t="str">
        <f t="shared" si="105"/>
        <v>["-SADNE-","-SLOWSS-","OTHR","OTHR","XT_OffAnimals"]</v>
      </c>
      <c r="AC1134" s="3">
        <f>_xlfn.XLOOKUP(A1134,Album!A:A,Album!J:J)</f>
        <v>0</v>
      </c>
      <c r="AD1134" s="3">
        <f>_xlfn.XLOOKUP(D1134,Artists!A:A,Artists!B:B)</f>
        <v>0</v>
      </c>
      <c r="AE1134" s="3">
        <f>_xlfn.XLOOKUP(D1134,Artists!A:A,Artists!C:C)</f>
        <v>0</v>
      </c>
      <c r="AF1134" s="3" t="str">
        <f t="shared" si="106"/>
        <v>OTHR</v>
      </c>
      <c r="AG1134" s="3" t="str">
        <f t="shared" si="107"/>
        <v>OTHR</v>
      </c>
    </row>
    <row r="1135" spans="24:33" x14ac:dyDescent="0.3">
      <c r="X1135" s="3" t="str">
        <f t="shared" si="102"/>
        <v>-SADNE-</v>
      </c>
      <c r="Y1135" s="3" t="str">
        <f t="shared" si="103"/>
        <v>-SLOWSS-</v>
      </c>
      <c r="Z1135" s="4" t="str">
        <f t="shared" si="104"/>
        <v>{"couname":"","img":"0","pty":"","artist":"","genres":"","duration":"","spotId":"","Items":["-SADNE-","-SLOWSS-","OTHR","OTHR","XT_OffAnimals"]},</v>
      </c>
      <c r="AA1135" s="5" t="s">
        <v>5</v>
      </c>
      <c r="AB1135" s="3" t="str">
        <f t="shared" si="105"/>
        <v>["-SADNE-","-SLOWSS-","OTHR","OTHR","XT_OffAnimals"]</v>
      </c>
      <c r="AC1135" s="3">
        <f>_xlfn.XLOOKUP(A1135,Album!A:A,Album!J:J)</f>
        <v>0</v>
      </c>
      <c r="AD1135" s="3">
        <f>_xlfn.XLOOKUP(D1135,Artists!A:A,Artists!B:B)</f>
        <v>0</v>
      </c>
      <c r="AE1135" s="3">
        <f>_xlfn.XLOOKUP(D1135,Artists!A:A,Artists!C:C)</f>
        <v>0</v>
      </c>
      <c r="AF1135" s="3" t="str">
        <f t="shared" si="106"/>
        <v>OTHR</v>
      </c>
      <c r="AG1135" s="3" t="str">
        <f t="shared" si="107"/>
        <v>OTHR</v>
      </c>
    </row>
    <row r="1136" spans="24:33" x14ac:dyDescent="0.3">
      <c r="X1136" s="3" t="str">
        <f t="shared" si="102"/>
        <v>-SADNE-</v>
      </c>
      <c r="Y1136" s="3" t="str">
        <f t="shared" si="103"/>
        <v>-SLOWSS-</v>
      </c>
      <c r="Z1136" s="4" t="str">
        <f t="shared" si="104"/>
        <v>{"couname":"","img":"0","pty":"","artist":"","genres":"","duration":"","spotId":"","Items":["-SADNE-","-SLOWSS-","OTHR","OTHR","XT_OffAnimals"]},</v>
      </c>
      <c r="AA1136" s="5" t="s">
        <v>5</v>
      </c>
      <c r="AB1136" s="3" t="str">
        <f t="shared" si="105"/>
        <v>["-SADNE-","-SLOWSS-","OTHR","OTHR","XT_OffAnimals"]</v>
      </c>
      <c r="AC1136" s="3">
        <f>_xlfn.XLOOKUP(A1136,Album!A:A,Album!J:J)</f>
        <v>0</v>
      </c>
      <c r="AD1136" s="3">
        <f>_xlfn.XLOOKUP(D1136,Artists!A:A,Artists!B:B)</f>
        <v>0</v>
      </c>
      <c r="AE1136" s="3">
        <f>_xlfn.XLOOKUP(D1136,Artists!A:A,Artists!C:C)</f>
        <v>0</v>
      </c>
      <c r="AF1136" s="3" t="str">
        <f t="shared" si="106"/>
        <v>OTHR</v>
      </c>
      <c r="AG1136" s="3" t="str">
        <f t="shared" si="107"/>
        <v>OTHR</v>
      </c>
    </row>
    <row r="1137" spans="24:33" x14ac:dyDescent="0.3">
      <c r="X1137" s="3" t="str">
        <f t="shared" si="102"/>
        <v>-SADNE-</v>
      </c>
      <c r="Y1137" s="3" t="str">
        <f t="shared" si="103"/>
        <v>-SLOWSS-</v>
      </c>
      <c r="Z1137" s="4" t="str">
        <f t="shared" si="104"/>
        <v>{"couname":"","img":"0","pty":"","artist":"","genres":"","duration":"","spotId":"","Items":["-SADNE-","-SLOWSS-","OTHR","OTHR","XT_OffAnimals"]},</v>
      </c>
      <c r="AA1137" s="5" t="s">
        <v>5</v>
      </c>
      <c r="AB1137" s="3" t="str">
        <f t="shared" si="105"/>
        <v>["-SADNE-","-SLOWSS-","OTHR","OTHR","XT_OffAnimals"]</v>
      </c>
      <c r="AC1137" s="3">
        <f>_xlfn.XLOOKUP(A1137,Album!A:A,Album!J:J)</f>
        <v>0</v>
      </c>
      <c r="AD1137" s="3">
        <f>_xlfn.XLOOKUP(D1137,Artists!A:A,Artists!B:B)</f>
        <v>0</v>
      </c>
      <c r="AE1137" s="3">
        <f>_xlfn.XLOOKUP(D1137,Artists!A:A,Artists!C:C)</f>
        <v>0</v>
      </c>
      <c r="AF1137" s="3" t="str">
        <f t="shared" si="106"/>
        <v>OTHR</v>
      </c>
      <c r="AG1137" s="3" t="str">
        <f t="shared" si="107"/>
        <v>OTHR</v>
      </c>
    </row>
    <row r="1138" spans="24:33" x14ac:dyDescent="0.3">
      <c r="X1138" s="3" t="str">
        <f t="shared" si="102"/>
        <v>-SADNE-</v>
      </c>
      <c r="Y1138" s="3" t="str">
        <f t="shared" si="103"/>
        <v>-SLOWSS-</v>
      </c>
      <c r="Z1138" s="4" t="str">
        <f t="shared" si="104"/>
        <v>{"couname":"","img":"0","pty":"","artist":"","genres":"","duration":"","spotId":"","Items":["-SADNE-","-SLOWSS-","OTHR","OTHR","XT_OffAnimals"]},</v>
      </c>
      <c r="AA1138" s="5" t="s">
        <v>5</v>
      </c>
      <c r="AB1138" s="3" t="str">
        <f t="shared" si="105"/>
        <v>["-SADNE-","-SLOWSS-","OTHR","OTHR","XT_OffAnimals"]</v>
      </c>
      <c r="AC1138" s="3">
        <f>_xlfn.XLOOKUP(A1138,Album!A:A,Album!J:J)</f>
        <v>0</v>
      </c>
      <c r="AD1138" s="3">
        <f>_xlfn.XLOOKUP(D1138,Artists!A:A,Artists!B:B)</f>
        <v>0</v>
      </c>
      <c r="AE1138" s="3">
        <f>_xlfn.XLOOKUP(D1138,Artists!A:A,Artists!C:C)</f>
        <v>0</v>
      </c>
      <c r="AF1138" s="3" t="str">
        <f t="shared" si="106"/>
        <v>OTHR</v>
      </c>
      <c r="AG1138" s="3" t="str">
        <f t="shared" si="107"/>
        <v>OTHR</v>
      </c>
    </row>
    <row r="1139" spans="24:33" x14ac:dyDescent="0.3">
      <c r="X1139" s="3" t="str">
        <f t="shared" si="102"/>
        <v>-SADNE-</v>
      </c>
      <c r="Y1139" s="3" t="str">
        <f t="shared" si="103"/>
        <v>-SLOWSS-</v>
      </c>
      <c r="Z1139" s="4" t="str">
        <f t="shared" si="104"/>
        <v>{"couname":"","img":"0","pty":"","artist":"","genres":"","duration":"","spotId":"","Items":["-SADNE-","-SLOWSS-","OTHR","OTHR","XT_OffAnimals"]},</v>
      </c>
      <c r="AA1139" s="5" t="s">
        <v>5</v>
      </c>
      <c r="AB1139" s="3" t="str">
        <f t="shared" si="105"/>
        <v>["-SADNE-","-SLOWSS-","OTHR","OTHR","XT_OffAnimals"]</v>
      </c>
      <c r="AC1139" s="3">
        <f>_xlfn.XLOOKUP(A1139,Album!A:A,Album!J:J)</f>
        <v>0</v>
      </c>
      <c r="AD1139" s="3">
        <f>_xlfn.XLOOKUP(D1139,Artists!A:A,Artists!B:B)</f>
        <v>0</v>
      </c>
      <c r="AE1139" s="3">
        <f>_xlfn.XLOOKUP(D1139,Artists!A:A,Artists!C:C)</f>
        <v>0</v>
      </c>
      <c r="AF1139" s="3" t="str">
        <f t="shared" si="106"/>
        <v>OTHR</v>
      </c>
      <c r="AG1139" s="3" t="str">
        <f t="shared" si="107"/>
        <v>OTHR</v>
      </c>
    </row>
    <row r="1140" spans="24:33" x14ac:dyDescent="0.3">
      <c r="X1140" s="3" t="str">
        <f t="shared" si="102"/>
        <v>-SADNE-</v>
      </c>
      <c r="Y1140" s="3" t="str">
        <f t="shared" si="103"/>
        <v>-SLOWSS-</v>
      </c>
      <c r="Z1140" s="4" t="str">
        <f t="shared" si="104"/>
        <v>{"couname":"","img":"0","pty":"","artist":"","genres":"","duration":"","spotId":"","Items":["-SADNE-","-SLOWSS-","OTHR","OTHR","XT_OffAnimals"]},</v>
      </c>
      <c r="AA1140" s="5" t="s">
        <v>5</v>
      </c>
      <c r="AB1140" s="3" t="str">
        <f t="shared" si="105"/>
        <v>["-SADNE-","-SLOWSS-","OTHR","OTHR","XT_OffAnimals"]</v>
      </c>
      <c r="AC1140" s="3">
        <f>_xlfn.XLOOKUP(A1140,Album!A:A,Album!J:J)</f>
        <v>0</v>
      </c>
      <c r="AD1140" s="3">
        <f>_xlfn.XLOOKUP(D1140,Artists!A:A,Artists!B:B)</f>
        <v>0</v>
      </c>
      <c r="AE1140" s="3">
        <f>_xlfn.XLOOKUP(D1140,Artists!A:A,Artists!C:C)</f>
        <v>0</v>
      </c>
      <c r="AF1140" s="3" t="str">
        <f t="shared" si="106"/>
        <v>OTHR</v>
      </c>
      <c r="AG1140" s="3" t="str">
        <f t="shared" si="107"/>
        <v>OTHR</v>
      </c>
    </row>
    <row r="1141" spans="24:33" x14ac:dyDescent="0.3">
      <c r="X1141" s="3" t="str">
        <f t="shared" si="102"/>
        <v>-SADNE-</v>
      </c>
      <c r="Y1141" s="3" t="str">
        <f t="shared" si="103"/>
        <v>-SLOWSS-</v>
      </c>
      <c r="Z1141" s="4" t="str">
        <f t="shared" si="104"/>
        <v>{"couname":"","img":"0","pty":"","artist":"","genres":"","duration":"","spotId":"","Items":["-SADNE-","-SLOWSS-","OTHR","OTHR","XT_OffAnimals"]},</v>
      </c>
      <c r="AA1141" s="5" t="s">
        <v>5</v>
      </c>
      <c r="AB1141" s="3" t="str">
        <f t="shared" si="105"/>
        <v>["-SADNE-","-SLOWSS-","OTHR","OTHR","XT_OffAnimals"]</v>
      </c>
      <c r="AC1141" s="3">
        <f>_xlfn.XLOOKUP(A1141,Album!A:A,Album!J:J)</f>
        <v>0</v>
      </c>
      <c r="AD1141" s="3">
        <f>_xlfn.XLOOKUP(D1141,Artists!A:A,Artists!B:B)</f>
        <v>0</v>
      </c>
      <c r="AE1141" s="3">
        <f>_xlfn.XLOOKUP(D1141,Artists!A:A,Artists!C:C)</f>
        <v>0</v>
      </c>
      <c r="AF1141" s="3" t="str">
        <f t="shared" si="106"/>
        <v>OTHR</v>
      </c>
      <c r="AG1141" s="3" t="str">
        <f t="shared" si="107"/>
        <v>OTHR</v>
      </c>
    </row>
    <row r="1142" spans="24:33" x14ac:dyDescent="0.3">
      <c r="X1142" s="3" t="str">
        <f t="shared" si="102"/>
        <v>-SADNE-</v>
      </c>
      <c r="Y1142" s="3" t="str">
        <f t="shared" si="103"/>
        <v>-SLOWSS-</v>
      </c>
      <c r="Z1142" s="4" t="str">
        <f t="shared" si="104"/>
        <v>{"couname":"","img":"0","pty":"","artist":"","genres":"","duration":"","spotId":"","Items":["-SADNE-","-SLOWSS-","OTHR","OTHR","XT_OffAnimals"]},</v>
      </c>
      <c r="AA1142" s="5" t="s">
        <v>5</v>
      </c>
      <c r="AB1142" s="3" t="str">
        <f t="shared" si="105"/>
        <v>["-SADNE-","-SLOWSS-","OTHR","OTHR","XT_OffAnimals"]</v>
      </c>
      <c r="AC1142" s="3">
        <f>_xlfn.XLOOKUP(A1142,Album!A:A,Album!J:J)</f>
        <v>0</v>
      </c>
      <c r="AD1142" s="3">
        <f>_xlfn.XLOOKUP(D1142,Artists!A:A,Artists!B:B)</f>
        <v>0</v>
      </c>
      <c r="AE1142" s="3">
        <f>_xlfn.XLOOKUP(D1142,Artists!A:A,Artists!C:C)</f>
        <v>0</v>
      </c>
      <c r="AF1142" s="3" t="str">
        <f t="shared" si="106"/>
        <v>OTHR</v>
      </c>
      <c r="AG1142" s="3" t="str">
        <f t="shared" si="107"/>
        <v>OTHR</v>
      </c>
    </row>
    <row r="1143" spans="24:33" x14ac:dyDescent="0.3">
      <c r="X1143" s="3" t="str">
        <f t="shared" si="102"/>
        <v>-SADNE-</v>
      </c>
      <c r="Y1143" s="3" t="str">
        <f t="shared" si="103"/>
        <v>-SLOWSS-</v>
      </c>
      <c r="Z1143" s="4" t="str">
        <f t="shared" si="104"/>
        <v>{"couname":"","img":"0","pty":"","artist":"","genres":"","duration":"","spotId":"","Items":["-SADNE-","-SLOWSS-","OTHR","OTHR","XT_OffAnimals"]},</v>
      </c>
      <c r="AA1143" s="5" t="s">
        <v>5</v>
      </c>
      <c r="AB1143" s="3" t="str">
        <f t="shared" si="105"/>
        <v>["-SADNE-","-SLOWSS-","OTHR","OTHR","XT_OffAnimals"]</v>
      </c>
      <c r="AC1143" s="3">
        <f>_xlfn.XLOOKUP(A1143,Album!A:A,Album!J:J)</f>
        <v>0</v>
      </c>
      <c r="AD1143" s="3">
        <f>_xlfn.XLOOKUP(D1143,Artists!A:A,Artists!B:B)</f>
        <v>0</v>
      </c>
      <c r="AE1143" s="3">
        <f>_xlfn.XLOOKUP(D1143,Artists!A:A,Artists!C:C)</f>
        <v>0</v>
      </c>
      <c r="AF1143" s="3" t="str">
        <f t="shared" si="106"/>
        <v>OTHR</v>
      </c>
      <c r="AG1143" s="3" t="str">
        <f t="shared" si="107"/>
        <v>OTHR</v>
      </c>
    </row>
    <row r="1144" spans="24:33" x14ac:dyDescent="0.3">
      <c r="X1144" s="3" t="str">
        <f t="shared" si="102"/>
        <v>-SADNE-</v>
      </c>
      <c r="Y1144" s="3" t="str">
        <f t="shared" si="103"/>
        <v>-SLOWSS-</v>
      </c>
      <c r="Z1144" s="4" t="str">
        <f t="shared" si="104"/>
        <v>{"couname":"","img":"0","pty":"","artist":"","genres":"","duration":"","spotId":"","Items":["-SADNE-","-SLOWSS-","OTHR","OTHR","XT_OffAnimals"]},</v>
      </c>
      <c r="AA1144" s="5" t="s">
        <v>5</v>
      </c>
      <c r="AB1144" s="3" t="str">
        <f t="shared" si="105"/>
        <v>["-SADNE-","-SLOWSS-","OTHR","OTHR","XT_OffAnimals"]</v>
      </c>
      <c r="AC1144" s="3">
        <f>_xlfn.XLOOKUP(A1144,Album!A:A,Album!J:J)</f>
        <v>0</v>
      </c>
      <c r="AD1144" s="3">
        <f>_xlfn.XLOOKUP(D1144,Artists!A:A,Artists!B:B)</f>
        <v>0</v>
      </c>
      <c r="AE1144" s="3">
        <f>_xlfn.XLOOKUP(D1144,Artists!A:A,Artists!C:C)</f>
        <v>0</v>
      </c>
      <c r="AF1144" s="3" t="str">
        <f t="shared" si="106"/>
        <v>OTHR</v>
      </c>
      <c r="AG1144" s="3" t="str">
        <f t="shared" si="107"/>
        <v>OTHR</v>
      </c>
    </row>
    <row r="1145" spans="24:33" x14ac:dyDescent="0.3">
      <c r="X1145" s="3" t="str">
        <f t="shared" si="102"/>
        <v>-SADNE-</v>
      </c>
      <c r="Y1145" s="3" t="str">
        <f t="shared" si="103"/>
        <v>-SLOWSS-</v>
      </c>
      <c r="Z1145" s="4" t="str">
        <f t="shared" si="104"/>
        <v>{"couname":"","img":"0","pty":"","artist":"","genres":"","duration":"","spotId":"","Items":["-SADNE-","-SLOWSS-","OTHR","OTHR","XT_OffAnimals"]},</v>
      </c>
      <c r="AA1145" s="5" t="s">
        <v>5</v>
      </c>
      <c r="AB1145" s="3" t="str">
        <f t="shared" si="105"/>
        <v>["-SADNE-","-SLOWSS-","OTHR","OTHR","XT_OffAnimals"]</v>
      </c>
      <c r="AC1145" s="3">
        <f>_xlfn.XLOOKUP(A1145,Album!A:A,Album!J:J)</f>
        <v>0</v>
      </c>
      <c r="AD1145" s="3">
        <f>_xlfn.XLOOKUP(D1145,Artists!A:A,Artists!B:B)</f>
        <v>0</v>
      </c>
      <c r="AE1145" s="3">
        <f>_xlfn.XLOOKUP(D1145,Artists!A:A,Artists!C:C)</f>
        <v>0</v>
      </c>
      <c r="AF1145" s="3" t="str">
        <f t="shared" si="106"/>
        <v>OTHR</v>
      </c>
      <c r="AG1145" s="3" t="str">
        <f t="shared" si="107"/>
        <v>OTHR</v>
      </c>
    </row>
    <row r="1146" spans="24:33" x14ac:dyDescent="0.3">
      <c r="X1146" s="3" t="str">
        <f t="shared" si="102"/>
        <v>-SADNE-</v>
      </c>
      <c r="Y1146" s="3" t="str">
        <f t="shared" si="103"/>
        <v>-SLOWSS-</v>
      </c>
      <c r="Z1146" s="4" t="str">
        <f t="shared" si="104"/>
        <v>{"couname":"","img":"0","pty":"","artist":"","genres":"","duration":"","spotId":"","Items":["-SADNE-","-SLOWSS-","OTHR","OTHR","XT_OffAnimals"]},</v>
      </c>
      <c r="AA1146" s="5" t="s">
        <v>5</v>
      </c>
      <c r="AB1146" s="3" t="str">
        <f t="shared" si="105"/>
        <v>["-SADNE-","-SLOWSS-","OTHR","OTHR","XT_OffAnimals"]</v>
      </c>
      <c r="AC1146" s="3">
        <f>_xlfn.XLOOKUP(A1146,Album!A:A,Album!J:J)</f>
        <v>0</v>
      </c>
      <c r="AD1146" s="3">
        <f>_xlfn.XLOOKUP(D1146,Artists!A:A,Artists!B:B)</f>
        <v>0</v>
      </c>
      <c r="AE1146" s="3">
        <f>_xlfn.XLOOKUP(D1146,Artists!A:A,Artists!C:C)</f>
        <v>0</v>
      </c>
      <c r="AF1146" s="3" t="str">
        <f t="shared" si="106"/>
        <v>OTHR</v>
      </c>
      <c r="AG1146" s="3" t="str">
        <f t="shared" si="107"/>
        <v>OTHR</v>
      </c>
    </row>
    <row r="1147" spans="24:33" x14ac:dyDescent="0.3">
      <c r="X1147" s="3" t="str">
        <f t="shared" si="102"/>
        <v>-SADNE-</v>
      </c>
      <c r="Y1147" s="3" t="str">
        <f t="shared" si="103"/>
        <v>-SLOWSS-</v>
      </c>
      <c r="Z1147" s="4" t="str">
        <f t="shared" si="104"/>
        <v>{"couname":"","img":"0","pty":"","artist":"","genres":"","duration":"","spotId":"","Items":["-SADNE-","-SLOWSS-","OTHR","OTHR","XT_OffAnimals"]},</v>
      </c>
      <c r="AA1147" s="5" t="s">
        <v>5</v>
      </c>
      <c r="AB1147" s="3" t="str">
        <f t="shared" si="105"/>
        <v>["-SADNE-","-SLOWSS-","OTHR","OTHR","XT_OffAnimals"]</v>
      </c>
      <c r="AC1147" s="3">
        <f>_xlfn.XLOOKUP(A1147,Album!A:A,Album!J:J)</f>
        <v>0</v>
      </c>
      <c r="AD1147" s="3">
        <f>_xlfn.XLOOKUP(D1147,Artists!A:A,Artists!B:B)</f>
        <v>0</v>
      </c>
      <c r="AE1147" s="3">
        <f>_xlfn.XLOOKUP(D1147,Artists!A:A,Artists!C:C)</f>
        <v>0</v>
      </c>
      <c r="AF1147" s="3" t="str">
        <f t="shared" si="106"/>
        <v>OTHR</v>
      </c>
      <c r="AG1147" s="3" t="str">
        <f t="shared" si="107"/>
        <v>OTHR</v>
      </c>
    </row>
    <row r="1148" spans="24:33" x14ac:dyDescent="0.3">
      <c r="X1148" s="3" t="str">
        <f t="shared" si="102"/>
        <v>-SADNE-</v>
      </c>
      <c r="Y1148" s="3" t="str">
        <f t="shared" si="103"/>
        <v>-SLOWSS-</v>
      </c>
      <c r="Z1148" s="4" t="str">
        <f t="shared" si="104"/>
        <v>{"couname":"","img":"0","pty":"","artist":"","genres":"","duration":"","spotId":"","Items":["-SADNE-","-SLOWSS-","OTHR","OTHR","XT_OffAnimals"]},</v>
      </c>
      <c r="AA1148" s="5" t="s">
        <v>5</v>
      </c>
      <c r="AB1148" s="3" t="str">
        <f t="shared" si="105"/>
        <v>["-SADNE-","-SLOWSS-","OTHR","OTHR","XT_OffAnimals"]</v>
      </c>
      <c r="AC1148" s="3">
        <f>_xlfn.XLOOKUP(A1148,Album!A:A,Album!J:J)</f>
        <v>0</v>
      </c>
      <c r="AD1148" s="3">
        <f>_xlfn.XLOOKUP(D1148,Artists!A:A,Artists!B:B)</f>
        <v>0</v>
      </c>
      <c r="AE1148" s="3">
        <f>_xlfn.XLOOKUP(D1148,Artists!A:A,Artists!C:C)</f>
        <v>0</v>
      </c>
      <c r="AF1148" s="3" t="str">
        <f t="shared" si="106"/>
        <v>OTHR</v>
      </c>
      <c r="AG1148" s="3" t="str">
        <f t="shared" si="107"/>
        <v>OTHR</v>
      </c>
    </row>
    <row r="1149" spans="24:33" x14ac:dyDescent="0.3">
      <c r="X1149" s="3" t="str">
        <f t="shared" si="102"/>
        <v>-SADNE-</v>
      </c>
      <c r="Y1149" s="3" t="str">
        <f t="shared" si="103"/>
        <v>-SLOWSS-</v>
      </c>
      <c r="Z1149" s="4" t="str">
        <f t="shared" si="104"/>
        <v>{"couname":"","img":"0","pty":"","artist":"","genres":"","duration":"","spotId":"","Items":["-SADNE-","-SLOWSS-","OTHR","OTHR","XT_OffAnimals"]},</v>
      </c>
      <c r="AA1149" s="5" t="s">
        <v>5</v>
      </c>
      <c r="AB1149" s="3" t="str">
        <f t="shared" si="105"/>
        <v>["-SADNE-","-SLOWSS-","OTHR","OTHR","XT_OffAnimals"]</v>
      </c>
      <c r="AC1149" s="3">
        <f>_xlfn.XLOOKUP(A1149,Album!A:A,Album!J:J)</f>
        <v>0</v>
      </c>
      <c r="AD1149" s="3">
        <f>_xlfn.XLOOKUP(D1149,Artists!A:A,Artists!B:B)</f>
        <v>0</v>
      </c>
      <c r="AE1149" s="3">
        <f>_xlfn.XLOOKUP(D1149,Artists!A:A,Artists!C:C)</f>
        <v>0</v>
      </c>
      <c r="AF1149" s="3" t="str">
        <f t="shared" si="106"/>
        <v>OTHR</v>
      </c>
      <c r="AG1149" s="3" t="str">
        <f t="shared" si="107"/>
        <v>OTHR</v>
      </c>
    </row>
    <row r="1150" spans="24:33" x14ac:dyDescent="0.3">
      <c r="X1150" s="3" t="str">
        <f t="shared" si="102"/>
        <v>-SADNE-</v>
      </c>
      <c r="Y1150" s="3" t="str">
        <f t="shared" si="103"/>
        <v>-SLOWSS-</v>
      </c>
      <c r="Z1150" s="4" t="str">
        <f t="shared" si="104"/>
        <v>{"couname":"","img":"0","pty":"","artist":"","genres":"","duration":"","spotId":"","Items":["-SADNE-","-SLOWSS-","OTHR","OTHR","XT_OffAnimals"]},</v>
      </c>
      <c r="AA1150" s="5" t="s">
        <v>5</v>
      </c>
      <c r="AB1150" s="3" t="str">
        <f t="shared" si="105"/>
        <v>["-SADNE-","-SLOWSS-","OTHR","OTHR","XT_OffAnimals"]</v>
      </c>
      <c r="AC1150" s="3">
        <f>_xlfn.XLOOKUP(A1150,Album!A:A,Album!J:J)</f>
        <v>0</v>
      </c>
      <c r="AD1150" s="3">
        <f>_xlfn.XLOOKUP(D1150,Artists!A:A,Artists!B:B)</f>
        <v>0</v>
      </c>
      <c r="AE1150" s="3">
        <f>_xlfn.XLOOKUP(D1150,Artists!A:A,Artists!C:C)</f>
        <v>0</v>
      </c>
      <c r="AF1150" s="3" t="str">
        <f t="shared" si="106"/>
        <v>OTHR</v>
      </c>
      <c r="AG1150" s="3" t="str">
        <f t="shared" si="107"/>
        <v>OTHR</v>
      </c>
    </row>
    <row r="1151" spans="24:33" x14ac:dyDescent="0.3">
      <c r="X1151" s="3" t="str">
        <f t="shared" si="102"/>
        <v>-SADNE-</v>
      </c>
      <c r="Y1151" s="3" t="str">
        <f t="shared" si="103"/>
        <v>-SLOWSS-</v>
      </c>
      <c r="Z1151" s="4" t="str">
        <f t="shared" si="104"/>
        <v>{"couname":"","img":"0","pty":"","artist":"","genres":"","duration":"","spotId":"","Items":["-SADNE-","-SLOWSS-","OTHR","OTHR","XT_OffAnimals"]},</v>
      </c>
      <c r="AA1151" s="5" t="s">
        <v>5</v>
      </c>
      <c r="AB1151" s="3" t="str">
        <f t="shared" si="105"/>
        <v>["-SADNE-","-SLOWSS-","OTHR","OTHR","XT_OffAnimals"]</v>
      </c>
      <c r="AC1151" s="3">
        <f>_xlfn.XLOOKUP(A1151,Album!A:A,Album!J:J)</f>
        <v>0</v>
      </c>
      <c r="AD1151" s="3">
        <f>_xlfn.XLOOKUP(D1151,Artists!A:A,Artists!B:B)</f>
        <v>0</v>
      </c>
      <c r="AE1151" s="3">
        <f>_xlfn.XLOOKUP(D1151,Artists!A:A,Artists!C:C)</f>
        <v>0</v>
      </c>
      <c r="AF1151" s="3" t="str">
        <f t="shared" si="106"/>
        <v>OTHR</v>
      </c>
      <c r="AG1151" s="3" t="str">
        <f t="shared" si="107"/>
        <v>OTHR</v>
      </c>
    </row>
    <row r="1152" spans="24:33" x14ac:dyDescent="0.3">
      <c r="X1152" s="3" t="str">
        <f t="shared" si="102"/>
        <v>-SADNE-</v>
      </c>
      <c r="Y1152" s="3" t="str">
        <f t="shared" si="103"/>
        <v>-SLOWSS-</v>
      </c>
      <c r="Z1152" s="4" t="str">
        <f t="shared" si="104"/>
        <v>{"couname":"","img":"0","pty":"","artist":"","genres":"","duration":"","spotId":"","Items":["-SADNE-","-SLOWSS-","OTHR","OTHR","XT_OffAnimals"]},</v>
      </c>
      <c r="AA1152" s="5" t="s">
        <v>5</v>
      </c>
      <c r="AB1152" s="3" t="str">
        <f t="shared" si="105"/>
        <v>["-SADNE-","-SLOWSS-","OTHR","OTHR","XT_OffAnimals"]</v>
      </c>
      <c r="AC1152" s="3">
        <f>_xlfn.XLOOKUP(A1152,Album!A:A,Album!J:J)</f>
        <v>0</v>
      </c>
      <c r="AD1152" s="3">
        <f>_xlfn.XLOOKUP(D1152,Artists!A:A,Artists!B:B)</f>
        <v>0</v>
      </c>
      <c r="AE1152" s="3">
        <f>_xlfn.XLOOKUP(D1152,Artists!A:A,Artists!C:C)</f>
        <v>0</v>
      </c>
      <c r="AF1152" s="3" t="str">
        <f t="shared" si="106"/>
        <v>OTHR</v>
      </c>
      <c r="AG1152" s="3" t="str">
        <f t="shared" si="107"/>
        <v>OTHR</v>
      </c>
    </row>
    <row r="1153" spans="24:33" x14ac:dyDescent="0.3">
      <c r="X1153" s="3" t="str">
        <f t="shared" si="102"/>
        <v>-SADNE-</v>
      </c>
      <c r="Y1153" s="3" t="str">
        <f t="shared" si="103"/>
        <v>-SLOWSS-</v>
      </c>
      <c r="Z1153" s="4" t="str">
        <f t="shared" si="104"/>
        <v>{"couname":"","img":"0","pty":"","artist":"","genres":"","duration":"","spotId":"","Items":["-SADNE-","-SLOWSS-","OTHR","OTHR","XT_OffAnimals"]},</v>
      </c>
      <c r="AA1153" s="5" t="s">
        <v>5</v>
      </c>
      <c r="AB1153" s="3" t="str">
        <f t="shared" si="105"/>
        <v>["-SADNE-","-SLOWSS-","OTHR","OTHR","XT_OffAnimals"]</v>
      </c>
      <c r="AC1153" s="3">
        <f>_xlfn.XLOOKUP(A1153,Album!A:A,Album!J:J)</f>
        <v>0</v>
      </c>
      <c r="AD1153" s="3">
        <f>_xlfn.XLOOKUP(D1153,Artists!A:A,Artists!B:B)</f>
        <v>0</v>
      </c>
      <c r="AE1153" s="3">
        <f>_xlfn.XLOOKUP(D1153,Artists!A:A,Artists!C:C)</f>
        <v>0</v>
      </c>
      <c r="AF1153" s="3" t="str">
        <f t="shared" si="106"/>
        <v>OTHR</v>
      </c>
      <c r="AG1153" s="3" t="str">
        <f t="shared" si="107"/>
        <v>OTHR</v>
      </c>
    </row>
    <row r="1154" spans="24:33" x14ac:dyDescent="0.3">
      <c r="X1154" s="3" t="str">
        <f t="shared" ref="X1154:X1217" si="108">IF(OR(U1154&lt;0.301, AND(U1154&lt;0.4, P1154=0)), "-SADNE-", "-HAPPY-")</f>
        <v>-SADNE-</v>
      </c>
      <c r="Y1154" s="3" t="str">
        <f t="shared" ref="Y1154:Y1217" si="109">IF(OR(AND(L1154&lt;0.5,M1154&lt;0.5),AND(L1154&lt;0.45,V1154&lt;100),AND(M1154&lt;0.45,V1154&lt;100),AND(U1154&lt;0.39,V1154&lt;100)),"-SLOWSS-","-ENERGY-")</f>
        <v>-SLOWSS-</v>
      </c>
      <c r="Z1154" s="4" t="str">
        <f t="shared" si="104"/>
        <v>{"couname":"","img":"0","pty":"","artist":"","genres":"","duration":"","spotId":"","Items":["-SADNE-","-SLOWSS-","OTHR","OTHR","XT_OffAnimals"]},</v>
      </c>
      <c r="AA1154" s="5" t="s">
        <v>5</v>
      </c>
      <c r="AB1154" s="3" t="str">
        <f t="shared" si="105"/>
        <v>["-SADNE-","-SLOWSS-","OTHR","OTHR","XT_OffAnimals"]</v>
      </c>
      <c r="AC1154" s="3">
        <f>_xlfn.XLOOKUP(A1154,Album!A:A,Album!J:J)</f>
        <v>0</v>
      </c>
      <c r="AD1154" s="3">
        <f>_xlfn.XLOOKUP(D1154,Artists!A:A,Artists!B:B)</f>
        <v>0</v>
      </c>
      <c r="AE1154" s="3">
        <f>_xlfn.XLOOKUP(D1154,Artists!A:A,Artists!C:C)</f>
        <v>0</v>
      </c>
      <c r="AF1154" s="3" t="str">
        <f t="shared" si="106"/>
        <v>OTHR</v>
      </c>
      <c r="AG1154" s="3" t="str">
        <f t="shared" si="107"/>
        <v>OTHR</v>
      </c>
    </row>
    <row r="1155" spans="24:33" x14ac:dyDescent="0.3">
      <c r="X1155" s="3" t="str">
        <f t="shared" si="108"/>
        <v>-SADNE-</v>
      </c>
      <c r="Y1155" s="3" t="str">
        <f t="shared" si="109"/>
        <v>-SLOWSS-</v>
      </c>
      <c r="Z1155" s="4" t="str">
        <f t="shared" ref="Z1155:Z1218" si="110">"{"&amp;CHAR(34)&amp;"couname"&amp;CHAR(34)&amp;":"&amp;CHAR(34)&amp;B1155&amp;CHAR(34)&amp;","&amp;CHAR(34)&amp;"img"&amp;CHAR(34)&amp;":"&amp;CHAR(34)&amp;AC1155&amp;CHAR(34)&amp;","&amp;CHAR(34)&amp;"pty"&amp;CHAR(34)&amp;":"&amp;CHAR(34)&amp;G1155&amp;CHAR(34)&amp;","&amp;CHAR(34)&amp;"artist"&amp;CHAR(34)&amp;":"&amp;CHAR(34)&amp;D1155&amp;CHAR(34)&amp;","&amp;CHAR(34)&amp;"genres"&amp;CHAR(34)&amp;":"&amp;CHAR(34)&amp;J1155&amp;CHAR(34)&amp;","&amp;CHAR(34)&amp;"duration"&amp;CHAR(34)&amp;":"&amp;CHAR(34)&amp;F1155&amp;CHAR(34)&amp;","&amp;CHAR(34)&amp;"spotId"&amp;CHAR(34)&amp;":"&amp;CHAR(34)&amp;A1155&amp;CHAR(34)&amp;","&amp;CHAR(34)&amp;"Items"&amp;CHAR(34)&amp;":"&amp;AB1155&amp;"},"</f>
        <v>{"couname":"","img":"0","pty":"","artist":"","genres":"","duration":"","spotId":"","Items":["-SADNE-","-SLOWSS-","OTHR","OTHR","XT_OffAnimals"]},</v>
      </c>
      <c r="AA1155" s="5" t="s">
        <v>5</v>
      </c>
      <c r="AB1155" s="3" t="str">
        <f t="shared" ref="AB1155:AB1218" si="111" xml:space="preserve"> "[" &amp; _xlfn.TEXTJOIN(",",TRUE,CHAR(34) &amp; X1155&amp; CHAR(34), CHAR(34) &amp; Y1155 &amp; CHAR(34),  CHAR(34) &amp; AF1155 &amp; CHAR(34), CHAR(34) &amp;AG1155 &amp; CHAR(34), CHAR(34) &amp; AA1155 &amp; CHAR(34)) &amp; "]"</f>
        <v>["-SADNE-","-SLOWSS-","OTHR","OTHR","XT_OffAnimals"]</v>
      </c>
      <c r="AC1155" s="3">
        <f>_xlfn.XLOOKUP(A1155,Album!A:A,Album!J:J)</f>
        <v>0</v>
      </c>
      <c r="AD1155" s="3">
        <f>_xlfn.XLOOKUP(D1155,Artists!A:A,Artists!B:B)</f>
        <v>0</v>
      </c>
      <c r="AE1155" s="3">
        <f>_xlfn.XLOOKUP(D1155,Artists!A:A,Artists!C:C)</f>
        <v>0</v>
      </c>
      <c r="AF1155" s="3" t="str">
        <f t="shared" ref="AF1155:AF1218" si="112">IF(ISNUMBER(SEARCH("female", AD1155)), "GIRL", IF(ISNUMBER(SEARCH("male", AD1155)), "DUDE", "OTHR"))</f>
        <v>OTHR</v>
      </c>
      <c r="AG1155" s="3" t="str">
        <f t="shared" ref="AG1155:AG1218" si="113">IF(ISNUMBER(SEARCH("band", AD1155)), "BAND", IF(ISNUMBER(SEARCH("solo", AD1155)), "SOLO", "OTHR"))</f>
        <v>OTHR</v>
      </c>
    </row>
    <row r="1156" spans="24:33" x14ac:dyDescent="0.3">
      <c r="X1156" s="3" t="str">
        <f t="shared" si="108"/>
        <v>-SADNE-</v>
      </c>
      <c r="Y1156" s="3" t="str">
        <f t="shared" si="109"/>
        <v>-SLOWSS-</v>
      </c>
      <c r="Z1156" s="4" t="str">
        <f t="shared" si="110"/>
        <v>{"couname":"","img":"0","pty":"","artist":"","genres":"","duration":"","spotId":"","Items":["-SADNE-","-SLOWSS-","OTHR","OTHR","XT_OffAnimals"]},</v>
      </c>
      <c r="AA1156" s="5" t="s">
        <v>5</v>
      </c>
      <c r="AB1156" s="3" t="str">
        <f t="shared" si="111"/>
        <v>["-SADNE-","-SLOWSS-","OTHR","OTHR","XT_OffAnimals"]</v>
      </c>
      <c r="AC1156" s="3">
        <f>_xlfn.XLOOKUP(A1156,Album!A:A,Album!J:J)</f>
        <v>0</v>
      </c>
      <c r="AD1156" s="3">
        <f>_xlfn.XLOOKUP(D1156,Artists!A:A,Artists!B:B)</f>
        <v>0</v>
      </c>
      <c r="AE1156" s="3">
        <f>_xlfn.XLOOKUP(D1156,Artists!A:A,Artists!C:C)</f>
        <v>0</v>
      </c>
      <c r="AF1156" s="3" t="str">
        <f t="shared" si="112"/>
        <v>OTHR</v>
      </c>
      <c r="AG1156" s="3" t="str">
        <f t="shared" si="113"/>
        <v>OTHR</v>
      </c>
    </row>
    <row r="1157" spans="24:33" x14ac:dyDescent="0.3">
      <c r="X1157" s="3" t="str">
        <f t="shared" si="108"/>
        <v>-SADNE-</v>
      </c>
      <c r="Y1157" s="3" t="str">
        <f t="shared" si="109"/>
        <v>-SLOWSS-</v>
      </c>
      <c r="Z1157" s="4" t="str">
        <f t="shared" si="110"/>
        <v>{"couname":"","img":"0","pty":"","artist":"","genres":"","duration":"","spotId":"","Items":["-SADNE-","-SLOWSS-","OTHR","OTHR","XT_OffAnimals"]},</v>
      </c>
      <c r="AA1157" s="5" t="s">
        <v>5</v>
      </c>
      <c r="AB1157" s="3" t="str">
        <f t="shared" si="111"/>
        <v>["-SADNE-","-SLOWSS-","OTHR","OTHR","XT_OffAnimals"]</v>
      </c>
      <c r="AC1157" s="3">
        <f>_xlfn.XLOOKUP(A1157,Album!A:A,Album!J:J)</f>
        <v>0</v>
      </c>
      <c r="AD1157" s="3">
        <f>_xlfn.XLOOKUP(D1157,Artists!A:A,Artists!B:B)</f>
        <v>0</v>
      </c>
      <c r="AE1157" s="3">
        <f>_xlfn.XLOOKUP(D1157,Artists!A:A,Artists!C:C)</f>
        <v>0</v>
      </c>
      <c r="AF1157" s="3" t="str">
        <f t="shared" si="112"/>
        <v>OTHR</v>
      </c>
      <c r="AG1157" s="3" t="str">
        <f t="shared" si="113"/>
        <v>OTHR</v>
      </c>
    </row>
    <row r="1158" spans="24:33" x14ac:dyDescent="0.3">
      <c r="X1158" s="3" t="str">
        <f t="shared" si="108"/>
        <v>-SADNE-</v>
      </c>
      <c r="Y1158" s="3" t="str">
        <f t="shared" si="109"/>
        <v>-SLOWSS-</v>
      </c>
      <c r="Z1158" s="4" t="str">
        <f t="shared" si="110"/>
        <v>{"couname":"","img":"0","pty":"","artist":"","genres":"","duration":"","spotId":"","Items":["-SADNE-","-SLOWSS-","OTHR","OTHR","XT_OffAnimals"]},</v>
      </c>
      <c r="AA1158" s="5" t="s">
        <v>5</v>
      </c>
      <c r="AB1158" s="3" t="str">
        <f t="shared" si="111"/>
        <v>["-SADNE-","-SLOWSS-","OTHR","OTHR","XT_OffAnimals"]</v>
      </c>
      <c r="AC1158" s="3">
        <f>_xlfn.XLOOKUP(A1158,Album!A:A,Album!J:J)</f>
        <v>0</v>
      </c>
      <c r="AD1158" s="3">
        <f>_xlfn.XLOOKUP(D1158,Artists!A:A,Artists!B:B)</f>
        <v>0</v>
      </c>
      <c r="AE1158" s="3">
        <f>_xlfn.XLOOKUP(D1158,Artists!A:A,Artists!C:C)</f>
        <v>0</v>
      </c>
      <c r="AF1158" s="3" t="str">
        <f t="shared" si="112"/>
        <v>OTHR</v>
      </c>
      <c r="AG1158" s="3" t="str">
        <f t="shared" si="113"/>
        <v>OTHR</v>
      </c>
    </row>
    <row r="1159" spans="24:33" x14ac:dyDescent="0.3">
      <c r="X1159" s="3" t="str">
        <f t="shared" si="108"/>
        <v>-SADNE-</v>
      </c>
      <c r="Y1159" s="3" t="str">
        <f t="shared" si="109"/>
        <v>-SLOWSS-</v>
      </c>
      <c r="Z1159" s="4" t="str">
        <f t="shared" si="110"/>
        <v>{"couname":"","img":"0","pty":"","artist":"","genres":"","duration":"","spotId":"","Items":["-SADNE-","-SLOWSS-","OTHR","OTHR","XT_OffAnimals"]},</v>
      </c>
      <c r="AA1159" s="5" t="s">
        <v>5</v>
      </c>
      <c r="AB1159" s="3" t="str">
        <f t="shared" si="111"/>
        <v>["-SADNE-","-SLOWSS-","OTHR","OTHR","XT_OffAnimals"]</v>
      </c>
      <c r="AC1159" s="3">
        <f>_xlfn.XLOOKUP(A1159,Album!A:A,Album!J:J)</f>
        <v>0</v>
      </c>
      <c r="AD1159" s="3">
        <f>_xlfn.XLOOKUP(D1159,Artists!A:A,Artists!B:B)</f>
        <v>0</v>
      </c>
      <c r="AE1159" s="3">
        <f>_xlfn.XLOOKUP(D1159,Artists!A:A,Artists!C:C)</f>
        <v>0</v>
      </c>
      <c r="AF1159" s="3" t="str">
        <f t="shared" si="112"/>
        <v>OTHR</v>
      </c>
      <c r="AG1159" s="3" t="str">
        <f t="shared" si="113"/>
        <v>OTHR</v>
      </c>
    </row>
    <row r="1160" spans="24:33" x14ac:dyDescent="0.3">
      <c r="X1160" s="3" t="str">
        <f t="shared" si="108"/>
        <v>-SADNE-</v>
      </c>
      <c r="Y1160" s="3" t="str">
        <f t="shared" si="109"/>
        <v>-SLOWSS-</v>
      </c>
      <c r="Z1160" s="4" t="str">
        <f t="shared" si="110"/>
        <v>{"couname":"","img":"0","pty":"","artist":"","genres":"","duration":"","spotId":"","Items":["-SADNE-","-SLOWSS-","OTHR","OTHR","XT_OffAnimals"]},</v>
      </c>
      <c r="AA1160" s="5" t="s">
        <v>5</v>
      </c>
      <c r="AB1160" s="3" t="str">
        <f t="shared" si="111"/>
        <v>["-SADNE-","-SLOWSS-","OTHR","OTHR","XT_OffAnimals"]</v>
      </c>
      <c r="AC1160" s="3">
        <f>_xlfn.XLOOKUP(A1160,Album!A:A,Album!J:J)</f>
        <v>0</v>
      </c>
      <c r="AD1160" s="3">
        <f>_xlfn.XLOOKUP(D1160,Artists!A:A,Artists!B:B)</f>
        <v>0</v>
      </c>
      <c r="AE1160" s="3">
        <f>_xlfn.XLOOKUP(D1160,Artists!A:A,Artists!C:C)</f>
        <v>0</v>
      </c>
      <c r="AF1160" s="3" t="str">
        <f t="shared" si="112"/>
        <v>OTHR</v>
      </c>
      <c r="AG1160" s="3" t="str">
        <f t="shared" si="113"/>
        <v>OTHR</v>
      </c>
    </row>
    <row r="1161" spans="24:33" x14ac:dyDescent="0.3">
      <c r="X1161" s="3" t="str">
        <f t="shared" si="108"/>
        <v>-SADNE-</v>
      </c>
      <c r="Y1161" s="3" t="str">
        <f t="shared" si="109"/>
        <v>-SLOWSS-</v>
      </c>
      <c r="Z1161" s="4" t="str">
        <f t="shared" si="110"/>
        <v>{"couname":"","img":"0","pty":"","artist":"","genres":"","duration":"","spotId":"","Items":["-SADNE-","-SLOWSS-","OTHR","OTHR","XT_OffAnimals"]},</v>
      </c>
      <c r="AA1161" s="5" t="s">
        <v>5</v>
      </c>
      <c r="AB1161" s="3" t="str">
        <f t="shared" si="111"/>
        <v>["-SADNE-","-SLOWSS-","OTHR","OTHR","XT_OffAnimals"]</v>
      </c>
      <c r="AC1161" s="3">
        <f>_xlfn.XLOOKUP(A1161,Album!A:A,Album!J:J)</f>
        <v>0</v>
      </c>
      <c r="AD1161" s="3">
        <f>_xlfn.XLOOKUP(D1161,Artists!A:A,Artists!B:B)</f>
        <v>0</v>
      </c>
      <c r="AE1161" s="3">
        <f>_xlfn.XLOOKUP(D1161,Artists!A:A,Artists!C:C)</f>
        <v>0</v>
      </c>
      <c r="AF1161" s="3" t="str">
        <f t="shared" si="112"/>
        <v>OTHR</v>
      </c>
      <c r="AG1161" s="3" t="str">
        <f t="shared" si="113"/>
        <v>OTHR</v>
      </c>
    </row>
    <row r="1162" spans="24:33" x14ac:dyDescent="0.3">
      <c r="X1162" s="3" t="str">
        <f t="shared" si="108"/>
        <v>-SADNE-</v>
      </c>
      <c r="Y1162" s="3" t="str">
        <f t="shared" si="109"/>
        <v>-SLOWSS-</v>
      </c>
      <c r="Z1162" s="4" t="str">
        <f t="shared" si="110"/>
        <v>{"couname":"","img":"0","pty":"","artist":"","genres":"","duration":"","spotId":"","Items":["-SADNE-","-SLOWSS-","OTHR","OTHR","XT_OffAnimals"]},</v>
      </c>
      <c r="AA1162" s="5" t="s">
        <v>5</v>
      </c>
      <c r="AB1162" s="3" t="str">
        <f t="shared" si="111"/>
        <v>["-SADNE-","-SLOWSS-","OTHR","OTHR","XT_OffAnimals"]</v>
      </c>
      <c r="AC1162" s="3">
        <f>_xlfn.XLOOKUP(A1162,Album!A:A,Album!J:J)</f>
        <v>0</v>
      </c>
      <c r="AD1162" s="3">
        <f>_xlfn.XLOOKUP(D1162,Artists!A:A,Artists!B:B)</f>
        <v>0</v>
      </c>
      <c r="AE1162" s="3">
        <f>_xlfn.XLOOKUP(D1162,Artists!A:A,Artists!C:C)</f>
        <v>0</v>
      </c>
      <c r="AF1162" s="3" t="str">
        <f t="shared" si="112"/>
        <v>OTHR</v>
      </c>
      <c r="AG1162" s="3" t="str">
        <f t="shared" si="113"/>
        <v>OTHR</v>
      </c>
    </row>
    <row r="1163" spans="24:33" x14ac:dyDescent="0.3">
      <c r="X1163" s="3" t="str">
        <f t="shared" si="108"/>
        <v>-SADNE-</v>
      </c>
      <c r="Y1163" s="3" t="str">
        <f t="shared" si="109"/>
        <v>-SLOWSS-</v>
      </c>
      <c r="Z1163" s="4" t="str">
        <f t="shared" si="110"/>
        <v>{"couname":"","img":"0","pty":"","artist":"","genres":"","duration":"","spotId":"","Items":["-SADNE-","-SLOWSS-","OTHR","OTHR","XT_OffAnimals"]},</v>
      </c>
      <c r="AA1163" s="5" t="s">
        <v>5</v>
      </c>
      <c r="AB1163" s="3" t="str">
        <f t="shared" si="111"/>
        <v>["-SADNE-","-SLOWSS-","OTHR","OTHR","XT_OffAnimals"]</v>
      </c>
      <c r="AC1163" s="3">
        <f>_xlfn.XLOOKUP(A1163,Album!A:A,Album!J:J)</f>
        <v>0</v>
      </c>
      <c r="AD1163" s="3">
        <f>_xlfn.XLOOKUP(D1163,Artists!A:A,Artists!B:B)</f>
        <v>0</v>
      </c>
      <c r="AE1163" s="3">
        <f>_xlfn.XLOOKUP(D1163,Artists!A:A,Artists!C:C)</f>
        <v>0</v>
      </c>
      <c r="AF1163" s="3" t="str">
        <f t="shared" si="112"/>
        <v>OTHR</v>
      </c>
      <c r="AG1163" s="3" t="str">
        <f t="shared" si="113"/>
        <v>OTHR</v>
      </c>
    </row>
    <row r="1164" spans="24:33" x14ac:dyDescent="0.3">
      <c r="X1164" s="3" t="str">
        <f t="shared" si="108"/>
        <v>-SADNE-</v>
      </c>
      <c r="Y1164" s="3" t="str">
        <f t="shared" si="109"/>
        <v>-SLOWSS-</v>
      </c>
      <c r="Z1164" s="4" t="str">
        <f t="shared" si="110"/>
        <v>{"couname":"","img":"0","pty":"","artist":"","genres":"","duration":"","spotId":"","Items":["-SADNE-","-SLOWSS-","OTHR","OTHR","XT_OffAnimals"]},</v>
      </c>
      <c r="AA1164" s="5" t="s">
        <v>5</v>
      </c>
      <c r="AB1164" s="3" t="str">
        <f t="shared" si="111"/>
        <v>["-SADNE-","-SLOWSS-","OTHR","OTHR","XT_OffAnimals"]</v>
      </c>
      <c r="AC1164" s="3">
        <f>_xlfn.XLOOKUP(A1164,Album!A:A,Album!J:J)</f>
        <v>0</v>
      </c>
      <c r="AD1164" s="3">
        <f>_xlfn.XLOOKUP(D1164,Artists!A:A,Artists!B:B)</f>
        <v>0</v>
      </c>
      <c r="AE1164" s="3">
        <f>_xlfn.XLOOKUP(D1164,Artists!A:A,Artists!C:C)</f>
        <v>0</v>
      </c>
      <c r="AF1164" s="3" t="str">
        <f t="shared" si="112"/>
        <v>OTHR</v>
      </c>
      <c r="AG1164" s="3" t="str">
        <f t="shared" si="113"/>
        <v>OTHR</v>
      </c>
    </row>
    <row r="1165" spans="24:33" x14ac:dyDescent="0.3">
      <c r="X1165" s="3" t="str">
        <f t="shared" si="108"/>
        <v>-SADNE-</v>
      </c>
      <c r="Y1165" s="3" t="str">
        <f t="shared" si="109"/>
        <v>-SLOWSS-</v>
      </c>
      <c r="Z1165" s="4" t="str">
        <f t="shared" si="110"/>
        <v>{"couname":"","img":"0","pty":"","artist":"","genres":"","duration":"","spotId":"","Items":["-SADNE-","-SLOWSS-","OTHR","OTHR","XT_OffAnimals"]},</v>
      </c>
      <c r="AA1165" s="5" t="s">
        <v>5</v>
      </c>
      <c r="AB1165" s="3" t="str">
        <f t="shared" si="111"/>
        <v>["-SADNE-","-SLOWSS-","OTHR","OTHR","XT_OffAnimals"]</v>
      </c>
      <c r="AC1165" s="3">
        <f>_xlfn.XLOOKUP(A1165,Album!A:A,Album!J:J)</f>
        <v>0</v>
      </c>
      <c r="AD1165" s="3">
        <f>_xlfn.XLOOKUP(D1165,Artists!A:A,Artists!B:B)</f>
        <v>0</v>
      </c>
      <c r="AE1165" s="3">
        <f>_xlfn.XLOOKUP(D1165,Artists!A:A,Artists!C:C)</f>
        <v>0</v>
      </c>
      <c r="AF1165" s="3" t="str">
        <f t="shared" si="112"/>
        <v>OTHR</v>
      </c>
      <c r="AG1165" s="3" t="str">
        <f t="shared" si="113"/>
        <v>OTHR</v>
      </c>
    </row>
    <row r="1166" spans="24:33" x14ac:dyDescent="0.3">
      <c r="X1166" s="3" t="str">
        <f t="shared" si="108"/>
        <v>-SADNE-</v>
      </c>
      <c r="Y1166" s="3" t="str">
        <f t="shared" si="109"/>
        <v>-SLOWSS-</v>
      </c>
      <c r="Z1166" s="4" t="str">
        <f t="shared" si="110"/>
        <v>{"couname":"","img":"0","pty":"","artist":"","genres":"","duration":"","spotId":"","Items":["-SADNE-","-SLOWSS-","OTHR","OTHR","XT_OffAnimals"]},</v>
      </c>
      <c r="AA1166" s="5" t="s">
        <v>5</v>
      </c>
      <c r="AB1166" s="3" t="str">
        <f t="shared" si="111"/>
        <v>["-SADNE-","-SLOWSS-","OTHR","OTHR","XT_OffAnimals"]</v>
      </c>
      <c r="AC1166" s="3">
        <f>_xlfn.XLOOKUP(A1166,Album!A:A,Album!J:J)</f>
        <v>0</v>
      </c>
      <c r="AD1166" s="3">
        <f>_xlfn.XLOOKUP(D1166,Artists!A:A,Artists!B:B)</f>
        <v>0</v>
      </c>
      <c r="AE1166" s="3">
        <f>_xlfn.XLOOKUP(D1166,Artists!A:A,Artists!C:C)</f>
        <v>0</v>
      </c>
      <c r="AF1166" s="3" t="str">
        <f t="shared" si="112"/>
        <v>OTHR</v>
      </c>
      <c r="AG1166" s="3" t="str">
        <f t="shared" si="113"/>
        <v>OTHR</v>
      </c>
    </row>
    <row r="1167" spans="24:33" x14ac:dyDescent="0.3">
      <c r="X1167" s="3" t="str">
        <f t="shared" si="108"/>
        <v>-SADNE-</v>
      </c>
      <c r="Y1167" s="3" t="str">
        <f t="shared" si="109"/>
        <v>-SLOWSS-</v>
      </c>
      <c r="Z1167" s="4" t="str">
        <f t="shared" si="110"/>
        <v>{"couname":"","img":"0","pty":"","artist":"","genres":"","duration":"","spotId":"","Items":["-SADNE-","-SLOWSS-","OTHR","OTHR","XT_OffAnimals"]},</v>
      </c>
      <c r="AA1167" s="5" t="s">
        <v>5</v>
      </c>
      <c r="AB1167" s="3" t="str">
        <f t="shared" si="111"/>
        <v>["-SADNE-","-SLOWSS-","OTHR","OTHR","XT_OffAnimals"]</v>
      </c>
      <c r="AC1167" s="3">
        <f>_xlfn.XLOOKUP(A1167,Album!A:A,Album!J:J)</f>
        <v>0</v>
      </c>
      <c r="AD1167" s="3">
        <f>_xlfn.XLOOKUP(D1167,Artists!A:A,Artists!B:B)</f>
        <v>0</v>
      </c>
      <c r="AE1167" s="3">
        <f>_xlfn.XLOOKUP(D1167,Artists!A:A,Artists!C:C)</f>
        <v>0</v>
      </c>
      <c r="AF1167" s="3" t="str">
        <f t="shared" si="112"/>
        <v>OTHR</v>
      </c>
      <c r="AG1167" s="3" t="str">
        <f t="shared" si="113"/>
        <v>OTHR</v>
      </c>
    </row>
    <row r="1168" spans="24:33" x14ac:dyDescent="0.3">
      <c r="X1168" s="3" t="str">
        <f t="shared" si="108"/>
        <v>-SADNE-</v>
      </c>
      <c r="Y1168" s="3" t="str">
        <f t="shared" si="109"/>
        <v>-SLOWSS-</v>
      </c>
      <c r="Z1168" s="4" t="str">
        <f t="shared" si="110"/>
        <v>{"couname":"","img":"0","pty":"","artist":"","genres":"","duration":"","spotId":"","Items":["-SADNE-","-SLOWSS-","OTHR","OTHR","XT_OffAnimals"]},</v>
      </c>
      <c r="AA1168" s="5" t="s">
        <v>5</v>
      </c>
      <c r="AB1168" s="3" t="str">
        <f t="shared" si="111"/>
        <v>["-SADNE-","-SLOWSS-","OTHR","OTHR","XT_OffAnimals"]</v>
      </c>
      <c r="AC1168" s="3">
        <f>_xlfn.XLOOKUP(A1168,Album!A:A,Album!J:J)</f>
        <v>0</v>
      </c>
      <c r="AD1168" s="3">
        <f>_xlfn.XLOOKUP(D1168,Artists!A:A,Artists!B:B)</f>
        <v>0</v>
      </c>
      <c r="AE1168" s="3">
        <f>_xlfn.XLOOKUP(D1168,Artists!A:A,Artists!C:C)</f>
        <v>0</v>
      </c>
      <c r="AF1168" s="3" t="str">
        <f t="shared" si="112"/>
        <v>OTHR</v>
      </c>
      <c r="AG1168" s="3" t="str">
        <f t="shared" si="113"/>
        <v>OTHR</v>
      </c>
    </row>
    <row r="1169" spans="24:33" x14ac:dyDescent="0.3">
      <c r="X1169" s="3" t="str">
        <f t="shared" si="108"/>
        <v>-SADNE-</v>
      </c>
      <c r="Y1169" s="3" t="str">
        <f t="shared" si="109"/>
        <v>-SLOWSS-</v>
      </c>
      <c r="Z1169" s="4" t="str">
        <f t="shared" si="110"/>
        <v>{"couname":"","img":"0","pty":"","artist":"","genres":"","duration":"","spotId":"","Items":["-SADNE-","-SLOWSS-","OTHR","OTHR","XT_OffAnimals"]},</v>
      </c>
      <c r="AA1169" s="5" t="s">
        <v>5</v>
      </c>
      <c r="AB1169" s="3" t="str">
        <f t="shared" si="111"/>
        <v>["-SADNE-","-SLOWSS-","OTHR","OTHR","XT_OffAnimals"]</v>
      </c>
      <c r="AC1169" s="3">
        <f>_xlfn.XLOOKUP(A1169,Album!A:A,Album!J:J)</f>
        <v>0</v>
      </c>
      <c r="AD1169" s="3">
        <f>_xlfn.XLOOKUP(D1169,Artists!A:A,Artists!B:B)</f>
        <v>0</v>
      </c>
      <c r="AE1169" s="3">
        <f>_xlfn.XLOOKUP(D1169,Artists!A:A,Artists!C:C)</f>
        <v>0</v>
      </c>
      <c r="AF1169" s="3" t="str">
        <f t="shared" si="112"/>
        <v>OTHR</v>
      </c>
      <c r="AG1169" s="3" t="str">
        <f t="shared" si="113"/>
        <v>OTHR</v>
      </c>
    </row>
    <row r="1170" spans="24:33" x14ac:dyDescent="0.3">
      <c r="X1170" s="3" t="str">
        <f t="shared" si="108"/>
        <v>-SADNE-</v>
      </c>
      <c r="Y1170" s="3" t="str">
        <f t="shared" si="109"/>
        <v>-SLOWSS-</v>
      </c>
      <c r="Z1170" s="4" t="str">
        <f t="shared" si="110"/>
        <v>{"couname":"","img":"0","pty":"","artist":"","genres":"","duration":"","spotId":"","Items":["-SADNE-","-SLOWSS-","OTHR","OTHR","XT_OffAnimals"]},</v>
      </c>
      <c r="AA1170" s="5" t="s">
        <v>5</v>
      </c>
      <c r="AB1170" s="3" t="str">
        <f t="shared" si="111"/>
        <v>["-SADNE-","-SLOWSS-","OTHR","OTHR","XT_OffAnimals"]</v>
      </c>
      <c r="AC1170" s="3">
        <f>_xlfn.XLOOKUP(A1170,Album!A:A,Album!J:J)</f>
        <v>0</v>
      </c>
      <c r="AD1170" s="3">
        <f>_xlfn.XLOOKUP(D1170,Artists!A:A,Artists!B:B)</f>
        <v>0</v>
      </c>
      <c r="AE1170" s="3">
        <f>_xlfn.XLOOKUP(D1170,Artists!A:A,Artists!C:C)</f>
        <v>0</v>
      </c>
      <c r="AF1170" s="3" t="str">
        <f t="shared" si="112"/>
        <v>OTHR</v>
      </c>
      <c r="AG1170" s="3" t="str">
        <f t="shared" si="113"/>
        <v>OTHR</v>
      </c>
    </row>
    <row r="1171" spans="24:33" x14ac:dyDescent="0.3">
      <c r="X1171" s="3" t="str">
        <f t="shared" si="108"/>
        <v>-SADNE-</v>
      </c>
      <c r="Y1171" s="3" t="str">
        <f t="shared" si="109"/>
        <v>-SLOWSS-</v>
      </c>
      <c r="Z1171" s="4" t="str">
        <f t="shared" si="110"/>
        <v>{"couname":"","img":"0","pty":"","artist":"","genres":"","duration":"","spotId":"","Items":["-SADNE-","-SLOWSS-","OTHR","OTHR","XT_OffAnimals"]},</v>
      </c>
      <c r="AA1171" s="5" t="s">
        <v>5</v>
      </c>
      <c r="AB1171" s="3" t="str">
        <f t="shared" si="111"/>
        <v>["-SADNE-","-SLOWSS-","OTHR","OTHR","XT_OffAnimals"]</v>
      </c>
      <c r="AC1171" s="3">
        <f>_xlfn.XLOOKUP(A1171,Album!A:A,Album!J:J)</f>
        <v>0</v>
      </c>
      <c r="AD1171" s="3">
        <f>_xlfn.XLOOKUP(D1171,Artists!A:A,Artists!B:B)</f>
        <v>0</v>
      </c>
      <c r="AE1171" s="3">
        <f>_xlfn.XLOOKUP(D1171,Artists!A:A,Artists!C:C)</f>
        <v>0</v>
      </c>
      <c r="AF1171" s="3" t="str">
        <f t="shared" si="112"/>
        <v>OTHR</v>
      </c>
      <c r="AG1171" s="3" t="str">
        <f t="shared" si="113"/>
        <v>OTHR</v>
      </c>
    </row>
    <row r="1172" spans="24:33" x14ac:dyDescent="0.3">
      <c r="X1172" s="3" t="str">
        <f t="shared" si="108"/>
        <v>-SADNE-</v>
      </c>
      <c r="Y1172" s="3" t="str">
        <f t="shared" si="109"/>
        <v>-SLOWSS-</v>
      </c>
      <c r="Z1172" s="4" t="str">
        <f t="shared" si="110"/>
        <v>{"couname":"","img":"0","pty":"","artist":"","genres":"","duration":"","spotId":"","Items":["-SADNE-","-SLOWSS-","OTHR","OTHR","XT_OffAnimals"]},</v>
      </c>
      <c r="AA1172" s="5" t="s">
        <v>5</v>
      </c>
      <c r="AB1172" s="3" t="str">
        <f t="shared" si="111"/>
        <v>["-SADNE-","-SLOWSS-","OTHR","OTHR","XT_OffAnimals"]</v>
      </c>
      <c r="AC1172" s="3">
        <f>_xlfn.XLOOKUP(A1172,Album!A:A,Album!J:J)</f>
        <v>0</v>
      </c>
      <c r="AD1172" s="3">
        <f>_xlfn.XLOOKUP(D1172,Artists!A:A,Artists!B:B)</f>
        <v>0</v>
      </c>
      <c r="AE1172" s="3">
        <f>_xlfn.XLOOKUP(D1172,Artists!A:A,Artists!C:C)</f>
        <v>0</v>
      </c>
      <c r="AF1172" s="3" t="str">
        <f t="shared" si="112"/>
        <v>OTHR</v>
      </c>
      <c r="AG1172" s="3" t="str">
        <f t="shared" si="113"/>
        <v>OTHR</v>
      </c>
    </row>
    <row r="1173" spans="24:33" x14ac:dyDescent="0.3">
      <c r="X1173" s="3" t="str">
        <f t="shared" si="108"/>
        <v>-SADNE-</v>
      </c>
      <c r="Y1173" s="3" t="str">
        <f t="shared" si="109"/>
        <v>-SLOWSS-</v>
      </c>
      <c r="Z1173" s="4" t="str">
        <f t="shared" si="110"/>
        <v>{"couname":"","img":"0","pty":"","artist":"","genres":"","duration":"","spotId":"","Items":["-SADNE-","-SLOWSS-","OTHR","OTHR","XT_OffAnimals"]},</v>
      </c>
      <c r="AA1173" s="5" t="s">
        <v>5</v>
      </c>
      <c r="AB1173" s="3" t="str">
        <f t="shared" si="111"/>
        <v>["-SADNE-","-SLOWSS-","OTHR","OTHR","XT_OffAnimals"]</v>
      </c>
      <c r="AC1173" s="3">
        <f>_xlfn.XLOOKUP(A1173,Album!A:A,Album!J:J)</f>
        <v>0</v>
      </c>
      <c r="AD1173" s="3">
        <f>_xlfn.XLOOKUP(D1173,Artists!A:A,Artists!B:B)</f>
        <v>0</v>
      </c>
      <c r="AE1173" s="3">
        <f>_xlfn.XLOOKUP(D1173,Artists!A:A,Artists!C:C)</f>
        <v>0</v>
      </c>
      <c r="AF1173" s="3" t="str">
        <f t="shared" si="112"/>
        <v>OTHR</v>
      </c>
      <c r="AG1173" s="3" t="str">
        <f t="shared" si="113"/>
        <v>OTHR</v>
      </c>
    </row>
    <row r="1174" spans="24:33" x14ac:dyDescent="0.3">
      <c r="X1174" s="3" t="str">
        <f t="shared" si="108"/>
        <v>-SADNE-</v>
      </c>
      <c r="Y1174" s="3" t="str">
        <f t="shared" si="109"/>
        <v>-SLOWSS-</v>
      </c>
      <c r="Z1174" s="4" t="str">
        <f t="shared" si="110"/>
        <v>{"couname":"","img":"0","pty":"","artist":"","genres":"","duration":"","spotId":"","Items":["-SADNE-","-SLOWSS-","OTHR","OTHR","XT_OffAnimals"]},</v>
      </c>
      <c r="AA1174" s="5" t="s">
        <v>5</v>
      </c>
      <c r="AB1174" s="3" t="str">
        <f t="shared" si="111"/>
        <v>["-SADNE-","-SLOWSS-","OTHR","OTHR","XT_OffAnimals"]</v>
      </c>
      <c r="AC1174" s="3">
        <f>_xlfn.XLOOKUP(A1174,Album!A:A,Album!J:J)</f>
        <v>0</v>
      </c>
      <c r="AD1174" s="3">
        <f>_xlfn.XLOOKUP(D1174,Artists!A:A,Artists!B:B)</f>
        <v>0</v>
      </c>
      <c r="AE1174" s="3">
        <f>_xlfn.XLOOKUP(D1174,Artists!A:A,Artists!C:C)</f>
        <v>0</v>
      </c>
      <c r="AF1174" s="3" t="str">
        <f t="shared" si="112"/>
        <v>OTHR</v>
      </c>
      <c r="AG1174" s="3" t="str">
        <f t="shared" si="113"/>
        <v>OTHR</v>
      </c>
    </row>
    <row r="1175" spans="24:33" x14ac:dyDescent="0.3">
      <c r="X1175" s="3" t="str">
        <f t="shared" si="108"/>
        <v>-SADNE-</v>
      </c>
      <c r="Y1175" s="3" t="str">
        <f t="shared" si="109"/>
        <v>-SLOWSS-</v>
      </c>
      <c r="Z1175" s="4" t="str">
        <f t="shared" si="110"/>
        <v>{"couname":"","img":"0","pty":"","artist":"","genres":"","duration":"","spotId":"","Items":["-SADNE-","-SLOWSS-","OTHR","OTHR","XT_OffAnimals"]},</v>
      </c>
      <c r="AA1175" s="5" t="s">
        <v>5</v>
      </c>
      <c r="AB1175" s="3" t="str">
        <f t="shared" si="111"/>
        <v>["-SADNE-","-SLOWSS-","OTHR","OTHR","XT_OffAnimals"]</v>
      </c>
      <c r="AC1175" s="3">
        <f>_xlfn.XLOOKUP(A1175,Album!A:A,Album!J:J)</f>
        <v>0</v>
      </c>
      <c r="AD1175" s="3">
        <f>_xlfn.XLOOKUP(D1175,Artists!A:A,Artists!B:B)</f>
        <v>0</v>
      </c>
      <c r="AE1175" s="3">
        <f>_xlfn.XLOOKUP(D1175,Artists!A:A,Artists!C:C)</f>
        <v>0</v>
      </c>
      <c r="AF1175" s="3" t="str">
        <f t="shared" si="112"/>
        <v>OTHR</v>
      </c>
      <c r="AG1175" s="3" t="str">
        <f t="shared" si="113"/>
        <v>OTHR</v>
      </c>
    </row>
    <row r="1176" spans="24:33" x14ac:dyDescent="0.3">
      <c r="X1176" s="3" t="str">
        <f t="shared" si="108"/>
        <v>-SADNE-</v>
      </c>
      <c r="Y1176" s="3" t="str">
        <f t="shared" si="109"/>
        <v>-SLOWSS-</v>
      </c>
      <c r="Z1176" s="4" t="str">
        <f t="shared" si="110"/>
        <v>{"couname":"","img":"0","pty":"","artist":"","genres":"","duration":"","spotId":"","Items":["-SADNE-","-SLOWSS-","OTHR","OTHR","XT_OffAnimals"]},</v>
      </c>
      <c r="AA1176" s="5" t="s">
        <v>5</v>
      </c>
      <c r="AB1176" s="3" t="str">
        <f t="shared" si="111"/>
        <v>["-SADNE-","-SLOWSS-","OTHR","OTHR","XT_OffAnimals"]</v>
      </c>
      <c r="AC1176" s="3">
        <f>_xlfn.XLOOKUP(A1176,Album!A:A,Album!J:J)</f>
        <v>0</v>
      </c>
      <c r="AD1176" s="3">
        <f>_xlfn.XLOOKUP(D1176,Artists!A:A,Artists!B:B)</f>
        <v>0</v>
      </c>
      <c r="AE1176" s="3">
        <f>_xlfn.XLOOKUP(D1176,Artists!A:A,Artists!C:C)</f>
        <v>0</v>
      </c>
      <c r="AF1176" s="3" t="str">
        <f t="shared" si="112"/>
        <v>OTHR</v>
      </c>
      <c r="AG1176" s="3" t="str">
        <f t="shared" si="113"/>
        <v>OTHR</v>
      </c>
    </row>
    <row r="1177" spans="24:33" x14ac:dyDescent="0.3">
      <c r="X1177" s="3" t="str">
        <f t="shared" si="108"/>
        <v>-SADNE-</v>
      </c>
      <c r="Y1177" s="3" t="str">
        <f t="shared" si="109"/>
        <v>-SLOWSS-</v>
      </c>
      <c r="Z1177" s="4" t="str">
        <f t="shared" si="110"/>
        <v>{"couname":"","img":"0","pty":"","artist":"","genres":"","duration":"","spotId":"","Items":["-SADNE-","-SLOWSS-","OTHR","OTHR","XT_OffAnimals"]},</v>
      </c>
      <c r="AA1177" s="5" t="s">
        <v>5</v>
      </c>
      <c r="AB1177" s="3" t="str">
        <f t="shared" si="111"/>
        <v>["-SADNE-","-SLOWSS-","OTHR","OTHR","XT_OffAnimals"]</v>
      </c>
      <c r="AC1177" s="3">
        <f>_xlfn.XLOOKUP(A1177,Album!A:A,Album!J:J)</f>
        <v>0</v>
      </c>
      <c r="AD1177" s="3">
        <f>_xlfn.XLOOKUP(D1177,Artists!A:A,Artists!B:B)</f>
        <v>0</v>
      </c>
      <c r="AE1177" s="3">
        <f>_xlfn.XLOOKUP(D1177,Artists!A:A,Artists!C:C)</f>
        <v>0</v>
      </c>
      <c r="AF1177" s="3" t="str">
        <f t="shared" si="112"/>
        <v>OTHR</v>
      </c>
      <c r="AG1177" s="3" t="str">
        <f t="shared" si="113"/>
        <v>OTHR</v>
      </c>
    </row>
    <row r="1178" spans="24:33" x14ac:dyDescent="0.3">
      <c r="X1178" s="3" t="str">
        <f t="shared" si="108"/>
        <v>-SADNE-</v>
      </c>
      <c r="Y1178" s="3" t="str">
        <f t="shared" si="109"/>
        <v>-SLOWSS-</v>
      </c>
      <c r="Z1178" s="4" t="str">
        <f t="shared" si="110"/>
        <v>{"couname":"","img":"0","pty":"","artist":"","genres":"","duration":"","spotId":"","Items":["-SADNE-","-SLOWSS-","OTHR","OTHR","XT_OffAnimals"]},</v>
      </c>
      <c r="AA1178" s="5" t="s">
        <v>5</v>
      </c>
      <c r="AB1178" s="3" t="str">
        <f t="shared" si="111"/>
        <v>["-SADNE-","-SLOWSS-","OTHR","OTHR","XT_OffAnimals"]</v>
      </c>
      <c r="AC1178" s="3">
        <f>_xlfn.XLOOKUP(A1178,Album!A:A,Album!J:J)</f>
        <v>0</v>
      </c>
      <c r="AD1178" s="3">
        <f>_xlfn.XLOOKUP(D1178,Artists!A:A,Artists!B:B)</f>
        <v>0</v>
      </c>
      <c r="AE1178" s="3">
        <f>_xlfn.XLOOKUP(D1178,Artists!A:A,Artists!C:C)</f>
        <v>0</v>
      </c>
      <c r="AF1178" s="3" t="str">
        <f t="shared" si="112"/>
        <v>OTHR</v>
      </c>
      <c r="AG1178" s="3" t="str">
        <f t="shared" si="113"/>
        <v>OTHR</v>
      </c>
    </row>
    <row r="1179" spans="24:33" x14ac:dyDescent="0.3">
      <c r="X1179" s="3" t="str">
        <f t="shared" si="108"/>
        <v>-SADNE-</v>
      </c>
      <c r="Y1179" s="3" t="str">
        <f t="shared" si="109"/>
        <v>-SLOWSS-</v>
      </c>
      <c r="Z1179" s="4" t="str">
        <f t="shared" si="110"/>
        <v>{"couname":"","img":"0","pty":"","artist":"","genres":"","duration":"","spotId":"","Items":["-SADNE-","-SLOWSS-","OTHR","OTHR","XT_OffAnimals"]},</v>
      </c>
      <c r="AA1179" s="5" t="s">
        <v>5</v>
      </c>
      <c r="AB1179" s="3" t="str">
        <f t="shared" si="111"/>
        <v>["-SADNE-","-SLOWSS-","OTHR","OTHR","XT_OffAnimals"]</v>
      </c>
      <c r="AC1179" s="3">
        <f>_xlfn.XLOOKUP(A1179,Album!A:A,Album!J:J)</f>
        <v>0</v>
      </c>
      <c r="AD1179" s="3">
        <f>_xlfn.XLOOKUP(D1179,Artists!A:A,Artists!B:B)</f>
        <v>0</v>
      </c>
      <c r="AE1179" s="3">
        <f>_xlfn.XLOOKUP(D1179,Artists!A:A,Artists!C:C)</f>
        <v>0</v>
      </c>
      <c r="AF1179" s="3" t="str">
        <f t="shared" si="112"/>
        <v>OTHR</v>
      </c>
      <c r="AG1179" s="3" t="str">
        <f t="shared" si="113"/>
        <v>OTHR</v>
      </c>
    </row>
    <row r="1180" spans="24:33" x14ac:dyDescent="0.3">
      <c r="X1180" s="3" t="str">
        <f t="shared" si="108"/>
        <v>-SADNE-</v>
      </c>
      <c r="Y1180" s="3" t="str">
        <f t="shared" si="109"/>
        <v>-SLOWSS-</v>
      </c>
      <c r="Z1180" s="4" t="str">
        <f t="shared" si="110"/>
        <v>{"couname":"","img":"0","pty":"","artist":"","genres":"","duration":"","spotId":"","Items":["-SADNE-","-SLOWSS-","OTHR","OTHR","XT_OffAnimals"]},</v>
      </c>
      <c r="AA1180" s="5" t="s">
        <v>5</v>
      </c>
      <c r="AB1180" s="3" t="str">
        <f t="shared" si="111"/>
        <v>["-SADNE-","-SLOWSS-","OTHR","OTHR","XT_OffAnimals"]</v>
      </c>
      <c r="AC1180" s="3">
        <f>_xlfn.XLOOKUP(A1180,Album!A:A,Album!J:J)</f>
        <v>0</v>
      </c>
      <c r="AD1180" s="3">
        <f>_xlfn.XLOOKUP(D1180,Artists!A:A,Artists!B:B)</f>
        <v>0</v>
      </c>
      <c r="AE1180" s="3">
        <f>_xlfn.XLOOKUP(D1180,Artists!A:A,Artists!C:C)</f>
        <v>0</v>
      </c>
      <c r="AF1180" s="3" t="str">
        <f t="shared" si="112"/>
        <v>OTHR</v>
      </c>
      <c r="AG1180" s="3" t="str">
        <f t="shared" si="113"/>
        <v>OTHR</v>
      </c>
    </row>
    <row r="1181" spans="24:33" x14ac:dyDescent="0.3">
      <c r="X1181" s="3" t="str">
        <f t="shared" si="108"/>
        <v>-SADNE-</v>
      </c>
      <c r="Y1181" s="3" t="str">
        <f t="shared" si="109"/>
        <v>-SLOWSS-</v>
      </c>
      <c r="Z1181" s="4" t="str">
        <f t="shared" si="110"/>
        <v>{"couname":"","img":"0","pty":"","artist":"","genres":"","duration":"","spotId":"","Items":["-SADNE-","-SLOWSS-","OTHR","OTHR","XT_OffAnimals"]},</v>
      </c>
      <c r="AA1181" s="5" t="s">
        <v>5</v>
      </c>
      <c r="AB1181" s="3" t="str">
        <f t="shared" si="111"/>
        <v>["-SADNE-","-SLOWSS-","OTHR","OTHR","XT_OffAnimals"]</v>
      </c>
      <c r="AC1181" s="3">
        <f>_xlfn.XLOOKUP(A1181,Album!A:A,Album!J:J)</f>
        <v>0</v>
      </c>
      <c r="AD1181" s="3">
        <f>_xlfn.XLOOKUP(D1181,Artists!A:A,Artists!B:B)</f>
        <v>0</v>
      </c>
      <c r="AE1181" s="3">
        <f>_xlfn.XLOOKUP(D1181,Artists!A:A,Artists!C:C)</f>
        <v>0</v>
      </c>
      <c r="AF1181" s="3" t="str">
        <f t="shared" si="112"/>
        <v>OTHR</v>
      </c>
      <c r="AG1181" s="3" t="str">
        <f t="shared" si="113"/>
        <v>OTHR</v>
      </c>
    </row>
    <row r="1182" spans="24:33" x14ac:dyDescent="0.3">
      <c r="X1182" s="3" t="str">
        <f t="shared" si="108"/>
        <v>-SADNE-</v>
      </c>
      <c r="Y1182" s="3" t="str">
        <f t="shared" si="109"/>
        <v>-SLOWSS-</v>
      </c>
      <c r="Z1182" s="4" t="str">
        <f t="shared" si="110"/>
        <v>{"couname":"","img":"0","pty":"","artist":"","genres":"","duration":"","spotId":"","Items":["-SADNE-","-SLOWSS-","OTHR","OTHR","XT_OffAnimals"]},</v>
      </c>
      <c r="AA1182" s="5" t="s">
        <v>5</v>
      </c>
      <c r="AB1182" s="3" t="str">
        <f t="shared" si="111"/>
        <v>["-SADNE-","-SLOWSS-","OTHR","OTHR","XT_OffAnimals"]</v>
      </c>
      <c r="AC1182" s="3">
        <f>_xlfn.XLOOKUP(A1182,Album!A:A,Album!J:J)</f>
        <v>0</v>
      </c>
      <c r="AD1182" s="3">
        <f>_xlfn.XLOOKUP(D1182,Artists!A:A,Artists!B:B)</f>
        <v>0</v>
      </c>
      <c r="AE1182" s="3">
        <f>_xlfn.XLOOKUP(D1182,Artists!A:A,Artists!C:C)</f>
        <v>0</v>
      </c>
      <c r="AF1182" s="3" t="str">
        <f t="shared" si="112"/>
        <v>OTHR</v>
      </c>
      <c r="AG1182" s="3" t="str">
        <f t="shared" si="113"/>
        <v>OTHR</v>
      </c>
    </row>
    <row r="1183" spans="24:33" x14ac:dyDescent="0.3">
      <c r="X1183" s="3" t="str">
        <f t="shared" si="108"/>
        <v>-SADNE-</v>
      </c>
      <c r="Y1183" s="3" t="str">
        <f t="shared" si="109"/>
        <v>-SLOWSS-</v>
      </c>
      <c r="Z1183" s="4" t="str">
        <f t="shared" si="110"/>
        <v>{"couname":"","img":"0","pty":"","artist":"","genres":"","duration":"","spotId":"","Items":["-SADNE-","-SLOWSS-","OTHR","OTHR","XT_OffAnimals"]},</v>
      </c>
      <c r="AA1183" s="5" t="s">
        <v>5</v>
      </c>
      <c r="AB1183" s="3" t="str">
        <f t="shared" si="111"/>
        <v>["-SADNE-","-SLOWSS-","OTHR","OTHR","XT_OffAnimals"]</v>
      </c>
      <c r="AC1183" s="3">
        <f>_xlfn.XLOOKUP(A1183,Album!A:A,Album!J:J)</f>
        <v>0</v>
      </c>
      <c r="AD1183" s="3">
        <f>_xlfn.XLOOKUP(D1183,Artists!A:A,Artists!B:B)</f>
        <v>0</v>
      </c>
      <c r="AE1183" s="3">
        <f>_xlfn.XLOOKUP(D1183,Artists!A:A,Artists!C:C)</f>
        <v>0</v>
      </c>
      <c r="AF1183" s="3" t="str">
        <f t="shared" si="112"/>
        <v>OTHR</v>
      </c>
      <c r="AG1183" s="3" t="str">
        <f t="shared" si="113"/>
        <v>OTHR</v>
      </c>
    </row>
    <row r="1184" spans="24:33" x14ac:dyDescent="0.3">
      <c r="X1184" s="3" t="str">
        <f t="shared" si="108"/>
        <v>-SADNE-</v>
      </c>
      <c r="Y1184" s="3" t="str">
        <f t="shared" si="109"/>
        <v>-SLOWSS-</v>
      </c>
      <c r="Z1184" s="4" t="str">
        <f t="shared" si="110"/>
        <v>{"couname":"","img":"0","pty":"","artist":"","genres":"","duration":"","spotId":"","Items":["-SADNE-","-SLOWSS-","OTHR","OTHR","XT_OffAnimals"]},</v>
      </c>
      <c r="AA1184" s="5" t="s">
        <v>5</v>
      </c>
      <c r="AB1184" s="3" t="str">
        <f t="shared" si="111"/>
        <v>["-SADNE-","-SLOWSS-","OTHR","OTHR","XT_OffAnimals"]</v>
      </c>
      <c r="AC1184" s="3">
        <f>_xlfn.XLOOKUP(A1184,Album!A:A,Album!J:J)</f>
        <v>0</v>
      </c>
      <c r="AD1184" s="3">
        <f>_xlfn.XLOOKUP(D1184,Artists!A:A,Artists!B:B)</f>
        <v>0</v>
      </c>
      <c r="AE1184" s="3">
        <f>_xlfn.XLOOKUP(D1184,Artists!A:A,Artists!C:C)</f>
        <v>0</v>
      </c>
      <c r="AF1184" s="3" t="str">
        <f t="shared" si="112"/>
        <v>OTHR</v>
      </c>
      <c r="AG1184" s="3" t="str">
        <f t="shared" si="113"/>
        <v>OTHR</v>
      </c>
    </row>
    <row r="1185" spans="24:33" x14ac:dyDescent="0.3">
      <c r="X1185" s="3" t="str">
        <f t="shared" si="108"/>
        <v>-SADNE-</v>
      </c>
      <c r="Y1185" s="3" t="str">
        <f t="shared" si="109"/>
        <v>-SLOWSS-</v>
      </c>
      <c r="Z1185" s="4" t="str">
        <f t="shared" si="110"/>
        <v>{"couname":"","img":"0","pty":"","artist":"","genres":"","duration":"","spotId":"","Items":["-SADNE-","-SLOWSS-","OTHR","OTHR","XT_OffAnimals"]},</v>
      </c>
      <c r="AA1185" s="5" t="s">
        <v>5</v>
      </c>
      <c r="AB1185" s="3" t="str">
        <f t="shared" si="111"/>
        <v>["-SADNE-","-SLOWSS-","OTHR","OTHR","XT_OffAnimals"]</v>
      </c>
      <c r="AC1185" s="3">
        <f>_xlfn.XLOOKUP(A1185,Album!A:A,Album!J:J)</f>
        <v>0</v>
      </c>
      <c r="AD1185" s="3">
        <f>_xlfn.XLOOKUP(D1185,Artists!A:A,Artists!B:B)</f>
        <v>0</v>
      </c>
      <c r="AE1185" s="3">
        <f>_xlfn.XLOOKUP(D1185,Artists!A:A,Artists!C:C)</f>
        <v>0</v>
      </c>
      <c r="AF1185" s="3" t="str">
        <f t="shared" si="112"/>
        <v>OTHR</v>
      </c>
      <c r="AG1185" s="3" t="str">
        <f t="shared" si="113"/>
        <v>OTHR</v>
      </c>
    </row>
    <row r="1186" spans="24:33" x14ac:dyDescent="0.3">
      <c r="X1186" s="3" t="str">
        <f t="shared" si="108"/>
        <v>-SADNE-</v>
      </c>
      <c r="Y1186" s="3" t="str">
        <f t="shared" si="109"/>
        <v>-SLOWSS-</v>
      </c>
      <c r="Z1186" s="4" t="str">
        <f t="shared" si="110"/>
        <v>{"couname":"","img":"0","pty":"","artist":"","genres":"","duration":"","spotId":"","Items":["-SADNE-","-SLOWSS-","OTHR","OTHR","XT_OffAnimals"]},</v>
      </c>
      <c r="AA1186" s="5" t="s">
        <v>5</v>
      </c>
      <c r="AB1186" s="3" t="str">
        <f t="shared" si="111"/>
        <v>["-SADNE-","-SLOWSS-","OTHR","OTHR","XT_OffAnimals"]</v>
      </c>
      <c r="AC1186" s="3">
        <f>_xlfn.XLOOKUP(A1186,Album!A:A,Album!J:J)</f>
        <v>0</v>
      </c>
      <c r="AD1186" s="3">
        <f>_xlfn.XLOOKUP(D1186,Artists!A:A,Artists!B:B)</f>
        <v>0</v>
      </c>
      <c r="AE1186" s="3">
        <f>_xlfn.XLOOKUP(D1186,Artists!A:A,Artists!C:C)</f>
        <v>0</v>
      </c>
      <c r="AF1186" s="3" t="str">
        <f t="shared" si="112"/>
        <v>OTHR</v>
      </c>
      <c r="AG1186" s="3" t="str">
        <f t="shared" si="113"/>
        <v>OTHR</v>
      </c>
    </row>
    <row r="1187" spans="24:33" x14ac:dyDescent="0.3">
      <c r="X1187" s="3" t="str">
        <f t="shared" si="108"/>
        <v>-SADNE-</v>
      </c>
      <c r="Y1187" s="3" t="str">
        <f t="shared" si="109"/>
        <v>-SLOWSS-</v>
      </c>
      <c r="Z1187" s="4" t="str">
        <f t="shared" si="110"/>
        <v>{"couname":"","img":"0","pty":"","artist":"","genres":"","duration":"","spotId":"","Items":["-SADNE-","-SLOWSS-","OTHR","OTHR","XT_OffAnimals"]},</v>
      </c>
      <c r="AA1187" s="5" t="s">
        <v>5</v>
      </c>
      <c r="AB1187" s="3" t="str">
        <f t="shared" si="111"/>
        <v>["-SADNE-","-SLOWSS-","OTHR","OTHR","XT_OffAnimals"]</v>
      </c>
      <c r="AC1187" s="3">
        <f>_xlfn.XLOOKUP(A1187,Album!A:A,Album!J:J)</f>
        <v>0</v>
      </c>
      <c r="AD1187" s="3">
        <f>_xlfn.XLOOKUP(D1187,Artists!A:A,Artists!B:B)</f>
        <v>0</v>
      </c>
      <c r="AE1187" s="3">
        <f>_xlfn.XLOOKUP(D1187,Artists!A:A,Artists!C:C)</f>
        <v>0</v>
      </c>
      <c r="AF1187" s="3" t="str">
        <f t="shared" si="112"/>
        <v>OTHR</v>
      </c>
      <c r="AG1187" s="3" t="str">
        <f t="shared" si="113"/>
        <v>OTHR</v>
      </c>
    </row>
    <row r="1188" spans="24:33" x14ac:dyDescent="0.3">
      <c r="X1188" s="3" t="str">
        <f t="shared" si="108"/>
        <v>-SADNE-</v>
      </c>
      <c r="Y1188" s="3" t="str">
        <f t="shared" si="109"/>
        <v>-SLOWSS-</v>
      </c>
      <c r="Z1188" s="4" t="str">
        <f t="shared" si="110"/>
        <v>{"couname":"","img":"0","pty":"","artist":"","genres":"","duration":"","spotId":"","Items":["-SADNE-","-SLOWSS-","OTHR","OTHR","XT_OffAnimals"]},</v>
      </c>
      <c r="AA1188" s="5" t="s">
        <v>5</v>
      </c>
      <c r="AB1188" s="3" t="str">
        <f t="shared" si="111"/>
        <v>["-SADNE-","-SLOWSS-","OTHR","OTHR","XT_OffAnimals"]</v>
      </c>
      <c r="AC1188" s="3">
        <f>_xlfn.XLOOKUP(A1188,Album!A:A,Album!J:J)</f>
        <v>0</v>
      </c>
      <c r="AD1188" s="3">
        <f>_xlfn.XLOOKUP(D1188,Artists!A:A,Artists!B:B)</f>
        <v>0</v>
      </c>
      <c r="AE1188" s="3">
        <f>_xlfn.XLOOKUP(D1188,Artists!A:A,Artists!C:C)</f>
        <v>0</v>
      </c>
      <c r="AF1188" s="3" t="str">
        <f t="shared" si="112"/>
        <v>OTHR</v>
      </c>
      <c r="AG1188" s="3" t="str">
        <f t="shared" si="113"/>
        <v>OTHR</v>
      </c>
    </row>
    <row r="1189" spans="24:33" x14ac:dyDescent="0.3">
      <c r="X1189" s="3" t="str">
        <f t="shared" si="108"/>
        <v>-SADNE-</v>
      </c>
      <c r="Y1189" s="3" t="str">
        <f t="shared" si="109"/>
        <v>-SLOWSS-</v>
      </c>
      <c r="Z1189" s="4" t="str">
        <f t="shared" si="110"/>
        <v>{"couname":"","img":"0","pty":"","artist":"","genres":"","duration":"","spotId":"","Items":["-SADNE-","-SLOWSS-","OTHR","OTHR","XT_OffAnimals"]},</v>
      </c>
      <c r="AA1189" s="5" t="s">
        <v>5</v>
      </c>
      <c r="AB1189" s="3" t="str">
        <f t="shared" si="111"/>
        <v>["-SADNE-","-SLOWSS-","OTHR","OTHR","XT_OffAnimals"]</v>
      </c>
      <c r="AC1189" s="3">
        <f>_xlfn.XLOOKUP(A1189,Album!A:A,Album!J:J)</f>
        <v>0</v>
      </c>
      <c r="AD1189" s="3">
        <f>_xlfn.XLOOKUP(D1189,Artists!A:A,Artists!B:B)</f>
        <v>0</v>
      </c>
      <c r="AE1189" s="3">
        <f>_xlfn.XLOOKUP(D1189,Artists!A:A,Artists!C:C)</f>
        <v>0</v>
      </c>
      <c r="AF1189" s="3" t="str">
        <f t="shared" si="112"/>
        <v>OTHR</v>
      </c>
      <c r="AG1189" s="3" t="str">
        <f t="shared" si="113"/>
        <v>OTHR</v>
      </c>
    </row>
    <row r="1190" spans="24:33" x14ac:dyDescent="0.3">
      <c r="X1190" s="3" t="str">
        <f t="shared" si="108"/>
        <v>-SADNE-</v>
      </c>
      <c r="Y1190" s="3" t="str">
        <f t="shared" si="109"/>
        <v>-SLOWSS-</v>
      </c>
      <c r="Z1190" s="4" t="str">
        <f t="shared" si="110"/>
        <v>{"couname":"","img":"0","pty":"","artist":"","genres":"","duration":"","spotId":"","Items":["-SADNE-","-SLOWSS-","OTHR","OTHR","XT_OffAnimals"]},</v>
      </c>
      <c r="AA1190" s="5" t="s">
        <v>5</v>
      </c>
      <c r="AB1190" s="3" t="str">
        <f t="shared" si="111"/>
        <v>["-SADNE-","-SLOWSS-","OTHR","OTHR","XT_OffAnimals"]</v>
      </c>
      <c r="AC1190" s="3">
        <f>_xlfn.XLOOKUP(A1190,Album!A:A,Album!J:J)</f>
        <v>0</v>
      </c>
      <c r="AD1190" s="3">
        <f>_xlfn.XLOOKUP(D1190,Artists!A:A,Artists!B:B)</f>
        <v>0</v>
      </c>
      <c r="AE1190" s="3">
        <f>_xlfn.XLOOKUP(D1190,Artists!A:A,Artists!C:C)</f>
        <v>0</v>
      </c>
      <c r="AF1190" s="3" t="str">
        <f t="shared" si="112"/>
        <v>OTHR</v>
      </c>
      <c r="AG1190" s="3" t="str">
        <f t="shared" si="113"/>
        <v>OTHR</v>
      </c>
    </row>
    <row r="1191" spans="24:33" x14ac:dyDescent="0.3">
      <c r="X1191" s="3" t="str">
        <f t="shared" si="108"/>
        <v>-SADNE-</v>
      </c>
      <c r="Y1191" s="3" t="str">
        <f t="shared" si="109"/>
        <v>-SLOWSS-</v>
      </c>
      <c r="Z1191" s="4" t="str">
        <f t="shared" si="110"/>
        <v>{"couname":"","img":"0","pty":"","artist":"","genres":"","duration":"","spotId":"","Items":["-SADNE-","-SLOWSS-","OTHR","OTHR","XT_OffAnimals"]},</v>
      </c>
      <c r="AA1191" s="5" t="s">
        <v>5</v>
      </c>
      <c r="AB1191" s="3" t="str">
        <f t="shared" si="111"/>
        <v>["-SADNE-","-SLOWSS-","OTHR","OTHR","XT_OffAnimals"]</v>
      </c>
      <c r="AC1191" s="3">
        <f>_xlfn.XLOOKUP(A1191,Album!A:A,Album!J:J)</f>
        <v>0</v>
      </c>
      <c r="AD1191" s="3">
        <f>_xlfn.XLOOKUP(D1191,Artists!A:A,Artists!B:B)</f>
        <v>0</v>
      </c>
      <c r="AE1191" s="3">
        <f>_xlfn.XLOOKUP(D1191,Artists!A:A,Artists!C:C)</f>
        <v>0</v>
      </c>
      <c r="AF1191" s="3" t="str">
        <f t="shared" si="112"/>
        <v>OTHR</v>
      </c>
      <c r="AG1191" s="3" t="str">
        <f t="shared" si="113"/>
        <v>OTHR</v>
      </c>
    </row>
    <row r="1192" spans="24:33" x14ac:dyDescent="0.3">
      <c r="X1192" s="3" t="str">
        <f t="shared" si="108"/>
        <v>-SADNE-</v>
      </c>
      <c r="Y1192" s="3" t="str">
        <f t="shared" si="109"/>
        <v>-SLOWSS-</v>
      </c>
      <c r="Z1192" s="4" t="str">
        <f t="shared" si="110"/>
        <v>{"couname":"","img":"0","pty":"","artist":"","genres":"","duration":"","spotId":"","Items":["-SADNE-","-SLOWSS-","OTHR","OTHR","XT_OffAnimals"]},</v>
      </c>
      <c r="AA1192" s="5" t="s">
        <v>5</v>
      </c>
      <c r="AB1192" s="3" t="str">
        <f t="shared" si="111"/>
        <v>["-SADNE-","-SLOWSS-","OTHR","OTHR","XT_OffAnimals"]</v>
      </c>
      <c r="AC1192" s="3">
        <f>_xlfn.XLOOKUP(A1192,Album!A:A,Album!J:J)</f>
        <v>0</v>
      </c>
      <c r="AD1192" s="3">
        <f>_xlfn.XLOOKUP(D1192,Artists!A:A,Artists!B:B)</f>
        <v>0</v>
      </c>
      <c r="AE1192" s="3">
        <f>_xlfn.XLOOKUP(D1192,Artists!A:A,Artists!C:C)</f>
        <v>0</v>
      </c>
      <c r="AF1192" s="3" t="str">
        <f t="shared" si="112"/>
        <v>OTHR</v>
      </c>
      <c r="AG1192" s="3" t="str">
        <f t="shared" si="113"/>
        <v>OTHR</v>
      </c>
    </row>
    <row r="1193" spans="24:33" x14ac:dyDescent="0.3">
      <c r="X1193" s="3" t="str">
        <f t="shared" si="108"/>
        <v>-SADNE-</v>
      </c>
      <c r="Y1193" s="3" t="str">
        <f t="shared" si="109"/>
        <v>-SLOWSS-</v>
      </c>
      <c r="Z1193" s="4" t="str">
        <f t="shared" si="110"/>
        <v>{"couname":"","img":"0","pty":"","artist":"","genres":"","duration":"","spotId":"","Items":["-SADNE-","-SLOWSS-","OTHR","OTHR","XT_OffAnimals"]},</v>
      </c>
      <c r="AA1193" s="5" t="s">
        <v>5</v>
      </c>
      <c r="AB1193" s="3" t="str">
        <f t="shared" si="111"/>
        <v>["-SADNE-","-SLOWSS-","OTHR","OTHR","XT_OffAnimals"]</v>
      </c>
      <c r="AC1193" s="3">
        <f>_xlfn.XLOOKUP(A1193,Album!A:A,Album!J:J)</f>
        <v>0</v>
      </c>
      <c r="AD1193" s="3">
        <f>_xlfn.XLOOKUP(D1193,Artists!A:A,Artists!B:B)</f>
        <v>0</v>
      </c>
      <c r="AE1193" s="3">
        <f>_xlfn.XLOOKUP(D1193,Artists!A:A,Artists!C:C)</f>
        <v>0</v>
      </c>
      <c r="AF1193" s="3" t="str">
        <f t="shared" si="112"/>
        <v>OTHR</v>
      </c>
      <c r="AG1193" s="3" t="str">
        <f t="shared" si="113"/>
        <v>OTHR</v>
      </c>
    </row>
    <row r="1194" spans="24:33" x14ac:dyDescent="0.3">
      <c r="X1194" s="3" t="str">
        <f t="shared" si="108"/>
        <v>-SADNE-</v>
      </c>
      <c r="Y1194" s="3" t="str">
        <f t="shared" si="109"/>
        <v>-SLOWSS-</v>
      </c>
      <c r="Z1194" s="4" t="str">
        <f t="shared" si="110"/>
        <v>{"couname":"","img":"0","pty":"","artist":"","genres":"","duration":"","spotId":"","Items":["-SADNE-","-SLOWSS-","OTHR","OTHR","XT_OffAnimals"]},</v>
      </c>
      <c r="AA1194" s="5" t="s">
        <v>5</v>
      </c>
      <c r="AB1194" s="3" t="str">
        <f t="shared" si="111"/>
        <v>["-SADNE-","-SLOWSS-","OTHR","OTHR","XT_OffAnimals"]</v>
      </c>
      <c r="AC1194" s="3">
        <f>_xlfn.XLOOKUP(A1194,Album!A:A,Album!J:J)</f>
        <v>0</v>
      </c>
      <c r="AD1194" s="3">
        <f>_xlfn.XLOOKUP(D1194,Artists!A:A,Artists!B:B)</f>
        <v>0</v>
      </c>
      <c r="AE1194" s="3">
        <f>_xlfn.XLOOKUP(D1194,Artists!A:A,Artists!C:C)</f>
        <v>0</v>
      </c>
      <c r="AF1194" s="3" t="str">
        <f t="shared" si="112"/>
        <v>OTHR</v>
      </c>
      <c r="AG1194" s="3" t="str">
        <f t="shared" si="113"/>
        <v>OTHR</v>
      </c>
    </row>
    <row r="1195" spans="24:33" x14ac:dyDescent="0.3">
      <c r="X1195" s="3" t="str">
        <f t="shared" si="108"/>
        <v>-SADNE-</v>
      </c>
      <c r="Y1195" s="3" t="str">
        <f t="shared" si="109"/>
        <v>-SLOWSS-</v>
      </c>
      <c r="Z1195" s="4" t="str">
        <f t="shared" si="110"/>
        <v>{"couname":"","img":"0","pty":"","artist":"","genres":"","duration":"","spotId":"","Items":["-SADNE-","-SLOWSS-","OTHR","OTHR","XT_OffAnimals"]},</v>
      </c>
      <c r="AA1195" s="5" t="s">
        <v>5</v>
      </c>
      <c r="AB1195" s="3" t="str">
        <f t="shared" si="111"/>
        <v>["-SADNE-","-SLOWSS-","OTHR","OTHR","XT_OffAnimals"]</v>
      </c>
      <c r="AC1195" s="3">
        <f>_xlfn.XLOOKUP(A1195,Album!A:A,Album!J:J)</f>
        <v>0</v>
      </c>
      <c r="AD1195" s="3">
        <f>_xlfn.XLOOKUP(D1195,Artists!A:A,Artists!B:B)</f>
        <v>0</v>
      </c>
      <c r="AE1195" s="3">
        <f>_xlfn.XLOOKUP(D1195,Artists!A:A,Artists!C:C)</f>
        <v>0</v>
      </c>
      <c r="AF1195" s="3" t="str">
        <f t="shared" si="112"/>
        <v>OTHR</v>
      </c>
      <c r="AG1195" s="3" t="str">
        <f t="shared" si="113"/>
        <v>OTHR</v>
      </c>
    </row>
    <row r="1196" spans="24:33" x14ac:dyDescent="0.3">
      <c r="X1196" s="3" t="str">
        <f t="shared" si="108"/>
        <v>-SADNE-</v>
      </c>
      <c r="Y1196" s="3" t="str">
        <f t="shared" si="109"/>
        <v>-SLOWSS-</v>
      </c>
      <c r="Z1196" s="4" t="str">
        <f t="shared" si="110"/>
        <v>{"couname":"","img":"0","pty":"","artist":"","genres":"","duration":"","spotId":"","Items":["-SADNE-","-SLOWSS-","OTHR","OTHR","XT_OffAnimals"]},</v>
      </c>
      <c r="AA1196" s="5" t="s">
        <v>5</v>
      </c>
      <c r="AB1196" s="3" t="str">
        <f t="shared" si="111"/>
        <v>["-SADNE-","-SLOWSS-","OTHR","OTHR","XT_OffAnimals"]</v>
      </c>
      <c r="AC1196" s="3">
        <f>_xlfn.XLOOKUP(A1196,Album!A:A,Album!J:J)</f>
        <v>0</v>
      </c>
      <c r="AD1196" s="3">
        <f>_xlfn.XLOOKUP(D1196,Artists!A:A,Artists!B:B)</f>
        <v>0</v>
      </c>
      <c r="AE1196" s="3">
        <f>_xlfn.XLOOKUP(D1196,Artists!A:A,Artists!C:C)</f>
        <v>0</v>
      </c>
      <c r="AF1196" s="3" t="str">
        <f t="shared" si="112"/>
        <v>OTHR</v>
      </c>
      <c r="AG1196" s="3" t="str">
        <f t="shared" si="113"/>
        <v>OTHR</v>
      </c>
    </row>
    <row r="1197" spans="24:33" x14ac:dyDescent="0.3">
      <c r="X1197" s="3" t="str">
        <f t="shared" si="108"/>
        <v>-SADNE-</v>
      </c>
      <c r="Y1197" s="3" t="str">
        <f t="shared" si="109"/>
        <v>-SLOWSS-</v>
      </c>
      <c r="Z1197" s="4" t="str">
        <f t="shared" si="110"/>
        <v>{"couname":"","img":"0","pty":"","artist":"","genres":"","duration":"","spotId":"","Items":["-SADNE-","-SLOWSS-","OTHR","OTHR","XT_OffAnimals"]},</v>
      </c>
      <c r="AA1197" s="5" t="s">
        <v>5</v>
      </c>
      <c r="AB1197" s="3" t="str">
        <f t="shared" si="111"/>
        <v>["-SADNE-","-SLOWSS-","OTHR","OTHR","XT_OffAnimals"]</v>
      </c>
      <c r="AC1197" s="3">
        <f>_xlfn.XLOOKUP(A1197,Album!A:A,Album!J:J)</f>
        <v>0</v>
      </c>
      <c r="AD1197" s="3">
        <f>_xlfn.XLOOKUP(D1197,Artists!A:A,Artists!B:B)</f>
        <v>0</v>
      </c>
      <c r="AE1197" s="3">
        <f>_xlfn.XLOOKUP(D1197,Artists!A:A,Artists!C:C)</f>
        <v>0</v>
      </c>
      <c r="AF1197" s="3" t="str">
        <f t="shared" si="112"/>
        <v>OTHR</v>
      </c>
      <c r="AG1197" s="3" t="str">
        <f t="shared" si="113"/>
        <v>OTHR</v>
      </c>
    </row>
    <row r="1198" spans="24:33" x14ac:dyDescent="0.3">
      <c r="X1198" s="3" t="str">
        <f t="shared" si="108"/>
        <v>-SADNE-</v>
      </c>
      <c r="Y1198" s="3" t="str">
        <f t="shared" si="109"/>
        <v>-SLOWSS-</v>
      </c>
      <c r="Z1198" s="4" t="str">
        <f t="shared" si="110"/>
        <v>{"couname":"","img":"0","pty":"","artist":"","genres":"","duration":"","spotId":"","Items":["-SADNE-","-SLOWSS-","OTHR","OTHR","XT_OffAnimals"]},</v>
      </c>
      <c r="AA1198" s="5" t="s">
        <v>5</v>
      </c>
      <c r="AB1198" s="3" t="str">
        <f t="shared" si="111"/>
        <v>["-SADNE-","-SLOWSS-","OTHR","OTHR","XT_OffAnimals"]</v>
      </c>
      <c r="AC1198" s="3">
        <f>_xlfn.XLOOKUP(A1198,Album!A:A,Album!J:J)</f>
        <v>0</v>
      </c>
      <c r="AD1198" s="3">
        <f>_xlfn.XLOOKUP(D1198,Artists!A:A,Artists!B:B)</f>
        <v>0</v>
      </c>
      <c r="AE1198" s="3">
        <f>_xlfn.XLOOKUP(D1198,Artists!A:A,Artists!C:C)</f>
        <v>0</v>
      </c>
      <c r="AF1198" s="3" t="str">
        <f t="shared" si="112"/>
        <v>OTHR</v>
      </c>
      <c r="AG1198" s="3" t="str">
        <f t="shared" si="113"/>
        <v>OTHR</v>
      </c>
    </row>
    <row r="1199" spans="24:33" x14ac:dyDescent="0.3">
      <c r="X1199" s="3" t="str">
        <f t="shared" si="108"/>
        <v>-SADNE-</v>
      </c>
      <c r="Y1199" s="3" t="str">
        <f t="shared" si="109"/>
        <v>-SLOWSS-</v>
      </c>
      <c r="Z1199" s="4" t="str">
        <f t="shared" si="110"/>
        <v>{"couname":"","img":"0","pty":"","artist":"","genres":"","duration":"","spotId":"","Items":["-SADNE-","-SLOWSS-","OTHR","OTHR","XT_OffAnimals"]},</v>
      </c>
      <c r="AA1199" s="5" t="s">
        <v>5</v>
      </c>
      <c r="AB1199" s="3" t="str">
        <f t="shared" si="111"/>
        <v>["-SADNE-","-SLOWSS-","OTHR","OTHR","XT_OffAnimals"]</v>
      </c>
      <c r="AC1199" s="3">
        <f>_xlfn.XLOOKUP(A1199,Album!A:A,Album!J:J)</f>
        <v>0</v>
      </c>
      <c r="AD1199" s="3">
        <f>_xlfn.XLOOKUP(D1199,Artists!A:A,Artists!B:B)</f>
        <v>0</v>
      </c>
      <c r="AE1199" s="3">
        <f>_xlfn.XLOOKUP(D1199,Artists!A:A,Artists!C:C)</f>
        <v>0</v>
      </c>
      <c r="AF1199" s="3" t="str">
        <f t="shared" si="112"/>
        <v>OTHR</v>
      </c>
      <c r="AG1199" s="3" t="str">
        <f t="shared" si="113"/>
        <v>OTHR</v>
      </c>
    </row>
    <row r="1200" spans="24:33" x14ac:dyDescent="0.3">
      <c r="X1200" s="3" t="str">
        <f t="shared" si="108"/>
        <v>-SADNE-</v>
      </c>
      <c r="Y1200" s="3" t="str">
        <f t="shared" si="109"/>
        <v>-SLOWSS-</v>
      </c>
      <c r="Z1200" s="4" t="str">
        <f t="shared" si="110"/>
        <v>{"couname":"","img":"0","pty":"","artist":"","genres":"","duration":"","spotId":"","Items":["-SADNE-","-SLOWSS-","OTHR","OTHR","XT_OffAnimals"]},</v>
      </c>
      <c r="AA1200" s="5" t="s">
        <v>5</v>
      </c>
      <c r="AB1200" s="3" t="str">
        <f t="shared" si="111"/>
        <v>["-SADNE-","-SLOWSS-","OTHR","OTHR","XT_OffAnimals"]</v>
      </c>
      <c r="AC1200" s="3">
        <f>_xlfn.XLOOKUP(A1200,Album!A:A,Album!J:J)</f>
        <v>0</v>
      </c>
      <c r="AD1200" s="3">
        <f>_xlfn.XLOOKUP(D1200,Artists!A:A,Artists!B:B)</f>
        <v>0</v>
      </c>
      <c r="AE1200" s="3">
        <f>_xlfn.XLOOKUP(D1200,Artists!A:A,Artists!C:C)</f>
        <v>0</v>
      </c>
      <c r="AF1200" s="3" t="str">
        <f t="shared" si="112"/>
        <v>OTHR</v>
      </c>
      <c r="AG1200" s="3" t="str">
        <f t="shared" si="113"/>
        <v>OTHR</v>
      </c>
    </row>
    <row r="1201" spans="24:33" x14ac:dyDescent="0.3">
      <c r="X1201" s="3" t="str">
        <f t="shared" si="108"/>
        <v>-SADNE-</v>
      </c>
      <c r="Y1201" s="3" t="str">
        <f t="shared" si="109"/>
        <v>-SLOWSS-</v>
      </c>
      <c r="Z1201" s="4" t="str">
        <f t="shared" si="110"/>
        <v>{"couname":"","img":"0","pty":"","artist":"","genres":"","duration":"","spotId":"","Items":["-SADNE-","-SLOWSS-","OTHR","OTHR","XT_OffAnimals"]},</v>
      </c>
      <c r="AA1201" s="5" t="s">
        <v>5</v>
      </c>
      <c r="AB1201" s="3" t="str">
        <f t="shared" si="111"/>
        <v>["-SADNE-","-SLOWSS-","OTHR","OTHR","XT_OffAnimals"]</v>
      </c>
      <c r="AC1201" s="3">
        <f>_xlfn.XLOOKUP(A1201,Album!A:A,Album!J:J)</f>
        <v>0</v>
      </c>
      <c r="AD1201" s="3">
        <f>_xlfn.XLOOKUP(D1201,Artists!A:A,Artists!B:B)</f>
        <v>0</v>
      </c>
      <c r="AE1201" s="3">
        <f>_xlfn.XLOOKUP(D1201,Artists!A:A,Artists!C:C)</f>
        <v>0</v>
      </c>
      <c r="AF1201" s="3" t="str">
        <f t="shared" si="112"/>
        <v>OTHR</v>
      </c>
      <c r="AG1201" s="3" t="str">
        <f t="shared" si="113"/>
        <v>OTHR</v>
      </c>
    </row>
    <row r="1202" spans="24:33" x14ac:dyDescent="0.3">
      <c r="X1202" s="3" t="str">
        <f t="shared" si="108"/>
        <v>-SADNE-</v>
      </c>
      <c r="Y1202" s="3" t="str">
        <f t="shared" si="109"/>
        <v>-SLOWSS-</v>
      </c>
      <c r="Z1202" s="4" t="str">
        <f t="shared" si="110"/>
        <v>{"couname":"","img":"0","pty":"","artist":"","genres":"","duration":"","spotId":"","Items":["-SADNE-","-SLOWSS-","OTHR","OTHR","XT_OffAnimals"]},</v>
      </c>
      <c r="AA1202" s="5" t="s">
        <v>5</v>
      </c>
      <c r="AB1202" s="3" t="str">
        <f t="shared" si="111"/>
        <v>["-SADNE-","-SLOWSS-","OTHR","OTHR","XT_OffAnimals"]</v>
      </c>
      <c r="AC1202" s="3">
        <f>_xlfn.XLOOKUP(A1202,Album!A:A,Album!J:J)</f>
        <v>0</v>
      </c>
      <c r="AD1202" s="3">
        <f>_xlfn.XLOOKUP(D1202,Artists!A:A,Artists!B:B)</f>
        <v>0</v>
      </c>
      <c r="AE1202" s="3">
        <f>_xlfn.XLOOKUP(D1202,Artists!A:A,Artists!C:C)</f>
        <v>0</v>
      </c>
      <c r="AF1202" s="3" t="str">
        <f t="shared" si="112"/>
        <v>OTHR</v>
      </c>
      <c r="AG1202" s="3" t="str">
        <f t="shared" si="113"/>
        <v>OTHR</v>
      </c>
    </row>
    <row r="1203" spans="24:33" x14ac:dyDescent="0.3">
      <c r="X1203" s="3" t="str">
        <f t="shared" si="108"/>
        <v>-SADNE-</v>
      </c>
      <c r="Y1203" s="3" t="str">
        <f t="shared" si="109"/>
        <v>-SLOWSS-</v>
      </c>
      <c r="Z1203" s="4" t="str">
        <f t="shared" si="110"/>
        <v>{"couname":"","img":"0","pty":"","artist":"","genres":"","duration":"","spotId":"","Items":["-SADNE-","-SLOWSS-","OTHR","OTHR","XT_OffAnimals"]},</v>
      </c>
      <c r="AA1203" s="5" t="s">
        <v>5</v>
      </c>
      <c r="AB1203" s="3" t="str">
        <f t="shared" si="111"/>
        <v>["-SADNE-","-SLOWSS-","OTHR","OTHR","XT_OffAnimals"]</v>
      </c>
      <c r="AC1203" s="3">
        <f>_xlfn.XLOOKUP(A1203,Album!A:A,Album!J:J)</f>
        <v>0</v>
      </c>
      <c r="AD1203" s="3">
        <f>_xlfn.XLOOKUP(D1203,Artists!A:A,Artists!B:B)</f>
        <v>0</v>
      </c>
      <c r="AE1203" s="3">
        <f>_xlfn.XLOOKUP(D1203,Artists!A:A,Artists!C:C)</f>
        <v>0</v>
      </c>
      <c r="AF1203" s="3" t="str">
        <f t="shared" si="112"/>
        <v>OTHR</v>
      </c>
      <c r="AG1203" s="3" t="str">
        <f t="shared" si="113"/>
        <v>OTHR</v>
      </c>
    </row>
    <row r="1204" spans="24:33" x14ac:dyDescent="0.3">
      <c r="X1204" s="3" t="str">
        <f t="shared" si="108"/>
        <v>-SADNE-</v>
      </c>
      <c r="Y1204" s="3" t="str">
        <f t="shared" si="109"/>
        <v>-SLOWSS-</v>
      </c>
      <c r="Z1204" s="4" t="str">
        <f t="shared" si="110"/>
        <v>{"couname":"","img":"0","pty":"","artist":"","genres":"","duration":"","spotId":"","Items":["-SADNE-","-SLOWSS-","OTHR","OTHR","XT_OffAnimals"]},</v>
      </c>
      <c r="AA1204" s="5" t="s">
        <v>5</v>
      </c>
      <c r="AB1204" s="3" t="str">
        <f t="shared" si="111"/>
        <v>["-SADNE-","-SLOWSS-","OTHR","OTHR","XT_OffAnimals"]</v>
      </c>
      <c r="AC1204" s="3">
        <f>_xlfn.XLOOKUP(A1204,Album!A:A,Album!J:J)</f>
        <v>0</v>
      </c>
      <c r="AD1204" s="3">
        <f>_xlfn.XLOOKUP(D1204,Artists!A:A,Artists!B:B)</f>
        <v>0</v>
      </c>
      <c r="AE1204" s="3">
        <f>_xlfn.XLOOKUP(D1204,Artists!A:A,Artists!C:C)</f>
        <v>0</v>
      </c>
      <c r="AF1204" s="3" t="str">
        <f t="shared" si="112"/>
        <v>OTHR</v>
      </c>
      <c r="AG1204" s="3" t="str">
        <f t="shared" si="113"/>
        <v>OTHR</v>
      </c>
    </row>
    <row r="1205" spans="24:33" x14ac:dyDescent="0.3">
      <c r="X1205" s="3" t="str">
        <f t="shared" si="108"/>
        <v>-SADNE-</v>
      </c>
      <c r="Y1205" s="3" t="str">
        <f t="shared" si="109"/>
        <v>-SLOWSS-</v>
      </c>
      <c r="Z1205" s="4" t="str">
        <f t="shared" si="110"/>
        <v>{"couname":"","img":"0","pty":"","artist":"","genres":"","duration":"","spotId":"","Items":["-SADNE-","-SLOWSS-","OTHR","OTHR","XT_OffAnimals"]},</v>
      </c>
      <c r="AA1205" s="5" t="s">
        <v>5</v>
      </c>
      <c r="AB1205" s="3" t="str">
        <f t="shared" si="111"/>
        <v>["-SADNE-","-SLOWSS-","OTHR","OTHR","XT_OffAnimals"]</v>
      </c>
      <c r="AC1205" s="3">
        <f>_xlfn.XLOOKUP(A1205,Album!A:A,Album!J:J)</f>
        <v>0</v>
      </c>
      <c r="AD1205" s="3">
        <f>_xlfn.XLOOKUP(D1205,Artists!A:A,Artists!B:B)</f>
        <v>0</v>
      </c>
      <c r="AE1205" s="3">
        <f>_xlfn.XLOOKUP(D1205,Artists!A:A,Artists!C:C)</f>
        <v>0</v>
      </c>
      <c r="AF1205" s="3" t="str">
        <f t="shared" si="112"/>
        <v>OTHR</v>
      </c>
      <c r="AG1205" s="3" t="str">
        <f t="shared" si="113"/>
        <v>OTHR</v>
      </c>
    </row>
    <row r="1206" spans="24:33" x14ac:dyDescent="0.3">
      <c r="X1206" s="3" t="str">
        <f t="shared" si="108"/>
        <v>-SADNE-</v>
      </c>
      <c r="Y1206" s="3" t="str">
        <f t="shared" si="109"/>
        <v>-SLOWSS-</v>
      </c>
      <c r="Z1206" s="4" t="str">
        <f t="shared" si="110"/>
        <v>{"couname":"","img":"0","pty":"","artist":"","genres":"","duration":"","spotId":"","Items":["-SADNE-","-SLOWSS-","OTHR","OTHR","XT_OffAnimals"]},</v>
      </c>
      <c r="AA1206" s="5" t="s">
        <v>5</v>
      </c>
      <c r="AB1206" s="3" t="str">
        <f t="shared" si="111"/>
        <v>["-SADNE-","-SLOWSS-","OTHR","OTHR","XT_OffAnimals"]</v>
      </c>
      <c r="AC1206" s="3">
        <f>_xlfn.XLOOKUP(A1206,Album!A:A,Album!J:J)</f>
        <v>0</v>
      </c>
      <c r="AD1206" s="3">
        <f>_xlfn.XLOOKUP(D1206,Artists!A:A,Artists!B:B)</f>
        <v>0</v>
      </c>
      <c r="AE1206" s="3">
        <f>_xlfn.XLOOKUP(D1206,Artists!A:A,Artists!C:C)</f>
        <v>0</v>
      </c>
      <c r="AF1206" s="3" t="str">
        <f t="shared" si="112"/>
        <v>OTHR</v>
      </c>
      <c r="AG1206" s="3" t="str">
        <f t="shared" si="113"/>
        <v>OTHR</v>
      </c>
    </row>
    <row r="1207" spans="24:33" x14ac:dyDescent="0.3">
      <c r="X1207" s="3" t="str">
        <f t="shared" si="108"/>
        <v>-SADNE-</v>
      </c>
      <c r="Y1207" s="3" t="str">
        <f t="shared" si="109"/>
        <v>-SLOWSS-</v>
      </c>
      <c r="Z1207" s="4" t="str">
        <f t="shared" si="110"/>
        <v>{"couname":"","img":"0","pty":"","artist":"","genres":"","duration":"","spotId":"","Items":["-SADNE-","-SLOWSS-","OTHR","OTHR","XT_OffAnimals"]},</v>
      </c>
      <c r="AA1207" s="5" t="s">
        <v>5</v>
      </c>
      <c r="AB1207" s="3" t="str">
        <f t="shared" si="111"/>
        <v>["-SADNE-","-SLOWSS-","OTHR","OTHR","XT_OffAnimals"]</v>
      </c>
      <c r="AC1207" s="3">
        <f>_xlfn.XLOOKUP(A1207,Album!A:A,Album!J:J)</f>
        <v>0</v>
      </c>
      <c r="AD1207" s="3">
        <f>_xlfn.XLOOKUP(D1207,Artists!A:A,Artists!B:B)</f>
        <v>0</v>
      </c>
      <c r="AE1207" s="3">
        <f>_xlfn.XLOOKUP(D1207,Artists!A:A,Artists!C:C)</f>
        <v>0</v>
      </c>
      <c r="AF1207" s="3" t="str">
        <f t="shared" si="112"/>
        <v>OTHR</v>
      </c>
      <c r="AG1207" s="3" t="str">
        <f t="shared" si="113"/>
        <v>OTHR</v>
      </c>
    </row>
    <row r="1208" spans="24:33" x14ac:dyDescent="0.3">
      <c r="X1208" s="3" t="str">
        <f t="shared" si="108"/>
        <v>-SADNE-</v>
      </c>
      <c r="Y1208" s="3" t="str">
        <f t="shared" si="109"/>
        <v>-SLOWSS-</v>
      </c>
      <c r="Z1208" s="4" t="str">
        <f t="shared" si="110"/>
        <v>{"couname":"","img":"0","pty":"","artist":"","genres":"","duration":"","spotId":"","Items":["-SADNE-","-SLOWSS-","OTHR","OTHR","XT_OffAnimals"]},</v>
      </c>
      <c r="AA1208" s="5" t="s">
        <v>5</v>
      </c>
      <c r="AB1208" s="3" t="str">
        <f t="shared" si="111"/>
        <v>["-SADNE-","-SLOWSS-","OTHR","OTHR","XT_OffAnimals"]</v>
      </c>
      <c r="AC1208" s="3">
        <f>_xlfn.XLOOKUP(A1208,Album!A:A,Album!J:J)</f>
        <v>0</v>
      </c>
      <c r="AD1208" s="3">
        <f>_xlfn.XLOOKUP(D1208,Artists!A:A,Artists!B:B)</f>
        <v>0</v>
      </c>
      <c r="AE1208" s="3">
        <f>_xlfn.XLOOKUP(D1208,Artists!A:A,Artists!C:C)</f>
        <v>0</v>
      </c>
      <c r="AF1208" s="3" t="str">
        <f t="shared" si="112"/>
        <v>OTHR</v>
      </c>
      <c r="AG1208" s="3" t="str">
        <f t="shared" si="113"/>
        <v>OTHR</v>
      </c>
    </row>
    <row r="1209" spans="24:33" x14ac:dyDescent="0.3">
      <c r="X1209" s="3" t="str">
        <f t="shared" si="108"/>
        <v>-SADNE-</v>
      </c>
      <c r="Y1209" s="3" t="str">
        <f t="shared" si="109"/>
        <v>-SLOWSS-</v>
      </c>
      <c r="Z1209" s="4" t="str">
        <f t="shared" si="110"/>
        <v>{"couname":"","img":"0","pty":"","artist":"","genres":"","duration":"","spotId":"","Items":["-SADNE-","-SLOWSS-","OTHR","OTHR","XT_OffAnimals"]},</v>
      </c>
      <c r="AA1209" s="5" t="s">
        <v>5</v>
      </c>
      <c r="AB1209" s="3" t="str">
        <f t="shared" si="111"/>
        <v>["-SADNE-","-SLOWSS-","OTHR","OTHR","XT_OffAnimals"]</v>
      </c>
      <c r="AC1209" s="3">
        <f>_xlfn.XLOOKUP(A1209,Album!A:A,Album!J:J)</f>
        <v>0</v>
      </c>
      <c r="AD1209" s="3">
        <f>_xlfn.XLOOKUP(D1209,Artists!A:A,Artists!B:B)</f>
        <v>0</v>
      </c>
      <c r="AE1209" s="3">
        <f>_xlfn.XLOOKUP(D1209,Artists!A:A,Artists!C:C)</f>
        <v>0</v>
      </c>
      <c r="AF1209" s="3" t="str">
        <f t="shared" si="112"/>
        <v>OTHR</v>
      </c>
      <c r="AG1209" s="3" t="str">
        <f t="shared" si="113"/>
        <v>OTHR</v>
      </c>
    </row>
    <row r="1210" spans="24:33" x14ac:dyDescent="0.3">
      <c r="X1210" s="3" t="str">
        <f t="shared" si="108"/>
        <v>-SADNE-</v>
      </c>
      <c r="Y1210" s="3" t="str">
        <f t="shared" si="109"/>
        <v>-SLOWSS-</v>
      </c>
      <c r="Z1210" s="4" t="str">
        <f t="shared" si="110"/>
        <v>{"couname":"","img":"0","pty":"","artist":"","genres":"","duration":"","spotId":"","Items":["-SADNE-","-SLOWSS-","OTHR","OTHR","XT_OffAnimals"]},</v>
      </c>
      <c r="AA1210" s="5" t="s">
        <v>5</v>
      </c>
      <c r="AB1210" s="3" t="str">
        <f t="shared" si="111"/>
        <v>["-SADNE-","-SLOWSS-","OTHR","OTHR","XT_OffAnimals"]</v>
      </c>
      <c r="AC1210" s="3">
        <f>_xlfn.XLOOKUP(A1210,Album!A:A,Album!J:J)</f>
        <v>0</v>
      </c>
      <c r="AD1210" s="3">
        <f>_xlfn.XLOOKUP(D1210,Artists!A:A,Artists!B:B)</f>
        <v>0</v>
      </c>
      <c r="AE1210" s="3">
        <f>_xlfn.XLOOKUP(D1210,Artists!A:A,Artists!C:C)</f>
        <v>0</v>
      </c>
      <c r="AF1210" s="3" t="str">
        <f t="shared" si="112"/>
        <v>OTHR</v>
      </c>
      <c r="AG1210" s="3" t="str">
        <f t="shared" si="113"/>
        <v>OTHR</v>
      </c>
    </row>
    <row r="1211" spans="24:33" x14ac:dyDescent="0.3">
      <c r="X1211" s="3" t="str">
        <f t="shared" si="108"/>
        <v>-SADNE-</v>
      </c>
      <c r="Y1211" s="3" t="str">
        <f t="shared" si="109"/>
        <v>-SLOWSS-</v>
      </c>
      <c r="Z1211" s="4" t="str">
        <f t="shared" si="110"/>
        <v>{"couname":"","img":"0","pty":"","artist":"","genres":"","duration":"","spotId":"","Items":["-SADNE-","-SLOWSS-","OTHR","OTHR","XT_OffAnimals"]},</v>
      </c>
      <c r="AA1211" s="5" t="s">
        <v>5</v>
      </c>
      <c r="AB1211" s="3" t="str">
        <f t="shared" si="111"/>
        <v>["-SADNE-","-SLOWSS-","OTHR","OTHR","XT_OffAnimals"]</v>
      </c>
      <c r="AC1211" s="3">
        <f>_xlfn.XLOOKUP(A1211,Album!A:A,Album!J:J)</f>
        <v>0</v>
      </c>
      <c r="AD1211" s="3">
        <f>_xlfn.XLOOKUP(D1211,Artists!A:A,Artists!B:B)</f>
        <v>0</v>
      </c>
      <c r="AE1211" s="3">
        <f>_xlfn.XLOOKUP(D1211,Artists!A:A,Artists!C:C)</f>
        <v>0</v>
      </c>
      <c r="AF1211" s="3" t="str">
        <f t="shared" si="112"/>
        <v>OTHR</v>
      </c>
      <c r="AG1211" s="3" t="str">
        <f t="shared" si="113"/>
        <v>OTHR</v>
      </c>
    </row>
    <row r="1212" spans="24:33" x14ac:dyDescent="0.3">
      <c r="X1212" s="3" t="str">
        <f t="shared" si="108"/>
        <v>-SADNE-</v>
      </c>
      <c r="Y1212" s="3" t="str">
        <f t="shared" si="109"/>
        <v>-SLOWSS-</v>
      </c>
      <c r="Z1212" s="4" t="str">
        <f t="shared" si="110"/>
        <v>{"couname":"","img":"0","pty":"","artist":"","genres":"","duration":"","spotId":"","Items":["-SADNE-","-SLOWSS-","OTHR","OTHR","XT_OffAnimals"]},</v>
      </c>
      <c r="AA1212" s="5" t="s">
        <v>5</v>
      </c>
      <c r="AB1212" s="3" t="str">
        <f t="shared" si="111"/>
        <v>["-SADNE-","-SLOWSS-","OTHR","OTHR","XT_OffAnimals"]</v>
      </c>
      <c r="AC1212" s="3">
        <f>_xlfn.XLOOKUP(A1212,Album!A:A,Album!J:J)</f>
        <v>0</v>
      </c>
      <c r="AD1212" s="3">
        <f>_xlfn.XLOOKUP(D1212,Artists!A:A,Artists!B:B)</f>
        <v>0</v>
      </c>
      <c r="AE1212" s="3">
        <f>_xlfn.XLOOKUP(D1212,Artists!A:A,Artists!C:C)</f>
        <v>0</v>
      </c>
      <c r="AF1212" s="3" t="str">
        <f t="shared" si="112"/>
        <v>OTHR</v>
      </c>
      <c r="AG1212" s="3" t="str">
        <f t="shared" si="113"/>
        <v>OTHR</v>
      </c>
    </row>
    <row r="1213" spans="24:33" x14ac:dyDescent="0.3">
      <c r="X1213" s="3" t="str">
        <f t="shared" si="108"/>
        <v>-SADNE-</v>
      </c>
      <c r="Y1213" s="3" t="str">
        <f t="shared" si="109"/>
        <v>-SLOWSS-</v>
      </c>
      <c r="Z1213" s="4" t="str">
        <f t="shared" si="110"/>
        <v>{"couname":"","img":"0","pty":"","artist":"","genres":"","duration":"","spotId":"","Items":["-SADNE-","-SLOWSS-","OTHR","OTHR","XT_OffAnimals"]},</v>
      </c>
      <c r="AA1213" s="5" t="s">
        <v>5</v>
      </c>
      <c r="AB1213" s="3" t="str">
        <f t="shared" si="111"/>
        <v>["-SADNE-","-SLOWSS-","OTHR","OTHR","XT_OffAnimals"]</v>
      </c>
      <c r="AC1213" s="3">
        <f>_xlfn.XLOOKUP(A1213,Album!A:A,Album!J:J)</f>
        <v>0</v>
      </c>
      <c r="AD1213" s="3">
        <f>_xlfn.XLOOKUP(D1213,Artists!A:A,Artists!B:B)</f>
        <v>0</v>
      </c>
      <c r="AE1213" s="3">
        <f>_xlfn.XLOOKUP(D1213,Artists!A:A,Artists!C:C)</f>
        <v>0</v>
      </c>
      <c r="AF1213" s="3" t="str">
        <f t="shared" si="112"/>
        <v>OTHR</v>
      </c>
      <c r="AG1213" s="3" t="str">
        <f t="shared" si="113"/>
        <v>OTHR</v>
      </c>
    </row>
    <row r="1214" spans="24:33" x14ac:dyDescent="0.3">
      <c r="X1214" s="3" t="str">
        <f t="shared" si="108"/>
        <v>-SADNE-</v>
      </c>
      <c r="Y1214" s="3" t="str">
        <f t="shared" si="109"/>
        <v>-SLOWSS-</v>
      </c>
      <c r="Z1214" s="4" t="str">
        <f t="shared" si="110"/>
        <v>{"couname":"","img":"0","pty":"","artist":"","genres":"","duration":"","spotId":"","Items":["-SADNE-","-SLOWSS-","OTHR","OTHR","XT_OffAnimals"]},</v>
      </c>
      <c r="AA1214" s="5" t="s">
        <v>5</v>
      </c>
      <c r="AB1214" s="3" t="str">
        <f t="shared" si="111"/>
        <v>["-SADNE-","-SLOWSS-","OTHR","OTHR","XT_OffAnimals"]</v>
      </c>
      <c r="AC1214" s="3">
        <f>_xlfn.XLOOKUP(A1214,Album!A:A,Album!J:J)</f>
        <v>0</v>
      </c>
      <c r="AD1214" s="3">
        <f>_xlfn.XLOOKUP(D1214,Artists!A:A,Artists!B:B)</f>
        <v>0</v>
      </c>
      <c r="AE1214" s="3">
        <f>_xlfn.XLOOKUP(D1214,Artists!A:A,Artists!C:C)</f>
        <v>0</v>
      </c>
      <c r="AF1214" s="3" t="str">
        <f t="shared" si="112"/>
        <v>OTHR</v>
      </c>
      <c r="AG1214" s="3" t="str">
        <f t="shared" si="113"/>
        <v>OTHR</v>
      </c>
    </row>
    <row r="1215" spans="24:33" x14ac:dyDescent="0.3">
      <c r="X1215" s="3" t="str">
        <f t="shared" si="108"/>
        <v>-SADNE-</v>
      </c>
      <c r="Y1215" s="3" t="str">
        <f t="shared" si="109"/>
        <v>-SLOWSS-</v>
      </c>
      <c r="Z1215" s="4" t="str">
        <f t="shared" si="110"/>
        <v>{"couname":"","img":"0","pty":"","artist":"","genres":"","duration":"","spotId":"","Items":["-SADNE-","-SLOWSS-","OTHR","OTHR","XT_OffAnimals"]},</v>
      </c>
      <c r="AA1215" s="5" t="s">
        <v>5</v>
      </c>
      <c r="AB1215" s="3" t="str">
        <f t="shared" si="111"/>
        <v>["-SADNE-","-SLOWSS-","OTHR","OTHR","XT_OffAnimals"]</v>
      </c>
      <c r="AC1215" s="3">
        <f>_xlfn.XLOOKUP(A1215,Album!A:A,Album!J:J)</f>
        <v>0</v>
      </c>
      <c r="AD1215" s="3">
        <f>_xlfn.XLOOKUP(D1215,Artists!A:A,Artists!B:B)</f>
        <v>0</v>
      </c>
      <c r="AE1215" s="3">
        <f>_xlfn.XLOOKUP(D1215,Artists!A:A,Artists!C:C)</f>
        <v>0</v>
      </c>
      <c r="AF1215" s="3" t="str">
        <f t="shared" si="112"/>
        <v>OTHR</v>
      </c>
      <c r="AG1215" s="3" t="str">
        <f t="shared" si="113"/>
        <v>OTHR</v>
      </c>
    </row>
    <row r="1216" spans="24:33" x14ac:dyDescent="0.3">
      <c r="X1216" s="3" t="str">
        <f t="shared" si="108"/>
        <v>-SADNE-</v>
      </c>
      <c r="Y1216" s="3" t="str">
        <f t="shared" si="109"/>
        <v>-SLOWSS-</v>
      </c>
      <c r="Z1216" s="4" t="str">
        <f t="shared" si="110"/>
        <v>{"couname":"","img":"0","pty":"","artist":"","genres":"","duration":"","spotId":"","Items":["-SADNE-","-SLOWSS-","OTHR","OTHR","XT_OffAnimals"]},</v>
      </c>
      <c r="AA1216" s="5" t="s">
        <v>5</v>
      </c>
      <c r="AB1216" s="3" t="str">
        <f t="shared" si="111"/>
        <v>["-SADNE-","-SLOWSS-","OTHR","OTHR","XT_OffAnimals"]</v>
      </c>
      <c r="AC1216" s="3">
        <f>_xlfn.XLOOKUP(A1216,Album!A:A,Album!J:J)</f>
        <v>0</v>
      </c>
      <c r="AD1216" s="3">
        <f>_xlfn.XLOOKUP(D1216,Artists!A:A,Artists!B:B)</f>
        <v>0</v>
      </c>
      <c r="AE1216" s="3">
        <f>_xlfn.XLOOKUP(D1216,Artists!A:A,Artists!C:C)</f>
        <v>0</v>
      </c>
      <c r="AF1216" s="3" t="str">
        <f t="shared" si="112"/>
        <v>OTHR</v>
      </c>
      <c r="AG1216" s="3" t="str">
        <f t="shared" si="113"/>
        <v>OTHR</v>
      </c>
    </row>
    <row r="1217" spans="24:33" x14ac:dyDescent="0.3">
      <c r="X1217" s="3" t="str">
        <f t="shared" si="108"/>
        <v>-SADNE-</v>
      </c>
      <c r="Y1217" s="3" t="str">
        <f t="shared" si="109"/>
        <v>-SLOWSS-</v>
      </c>
      <c r="Z1217" s="4" t="str">
        <f t="shared" si="110"/>
        <v>{"couname":"","img":"0","pty":"","artist":"","genres":"","duration":"","spotId":"","Items":["-SADNE-","-SLOWSS-","OTHR","OTHR","XT_OffAnimals"]},</v>
      </c>
      <c r="AA1217" s="5" t="s">
        <v>5</v>
      </c>
      <c r="AB1217" s="3" t="str">
        <f t="shared" si="111"/>
        <v>["-SADNE-","-SLOWSS-","OTHR","OTHR","XT_OffAnimals"]</v>
      </c>
      <c r="AC1217" s="3">
        <f>_xlfn.XLOOKUP(A1217,Album!A:A,Album!J:J)</f>
        <v>0</v>
      </c>
      <c r="AD1217" s="3">
        <f>_xlfn.XLOOKUP(D1217,Artists!A:A,Artists!B:B)</f>
        <v>0</v>
      </c>
      <c r="AE1217" s="3">
        <f>_xlfn.XLOOKUP(D1217,Artists!A:A,Artists!C:C)</f>
        <v>0</v>
      </c>
      <c r="AF1217" s="3" t="str">
        <f t="shared" si="112"/>
        <v>OTHR</v>
      </c>
      <c r="AG1217" s="3" t="str">
        <f t="shared" si="113"/>
        <v>OTHR</v>
      </c>
    </row>
    <row r="1218" spans="24:33" x14ac:dyDescent="0.3">
      <c r="X1218" s="3" t="str">
        <f t="shared" ref="X1218:X1281" si="114">IF(OR(U1218&lt;0.301, AND(U1218&lt;0.4, P1218=0)), "-SADNE-", "-HAPPY-")</f>
        <v>-SADNE-</v>
      </c>
      <c r="Y1218" s="3" t="str">
        <f t="shared" ref="Y1218:Y1281" si="115">IF(OR(AND(L1218&lt;0.5,M1218&lt;0.5),AND(L1218&lt;0.45,V1218&lt;100),AND(M1218&lt;0.45,V1218&lt;100),AND(U1218&lt;0.39,V1218&lt;100)),"-SLOWSS-","-ENERGY-")</f>
        <v>-SLOWSS-</v>
      </c>
      <c r="Z1218" s="4" t="str">
        <f t="shared" si="110"/>
        <v>{"couname":"","img":"0","pty":"","artist":"","genres":"","duration":"","spotId":"","Items":["-SADNE-","-SLOWSS-","OTHR","OTHR","XT_OffAnimals"]},</v>
      </c>
      <c r="AA1218" s="5" t="s">
        <v>5</v>
      </c>
      <c r="AB1218" s="3" t="str">
        <f t="shared" si="111"/>
        <v>["-SADNE-","-SLOWSS-","OTHR","OTHR","XT_OffAnimals"]</v>
      </c>
      <c r="AC1218" s="3">
        <f>_xlfn.XLOOKUP(A1218,Album!A:A,Album!J:J)</f>
        <v>0</v>
      </c>
      <c r="AD1218" s="3">
        <f>_xlfn.XLOOKUP(D1218,Artists!A:A,Artists!B:B)</f>
        <v>0</v>
      </c>
      <c r="AE1218" s="3">
        <f>_xlfn.XLOOKUP(D1218,Artists!A:A,Artists!C:C)</f>
        <v>0</v>
      </c>
      <c r="AF1218" s="3" t="str">
        <f t="shared" si="112"/>
        <v>OTHR</v>
      </c>
      <c r="AG1218" s="3" t="str">
        <f t="shared" si="113"/>
        <v>OTHR</v>
      </c>
    </row>
    <row r="1219" spans="24:33" x14ac:dyDescent="0.3">
      <c r="X1219" s="3" t="str">
        <f t="shared" si="114"/>
        <v>-SADNE-</v>
      </c>
      <c r="Y1219" s="3" t="str">
        <f t="shared" si="115"/>
        <v>-SLOWSS-</v>
      </c>
      <c r="Z1219" s="4" t="str">
        <f t="shared" ref="Z1219:Z1282" si="116">"{"&amp;CHAR(34)&amp;"couname"&amp;CHAR(34)&amp;":"&amp;CHAR(34)&amp;B1219&amp;CHAR(34)&amp;","&amp;CHAR(34)&amp;"img"&amp;CHAR(34)&amp;":"&amp;CHAR(34)&amp;AC1219&amp;CHAR(34)&amp;","&amp;CHAR(34)&amp;"pty"&amp;CHAR(34)&amp;":"&amp;CHAR(34)&amp;G1219&amp;CHAR(34)&amp;","&amp;CHAR(34)&amp;"artist"&amp;CHAR(34)&amp;":"&amp;CHAR(34)&amp;D1219&amp;CHAR(34)&amp;","&amp;CHAR(34)&amp;"genres"&amp;CHAR(34)&amp;":"&amp;CHAR(34)&amp;J1219&amp;CHAR(34)&amp;","&amp;CHAR(34)&amp;"duration"&amp;CHAR(34)&amp;":"&amp;CHAR(34)&amp;F1219&amp;CHAR(34)&amp;","&amp;CHAR(34)&amp;"spotId"&amp;CHAR(34)&amp;":"&amp;CHAR(34)&amp;A1219&amp;CHAR(34)&amp;","&amp;CHAR(34)&amp;"Items"&amp;CHAR(34)&amp;":"&amp;AB1219&amp;"},"</f>
        <v>{"couname":"","img":"0","pty":"","artist":"","genres":"","duration":"","spotId":"","Items":["-SADNE-","-SLOWSS-","OTHR","OTHR","XT_OffAnimals"]},</v>
      </c>
      <c r="AA1219" s="5" t="s">
        <v>5</v>
      </c>
      <c r="AB1219" s="3" t="str">
        <f t="shared" ref="AB1219:AB1282" si="117" xml:space="preserve"> "[" &amp; _xlfn.TEXTJOIN(",",TRUE,CHAR(34) &amp; X1219&amp; CHAR(34), CHAR(34) &amp; Y1219 &amp; CHAR(34),  CHAR(34) &amp; AF1219 &amp; CHAR(34), CHAR(34) &amp;AG1219 &amp; CHAR(34), CHAR(34) &amp; AA1219 &amp; CHAR(34)) &amp; "]"</f>
        <v>["-SADNE-","-SLOWSS-","OTHR","OTHR","XT_OffAnimals"]</v>
      </c>
      <c r="AC1219" s="3">
        <f>_xlfn.XLOOKUP(A1219,Album!A:A,Album!J:J)</f>
        <v>0</v>
      </c>
      <c r="AD1219" s="3">
        <f>_xlfn.XLOOKUP(D1219,Artists!A:A,Artists!B:B)</f>
        <v>0</v>
      </c>
      <c r="AE1219" s="3">
        <f>_xlfn.XLOOKUP(D1219,Artists!A:A,Artists!C:C)</f>
        <v>0</v>
      </c>
      <c r="AF1219" s="3" t="str">
        <f t="shared" ref="AF1219:AF1282" si="118">IF(ISNUMBER(SEARCH("female", AD1219)), "GIRL", IF(ISNUMBER(SEARCH("male", AD1219)), "DUDE", "OTHR"))</f>
        <v>OTHR</v>
      </c>
      <c r="AG1219" s="3" t="str">
        <f t="shared" ref="AG1219:AG1282" si="119">IF(ISNUMBER(SEARCH("band", AD1219)), "BAND", IF(ISNUMBER(SEARCH("solo", AD1219)), "SOLO", "OTHR"))</f>
        <v>OTHR</v>
      </c>
    </row>
    <row r="1220" spans="24:33" x14ac:dyDescent="0.3">
      <c r="X1220" s="3" t="str">
        <f t="shared" si="114"/>
        <v>-SADNE-</v>
      </c>
      <c r="Y1220" s="3" t="str">
        <f t="shared" si="115"/>
        <v>-SLOWSS-</v>
      </c>
      <c r="Z1220" s="4" t="str">
        <f t="shared" si="116"/>
        <v>{"couname":"","img":"0","pty":"","artist":"","genres":"","duration":"","spotId":"","Items":["-SADNE-","-SLOWSS-","OTHR","OTHR","XT_OffAnimals"]},</v>
      </c>
      <c r="AA1220" s="5" t="s">
        <v>5</v>
      </c>
      <c r="AB1220" s="3" t="str">
        <f t="shared" si="117"/>
        <v>["-SADNE-","-SLOWSS-","OTHR","OTHR","XT_OffAnimals"]</v>
      </c>
      <c r="AC1220" s="3">
        <f>_xlfn.XLOOKUP(A1220,Album!A:A,Album!J:J)</f>
        <v>0</v>
      </c>
      <c r="AD1220" s="3">
        <f>_xlfn.XLOOKUP(D1220,Artists!A:A,Artists!B:B)</f>
        <v>0</v>
      </c>
      <c r="AE1220" s="3">
        <f>_xlfn.XLOOKUP(D1220,Artists!A:A,Artists!C:C)</f>
        <v>0</v>
      </c>
      <c r="AF1220" s="3" t="str">
        <f t="shared" si="118"/>
        <v>OTHR</v>
      </c>
      <c r="AG1220" s="3" t="str">
        <f t="shared" si="119"/>
        <v>OTHR</v>
      </c>
    </row>
    <row r="1221" spans="24:33" x14ac:dyDescent="0.3">
      <c r="X1221" s="3" t="str">
        <f t="shared" si="114"/>
        <v>-SADNE-</v>
      </c>
      <c r="Y1221" s="3" t="str">
        <f t="shared" si="115"/>
        <v>-SLOWSS-</v>
      </c>
      <c r="Z1221" s="4" t="str">
        <f t="shared" si="116"/>
        <v>{"couname":"","img":"0","pty":"","artist":"","genres":"","duration":"","spotId":"","Items":["-SADNE-","-SLOWSS-","OTHR","OTHR","XT_OffAnimals"]},</v>
      </c>
      <c r="AA1221" s="5" t="s">
        <v>5</v>
      </c>
      <c r="AB1221" s="3" t="str">
        <f t="shared" si="117"/>
        <v>["-SADNE-","-SLOWSS-","OTHR","OTHR","XT_OffAnimals"]</v>
      </c>
      <c r="AC1221" s="3">
        <f>_xlfn.XLOOKUP(A1221,Album!A:A,Album!J:J)</f>
        <v>0</v>
      </c>
      <c r="AD1221" s="3">
        <f>_xlfn.XLOOKUP(D1221,Artists!A:A,Artists!B:B)</f>
        <v>0</v>
      </c>
      <c r="AE1221" s="3">
        <f>_xlfn.XLOOKUP(D1221,Artists!A:A,Artists!C:C)</f>
        <v>0</v>
      </c>
      <c r="AF1221" s="3" t="str">
        <f t="shared" si="118"/>
        <v>OTHR</v>
      </c>
      <c r="AG1221" s="3" t="str">
        <f t="shared" si="119"/>
        <v>OTHR</v>
      </c>
    </row>
    <row r="1222" spans="24:33" x14ac:dyDescent="0.3">
      <c r="X1222" s="3" t="str">
        <f t="shared" si="114"/>
        <v>-SADNE-</v>
      </c>
      <c r="Y1222" s="3" t="str">
        <f t="shared" si="115"/>
        <v>-SLOWSS-</v>
      </c>
      <c r="Z1222" s="4" t="str">
        <f t="shared" si="116"/>
        <v>{"couname":"","img":"0","pty":"","artist":"","genres":"","duration":"","spotId":"","Items":["-SADNE-","-SLOWSS-","OTHR","OTHR","XT_OffAnimals"]},</v>
      </c>
      <c r="AA1222" s="5" t="s">
        <v>5</v>
      </c>
      <c r="AB1222" s="3" t="str">
        <f t="shared" si="117"/>
        <v>["-SADNE-","-SLOWSS-","OTHR","OTHR","XT_OffAnimals"]</v>
      </c>
      <c r="AC1222" s="3">
        <f>_xlfn.XLOOKUP(A1222,Album!A:A,Album!J:J)</f>
        <v>0</v>
      </c>
      <c r="AD1222" s="3">
        <f>_xlfn.XLOOKUP(D1222,Artists!A:A,Artists!B:B)</f>
        <v>0</v>
      </c>
      <c r="AE1222" s="3">
        <f>_xlfn.XLOOKUP(D1222,Artists!A:A,Artists!C:C)</f>
        <v>0</v>
      </c>
      <c r="AF1222" s="3" t="str">
        <f t="shared" si="118"/>
        <v>OTHR</v>
      </c>
      <c r="AG1222" s="3" t="str">
        <f t="shared" si="119"/>
        <v>OTHR</v>
      </c>
    </row>
    <row r="1223" spans="24:33" x14ac:dyDescent="0.3">
      <c r="X1223" s="3" t="str">
        <f t="shared" si="114"/>
        <v>-SADNE-</v>
      </c>
      <c r="Y1223" s="3" t="str">
        <f t="shared" si="115"/>
        <v>-SLOWSS-</v>
      </c>
      <c r="Z1223" s="4" t="str">
        <f t="shared" si="116"/>
        <v>{"couname":"","img":"0","pty":"","artist":"","genres":"","duration":"","spotId":"","Items":["-SADNE-","-SLOWSS-","OTHR","OTHR","XT_OffAnimals"]},</v>
      </c>
      <c r="AA1223" s="5" t="s">
        <v>5</v>
      </c>
      <c r="AB1223" s="3" t="str">
        <f t="shared" si="117"/>
        <v>["-SADNE-","-SLOWSS-","OTHR","OTHR","XT_OffAnimals"]</v>
      </c>
      <c r="AC1223" s="3">
        <f>_xlfn.XLOOKUP(A1223,Album!A:A,Album!J:J)</f>
        <v>0</v>
      </c>
      <c r="AD1223" s="3">
        <f>_xlfn.XLOOKUP(D1223,Artists!A:A,Artists!B:B)</f>
        <v>0</v>
      </c>
      <c r="AE1223" s="3">
        <f>_xlfn.XLOOKUP(D1223,Artists!A:A,Artists!C:C)</f>
        <v>0</v>
      </c>
      <c r="AF1223" s="3" t="str">
        <f t="shared" si="118"/>
        <v>OTHR</v>
      </c>
      <c r="AG1223" s="3" t="str">
        <f t="shared" si="119"/>
        <v>OTHR</v>
      </c>
    </row>
    <row r="1224" spans="24:33" x14ac:dyDescent="0.3">
      <c r="X1224" s="3" t="str">
        <f t="shared" si="114"/>
        <v>-SADNE-</v>
      </c>
      <c r="Y1224" s="3" t="str">
        <f t="shared" si="115"/>
        <v>-SLOWSS-</v>
      </c>
      <c r="Z1224" s="4" t="str">
        <f t="shared" si="116"/>
        <v>{"couname":"","img":"0","pty":"","artist":"","genres":"","duration":"","spotId":"","Items":["-SADNE-","-SLOWSS-","OTHR","OTHR","XT_OffAnimals"]},</v>
      </c>
      <c r="AA1224" s="5" t="s">
        <v>5</v>
      </c>
      <c r="AB1224" s="3" t="str">
        <f t="shared" si="117"/>
        <v>["-SADNE-","-SLOWSS-","OTHR","OTHR","XT_OffAnimals"]</v>
      </c>
      <c r="AC1224" s="3">
        <f>_xlfn.XLOOKUP(A1224,Album!A:A,Album!J:J)</f>
        <v>0</v>
      </c>
      <c r="AD1224" s="3">
        <f>_xlfn.XLOOKUP(D1224,Artists!A:A,Artists!B:B)</f>
        <v>0</v>
      </c>
      <c r="AE1224" s="3">
        <f>_xlfn.XLOOKUP(D1224,Artists!A:A,Artists!C:C)</f>
        <v>0</v>
      </c>
      <c r="AF1224" s="3" t="str">
        <f t="shared" si="118"/>
        <v>OTHR</v>
      </c>
      <c r="AG1224" s="3" t="str">
        <f t="shared" si="119"/>
        <v>OTHR</v>
      </c>
    </row>
    <row r="1225" spans="24:33" x14ac:dyDescent="0.3">
      <c r="X1225" s="3" t="str">
        <f t="shared" si="114"/>
        <v>-SADNE-</v>
      </c>
      <c r="Y1225" s="3" t="str">
        <f t="shared" si="115"/>
        <v>-SLOWSS-</v>
      </c>
      <c r="Z1225" s="4" t="str">
        <f t="shared" si="116"/>
        <v>{"couname":"","img":"0","pty":"","artist":"","genres":"","duration":"","spotId":"","Items":["-SADNE-","-SLOWSS-","OTHR","OTHR","XT_OffAnimals"]},</v>
      </c>
      <c r="AA1225" s="5" t="s">
        <v>5</v>
      </c>
      <c r="AB1225" s="3" t="str">
        <f t="shared" si="117"/>
        <v>["-SADNE-","-SLOWSS-","OTHR","OTHR","XT_OffAnimals"]</v>
      </c>
      <c r="AC1225" s="3">
        <f>_xlfn.XLOOKUP(A1225,Album!A:A,Album!J:J)</f>
        <v>0</v>
      </c>
      <c r="AD1225" s="3">
        <f>_xlfn.XLOOKUP(D1225,Artists!A:A,Artists!B:B)</f>
        <v>0</v>
      </c>
      <c r="AE1225" s="3">
        <f>_xlfn.XLOOKUP(D1225,Artists!A:A,Artists!C:C)</f>
        <v>0</v>
      </c>
      <c r="AF1225" s="3" t="str">
        <f t="shared" si="118"/>
        <v>OTHR</v>
      </c>
      <c r="AG1225" s="3" t="str">
        <f t="shared" si="119"/>
        <v>OTHR</v>
      </c>
    </row>
    <row r="1226" spans="24:33" x14ac:dyDescent="0.3">
      <c r="X1226" s="3" t="str">
        <f t="shared" si="114"/>
        <v>-SADNE-</v>
      </c>
      <c r="Y1226" s="3" t="str">
        <f t="shared" si="115"/>
        <v>-SLOWSS-</v>
      </c>
      <c r="Z1226" s="4" t="str">
        <f t="shared" si="116"/>
        <v>{"couname":"","img":"0","pty":"","artist":"","genres":"","duration":"","spotId":"","Items":["-SADNE-","-SLOWSS-","OTHR","OTHR","XT_OffAnimals"]},</v>
      </c>
      <c r="AA1226" s="5" t="s">
        <v>5</v>
      </c>
      <c r="AB1226" s="3" t="str">
        <f t="shared" si="117"/>
        <v>["-SADNE-","-SLOWSS-","OTHR","OTHR","XT_OffAnimals"]</v>
      </c>
      <c r="AC1226" s="3">
        <f>_xlfn.XLOOKUP(A1226,Album!A:A,Album!J:J)</f>
        <v>0</v>
      </c>
      <c r="AD1226" s="3">
        <f>_xlfn.XLOOKUP(D1226,Artists!A:A,Artists!B:B)</f>
        <v>0</v>
      </c>
      <c r="AE1226" s="3">
        <f>_xlfn.XLOOKUP(D1226,Artists!A:A,Artists!C:C)</f>
        <v>0</v>
      </c>
      <c r="AF1226" s="3" t="str">
        <f t="shared" si="118"/>
        <v>OTHR</v>
      </c>
      <c r="AG1226" s="3" t="str">
        <f t="shared" si="119"/>
        <v>OTHR</v>
      </c>
    </row>
    <row r="1227" spans="24:33" x14ac:dyDescent="0.3">
      <c r="X1227" s="3" t="str">
        <f t="shared" si="114"/>
        <v>-SADNE-</v>
      </c>
      <c r="Y1227" s="3" t="str">
        <f t="shared" si="115"/>
        <v>-SLOWSS-</v>
      </c>
      <c r="Z1227" s="4" t="str">
        <f t="shared" si="116"/>
        <v>{"couname":"","img":"0","pty":"","artist":"","genres":"","duration":"","spotId":"","Items":["-SADNE-","-SLOWSS-","OTHR","OTHR","XT_OffAnimals"]},</v>
      </c>
      <c r="AA1227" s="5" t="s">
        <v>5</v>
      </c>
      <c r="AB1227" s="3" t="str">
        <f t="shared" si="117"/>
        <v>["-SADNE-","-SLOWSS-","OTHR","OTHR","XT_OffAnimals"]</v>
      </c>
      <c r="AC1227" s="3">
        <f>_xlfn.XLOOKUP(A1227,Album!A:A,Album!J:J)</f>
        <v>0</v>
      </c>
      <c r="AD1227" s="3">
        <f>_xlfn.XLOOKUP(D1227,Artists!A:A,Artists!B:B)</f>
        <v>0</v>
      </c>
      <c r="AE1227" s="3">
        <f>_xlfn.XLOOKUP(D1227,Artists!A:A,Artists!C:C)</f>
        <v>0</v>
      </c>
      <c r="AF1227" s="3" t="str">
        <f t="shared" si="118"/>
        <v>OTHR</v>
      </c>
      <c r="AG1227" s="3" t="str">
        <f t="shared" si="119"/>
        <v>OTHR</v>
      </c>
    </row>
    <row r="1228" spans="24:33" x14ac:dyDescent="0.3">
      <c r="X1228" s="3" t="str">
        <f t="shared" si="114"/>
        <v>-SADNE-</v>
      </c>
      <c r="Y1228" s="3" t="str">
        <f t="shared" si="115"/>
        <v>-SLOWSS-</v>
      </c>
      <c r="Z1228" s="4" t="str">
        <f t="shared" si="116"/>
        <v>{"couname":"","img":"0","pty":"","artist":"","genres":"","duration":"","spotId":"","Items":["-SADNE-","-SLOWSS-","OTHR","OTHR","XT_OffAnimals"]},</v>
      </c>
      <c r="AA1228" s="5" t="s">
        <v>5</v>
      </c>
      <c r="AB1228" s="3" t="str">
        <f t="shared" si="117"/>
        <v>["-SADNE-","-SLOWSS-","OTHR","OTHR","XT_OffAnimals"]</v>
      </c>
      <c r="AC1228" s="3">
        <f>_xlfn.XLOOKUP(A1228,Album!A:A,Album!J:J)</f>
        <v>0</v>
      </c>
      <c r="AD1228" s="3">
        <f>_xlfn.XLOOKUP(D1228,Artists!A:A,Artists!B:B)</f>
        <v>0</v>
      </c>
      <c r="AE1228" s="3">
        <f>_xlfn.XLOOKUP(D1228,Artists!A:A,Artists!C:C)</f>
        <v>0</v>
      </c>
      <c r="AF1228" s="3" t="str">
        <f t="shared" si="118"/>
        <v>OTHR</v>
      </c>
      <c r="AG1228" s="3" t="str">
        <f t="shared" si="119"/>
        <v>OTHR</v>
      </c>
    </row>
    <row r="1229" spans="24:33" x14ac:dyDescent="0.3">
      <c r="X1229" s="3" t="str">
        <f t="shared" si="114"/>
        <v>-SADNE-</v>
      </c>
      <c r="Y1229" s="3" t="str">
        <f t="shared" si="115"/>
        <v>-SLOWSS-</v>
      </c>
      <c r="Z1229" s="4" t="str">
        <f t="shared" si="116"/>
        <v>{"couname":"","img":"0","pty":"","artist":"","genres":"","duration":"","spotId":"","Items":["-SADNE-","-SLOWSS-","OTHR","OTHR","XT_OffAnimals"]},</v>
      </c>
      <c r="AA1229" s="5" t="s">
        <v>5</v>
      </c>
      <c r="AB1229" s="3" t="str">
        <f t="shared" si="117"/>
        <v>["-SADNE-","-SLOWSS-","OTHR","OTHR","XT_OffAnimals"]</v>
      </c>
      <c r="AC1229" s="3">
        <f>_xlfn.XLOOKUP(A1229,Album!A:A,Album!J:J)</f>
        <v>0</v>
      </c>
      <c r="AD1229" s="3">
        <f>_xlfn.XLOOKUP(D1229,Artists!A:A,Artists!B:B)</f>
        <v>0</v>
      </c>
      <c r="AE1229" s="3">
        <f>_xlfn.XLOOKUP(D1229,Artists!A:A,Artists!C:C)</f>
        <v>0</v>
      </c>
      <c r="AF1229" s="3" t="str">
        <f t="shared" si="118"/>
        <v>OTHR</v>
      </c>
      <c r="AG1229" s="3" t="str">
        <f t="shared" si="119"/>
        <v>OTHR</v>
      </c>
    </row>
    <row r="1230" spans="24:33" x14ac:dyDescent="0.3">
      <c r="X1230" s="3" t="str">
        <f t="shared" si="114"/>
        <v>-SADNE-</v>
      </c>
      <c r="Y1230" s="3" t="str">
        <f t="shared" si="115"/>
        <v>-SLOWSS-</v>
      </c>
      <c r="Z1230" s="4" t="str">
        <f t="shared" si="116"/>
        <v>{"couname":"","img":"0","pty":"","artist":"","genres":"","duration":"","spotId":"","Items":["-SADNE-","-SLOWSS-","OTHR","OTHR","XT_OffAnimals"]},</v>
      </c>
      <c r="AA1230" s="5" t="s">
        <v>5</v>
      </c>
      <c r="AB1230" s="3" t="str">
        <f t="shared" si="117"/>
        <v>["-SADNE-","-SLOWSS-","OTHR","OTHR","XT_OffAnimals"]</v>
      </c>
      <c r="AC1230" s="3">
        <f>_xlfn.XLOOKUP(A1230,Album!A:A,Album!J:J)</f>
        <v>0</v>
      </c>
      <c r="AD1230" s="3">
        <f>_xlfn.XLOOKUP(D1230,Artists!A:A,Artists!B:B)</f>
        <v>0</v>
      </c>
      <c r="AE1230" s="3">
        <f>_xlfn.XLOOKUP(D1230,Artists!A:A,Artists!C:C)</f>
        <v>0</v>
      </c>
      <c r="AF1230" s="3" t="str">
        <f t="shared" si="118"/>
        <v>OTHR</v>
      </c>
      <c r="AG1230" s="3" t="str">
        <f t="shared" si="119"/>
        <v>OTHR</v>
      </c>
    </row>
    <row r="1231" spans="24:33" x14ac:dyDescent="0.3">
      <c r="X1231" s="3" t="str">
        <f t="shared" si="114"/>
        <v>-SADNE-</v>
      </c>
      <c r="Y1231" s="3" t="str">
        <f t="shared" si="115"/>
        <v>-SLOWSS-</v>
      </c>
      <c r="Z1231" s="4" t="str">
        <f t="shared" si="116"/>
        <v>{"couname":"","img":"0","pty":"","artist":"","genres":"","duration":"","spotId":"","Items":["-SADNE-","-SLOWSS-","OTHR","OTHR","XT_OffAnimals"]},</v>
      </c>
      <c r="AA1231" s="5" t="s">
        <v>5</v>
      </c>
      <c r="AB1231" s="3" t="str">
        <f t="shared" si="117"/>
        <v>["-SADNE-","-SLOWSS-","OTHR","OTHR","XT_OffAnimals"]</v>
      </c>
      <c r="AC1231" s="3">
        <f>_xlfn.XLOOKUP(A1231,Album!A:A,Album!J:J)</f>
        <v>0</v>
      </c>
      <c r="AD1231" s="3">
        <f>_xlfn.XLOOKUP(D1231,Artists!A:A,Artists!B:B)</f>
        <v>0</v>
      </c>
      <c r="AE1231" s="3">
        <f>_xlfn.XLOOKUP(D1231,Artists!A:A,Artists!C:C)</f>
        <v>0</v>
      </c>
      <c r="AF1231" s="3" t="str">
        <f t="shared" si="118"/>
        <v>OTHR</v>
      </c>
      <c r="AG1231" s="3" t="str">
        <f t="shared" si="119"/>
        <v>OTHR</v>
      </c>
    </row>
    <row r="1232" spans="24:33" x14ac:dyDescent="0.3">
      <c r="X1232" s="3" t="str">
        <f t="shared" si="114"/>
        <v>-SADNE-</v>
      </c>
      <c r="Y1232" s="3" t="str">
        <f t="shared" si="115"/>
        <v>-SLOWSS-</v>
      </c>
      <c r="Z1232" s="4" t="str">
        <f t="shared" si="116"/>
        <v>{"couname":"","img":"0","pty":"","artist":"","genres":"","duration":"","spotId":"","Items":["-SADNE-","-SLOWSS-","OTHR","OTHR","XT_OffAnimals"]},</v>
      </c>
      <c r="AA1232" s="5" t="s">
        <v>5</v>
      </c>
      <c r="AB1232" s="3" t="str">
        <f t="shared" si="117"/>
        <v>["-SADNE-","-SLOWSS-","OTHR","OTHR","XT_OffAnimals"]</v>
      </c>
      <c r="AC1232" s="3">
        <f>_xlfn.XLOOKUP(A1232,Album!A:A,Album!J:J)</f>
        <v>0</v>
      </c>
      <c r="AD1232" s="3">
        <f>_xlfn.XLOOKUP(D1232,Artists!A:A,Artists!B:B)</f>
        <v>0</v>
      </c>
      <c r="AE1232" s="3">
        <f>_xlfn.XLOOKUP(D1232,Artists!A:A,Artists!C:C)</f>
        <v>0</v>
      </c>
      <c r="AF1232" s="3" t="str">
        <f t="shared" si="118"/>
        <v>OTHR</v>
      </c>
      <c r="AG1232" s="3" t="str">
        <f t="shared" si="119"/>
        <v>OTHR</v>
      </c>
    </row>
    <row r="1233" spans="24:33" x14ac:dyDescent="0.3">
      <c r="X1233" s="3" t="str">
        <f t="shared" si="114"/>
        <v>-SADNE-</v>
      </c>
      <c r="Y1233" s="3" t="str">
        <f t="shared" si="115"/>
        <v>-SLOWSS-</v>
      </c>
      <c r="Z1233" s="4" t="str">
        <f t="shared" si="116"/>
        <v>{"couname":"","img":"0","pty":"","artist":"","genres":"","duration":"","spotId":"","Items":["-SADNE-","-SLOWSS-","OTHR","OTHR","XT_OffAnimals"]},</v>
      </c>
      <c r="AA1233" s="5" t="s">
        <v>5</v>
      </c>
      <c r="AB1233" s="3" t="str">
        <f t="shared" si="117"/>
        <v>["-SADNE-","-SLOWSS-","OTHR","OTHR","XT_OffAnimals"]</v>
      </c>
      <c r="AC1233" s="3">
        <f>_xlfn.XLOOKUP(A1233,Album!A:A,Album!J:J)</f>
        <v>0</v>
      </c>
      <c r="AD1233" s="3">
        <f>_xlfn.XLOOKUP(D1233,Artists!A:A,Artists!B:B)</f>
        <v>0</v>
      </c>
      <c r="AE1233" s="3">
        <f>_xlfn.XLOOKUP(D1233,Artists!A:A,Artists!C:C)</f>
        <v>0</v>
      </c>
      <c r="AF1233" s="3" t="str">
        <f t="shared" si="118"/>
        <v>OTHR</v>
      </c>
      <c r="AG1233" s="3" t="str">
        <f t="shared" si="119"/>
        <v>OTHR</v>
      </c>
    </row>
    <row r="1234" spans="24:33" x14ac:dyDescent="0.3">
      <c r="X1234" s="3" t="str">
        <f t="shared" si="114"/>
        <v>-SADNE-</v>
      </c>
      <c r="Y1234" s="3" t="str">
        <f t="shared" si="115"/>
        <v>-SLOWSS-</v>
      </c>
      <c r="Z1234" s="4" t="str">
        <f t="shared" si="116"/>
        <v>{"couname":"","img":"0","pty":"","artist":"","genres":"","duration":"","spotId":"","Items":["-SADNE-","-SLOWSS-","OTHR","OTHR","XT_OffAnimals"]},</v>
      </c>
      <c r="AA1234" s="5" t="s">
        <v>5</v>
      </c>
      <c r="AB1234" s="3" t="str">
        <f t="shared" si="117"/>
        <v>["-SADNE-","-SLOWSS-","OTHR","OTHR","XT_OffAnimals"]</v>
      </c>
      <c r="AC1234" s="3">
        <f>_xlfn.XLOOKUP(A1234,Album!A:A,Album!J:J)</f>
        <v>0</v>
      </c>
      <c r="AD1234" s="3">
        <f>_xlfn.XLOOKUP(D1234,Artists!A:A,Artists!B:B)</f>
        <v>0</v>
      </c>
      <c r="AE1234" s="3">
        <f>_xlfn.XLOOKUP(D1234,Artists!A:A,Artists!C:C)</f>
        <v>0</v>
      </c>
      <c r="AF1234" s="3" t="str">
        <f t="shared" si="118"/>
        <v>OTHR</v>
      </c>
      <c r="AG1234" s="3" t="str">
        <f t="shared" si="119"/>
        <v>OTHR</v>
      </c>
    </row>
    <row r="1235" spans="24:33" x14ac:dyDescent="0.3">
      <c r="X1235" s="3" t="str">
        <f t="shared" si="114"/>
        <v>-SADNE-</v>
      </c>
      <c r="Y1235" s="3" t="str">
        <f t="shared" si="115"/>
        <v>-SLOWSS-</v>
      </c>
      <c r="Z1235" s="4" t="str">
        <f t="shared" si="116"/>
        <v>{"couname":"","img":"0","pty":"","artist":"","genres":"","duration":"","spotId":"","Items":["-SADNE-","-SLOWSS-","OTHR","OTHR","XT_OffAnimals"]},</v>
      </c>
      <c r="AA1235" s="5" t="s">
        <v>5</v>
      </c>
      <c r="AB1235" s="3" t="str">
        <f t="shared" si="117"/>
        <v>["-SADNE-","-SLOWSS-","OTHR","OTHR","XT_OffAnimals"]</v>
      </c>
      <c r="AC1235" s="3">
        <f>_xlfn.XLOOKUP(A1235,Album!A:A,Album!J:J)</f>
        <v>0</v>
      </c>
      <c r="AD1235" s="3">
        <f>_xlfn.XLOOKUP(D1235,Artists!A:A,Artists!B:B)</f>
        <v>0</v>
      </c>
      <c r="AE1235" s="3">
        <f>_xlfn.XLOOKUP(D1235,Artists!A:A,Artists!C:C)</f>
        <v>0</v>
      </c>
      <c r="AF1235" s="3" t="str">
        <f t="shared" si="118"/>
        <v>OTHR</v>
      </c>
      <c r="AG1235" s="3" t="str">
        <f t="shared" si="119"/>
        <v>OTHR</v>
      </c>
    </row>
    <row r="1236" spans="24:33" x14ac:dyDescent="0.3">
      <c r="X1236" s="3" t="str">
        <f t="shared" si="114"/>
        <v>-SADNE-</v>
      </c>
      <c r="Y1236" s="3" t="str">
        <f t="shared" si="115"/>
        <v>-SLOWSS-</v>
      </c>
      <c r="Z1236" s="4" t="str">
        <f t="shared" si="116"/>
        <v>{"couname":"","img":"0","pty":"","artist":"","genres":"","duration":"","spotId":"","Items":["-SADNE-","-SLOWSS-","OTHR","OTHR","XT_OffAnimals"]},</v>
      </c>
      <c r="AA1236" s="5" t="s">
        <v>5</v>
      </c>
      <c r="AB1236" s="3" t="str">
        <f t="shared" si="117"/>
        <v>["-SADNE-","-SLOWSS-","OTHR","OTHR","XT_OffAnimals"]</v>
      </c>
      <c r="AC1236" s="3">
        <f>_xlfn.XLOOKUP(A1236,Album!A:A,Album!J:J)</f>
        <v>0</v>
      </c>
      <c r="AD1236" s="3">
        <f>_xlfn.XLOOKUP(D1236,Artists!A:A,Artists!B:B)</f>
        <v>0</v>
      </c>
      <c r="AE1236" s="3">
        <f>_xlfn.XLOOKUP(D1236,Artists!A:A,Artists!C:C)</f>
        <v>0</v>
      </c>
      <c r="AF1236" s="3" t="str">
        <f t="shared" si="118"/>
        <v>OTHR</v>
      </c>
      <c r="AG1236" s="3" t="str">
        <f t="shared" si="119"/>
        <v>OTHR</v>
      </c>
    </row>
    <row r="1237" spans="24:33" x14ac:dyDescent="0.3">
      <c r="X1237" s="3" t="str">
        <f t="shared" si="114"/>
        <v>-SADNE-</v>
      </c>
      <c r="Y1237" s="3" t="str">
        <f t="shared" si="115"/>
        <v>-SLOWSS-</v>
      </c>
      <c r="Z1237" s="4" t="str">
        <f t="shared" si="116"/>
        <v>{"couname":"","img":"0","pty":"","artist":"","genres":"","duration":"","spotId":"","Items":["-SADNE-","-SLOWSS-","OTHR","OTHR","XT_OffAnimals"]},</v>
      </c>
      <c r="AA1237" s="5" t="s">
        <v>5</v>
      </c>
      <c r="AB1237" s="3" t="str">
        <f t="shared" si="117"/>
        <v>["-SADNE-","-SLOWSS-","OTHR","OTHR","XT_OffAnimals"]</v>
      </c>
      <c r="AC1237" s="3">
        <f>_xlfn.XLOOKUP(A1237,Album!A:A,Album!J:J)</f>
        <v>0</v>
      </c>
      <c r="AD1237" s="3">
        <f>_xlfn.XLOOKUP(D1237,Artists!A:A,Artists!B:B)</f>
        <v>0</v>
      </c>
      <c r="AE1237" s="3">
        <f>_xlfn.XLOOKUP(D1237,Artists!A:A,Artists!C:C)</f>
        <v>0</v>
      </c>
      <c r="AF1237" s="3" t="str">
        <f t="shared" si="118"/>
        <v>OTHR</v>
      </c>
      <c r="AG1237" s="3" t="str">
        <f t="shared" si="119"/>
        <v>OTHR</v>
      </c>
    </row>
    <row r="1238" spans="24:33" x14ac:dyDescent="0.3">
      <c r="X1238" s="3" t="str">
        <f t="shared" si="114"/>
        <v>-SADNE-</v>
      </c>
      <c r="Y1238" s="3" t="str">
        <f t="shared" si="115"/>
        <v>-SLOWSS-</v>
      </c>
      <c r="Z1238" s="4" t="str">
        <f t="shared" si="116"/>
        <v>{"couname":"","img":"0","pty":"","artist":"","genres":"","duration":"","spotId":"","Items":["-SADNE-","-SLOWSS-","OTHR","OTHR","XT_OffAnimals"]},</v>
      </c>
      <c r="AA1238" s="5" t="s">
        <v>5</v>
      </c>
      <c r="AB1238" s="3" t="str">
        <f t="shared" si="117"/>
        <v>["-SADNE-","-SLOWSS-","OTHR","OTHR","XT_OffAnimals"]</v>
      </c>
      <c r="AC1238" s="3">
        <f>_xlfn.XLOOKUP(A1238,Album!A:A,Album!J:J)</f>
        <v>0</v>
      </c>
      <c r="AD1238" s="3">
        <f>_xlfn.XLOOKUP(D1238,Artists!A:A,Artists!B:B)</f>
        <v>0</v>
      </c>
      <c r="AE1238" s="3">
        <f>_xlfn.XLOOKUP(D1238,Artists!A:A,Artists!C:C)</f>
        <v>0</v>
      </c>
      <c r="AF1238" s="3" t="str">
        <f t="shared" si="118"/>
        <v>OTHR</v>
      </c>
      <c r="AG1238" s="3" t="str">
        <f t="shared" si="119"/>
        <v>OTHR</v>
      </c>
    </row>
    <row r="1239" spans="24:33" x14ac:dyDescent="0.3">
      <c r="X1239" s="3" t="str">
        <f t="shared" si="114"/>
        <v>-SADNE-</v>
      </c>
      <c r="Y1239" s="3" t="str">
        <f t="shared" si="115"/>
        <v>-SLOWSS-</v>
      </c>
      <c r="Z1239" s="4" t="str">
        <f t="shared" si="116"/>
        <v>{"couname":"","img":"0","pty":"","artist":"","genres":"","duration":"","spotId":"","Items":["-SADNE-","-SLOWSS-","OTHR","OTHR","XT_OffAnimals"]},</v>
      </c>
      <c r="AA1239" s="5" t="s">
        <v>5</v>
      </c>
      <c r="AB1239" s="3" t="str">
        <f t="shared" si="117"/>
        <v>["-SADNE-","-SLOWSS-","OTHR","OTHR","XT_OffAnimals"]</v>
      </c>
      <c r="AC1239" s="3">
        <f>_xlfn.XLOOKUP(A1239,Album!A:A,Album!J:J)</f>
        <v>0</v>
      </c>
      <c r="AD1239" s="3">
        <f>_xlfn.XLOOKUP(D1239,Artists!A:A,Artists!B:B)</f>
        <v>0</v>
      </c>
      <c r="AE1239" s="3">
        <f>_xlfn.XLOOKUP(D1239,Artists!A:A,Artists!C:C)</f>
        <v>0</v>
      </c>
      <c r="AF1239" s="3" t="str">
        <f t="shared" si="118"/>
        <v>OTHR</v>
      </c>
      <c r="AG1239" s="3" t="str">
        <f t="shared" si="119"/>
        <v>OTHR</v>
      </c>
    </row>
    <row r="1240" spans="24:33" x14ac:dyDescent="0.3">
      <c r="X1240" s="3" t="str">
        <f t="shared" si="114"/>
        <v>-SADNE-</v>
      </c>
      <c r="Y1240" s="3" t="str">
        <f t="shared" si="115"/>
        <v>-SLOWSS-</v>
      </c>
      <c r="Z1240" s="4" t="str">
        <f t="shared" si="116"/>
        <v>{"couname":"","img":"0","pty":"","artist":"","genres":"","duration":"","spotId":"","Items":["-SADNE-","-SLOWSS-","OTHR","OTHR","XT_OffAnimals"]},</v>
      </c>
      <c r="AA1240" s="5" t="s">
        <v>5</v>
      </c>
      <c r="AB1240" s="3" t="str">
        <f t="shared" si="117"/>
        <v>["-SADNE-","-SLOWSS-","OTHR","OTHR","XT_OffAnimals"]</v>
      </c>
      <c r="AC1240" s="3">
        <f>_xlfn.XLOOKUP(A1240,Album!A:A,Album!J:J)</f>
        <v>0</v>
      </c>
      <c r="AD1240" s="3">
        <f>_xlfn.XLOOKUP(D1240,Artists!A:A,Artists!B:B)</f>
        <v>0</v>
      </c>
      <c r="AE1240" s="3">
        <f>_xlfn.XLOOKUP(D1240,Artists!A:A,Artists!C:C)</f>
        <v>0</v>
      </c>
      <c r="AF1240" s="3" t="str">
        <f t="shared" si="118"/>
        <v>OTHR</v>
      </c>
      <c r="AG1240" s="3" t="str">
        <f t="shared" si="119"/>
        <v>OTHR</v>
      </c>
    </row>
    <row r="1241" spans="24:33" x14ac:dyDescent="0.3">
      <c r="X1241" s="3" t="str">
        <f t="shared" si="114"/>
        <v>-SADNE-</v>
      </c>
      <c r="Y1241" s="3" t="str">
        <f t="shared" si="115"/>
        <v>-SLOWSS-</v>
      </c>
      <c r="Z1241" s="4" t="str">
        <f t="shared" si="116"/>
        <v>{"couname":"","img":"0","pty":"","artist":"","genres":"","duration":"","spotId":"","Items":["-SADNE-","-SLOWSS-","OTHR","OTHR","XT_OffAnimals"]},</v>
      </c>
      <c r="AA1241" s="5" t="s">
        <v>5</v>
      </c>
      <c r="AB1241" s="3" t="str">
        <f t="shared" si="117"/>
        <v>["-SADNE-","-SLOWSS-","OTHR","OTHR","XT_OffAnimals"]</v>
      </c>
      <c r="AC1241" s="3">
        <f>_xlfn.XLOOKUP(A1241,Album!A:A,Album!J:J)</f>
        <v>0</v>
      </c>
      <c r="AD1241" s="3">
        <f>_xlfn.XLOOKUP(D1241,Artists!A:A,Artists!B:B)</f>
        <v>0</v>
      </c>
      <c r="AE1241" s="3">
        <f>_xlfn.XLOOKUP(D1241,Artists!A:A,Artists!C:C)</f>
        <v>0</v>
      </c>
      <c r="AF1241" s="3" t="str">
        <f t="shared" si="118"/>
        <v>OTHR</v>
      </c>
      <c r="AG1241" s="3" t="str">
        <f t="shared" si="119"/>
        <v>OTHR</v>
      </c>
    </row>
    <row r="1242" spans="24:33" x14ac:dyDescent="0.3">
      <c r="X1242" s="3" t="str">
        <f t="shared" si="114"/>
        <v>-SADNE-</v>
      </c>
      <c r="Y1242" s="3" t="str">
        <f t="shared" si="115"/>
        <v>-SLOWSS-</v>
      </c>
      <c r="Z1242" s="4" t="str">
        <f t="shared" si="116"/>
        <v>{"couname":"","img":"0","pty":"","artist":"","genres":"","duration":"","spotId":"","Items":["-SADNE-","-SLOWSS-","OTHR","OTHR","XT_OffAnimals"]},</v>
      </c>
      <c r="AA1242" s="5" t="s">
        <v>5</v>
      </c>
      <c r="AB1242" s="3" t="str">
        <f t="shared" si="117"/>
        <v>["-SADNE-","-SLOWSS-","OTHR","OTHR","XT_OffAnimals"]</v>
      </c>
      <c r="AC1242" s="3">
        <f>_xlfn.XLOOKUP(A1242,Album!A:A,Album!J:J)</f>
        <v>0</v>
      </c>
      <c r="AD1242" s="3">
        <f>_xlfn.XLOOKUP(D1242,Artists!A:A,Artists!B:B)</f>
        <v>0</v>
      </c>
      <c r="AE1242" s="3">
        <f>_xlfn.XLOOKUP(D1242,Artists!A:A,Artists!C:C)</f>
        <v>0</v>
      </c>
      <c r="AF1242" s="3" t="str">
        <f t="shared" si="118"/>
        <v>OTHR</v>
      </c>
      <c r="AG1242" s="3" t="str">
        <f t="shared" si="119"/>
        <v>OTHR</v>
      </c>
    </row>
    <row r="1243" spans="24:33" x14ac:dyDescent="0.3">
      <c r="X1243" s="3" t="str">
        <f t="shared" si="114"/>
        <v>-SADNE-</v>
      </c>
      <c r="Y1243" s="3" t="str">
        <f t="shared" si="115"/>
        <v>-SLOWSS-</v>
      </c>
      <c r="Z1243" s="4" t="str">
        <f t="shared" si="116"/>
        <v>{"couname":"","img":"0","pty":"","artist":"","genres":"","duration":"","spotId":"","Items":["-SADNE-","-SLOWSS-","OTHR","OTHR","XT_OffAnimals"]},</v>
      </c>
      <c r="AA1243" s="5" t="s">
        <v>5</v>
      </c>
      <c r="AB1243" s="3" t="str">
        <f t="shared" si="117"/>
        <v>["-SADNE-","-SLOWSS-","OTHR","OTHR","XT_OffAnimals"]</v>
      </c>
      <c r="AC1243" s="3">
        <f>_xlfn.XLOOKUP(A1243,Album!A:A,Album!J:J)</f>
        <v>0</v>
      </c>
      <c r="AD1243" s="3">
        <f>_xlfn.XLOOKUP(D1243,Artists!A:A,Artists!B:B)</f>
        <v>0</v>
      </c>
      <c r="AE1243" s="3">
        <f>_xlfn.XLOOKUP(D1243,Artists!A:A,Artists!C:C)</f>
        <v>0</v>
      </c>
      <c r="AF1243" s="3" t="str">
        <f t="shared" si="118"/>
        <v>OTHR</v>
      </c>
      <c r="AG1243" s="3" t="str">
        <f t="shared" si="119"/>
        <v>OTHR</v>
      </c>
    </row>
    <row r="1244" spans="24:33" x14ac:dyDescent="0.3">
      <c r="X1244" s="3" t="str">
        <f t="shared" si="114"/>
        <v>-SADNE-</v>
      </c>
      <c r="Y1244" s="3" t="str">
        <f t="shared" si="115"/>
        <v>-SLOWSS-</v>
      </c>
      <c r="Z1244" s="4" t="str">
        <f t="shared" si="116"/>
        <v>{"couname":"","img":"0","pty":"","artist":"","genres":"","duration":"","spotId":"","Items":["-SADNE-","-SLOWSS-","OTHR","OTHR","XT_OffAnimals"]},</v>
      </c>
      <c r="AA1244" s="5" t="s">
        <v>5</v>
      </c>
      <c r="AB1244" s="3" t="str">
        <f t="shared" si="117"/>
        <v>["-SADNE-","-SLOWSS-","OTHR","OTHR","XT_OffAnimals"]</v>
      </c>
      <c r="AC1244" s="3">
        <f>_xlfn.XLOOKUP(A1244,Album!A:A,Album!J:J)</f>
        <v>0</v>
      </c>
      <c r="AD1244" s="3">
        <f>_xlfn.XLOOKUP(D1244,Artists!A:A,Artists!B:B)</f>
        <v>0</v>
      </c>
      <c r="AE1244" s="3">
        <f>_xlfn.XLOOKUP(D1244,Artists!A:A,Artists!C:C)</f>
        <v>0</v>
      </c>
      <c r="AF1244" s="3" t="str">
        <f t="shared" si="118"/>
        <v>OTHR</v>
      </c>
      <c r="AG1244" s="3" t="str">
        <f t="shared" si="119"/>
        <v>OTHR</v>
      </c>
    </row>
    <row r="1245" spans="24:33" x14ac:dyDescent="0.3">
      <c r="X1245" s="3" t="str">
        <f t="shared" si="114"/>
        <v>-SADNE-</v>
      </c>
      <c r="Y1245" s="3" t="str">
        <f t="shared" si="115"/>
        <v>-SLOWSS-</v>
      </c>
      <c r="Z1245" s="4" t="str">
        <f t="shared" si="116"/>
        <v>{"couname":"","img":"0","pty":"","artist":"","genres":"","duration":"","spotId":"","Items":["-SADNE-","-SLOWSS-","OTHR","OTHR","XT_OffAnimals"]},</v>
      </c>
      <c r="AA1245" s="5" t="s">
        <v>5</v>
      </c>
      <c r="AB1245" s="3" t="str">
        <f t="shared" si="117"/>
        <v>["-SADNE-","-SLOWSS-","OTHR","OTHR","XT_OffAnimals"]</v>
      </c>
      <c r="AC1245" s="3">
        <f>_xlfn.XLOOKUP(A1245,Album!A:A,Album!J:J)</f>
        <v>0</v>
      </c>
      <c r="AD1245" s="3">
        <f>_xlfn.XLOOKUP(D1245,Artists!A:A,Artists!B:B)</f>
        <v>0</v>
      </c>
      <c r="AE1245" s="3">
        <f>_xlfn.XLOOKUP(D1245,Artists!A:A,Artists!C:C)</f>
        <v>0</v>
      </c>
      <c r="AF1245" s="3" t="str">
        <f t="shared" si="118"/>
        <v>OTHR</v>
      </c>
      <c r="AG1245" s="3" t="str">
        <f t="shared" si="119"/>
        <v>OTHR</v>
      </c>
    </row>
    <row r="1246" spans="24:33" x14ac:dyDescent="0.3">
      <c r="X1246" s="3" t="str">
        <f t="shared" si="114"/>
        <v>-SADNE-</v>
      </c>
      <c r="Y1246" s="3" t="str">
        <f t="shared" si="115"/>
        <v>-SLOWSS-</v>
      </c>
      <c r="Z1246" s="4" t="str">
        <f t="shared" si="116"/>
        <v>{"couname":"","img":"0","pty":"","artist":"","genres":"","duration":"","spotId":"","Items":["-SADNE-","-SLOWSS-","OTHR","OTHR","XT_OffAnimals"]},</v>
      </c>
      <c r="AA1246" s="5" t="s">
        <v>5</v>
      </c>
      <c r="AB1246" s="3" t="str">
        <f t="shared" si="117"/>
        <v>["-SADNE-","-SLOWSS-","OTHR","OTHR","XT_OffAnimals"]</v>
      </c>
      <c r="AC1246" s="3">
        <f>_xlfn.XLOOKUP(A1246,Album!A:A,Album!J:J)</f>
        <v>0</v>
      </c>
      <c r="AD1246" s="3">
        <f>_xlfn.XLOOKUP(D1246,Artists!A:A,Artists!B:B)</f>
        <v>0</v>
      </c>
      <c r="AE1246" s="3">
        <f>_xlfn.XLOOKUP(D1246,Artists!A:A,Artists!C:C)</f>
        <v>0</v>
      </c>
      <c r="AF1246" s="3" t="str">
        <f t="shared" si="118"/>
        <v>OTHR</v>
      </c>
      <c r="AG1246" s="3" t="str">
        <f t="shared" si="119"/>
        <v>OTHR</v>
      </c>
    </row>
    <row r="1247" spans="24:33" x14ac:dyDescent="0.3">
      <c r="X1247" s="3" t="str">
        <f t="shared" si="114"/>
        <v>-SADNE-</v>
      </c>
      <c r="Y1247" s="3" t="str">
        <f t="shared" si="115"/>
        <v>-SLOWSS-</v>
      </c>
      <c r="Z1247" s="4" t="str">
        <f t="shared" si="116"/>
        <v>{"couname":"","img":"0","pty":"","artist":"","genres":"","duration":"","spotId":"","Items":["-SADNE-","-SLOWSS-","OTHR","OTHR","XT_OffAnimals"]},</v>
      </c>
      <c r="AA1247" s="5" t="s">
        <v>5</v>
      </c>
      <c r="AB1247" s="3" t="str">
        <f t="shared" si="117"/>
        <v>["-SADNE-","-SLOWSS-","OTHR","OTHR","XT_OffAnimals"]</v>
      </c>
      <c r="AC1247" s="3">
        <f>_xlfn.XLOOKUP(A1247,Album!A:A,Album!J:J)</f>
        <v>0</v>
      </c>
      <c r="AD1247" s="3">
        <f>_xlfn.XLOOKUP(D1247,Artists!A:A,Artists!B:B)</f>
        <v>0</v>
      </c>
      <c r="AE1247" s="3">
        <f>_xlfn.XLOOKUP(D1247,Artists!A:A,Artists!C:C)</f>
        <v>0</v>
      </c>
      <c r="AF1247" s="3" t="str">
        <f t="shared" si="118"/>
        <v>OTHR</v>
      </c>
      <c r="AG1247" s="3" t="str">
        <f t="shared" si="119"/>
        <v>OTHR</v>
      </c>
    </row>
    <row r="1248" spans="24:33" x14ac:dyDescent="0.3">
      <c r="X1248" s="3" t="str">
        <f t="shared" si="114"/>
        <v>-SADNE-</v>
      </c>
      <c r="Y1248" s="3" t="str">
        <f t="shared" si="115"/>
        <v>-SLOWSS-</v>
      </c>
      <c r="Z1248" s="4" t="str">
        <f t="shared" si="116"/>
        <v>{"couname":"","img":"0","pty":"","artist":"","genres":"","duration":"","spotId":"","Items":["-SADNE-","-SLOWSS-","OTHR","OTHR","XT_OffAnimals"]},</v>
      </c>
      <c r="AA1248" s="5" t="s">
        <v>5</v>
      </c>
      <c r="AB1248" s="3" t="str">
        <f t="shared" si="117"/>
        <v>["-SADNE-","-SLOWSS-","OTHR","OTHR","XT_OffAnimals"]</v>
      </c>
      <c r="AC1248" s="3">
        <f>_xlfn.XLOOKUP(A1248,Album!A:A,Album!J:J)</f>
        <v>0</v>
      </c>
      <c r="AD1248" s="3">
        <f>_xlfn.XLOOKUP(D1248,Artists!A:A,Artists!B:B)</f>
        <v>0</v>
      </c>
      <c r="AE1248" s="3">
        <f>_xlfn.XLOOKUP(D1248,Artists!A:A,Artists!C:C)</f>
        <v>0</v>
      </c>
      <c r="AF1248" s="3" t="str">
        <f t="shared" si="118"/>
        <v>OTHR</v>
      </c>
      <c r="AG1248" s="3" t="str">
        <f t="shared" si="119"/>
        <v>OTHR</v>
      </c>
    </row>
    <row r="1249" spans="24:33" x14ac:dyDescent="0.3">
      <c r="X1249" s="3" t="str">
        <f t="shared" si="114"/>
        <v>-SADNE-</v>
      </c>
      <c r="Y1249" s="3" t="str">
        <f t="shared" si="115"/>
        <v>-SLOWSS-</v>
      </c>
      <c r="Z1249" s="4" t="str">
        <f t="shared" si="116"/>
        <v>{"couname":"","img":"0","pty":"","artist":"","genres":"","duration":"","spotId":"","Items":["-SADNE-","-SLOWSS-","OTHR","OTHR","XT_OffAnimals"]},</v>
      </c>
      <c r="AA1249" s="5" t="s">
        <v>5</v>
      </c>
      <c r="AB1249" s="3" t="str">
        <f t="shared" si="117"/>
        <v>["-SADNE-","-SLOWSS-","OTHR","OTHR","XT_OffAnimals"]</v>
      </c>
      <c r="AC1249" s="3">
        <f>_xlfn.XLOOKUP(A1249,Album!A:A,Album!J:J)</f>
        <v>0</v>
      </c>
      <c r="AD1249" s="3">
        <f>_xlfn.XLOOKUP(D1249,Artists!A:A,Artists!B:B)</f>
        <v>0</v>
      </c>
      <c r="AE1249" s="3">
        <f>_xlfn.XLOOKUP(D1249,Artists!A:A,Artists!C:C)</f>
        <v>0</v>
      </c>
      <c r="AF1249" s="3" t="str">
        <f t="shared" si="118"/>
        <v>OTHR</v>
      </c>
      <c r="AG1249" s="3" t="str">
        <f t="shared" si="119"/>
        <v>OTHR</v>
      </c>
    </row>
    <row r="1250" spans="24:33" x14ac:dyDescent="0.3">
      <c r="X1250" s="3" t="str">
        <f t="shared" si="114"/>
        <v>-SADNE-</v>
      </c>
      <c r="Y1250" s="3" t="str">
        <f t="shared" si="115"/>
        <v>-SLOWSS-</v>
      </c>
      <c r="Z1250" s="4" t="str">
        <f t="shared" si="116"/>
        <v>{"couname":"","img":"0","pty":"","artist":"","genres":"","duration":"","spotId":"","Items":["-SADNE-","-SLOWSS-","OTHR","OTHR","XT_OffAnimals"]},</v>
      </c>
      <c r="AA1250" s="5" t="s">
        <v>5</v>
      </c>
      <c r="AB1250" s="3" t="str">
        <f t="shared" si="117"/>
        <v>["-SADNE-","-SLOWSS-","OTHR","OTHR","XT_OffAnimals"]</v>
      </c>
      <c r="AC1250" s="3">
        <f>_xlfn.XLOOKUP(A1250,Album!A:A,Album!J:J)</f>
        <v>0</v>
      </c>
      <c r="AD1250" s="3">
        <f>_xlfn.XLOOKUP(D1250,Artists!A:A,Artists!B:B)</f>
        <v>0</v>
      </c>
      <c r="AE1250" s="3">
        <f>_xlfn.XLOOKUP(D1250,Artists!A:A,Artists!C:C)</f>
        <v>0</v>
      </c>
      <c r="AF1250" s="3" t="str">
        <f t="shared" si="118"/>
        <v>OTHR</v>
      </c>
      <c r="AG1250" s="3" t="str">
        <f t="shared" si="119"/>
        <v>OTHR</v>
      </c>
    </row>
    <row r="1251" spans="24:33" x14ac:dyDescent="0.3">
      <c r="X1251" s="3" t="str">
        <f t="shared" si="114"/>
        <v>-SADNE-</v>
      </c>
      <c r="Y1251" s="3" t="str">
        <f t="shared" si="115"/>
        <v>-SLOWSS-</v>
      </c>
      <c r="Z1251" s="4" t="str">
        <f t="shared" si="116"/>
        <v>{"couname":"","img":"0","pty":"","artist":"","genres":"","duration":"","spotId":"","Items":["-SADNE-","-SLOWSS-","OTHR","OTHR","XT_OffAnimals"]},</v>
      </c>
      <c r="AA1251" s="5" t="s">
        <v>5</v>
      </c>
      <c r="AB1251" s="3" t="str">
        <f t="shared" si="117"/>
        <v>["-SADNE-","-SLOWSS-","OTHR","OTHR","XT_OffAnimals"]</v>
      </c>
      <c r="AC1251" s="3">
        <f>_xlfn.XLOOKUP(A1251,Album!A:A,Album!J:J)</f>
        <v>0</v>
      </c>
      <c r="AD1251" s="3">
        <f>_xlfn.XLOOKUP(D1251,Artists!A:A,Artists!B:B)</f>
        <v>0</v>
      </c>
      <c r="AE1251" s="3">
        <f>_xlfn.XLOOKUP(D1251,Artists!A:A,Artists!C:C)</f>
        <v>0</v>
      </c>
      <c r="AF1251" s="3" t="str">
        <f t="shared" si="118"/>
        <v>OTHR</v>
      </c>
      <c r="AG1251" s="3" t="str">
        <f t="shared" si="119"/>
        <v>OTHR</v>
      </c>
    </row>
    <row r="1252" spans="24:33" x14ac:dyDescent="0.3">
      <c r="X1252" s="3" t="str">
        <f t="shared" si="114"/>
        <v>-SADNE-</v>
      </c>
      <c r="Y1252" s="3" t="str">
        <f t="shared" si="115"/>
        <v>-SLOWSS-</v>
      </c>
      <c r="Z1252" s="4" t="str">
        <f t="shared" si="116"/>
        <v>{"couname":"","img":"0","pty":"","artist":"","genres":"","duration":"","spotId":"","Items":["-SADNE-","-SLOWSS-","OTHR","OTHR","XT_OffAnimals"]},</v>
      </c>
      <c r="AA1252" s="5" t="s">
        <v>5</v>
      </c>
      <c r="AB1252" s="3" t="str">
        <f t="shared" si="117"/>
        <v>["-SADNE-","-SLOWSS-","OTHR","OTHR","XT_OffAnimals"]</v>
      </c>
      <c r="AC1252" s="3">
        <f>_xlfn.XLOOKUP(A1252,Album!A:A,Album!J:J)</f>
        <v>0</v>
      </c>
      <c r="AD1252" s="3">
        <f>_xlfn.XLOOKUP(D1252,Artists!A:A,Artists!B:B)</f>
        <v>0</v>
      </c>
      <c r="AE1252" s="3">
        <f>_xlfn.XLOOKUP(D1252,Artists!A:A,Artists!C:C)</f>
        <v>0</v>
      </c>
      <c r="AF1252" s="3" t="str">
        <f t="shared" si="118"/>
        <v>OTHR</v>
      </c>
      <c r="AG1252" s="3" t="str">
        <f t="shared" si="119"/>
        <v>OTHR</v>
      </c>
    </row>
    <row r="1253" spans="24:33" x14ac:dyDescent="0.3">
      <c r="X1253" s="3" t="str">
        <f t="shared" si="114"/>
        <v>-SADNE-</v>
      </c>
      <c r="Y1253" s="3" t="str">
        <f t="shared" si="115"/>
        <v>-SLOWSS-</v>
      </c>
      <c r="Z1253" s="4" t="str">
        <f t="shared" si="116"/>
        <v>{"couname":"","img":"0","pty":"","artist":"","genres":"","duration":"","spotId":"","Items":["-SADNE-","-SLOWSS-","OTHR","OTHR","XT_OffAnimals"]},</v>
      </c>
      <c r="AA1253" s="5" t="s">
        <v>5</v>
      </c>
      <c r="AB1253" s="3" t="str">
        <f t="shared" si="117"/>
        <v>["-SADNE-","-SLOWSS-","OTHR","OTHR","XT_OffAnimals"]</v>
      </c>
      <c r="AC1253" s="3">
        <f>_xlfn.XLOOKUP(A1253,Album!A:A,Album!J:J)</f>
        <v>0</v>
      </c>
      <c r="AD1253" s="3">
        <f>_xlfn.XLOOKUP(D1253,Artists!A:A,Artists!B:B)</f>
        <v>0</v>
      </c>
      <c r="AE1253" s="3">
        <f>_xlfn.XLOOKUP(D1253,Artists!A:A,Artists!C:C)</f>
        <v>0</v>
      </c>
      <c r="AF1253" s="3" t="str">
        <f t="shared" si="118"/>
        <v>OTHR</v>
      </c>
      <c r="AG1253" s="3" t="str">
        <f t="shared" si="119"/>
        <v>OTHR</v>
      </c>
    </row>
    <row r="1254" spans="24:33" x14ac:dyDescent="0.3">
      <c r="X1254" s="3" t="str">
        <f t="shared" si="114"/>
        <v>-SADNE-</v>
      </c>
      <c r="Y1254" s="3" t="str">
        <f t="shared" si="115"/>
        <v>-SLOWSS-</v>
      </c>
      <c r="Z1254" s="4" t="str">
        <f t="shared" si="116"/>
        <v>{"couname":"","img":"0","pty":"","artist":"","genres":"","duration":"","spotId":"","Items":["-SADNE-","-SLOWSS-","OTHR","OTHR","XT_OffAnimals"]},</v>
      </c>
      <c r="AA1254" s="5" t="s">
        <v>5</v>
      </c>
      <c r="AB1254" s="3" t="str">
        <f t="shared" si="117"/>
        <v>["-SADNE-","-SLOWSS-","OTHR","OTHR","XT_OffAnimals"]</v>
      </c>
      <c r="AC1254" s="3">
        <f>_xlfn.XLOOKUP(A1254,Album!A:A,Album!J:J)</f>
        <v>0</v>
      </c>
      <c r="AD1254" s="3">
        <f>_xlfn.XLOOKUP(D1254,Artists!A:A,Artists!B:B)</f>
        <v>0</v>
      </c>
      <c r="AE1254" s="3">
        <f>_xlfn.XLOOKUP(D1254,Artists!A:A,Artists!C:C)</f>
        <v>0</v>
      </c>
      <c r="AF1254" s="3" t="str">
        <f t="shared" si="118"/>
        <v>OTHR</v>
      </c>
      <c r="AG1254" s="3" t="str">
        <f t="shared" si="119"/>
        <v>OTHR</v>
      </c>
    </row>
    <row r="1255" spans="24:33" x14ac:dyDescent="0.3">
      <c r="X1255" s="3" t="str">
        <f t="shared" si="114"/>
        <v>-SADNE-</v>
      </c>
      <c r="Y1255" s="3" t="str">
        <f t="shared" si="115"/>
        <v>-SLOWSS-</v>
      </c>
      <c r="Z1255" s="4" t="str">
        <f t="shared" si="116"/>
        <v>{"couname":"","img":"0","pty":"","artist":"","genres":"","duration":"","spotId":"","Items":["-SADNE-","-SLOWSS-","OTHR","OTHR","XT_OffAnimals"]},</v>
      </c>
      <c r="AA1255" s="5" t="s">
        <v>5</v>
      </c>
      <c r="AB1255" s="3" t="str">
        <f t="shared" si="117"/>
        <v>["-SADNE-","-SLOWSS-","OTHR","OTHR","XT_OffAnimals"]</v>
      </c>
      <c r="AC1255" s="3">
        <f>_xlfn.XLOOKUP(A1255,Album!A:A,Album!J:J)</f>
        <v>0</v>
      </c>
      <c r="AD1255" s="3">
        <f>_xlfn.XLOOKUP(D1255,Artists!A:A,Artists!B:B)</f>
        <v>0</v>
      </c>
      <c r="AE1255" s="3">
        <f>_xlfn.XLOOKUP(D1255,Artists!A:A,Artists!C:C)</f>
        <v>0</v>
      </c>
      <c r="AF1255" s="3" t="str">
        <f t="shared" si="118"/>
        <v>OTHR</v>
      </c>
      <c r="AG1255" s="3" t="str">
        <f t="shared" si="119"/>
        <v>OTHR</v>
      </c>
    </row>
    <row r="1256" spans="24:33" x14ac:dyDescent="0.3">
      <c r="X1256" s="3" t="str">
        <f t="shared" si="114"/>
        <v>-SADNE-</v>
      </c>
      <c r="Y1256" s="3" t="str">
        <f t="shared" si="115"/>
        <v>-SLOWSS-</v>
      </c>
      <c r="Z1256" s="4" t="str">
        <f t="shared" si="116"/>
        <v>{"couname":"","img":"0","pty":"","artist":"","genres":"","duration":"","spotId":"","Items":["-SADNE-","-SLOWSS-","OTHR","OTHR","XT_OffAnimals"]},</v>
      </c>
      <c r="AA1256" s="5" t="s">
        <v>5</v>
      </c>
      <c r="AB1256" s="3" t="str">
        <f t="shared" si="117"/>
        <v>["-SADNE-","-SLOWSS-","OTHR","OTHR","XT_OffAnimals"]</v>
      </c>
      <c r="AC1256" s="3">
        <f>_xlfn.XLOOKUP(A1256,Album!A:A,Album!J:J)</f>
        <v>0</v>
      </c>
      <c r="AD1256" s="3">
        <f>_xlfn.XLOOKUP(D1256,Artists!A:A,Artists!B:B)</f>
        <v>0</v>
      </c>
      <c r="AE1256" s="3">
        <f>_xlfn.XLOOKUP(D1256,Artists!A:A,Artists!C:C)</f>
        <v>0</v>
      </c>
      <c r="AF1256" s="3" t="str">
        <f t="shared" si="118"/>
        <v>OTHR</v>
      </c>
      <c r="AG1256" s="3" t="str">
        <f t="shared" si="119"/>
        <v>OTHR</v>
      </c>
    </row>
    <row r="1257" spans="24:33" x14ac:dyDescent="0.3">
      <c r="X1257" s="3" t="str">
        <f t="shared" si="114"/>
        <v>-SADNE-</v>
      </c>
      <c r="Y1257" s="3" t="str">
        <f t="shared" si="115"/>
        <v>-SLOWSS-</v>
      </c>
      <c r="Z1257" s="4" t="str">
        <f t="shared" si="116"/>
        <v>{"couname":"","img":"0","pty":"","artist":"","genres":"","duration":"","spotId":"","Items":["-SADNE-","-SLOWSS-","OTHR","OTHR","XT_OffAnimals"]},</v>
      </c>
      <c r="AA1257" s="5" t="s">
        <v>5</v>
      </c>
      <c r="AB1257" s="3" t="str">
        <f t="shared" si="117"/>
        <v>["-SADNE-","-SLOWSS-","OTHR","OTHR","XT_OffAnimals"]</v>
      </c>
      <c r="AC1257" s="3">
        <f>_xlfn.XLOOKUP(A1257,Album!A:A,Album!J:J)</f>
        <v>0</v>
      </c>
      <c r="AD1257" s="3">
        <f>_xlfn.XLOOKUP(D1257,Artists!A:A,Artists!B:B)</f>
        <v>0</v>
      </c>
      <c r="AE1257" s="3">
        <f>_xlfn.XLOOKUP(D1257,Artists!A:A,Artists!C:C)</f>
        <v>0</v>
      </c>
      <c r="AF1257" s="3" t="str">
        <f t="shared" si="118"/>
        <v>OTHR</v>
      </c>
      <c r="AG1257" s="3" t="str">
        <f t="shared" si="119"/>
        <v>OTHR</v>
      </c>
    </row>
    <row r="1258" spans="24:33" x14ac:dyDescent="0.3">
      <c r="X1258" s="3" t="str">
        <f t="shared" si="114"/>
        <v>-SADNE-</v>
      </c>
      <c r="Y1258" s="3" t="str">
        <f t="shared" si="115"/>
        <v>-SLOWSS-</v>
      </c>
      <c r="Z1258" s="4" t="str">
        <f t="shared" si="116"/>
        <v>{"couname":"","img":"0","pty":"","artist":"","genres":"","duration":"","spotId":"","Items":["-SADNE-","-SLOWSS-","OTHR","OTHR","XT_OffAnimals"]},</v>
      </c>
      <c r="AA1258" s="5" t="s">
        <v>5</v>
      </c>
      <c r="AB1258" s="3" t="str">
        <f t="shared" si="117"/>
        <v>["-SADNE-","-SLOWSS-","OTHR","OTHR","XT_OffAnimals"]</v>
      </c>
      <c r="AC1258" s="3">
        <f>_xlfn.XLOOKUP(A1258,Album!A:A,Album!J:J)</f>
        <v>0</v>
      </c>
      <c r="AD1258" s="3">
        <f>_xlfn.XLOOKUP(D1258,Artists!A:A,Artists!B:B)</f>
        <v>0</v>
      </c>
      <c r="AE1258" s="3">
        <f>_xlfn.XLOOKUP(D1258,Artists!A:A,Artists!C:C)</f>
        <v>0</v>
      </c>
      <c r="AF1258" s="3" t="str">
        <f t="shared" si="118"/>
        <v>OTHR</v>
      </c>
      <c r="AG1258" s="3" t="str">
        <f t="shared" si="119"/>
        <v>OTHR</v>
      </c>
    </row>
    <row r="1259" spans="24:33" x14ac:dyDescent="0.3">
      <c r="X1259" s="3" t="str">
        <f t="shared" si="114"/>
        <v>-SADNE-</v>
      </c>
      <c r="Y1259" s="3" t="str">
        <f t="shared" si="115"/>
        <v>-SLOWSS-</v>
      </c>
      <c r="Z1259" s="4" t="str">
        <f t="shared" si="116"/>
        <v>{"couname":"","img":"0","pty":"","artist":"","genres":"","duration":"","spotId":"","Items":["-SADNE-","-SLOWSS-","OTHR","OTHR","XT_OffAnimals"]},</v>
      </c>
      <c r="AA1259" s="5" t="s">
        <v>5</v>
      </c>
      <c r="AB1259" s="3" t="str">
        <f t="shared" si="117"/>
        <v>["-SADNE-","-SLOWSS-","OTHR","OTHR","XT_OffAnimals"]</v>
      </c>
      <c r="AC1259" s="3">
        <f>_xlfn.XLOOKUP(A1259,Album!A:A,Album!J:J)</f>
        <v>0</v>
      </c>
      <c r="AD1259" s="3">
        <f>_xlfn.XLOOKUP(D1259,Artists!A:A,Artists!B:B)</f>
        <v>0</v>
      </c>
      <c r="AE1259" s="3">
        <f>_xlfn.XLOOKUP(D1259,Artists!A:A,Artists!C:C)</f>
        <v>0</v>
      </c>
      <c r="AF1259" s="3" t="str">
        <f t="shared" si="118"/>
        <v>OTHR</v>
      </c>
      <c r="AG1259" s="3" t="str">
        <f t="shared" si="119"/>
        <v>OTHR</v>
      </c>
    </row>
    <row r="1260" spans="24:33" x14ac:dyDescent="0.3">
      <c r="X1260" s="3" t="str">
        <f t="shared" si="114"/>
        <v>-SADNE-</v>
      </c>
      <c r="Y1260" s="3" t="str">
        <f t="shared" si="115"/>
        <v>-SLOWSS-</v>
      </c>
      <c r="Z1260" s="4" t="str">
        <f t="shared" si="116"/>
        <v>{"couname":"","img":"0","pty":"","artist":"","genres":"","duration":"","spotId":"","Items":["-SADNE-","-SLOWSS-","OTHR","OTHR","XT_OffAnimals"]},</v>
      </c>
      <c r="AA1260" s="5" t="s">
        <v>5</v>
      </c>
      <c r="AB1260" s="3" t="str">
        <f t="shared" si="117"/>
        <v>["-SADNE-","-SLOWSS-","OTHR","OTHR","XT_OffAnimals"]</v>
      </c>
      <c r="AC1260" s="3">
        <f>_xlfn.XLOOKUP(A1260,Album!A:A,Album!J:J)</f>
        <v>0</v>
      </c>
      <c r="AD1260" s="3">
        <f>_xlfn.XLOOKUP(D1260,Artists!A:A,Artists!B:B)</f>
        <v>0</v>
      </c>
      <c r="AE1260" s="3">
        <f>_xlfn.XLOOKUP(D1260,Artists!A:A,Artists!C:C)</f>
        <v>0</v>
      </c>
      <c r="AF1260" s="3" t="str">
        <f t="shared" si="118"/>
        <v>OTHR</v>
      </c>
      <c r="AG1260" s="3" t="str">
        <f t="shared" si="119"/>
        <v>OTHR</v>
      </c>
    </row>
    <row r="1261" spans="24:33" x14ac:dyDescent="0.3">
      <c r="X1261" s="3" t="str">
        <f t="shared" si="114"/>
        <v>-SADNE-</v>
      </c>
      <c r="Y1261" s="3" t="str">
        <f t="shared" si="115"/>
        <v>-SLOWSS-</v>
      </c>
      <c r="Z1261" s="4" t="str">
        <f t="shared" si="116"/>
        <v>{"couname":"","img":"0","pty":"","artist":"","genres":"","duration":"","spotId":"","Items":["-SADNE-","-SLOWSS-","OTHR","OTHR","XT_OffAnimals"]},</v>
      </c>
      <c r="AA1261" s="5" t="s">
        <v>5</v>
      </c>
      <c r="AB1261" s="3" t="str">
        <f t="shared" si="117"/>
        <v>["-SADNE-","-SLOWSS-","OTHR","OTHR","XT_OffAnimals"]</v>
      </c>
      <c r="AC1261" s="3">
        <f>_xlfn.XLOOKUP(A1261,Album!A:A,Album!J:J)</f>
        <v>0</v>
      </c>
      <c r="AD1261" s="3">
        <f>_xlfn.XLOOKUP(D1261,Artists!A:A,Artists!B:B)</f>
        <v>0</v>
      </c>
      <c r="AE1261" s="3">
        <f>_xlfn.XLOOKUP(D1261,Artists!A:A,Artists!C:C)</f>
        <v>0</v>
      </c>
      <c r="AF1261" s="3" t="str">
        <f t="shared" si="118"/>
        <v>OTHR</v>
      </c>
      <c r="AG1261" s="3" t="str">
        <f t="shared" si="119"/>
        <v>OTHR</v>
      </c>
    </row>
    <row r="1262" spans="24:33" x14ac:dyDescent="0.3">
      <c r="X1262" s="3" t="str">
        <f t="shared" si="114"/>
        <v>-SADNE-</v>
      </c>
      <c r="Y1262" s="3" t="str">
        <f t="shared" si="115"/>
        <v>-SLOWSS-</v>
      </c>
      <c r="Z1262" s="4" t="str">
        <f t="shared" si="116"/>
        <v>{"couname":"","img":"0","pty":"","artist":"","genres":"","duration":"","spotId":"","Items":["-SADNE-","-SLOWSS-","OTHR","OTHR","XT_OffAnimals"]},</v>
      </c>
      <c r="AA1262" s="5" t="s">
        <v>5</v>
      </c>
      <c r="AB1262" s="3" t="str">
        <f t="shared" si="117"/>
        <v>["-SADNE-","-SLOWSS-","OTHR","OTHR","XT_OffAnimals"]</v>
      </c>
      <c r="AC1262" s="3">
        <f>_xlfn.XLOOKUP(A1262,Album!A:A,Album!J:J)</f>
        <v>0</v>
      </c>
      <c r="AD1262" s="3">
        <f>_xlfn.XLOOKUP(D1262,Artists!A:A,Artists!B:B)</f>
        <v>0</v>
      </c>
      <c r="AE1262" s="3">
        <f>_xlfn.XLOOKUP(D1262,Artists!A:A,Artists!C:C)</f>
        <v>0</v>
      </c>
      <c r="AF1262" s="3" t="str">
        <f t="shared" si="118"/>
        <v>OTHR</v>
      </c>
      <c r="AG1262" s="3" t="str">
        <f t="shared" si="119"/>
        <v>OTHR</v>
      </c>
    </row>
    <row r="1263" spans="24:33" x14ac:dyDescent="0.3">
      <c r="X1263" s="3" t="str">
        <f t="shared" si="114"/>
        <v>-SADNE-</v>
      </c>
      <c r="Y1263" s="3" t="str">
        <f t="shared" si="115"/>
        <v>-SLOWSS-</v>
      </c>
      <c r="Z1263" s="4" t="str">
        <f t="shared" si="116"/>
        <v>{"couname":"","img":"0","pty":"","artist":"","genres":"","duration":"","spotId":"","Items":["-SADNE-","-SLOWSS-","OTHR","OTHR","XT_OffAnimals"]},</v>
      </c>
      <c r="AA1263" s="5" t="s">
        <v>5</v>
      </c>
      <c r="AB1263" s="3" t="str">
        <f t="shared" si="117"/>
        <v>["-SADNE-","-SLOWSS-","OTHR","OTHR","XT_OffAnimals"]</v>
      </c>
      <c r="AC1263" s="3">
        <f>_xlfn.XLOOKUP(A1263,Album!A:A,Album!J:J)</f>
        <v>0</v>
      </c>
      <c r="AD1263" s="3">
        <f>_xlfn.XLOOKUP(D1263,Artists!A:A,Artists!B:B)</f>
        <v>0</v>
      </c>
      <c r="AE1263" s="3">
        <f>_xlfn.XLOOKUP(D1263,Artists!A:A,Artists!C:C)</f>
        <v>0</v>
      </c>
      <c r="AF1263" s="3" t="str">
        <f t="shared" si="118"/>
        <v>OTHR</v>
      </c>
      <c r="AG1263" s="3" t="str">
        <f t="shared" si="119"/>
        <v>OTHR</v>
      </c>
    </row>
    <row r="1264" spans="24:33" x14ac:dyDescent="0.3">
      <c r="X1264" s="3" t="str">
        <f t="shared" si="114"/>
        <v>-SADNE-</v>
      </c>
      <c r="Y1264" s="3" t="str">
        <f t="shared" si="115"/>
        <v>-SLOWSS-</v>
      </c>
      <c r="Z1264" s="4" t="str">
        <f t="shared" si="116"/>
        <v>{"couname":"","img":"0","pty":"","artist":"","genres":"","duration":"","spotId":"","Items":["-SADNE-","-SLOWSS-","OTHR","OTHR","XT_OffAnimals"]},</v>
      </c>
      <c r="AA1264" s="5" t="s">
        <v>5</v>
      </c>
      <c r="AB1264" s="3" t="str">
        <f t="shared" si="117"/>
        <v>["-SADNE-","-SLOWSS-","OTHR","OTHR","XT_OffAnimals"]</v>
      </c>
      <c r="AC1264" s="3">
        <f>_xlfn.XLOOKUP(A1264,Album!A:A,Album!J:J)</f>
        <v>0</v>
      </c>
      <c r="AD1264" s="3">
        <f>_xlfn.XLOOKUP(D1264,Artists!A:A,Artists!B:B)</f>
        <v>0</v>
      </c>
      <c r="AE1264" s="3">
        <f>_xlfn.XLOOKUP(D1264,Artists!A:A,Artists!C:C)</f>
        <v>0</v>
      </c>
      <c r="AF1264" s="3" t="str">
        <f t="shared" si="118"/>
        <v>OTHR</v>
      </c>
      <c r="AG1264" s="3" t="str">
        <f t="shared" si="119"/>
        <v>OTHR</v>
      </c>
    </row>
    <row r="1265" spans="24:33" x14ac:dyDescent="0.3">
      <c r="X1265" s="3" t="str">
        <f t="shared" si="114"/>
        <v>-SADNE-</v>
      </c>
      <c r="Y1265" s="3" t="str">
        <f t="shared" si="115"/>
        <v>-SLOWSS-</v>
      </c>
      <c r="Z1265" s="4" t="str">
        <f t="shared" si="116"/>
        <v>{"couname":"","img":"0","pty":"","artist":"","genres":"","duration":"","spotId":"","Items":["-SADNE-","-SLOWSS-","OTHR","OTHR","XT_OffAnimals"]},</v>
      </c>
      <c r="AA1265" s="5" t="s">
        <v>5</v>
      </c>
      <c r="AB1265" s="3" t="str">
        <f t="shared" si="117"/>
        <v>["-SADNE-","-SLOWSS-","OTHR","OTHR","XT_OffAnimals"]</v>
      </c>
      <c r="AC1265" s="3">
        <f>_xlfn.XLOOKUP(A1265,Album!A:A,Album!J:J)</f>
        <v>0</v>
      </c>
      <c r="AD1265" s="3">
        <f>_xlfn.XLOOKUP(D1265,Artists!A:A,Artists!B:B)</f>
        <v>0</v>
      </c>
      <c r="AE1265" s="3">
        <f>_xlfn.XLOOKUP(D1265,Artists!A:A,Artists!C:C)</f>
        <v>0</v>
      </c>
      <c r="AF1265" s="3" t="str">
        <f t="shared" si="118"/>
        <v>OTHR</v>
      </c>
      <c r="AG1265" s="3" t="str">
        <f t="shared" si="119"/>
        <v>OTHR</v>
      </c>
    </row>
    <row r="1266" spans="24:33" x14ac:dyDescent="0.3">
      <c r="X1266" s="3" t="str">
        <f t="shared" si="114"/>
        <v>-SADNE-</v>
      </c>
      <c r="Y1266" s="3" t="str">
        <f t="shared" si="115"/>
        <v>-SLOWSS-</v>
      </c>
      <c r="Z1266" s="4" t="str">
        <f t="shared" si="116"/>
        <v>{"couname":"","img":"0","pty":"","artist":"","genres":"","duration":"","spotId":"","Items":["-SADNE-","-SLOWSS-","OTHR","OTHR","XT_OffAnimals"]},</v>
      </c>
      <c r="AA1266" s="5" t="s">
        <v>5</v>
      </c>
      <c r="AB1266" s="3" t="str">
        <f t="shared" si="117"/>
        <v>["-SADNE-","-SLOWSS-","OTHR","OTHR","XT_OffAnimals"]</v>
      </c>
      <c r="AC1266" s="3">
        <f>_xlfn.XLOOKUP(A1266,Album!A:A,Album!J:J)</f>
        <v>0</v>
      </c>
      <c r="AD1266" s="3">
        <f>_xlfn.XLOOKUP(D1266,Artists!A:A,Artists!B:B)</f>
        <v>0</v>
      </c>
      <c r="AE1266" s="3">
        <f>_xlfn.XLOOKUP(D1266,Artists!A:A,Artists!C:C)</f>
        <v>0</v>
      </c>
      <c r="AF1266" s="3" t="str">
        <f t="shared" si="118"/>
        <v>OTHR</v>
      </c>
      <c r="AG1266" s="3" t="str">
        <f t="shared" si="119"/>
        <v>OTHR</v>
      </c>
    </row>
    <row r="1267" spans="24:33" x14ac:dyDescent="0.3">
      <c r="X1267" s="3" t="str">
        <f t="shared" si="114"/>
        <v>-SADNE-</v>
      </c>
      <c r="Y1267" s="3" t="str">
        <f t="shared" si="115"/>
        <v>-SLOWSS-</v>
      </c>
      <c r="Z1267" s="4" t="str">
        <f t="shared" si="116"/>
        <v>{"couname":"","img":"0","pty":"","artist":"","genres":"","duration":"","spotId":"","Items":["-SADNE-","-SLOWSS-","OTHR","OTHR","XT_OffAnimals"]},</v>
      </c>
      <c r="AA1267" s="5" t="s">
        <v>5</v>
      </c>
      <c r="AB1267" s="3" t="str">
        <f t="shared" si="117"/>
        <v>["-SADNE-","-SLOWSS-","OTHR","OTHR","XT_OffAnimals"]</v>
      </c>
      <c r="AC1267" s="3">
        <f>_xlfn.XLOOKUP(A1267,Album!A:A,Album!J:J)</f>
        <v>0</v>
      </c>
      <c r="AD1267" s="3">
        <f>_xlfn.XLOOKUP(D1267,Artists!A:A,Artists!B:B)</f>
        <v>0</v>
      </c>
      <c r="AE1267" s="3">
        <f>_xlfn.XLOOKUP(D1267,Artists!A:A,Artists!C:C)</f>
        <v>0</v>
      </c>
      <c r="AF1267" s="3" t="str">
        <f t="shared" si="118"/>
        <v>OTHR</v>
      </c>
      <c r="AG1267" s="3" t="str">
        <f t="shared" si="119"/>
        <v>OTHR</v>
      </c>
    </row>
    <row r="1268" spans="24:33" x14ac:dyDescent="0.3">
      <c r="X1268" s="3" t="str">
        <f t="shared" si="114"/>
        <v>-SADNE-</v>
      </c>
      <c r="Y1268" s="3" t="str">
        <f t="shared" si="115"/>
        <v>-SLOWSS-</v>
      </c>
      <c r="Z1268" s="4" t="str">
        <f t="shared" si="116"/>
        <v>{"couname":"","img":"0","pty":"","artist":"","genres":"","duration":"","spotId":"","Items":["-SADNE-","-SLOWSS-","OTHR","OTHR","XT_OffAnimals"]},</v>
      </c>
      <c r="AA1268" s="5" t="s">
        <v>5</v>
      </c>
      <c r="AB1268" s="3" t="str">
        <f t="shared" si="117"/>
        <v>["-SADNE-","-SLOWSS-","OTHR","OTHR","XT_OffAnimals"]</v>
      </c>
      <c r="AC1268" s="3">
        <f>_xlfn.XLOOKUP(A1268,Album!A:A,Album!J:J)</f>
        <v>0</v>
      </c>
      <c r="AD1268" s="3">
        <f>_xlfn.XLOOKUP(D1268,Artists!A:A,Artists!B:B)</f>
        <v>0</v>
      </c>
      <c r="AE1268" s="3">
        <f>_xlfn.XLOOKUP(D1268,Artists!A:A,Artists!C:C)</f>
        <v>0</v>
      </c>
      <c r="AF1268" s="3" t="str">
        <f t="shared" si="118"/>
        <v>OTHR</v>
      </c>
      <c r="AG1268" s="3" t="str">
        <f t="shared" si="119"/>
        <v>OTHR</v>
      </c>
    </row>
    <row r="1269" spans="24:33" x14ac:dyDescent="0.3">
      <c r="X1269" s="3" t="str">
        <f t="shared" si="114"/>
        <v>-SADNE-</v>
      </c>
      <c r="Y1269" s="3" t="str">
        <f t="shared" si="115"/>
        <v>-SLOWSS-</v>
      </c>
      <c r="Z1269" s="4" t="str">
        <f t="shared" si="116"/>
        <v>{"couname":"","img":"0","pty":"","artist":"","genres":"","duration":"","spotId":"","Items":["-SADNE-","-SLOWSS-","OTHR","OTHR","XT_OffAnimals"]},</v>
      </c>
      <c r="AA1269" s="5" t="s">
        <v>5</v>
      </c>
      <c r="AB1269" s="3" t="str">
        <f t="shared" si="117"/>
        <v>["-SADNE-","-SLOWSS-","OTHR","OTHR","XT_OffAnimals"]</v>
      </c>
      <c r="AC1269" s="3">
        <f>_xlfn.XLOOKUP(A1269,Album!A:A,Album!J:J)</f>
        <v>0</v>
      </c>
      <c r="AD1269" s="3">
        <f>_xlfn.XLOOKUP(D1269,Artists!A:A,Artists!B:B)</f>
        <v>0</v>
      </c>
      <c r="AE1269" s="3">
        <f>_xlfn.XLOOKUP(D1269,Artists!A:A,Artists!C:C)</f>
        <v>0</v>
      </c>
      <c r="AF1269" s="3" t="str">
        <f t="shared" si="118"/>
        <v>OTHR</v>
      </c>
      <c r="AG1269" s="3" t="str">
        <f t="shared" si="119"/>
        <v>OTHR</v>
      </c>
    </row>
    <row r="1270" spans="24:33" x14ac:dyDescent="0.3">
      <c r="X1270" s="3" t="str">
        <f t="shared" si="114"/>
        <v>-SADNE-</v>
      </c>
      <c r="Y1270" s="3" t="str">
        <f t="shared" si="115"/>
        <v>-SLOWSS-</v>
      </c>
      <c r="Z1270" s="4" t="str">
        <f t="shared" si="116"/>
        <v>{"couname":"","img":"0","pty":"","artist":"","genres":"","duration":"","spotId":"","Items":["-SADNE-","-SLOWSS-","OTHR","OTHR","XT_OffAnimals"]},</v>
      </c>
      <c r="AA1270" s="5" t="s">
        <v>5</v>
      </c>
      <c r="AB1270" s="3" t="str">
        <f t="shared" si="117"/>
        <v>["-SADNE-","-SLOWSS-","OTHR","OTHR","XT_OffAnimals"]</v>
      </c>
      <c r="AC1270" s="3">
        <f>_xlfn.XLOOKUP(A1270,Album!A:A,Album!J:J)</f>
        <v>0</v>
      </c>
      <c r="AD1270" s="3">
        <f>_xlfn.XLOOKUP(D1270,Artists!A:A,Artists!B:B)</f>
        <v>0</v>
      </c>
      <c r="AE1270" s="3">
        <f>_xlfn.XLOOKUP(D1270,Artists!A:A,Artists!C:C)</f>
        <v>0</v>
      </c>
      <c r="AF1270" s="3" t="str">
        <f t="shared" si="118"/>
        <v>OTHR</v>
      </c>
      <c r="AG1270" s="3" t="str">
        <f t="shared" si="119"/>
        <v>OTHR</v>
      </c>
    </row>
    <row r="1271" spans="24:33" x14ac:dyDescent="0.3">
      <c r="X1271" s="3" t="str">
        <f t="shared" si="114"/>
        <v>-SADNE-</v>
      </c>
      <c r="Y1271" s="3" t="str">
        <f t="shared" si="115"/>
        <v>-SLOWSS-</v>
      </c>
      <c r="Z1271" s="4" t="str">
        <f t="shared" si="116"/>
        <v>{"couname":"","img":"0","pty":"","artist":"","genres":"","duration":"","spotId":"","Items":["-SADNE-","-SLOWSS-","OTHR","OTHR","XT_OffAnimals"]},</v>
      </c>
      <c r="AA1271" s="5" t="s">
        <v>5</v>
      </c>
      <c r="AB1271" s="3" t="str">
        <f t="shared" si="117"/>
        <v>["-SADNE-","-SLOWSS-","OTHR","OTHR","XT_OffAnimals"]</v>
      </c>
      <c r="AC1271" s="3">
        <f>_xlfn.XLOOKUP(A1271,Album!A:A,Album!J:J)</f>
        <v>0</v>
      </c>
      <c r="AD1271" s="3">
        <f>_xlfn.XLOOKUP(D1271,Artists!A:A,Artists!B:B)</f>
        <v>0</v>
      </c>
      <c r="AE1271" s="3">
        <f>_xlfn.XLOOKUP(D1271,Artists!A:A,Artists!C:C)</f>
        <v>0</v>
      </c>
      <c r="AF1271" s="3" t="str">
        <f t="shared" si="118"/>
        <v>OTHR</v>
      </c>
      <c r="AG1271" s="3" t="str">
        <f t="shared" si="119"/>
        <v>OTHR</v>
      </c>
    </row>
    <row r="1272" spans="24:33" x14ac:dyDescent="0.3">
      <c r="X1272" s="3" t="str">
        <f t="shared" si="114"/>
        <v>-SADNE-</v>
      </c>
      <c r="Y1272" s="3" t="str">
        <f t="shared" si="115"/>
        <v>-SLOWSS-</v>
      </c>
      <c r="Z1272" s="4" t="str">
        <f t="shared" si="116"/>
        <v>{"couname":"","img":"0","pty":"","artist":"","genres":"","duration":"","spotId":"","Items":["-SADNE-","-SLOWSS-","OTHR","OTHR","XT_OffAnimals"]},</v>
      </c>
      <c r="AA1272" s="5" t="s">
        <v>5</v>
      </c>
      <c r="AB1272" s="3" t="str">
        <f t="shared" si="117"/>
        <v>["-SADNE-","-SLOWSS-","OTHR","OTHR","XT_OffAnimals"]</v>
      </c>
      <c r="AC1272" s="3">
        <f>_xlfn.XLOOKUP(A1272,Album!A:A,Album!J:J)</f>
        <v>0</v>
      </c>
      <c r="AD1272" s="3">
        <f>_xlfn.XLOOKUP(D1272,Artists!A:A,Artists!B:B)</f>
        <v>0</v>
      </c>
      <c r="AE1272" s="3">
        <f>_xlfn.XLOOKUP(D1272,Artists!A:A,Artists!C:C)</f>
        <v>0</v>
      </c>
      <c r="AF1272" s="3" t="str">
        <f t="shared" si="118"/>
        <v>OTHR</v>
      </c>
      <c r="AG1272" s="3" t="str">
        <f t="shared" si="119"/>
        <v>OTHR</v>
      </c>
    </row>
    <row r="1273" spans="24:33" x14ac:dyDescent="0.3">
      <c r="X1273" s="3" t="str">
        <f t="shared" si="114"/>
        <v>-SADNE-</v>
      </c>
      <c r="Y1273" s="3" t="str">
        <f t="shared" si="115"/>
        <v>-SLOWSS-</v>
      </c>
      <c r="Z1273" s="4" t="str">
        <f t="shared" si="116"/>
        <v>{"couname":"","img":"0","pty":"","artist":"","genres":"","duration":"","spotId":"","Items":["-SADNE-","-SLOWSS-","OTHR","OTHR","XT_OffAnimals"]},</v>
      </c>
      <c r="AA1273" s="5" t="s">
        <v>5</v>
      </c>
      <c r="AB1273" s="3" t="str">
        <f t="shared" si="117"/>
        <v>["-SADNE-","-SLOWSS-","OTHR","OTHR","XT_OffAnimals"]</v>
      </c>
      <c r="AC1273" s="3">
        <f>_xlfn.XLOOKUP(A1273,Album!A:A,Album!J:J)</f>
        <v>0</v>
      </c>
      <c r="AD1273" s="3">
        <f>_xlfn.XLOOKUP(D1273,Artists!A:A,Artists!B:B)</f>
        <v>0</v>
      </c>
      <c r="AE1273" s="3">
        <f>_xlfn.XLOOKUP(D1273,Artists!A:A,Artists!C:C)</f>
        <v>0</v>
      </c>
      <c r="AF1273" s="3" t="str">
        <f t="shared" si="118"/>
        <v>OTHR</v>
      </c>
      <c r="AG1273" s="3" t="str">
        <f t="shared" si="119"/>
        <v>OTHR</v>
      </c>
    </row>
    <row r="1274" spans="24:33" x14ac:dyDescent="0.3">
      <c r="X1274" s="3" t="str">
        <f t="shared" si="114"/>
        <v>-SADNE-</v>
      </c>
      <c r="Y1274" s="3" t="str">
        <f t="shared" si="115"/>
        <v>-SLOWSS-</v>
      </c>
      <c r="Z1274" s="4" t="str">
        <f t="shared" si="116"/>
        <v>{"couname":"","img":"0","pty":"","artist":"","genres":"","duration":"","spotId":"","Items":["-SADNE-","-SLOWSS-","OTHR","OTHR","XT_OffAnimals"]},</v>
      </c>
      <c r="AA1274" s="5" t="s">
        <v>5</v>
      </c>
      <c r="AB1274" s="3" t="str">
        <f t="shared" si="117"/>
        <v>["-SADNE-","-SLOWSS-","OTHR","OTHR","XT_OffAnimals"]</v>
      </c>
      <c r="AC1274" s="3">
        <f>_xlfn.XLOOKUP(A1274,Album!A:A,Album!J:J)</f>
        <v>0</v>
      </c>
      <c r="AD1274" s="3">
        <f>_xlfn.XLOOKUP(D1274,Artists!A:A,Artists!B:B)</f>
        <v>0</v>
      </c>
      <c r="AE1274" s="3">
        <f>_xlfn.XLOOKUP(D1274,Artists!A:A,Artists!C:C)</f>
        <v>0</v>
      </c>
      <c r="AF1274" s="3" t="str">
        <f t="shared" si="118"/>
        <v>OTHR</v>
      </c>
      <c r="AG1274" s="3" t="str">
        <f t="shared" si="119"/>
        <v>OTHR</v>
      </c>
    </row>
    <row r="1275" spans="24:33" x14ac:dyDescent="0.3">
      <c r="X1275" s="3" t="str">
        <f t="shared" si="114"/>
        <v>-SADNE-</v>
      </c>
      <c r="Y1275" s="3" t="str">
        <f t="shared" si="115"/>
        <v>-SLOWSS-</v>
      </c>
      <c r="Z1275" s="4" t="str">
        <f t="shared" si="116"/>
        <v>{"couname":"","img":"0","pty":"","artist":"","genres":"","duration":"","spotId":"","Items":["-SADNE-","-SLOWSS-","OTHR","OTHR","XT_OffAnimals"]},</v>
      </c>
      <c r="AA1275" s="5" t="s">
        <v>5</v>
      </c>
      <c r="AB1275" s="3" t="str">
        <f t="shared" si="117"/>
        <v>["-SADNE-","-SLOWSS-","OTHR","OTHR","XT_OffAnimals"]</v>
      </c>
      <c r="AC1275" s="3">
        <f>_xlfn.XLOOKUP(A1275,Album!A:A,Album!J:J)</f>
        <v>0</v>
      </c>
      <c r="AD1275" s="3">
        <f>_xlfn.XLOOKUP(D1275,Artists!A:A,Artists!B:B)</f>
        <v>0</v>
      </c>
      <c r="AE1275" s="3">
        <f>_xlfn.XLOOKUP(D1275,Artists!A:A,Artists!C:C)</f>
        <v>0</v>
      </c>
      <c r="AF1275" s="3" t="str">
        <f t="shared" si="118"/>
        <v>OTHR</v>
      </c>
      <c r="AG1275" s="3" t="str">
        <f t="shared" si="119"/>
        <v>OTHR</v>
      </c>
    </row>
    <row r="1276" spans="24:33" x14ac:dyDescent="0.3">
      <c r="X1276" s="3" t="str">
        <f t="shared" si="114"/>
        <v>-SADNE-</v>
      </c>
      <c r="Y1276" s="3" t="str">
        <f t="shared" si="115"/>
        <v>-SLOWSS-</v>
      </c>
      <c r="Z1276" s="4" t="str">
        <f t="shared" si="116"/>
        <v>{"couname":"","img":"0","pty":"","artist":"","genres":"","duration":"","spotId":"","Items":["-SADNE-","-SLOWSS-","OTHR","OTHR","XT_OffAnimals"]},</v>
      </c>
      <c r="AA1276" s="5" t="s">
        <v>5</v>
      </c>
      <c r="AB1276" s="3" t="str">
        <f t="shared" si="117"/>
        <v>["-SADNE-","-SLOWSS-","OTHR","OTHR","XT_OffAnimals"]</v>
      </c>
      <c r="AC1276" s="3">
        <f>_xlfn.XLOOKUP(A1276,Album!A:A,Album!J:J)</f>
        <v>0</v>
      </c>
      <c r="AD1276" s="3">
        <f>_xlfn.XLOOKUP(D1276,Artists!A:A,Artists!B:B)</f>
        <v>0</v>
      </c>
      <c r="AE1276" s="3">
        <f>_xlfn.XLOOKUP(D1276,Artists!A:A,Artists!C:C)</f>
        <v>0</v>
      </c>
      <c r="AF1276" s="3" t="str">
        <f t="shared" si="118"/>
        <v>OTHR</v>
      </c>
      <c r="AG1276" s="3" t="str">
        <f t="shared" si="119"/>
        <v>OTHR</v>
      </c>
    </row>
    <row r="1277" spans="24:33" x14ac:dyDescent="0.3">
      <c r="X1277" s="3" t="str">
        <f t="shared" si="114"/>
        <v>-SADNE-</v>
      </c>
      <c r="Y1277" s="3" t="str">
        <f t="shared" si="115"/>
        <v>-SLOWSS-</v>
      </c>
      <c r="Z1277" s="4" t="str">
        <f t="shared" si="116"/>
        <v>{"couname":"","img":"0","pty":"","artist":"","genres":"","duration":"","spotId":"","Items":["-SADNE-","-SLOWSS-","OTHR","OTHR","XT_OffAnimals"]},</v>
      </c>
      <c r="AA1277" s="5" t="s">
        <v>5</v>
      </c>
      <c r="AB1277" s="3" t="str">
        <f t="shared" si="117"/>
        <v>["-SADNE-","-SLOWSS-","OTHR","OTHR","XT_OffAnimals"]</v>
      </c>
      <c r="AC1277" s="3">
        <f>_xlfn.XLOOKUP(A1277,Album!A:A,Album!J:J)</f>
        <v>0</v>
      </c>
      <c r="AD1277" s="3">
        <f>_xlfn.XLOOKUP(D1277,Artists!A:A,Artists!B:B)</f>
        <v>0</v>
      </c>
      <c r="AE1277" s="3">
        <f>_xlfn.XLOOKUP(D1277,Artists!A:A,Artists!C:C)</f>
        <v>0</v>
      </c>
      <c r="AF1277" s="3" t="str">
        <f t="shared" si="118"/>
        <v>OTHR</v>
      </c>
      <c r="AG1277" s="3" t="str">
        <f t="shared" si="119"/>
        <v>OTHR</v>
      </c>
    </row>
    <row r="1278" spans="24:33" x14ac:dyDescent="0.3">
      <c r="X1278" s="3" t="str">
        <f t="shared" si="114"/>
        <v>-SADNE-</v>
      </c>
      <c r="Y1278" s="3" t="str">
        <f t="shared" si="115"/>
        <v>-SLOWSS-</v>
      </c>
      <c r="Z1278" s="4" t="str">
        <f t="shared" si="116"/>
        <v>{"couname":"","img":"0","pty":"","artist":"","genres":"","duration":"","spotId":"","Items":["-SADNE-","-SLOWSS-","OTHR","OTHR","XT_OffAnimals"]},</v>
      </c>
      <c r="AA1278" s="5" t="s">
        <v>5</v>
      </c>
      <c r="AB1278" s="3" t="str">
        <f t="shared" si="117"/>
        <v>["-SADNE-","-SLOWSS-","OTHR","OTHR","XT_OffAnimals"]</v>
      </c>
      <c r="AC1278" s="3">
        <f>_xlfn.XLOOKUP(A1278,Album!A:A,Album!J:J)</f>
        <v>0</v>
      </c>
      <c r="AD1278" s="3">
        <f>_xlfn.XLOOKUP(D1278,Artists!A:A,Artists!B:B)</f>
        <v>0</v>
      </c>
      <c r="AE1278" s="3">
        <f>_xlfn.XLOOKUP(D1278,Artists!A:A,Artists!C:C)</f>
        <v>0</v>
      </c>
      <c r="AF1278" s="3" t="str">
        <f t="shared" si="118"/>
        <v>OTHR</v>
      </c>
      <c r="AG1278" s="3" t="str">
        <f t="shared" si="119"/>
        <v>OTHR</v>
      </c>
    </row>
    <row r="1279" spans="24:33" x14ac:dyDescent="0.3">
      <c r="X1279" s="3" t="str">
        <f t="shared" si="114"/>
        <v>-SADNE-</v>
      </c>
      <c r="Y1279" s="3" t="str">
        <f t="shared" si="115"/>
        <v>-SLOWSS-</v>
      </c>
      <c r="Z1279" s="4" t="str">
        <f t="shared" si="116"/>
        <v>{"couname":"","img":"0","pty":"","artist":"","genres":"","duration":"","spotId":"","Items":["-SADNE-","-SLOWSS-","OTHR","OTHR","XT_OffAnimals"]},</v>
      </c>
      <c r="AA1279" s="5" t="s">
        <v>5</v>
      </c>
      <c r="AB1279" s="3" t="str">
        <f t="shared" si="117"/>
        <v>["-SADNE-","-SLOWSS-","OTHR","OTHR","XT_OffAnimals"]</v>
      </c>
      <c r="AC1279" s="3">
        <f>_xlfn.XLOOKUP(A1279,Album!A:A,Album!J:J)</f>
        <v>0</v>
      </c>
      <c r="AD1279" s="3">
        <f>_xlfn.XLOOKUP(D1279,Artists!A:A,Artists!B:B)</f>
        <v>0</v>
      </c>
      <c r="AE1279" s="3">
        <f>_xlfn.XLOOKUP(D1279,Artists!A:A,Artists!C:C)</f>
        <v>0</v>
      </c>
      <c r="AF1279" s="3" t="str">
        <f t="shared" si="118"/>
        <v>OTHR</v>
      </c>
      <c r="AG1279" s="3" t="str">
        <f t="shared" si="119"/>
        <v>OTHR</v>
      </c>
    </row>
    <row r="1280" spans="24:33" x14ac:dyDescent="0.3">
      <c r="X1280" s="3" t="str">
        <f t="shared" si="114"/>
        <v>-SADNE-</v>
      </c>
      <c r="Y1280" s="3" t="str">
        <f t="shared" si="115"/>
        <v>-SLOWSS-</v>
      </c>
      <c r="Z1280" s="4" t="str">
        <f t="shared" si="116"/>
        <v>{"couname":"","img":"0","pty":"","artist":"","genres":"","duration":"","spotId":"","Items":["-SADNE-","-SLOWSS-","OTHR","OTHR","XT_OffAnimals"]},</v>
      </c>
      <c r="AA1280" s="5" t="s">
        <v>5</v>
      </c>
      <c r="AB1280" s="3" t="str">
        <f t="shared" si="117"/>
        <v>["-SADNE-","-SLOWSS-","OTHR","OTHR","XT_OffAnimals"]</v>
      </c>
      <c r="AC1280" s="3">
        <f>_xlfn.XLOOKUP(A1280,Album!A:A,Album!J:J)</f>
        <v>0</v>
      </c>
      <c r="AD1280" s="3">
        <f>_xlfn.XLOOKUP(D1280,Artists!A:A,Artists!B:B)</f>
        <v>0</v>
      </c>
      <c r="AE1280" s="3">
        <f>_xlfn.XLOOKUP(D1280,Artists!A:A,Artists!C:C)</f>
        <v>0</v>
      </c>
      <c r="AF1280" s="3" t="str">
        <f t="shared" si="118"/>
        <v>OTHR</v>
      </c>
      <c r="AG1280" s="3" t="str">
        <f t="shared" si="119"/>
        <v>OTHR</v>
      </c>
    </row>
    <row r="1281" spans="24:33" x14ac:dyDescent="0.3">
      <c r="X1281" s="3" t="str">
        <f t="shared" si="114"/>
        <v>-SADNE-</v>
      </c>
      <c r="Y1281" s="3" t="str">
        <f t="shared" si="115"/>
        <v>-SLOWSS-</v>
      </c>
      <c r="Z1281" s="4" t="str">
        <f t="shared" si="116"/>
        <v>{"couname":"","img":"0","pty":"","artist":"","genres":"","duration":"","spotId":"","Items":["-SADNE-","-SLOWSS-","OTHR","OTHR","XT_OffAnimals"]},</v>
      </c>
      <c r="AA1281" s="5" t="s">
        <v>5</v>
      </c>
      <c r="AB1281" s="3" t="str">
        <f t="shared" si="117"/>
        <v>["-SADNE-","-SLOWSS-","OTHR","OTHR","XT_OffAnimals"]</v>
      </c>
      <c r="AC1281" s="3">
        <f>_xlfn.XLOOKUP(A1281,Album!A:A,Album!J:J)</f>
        <v>0</v>
      </c>
      <c r="AD1281" s="3">
        <f>_xlfn.XLOOKUP(D1281,Artists!A:A,Artists!B:B)</f>
        <v>0</v>
      </c>
      <c r="AE1281" s="3">
        <f>_xlfn.XLOOKUP(D1281,Artists!A:A,Artists!C:C)</f>
        <v>0</v>
      </c>
      <c r="AF1281" s="3" t="str">
        <f t="shared" si="118"/>
        <v>OTHR</v>
      </c>
      <c r="AG1281" s="3" t="str">
        <f t="shared" si="119"/>
        <v>OTHR</v>
      </c>
    </row>
    <row r="1282" spans="24:33" x14ac:dyDescent="0.3">
      <c r="X1282" s="3" t="str">
        <f t="shared" ref="X1282:X1345" si="120">IF(OR(U1282&lt;0.301, AND(U1282&lt;0.4, P1282=0)), "-SADNE-", "-HAPPY-")</f>
        <v>-SADNE-</v>
      </c>
      <c r="Y1282" s="3" t="str">
        <f t="shared" ref="Y1282:Y1345" si="121">IF(OR(AND(L1282&lt;0.5,M1282&lt;0.5),AND(L1282&lt;0.45,V1282&lt;100),AND(M1282&lt;0.45,V1282&lt;100),AND(U1282&lt;0.39,V1282&lt;100)),"-SLOWSS-","-ENERGY-")</f>
        <v>-SLOWSS-</v>
      </c>
      <c r="Z1282" s="4" t="str">
        <f t="shared" si="116"/>
        <v>{"couname":"","img":"0","pty":"","artist":"","genres":"","duration":"","spotId":"","Items":["-SADNE-","-SLOWSS-","OTHR","OTHR","XT_OffAnimals"]},</v>
      </c>
      <c r="AA1282" s="5" t="s">
        <v>5</v>
      </c>
      <c r="AB1282" s="3" t="str">
        <f t="shared" si="117"/>
        <v>["-SADNE-","-SLOWSS-","OTHR","OTHR","XT_OffAnimals"]</v>
      </c>
      <c r="AC1282" s="3">
        <f>_xlfn.XLOOKUP(A1282,Album!A:A,Album!J:J)</f>
        <v>0</v>
      </c>
      <c r="AD1282" s="3">
        <f>_xlfn.XLOOKUP(D1282,Artists!A:A,Artists!B:B)</f>
        <v>0</v>
      </c>
      <c r="AE1282" s="3">
        <f>_xlfn.XLOOKUP(D1282,Artists!A:A,Artists!C:C)</f>
        <v>0</v>
      </c>
      <c r="AF1282" s="3" t="str">
        <f t="shared" si="118"/>
        <v>OTHR</v>
      </c>
      <c r="AG1282" s="3" t="str">
        <f t="shared" si="119"/>
        <v>OTHR</v>
      </c>
    </row>
    <row r="1283" spans="24:33" x14ac:dyDescent="0.3">
      <c r="X1283" s="3" t="str">
        <f t="shared" si="120"/>
        <v>-SADNE-</v>
      </c>
      <c r="Y1283" s="3" t="str">
        <f t="shared" si="121"/>
        <v>-SLOWSS-</v>
      </c>
      <c r="Z1283" s="4" t="str">
        <f t="shared" ref="Z1283:Z1346" si="122">"{"&amp;CHAR(34)&amp;"couname"&amp;CHAR(34)&amp;":"&amp;CHAR(34)&amp;B1283&amp;CHAR(34)&amp;","&amp;CHAR(34)&amp;"img"&amp;CHAR(34)&amp;":"&amp;CHAR(34)&amp;AC1283&amp;CHAR(34)&amp;","&amp;CHAR(34)&amp;"pty"&amp;CHAR(34)&amp;":"&amp;CHAR(34)&amp;G1283&amp;CHAR(34)&amp;","&amp;CHAR(34)&amp;"artist"&amp;CHAR(34)&amp;":"&amp;CHAR(34)&amp;D1283&amp;CHAR(34)&amp;","&amp;CHAR(34)&amp;"genres"&amp;CHAR(34)&amp;":"&amp;CHAR(34)&amp;J1283&amp;CHAR(34)&amp;","&amp;CHAR(34)&amp;"duration"&amp;CHAR(34)&amp;":"&amp;CHAR(34)&amp;F1283&amp;CHAR(34)&amp;","&amp;CHAR(34)&amp;"spotId"&amp;CHAR(34)&amp;":"&amp;CHAR(34)&amp;A1283&amp;CHAR(34)&amp;","&amp;CHAR(34)&amp;"Items"&amp;CHAR(34)&amp;":"&amp;AB1283&amp;"},"</f>
        <v>{"couname":"","img":"0","pty":"","artist":"","genres":"","duration":"","spotId":"","Items":["-SADNE-","-SLOWSS-","OTHR","OTHR","XT_OffAnimals"]},</v>
      </c>
      <c r="AA1283" s="5" t="s">
        <v>5</v>
      </c>
      <c r="AB1283" s="3" t="str">
        <f t="shared" ref="AB1283:AB1346" si="123" xml:space="preserve"> "[" &amp; _xlfn.TEXTJOIN(",",TRUE,CHAR(34) &amp; X1283&amp; CHAR(34), CHAR(34) &amp; Y1283 &amp; CHAR(34),  CHAR(34) &amp; AF1283 &amp; CHAR(34), CHAR(34) &amp;AG1283 &amp; CHAR(34), CHAR(34) &amp; AA1283 &amp; CHAR(34)) &amp; "]"</f>
        <v>["-SADNE-","-SLOWSS-","OTHR","OTHR","XT_OffAnimals"]</v>
      </c>
      <c r="AC1283" s="3">
        <f>_xlfn.XLOOKUP(A1283,Album!A:A,Album!J:J)</f>
        <v>0</v>
      </c>
      <c r="AD1283" s="3">
        <f>_xlfn.XLOOKUP(D1283,Artists!A:A,Artists!B:B)</f>
        <v>0</v>
      </c>
      <c r="AE1283" s="3">
        <f>_xlfn.XLOOKUP(D1283,Artists!A:A,Artists!C:C)</f>
        <v>0</v>
      </c>
      <c r="AF1283" s="3" t="str">
        <f t="shared" ref="AF1283:AF1346" si="124">IF(ISNUMBER(SEARCH("female", AD1283)), "GIRL", IF(ISNUMBER(SEARCH("male", AD1283)), "DUDE", "OTHR"))</f>
        <v>OTHR</v>
      </c>
      <c r="AG1283" s="3" t="str">
        <f t="shared" ref="AG1283:AG1346" si="125">IF(ISNUMBER(SEARCH("band", AD1283)), "BAND", IF(ISNUMBER(SEARCH("solo", AD1283)), "SOLO", "OTHR"))</f>
        <v>OTHR</v>
      </c>
    </row>
    <row r="1284" spans="24:33" x14ac:dyDescent="0.3">
      <c r="X1284" s="3" t="str">
        <f t="shared" si="120"/>
        <v>-SADNE-</v>
      </c>
      <c r="Y1284" s="3" t="str">
        <f t="shared" si="121"/>
        <v>-SLOWSS-</v>
      </c>
      <c r="Z1284" s="4" t="str">
        <f t="shared" si="122"/>
        <v>{"couname":"","img":"0","pty":"","artist":"","genres":"","duration":"","spotId":"","Items":["-SADNE-","-SLOWSS-","OTHR","OTHR","XT_OffAnimals"]},</v>
      </c>
      <c r="AA1284" s="5" t="s">
        <v>5</v>
      </c>
      <c r="AB1284" s="3" t="str">
        <f t="shared" si="123"/>
        <v>["-SADNE-","-SLOWSS-","OTHR","OTHR","XT_OffAnimals"]</v>
      </c>
      <c r="AC1284" s="3">
        <f>_xlfn.XLOOKUP(A1284,Album!A:A,Album!J:J)</f>
        <v>0</v>
      </c>
      <c r="AD1284" s="3">
        <f>_xlfn.XLOOKUP(D1284,Artists!A:A,Artists!B:B)</f>
        <v>0</v>
      </c>
      <c r="AE1284" s="3">
        <f>_xlfn.XLOOKUP(D1284,Artists!A:A,Artists!C:C)</f>
        <v>0</v>
      </c>
      <c r="AF1284" s="3" t="str">
        <f t="shared" si="124"/>
        <v>OTHR</v>
      </c>
      <c r="AG1284" s="3" t="str">
        <f t="shared" si="125"/>
        <v>OTHR</v>
      </c>
    </row>
    <row r="1285" spans="24:33" x14ac:dyDescent="0.3">
      <c r="X1285" s="3" t="str">
        <f t="shared" si="120"/>
        <v>-SADNE-</v>
      </c>
      <c r="Y1285" s="3" t="str">
        <f t="shared" si="121"/>
        <v>-SLOWSS-</v>
      </c>
      <c r="Z1285" s="4" t="str">
        <f t="shared" si="122"/>
        <v>{"couname":"","img":"0","pty":"","artist":"","genres":"","duration":"","spotId":"","Items":["-SADNE-","-SLOWSS-","OTHR","OTHR","XT_OffAnimals"]},</v>
      </c>
      <c r="AA1285" s="5" t="s">
        <v>5</v>
      </c>
      <c r="AB1285" s="3" t="str">
        <f t="shared" si="123"/>
        <v>["-SADNE-","-SLOWSS-","OTHR","OTHR","XT_OffAnimals"]</v>
      </c>
      <c r="AC1285" s="3">
        <f>_xlfn.XLOOKUP(A1285,Album!A:A,Album!J:J)</f>
        <v>0</v>
      </c>
      <c r="AD1285" s="3">
        <f>_xlfn.XLOOKUP(D1285,Artists!A:A,Artists!B:B)</f>
        <v>0</v>
      </c>
      <c r="AE1285" s="3">
        <f>_xlfn.XLOOKUP(D1285,Artists!A:A,Artists!C:C)</f>
        <v>0</v>
      </c>
      <c r="AF1285" s="3" t="str">
        <f t="shared" si="124"/>
        <v>OTHR</v>
      </c>
      <c r="AG1285" s="3" t="str">
        <f t="shared" si="125"/>
        <v>OTHR</v>
      </c>
    </row>
    <row r="1286" spans="24:33" x14ac:dyDescent="0.3">
      <c r="X1286" s="3" t="str">
        <f t="shared" si="120"/>
        <v>-SADNE-</v>
      </c>
      <c r="Y1286" s="3" t="str">
        <f t="shared" si="121"/>
        <v>-SLOWSS-</v>
      </c>
      <c r="Z1286" s="4" t="str">
        <f t="shared" si="122"/>
        <v>{"couname":"","img":"0","pty":"","artist":"","genres":"","duration":"","spotId":"","Items":["-SADNE-","-SLOWSS-","OTHR","OTHR","XT_OffAnimals"]},</v>
      </c>
      <c r="AA1286" s="5" t="s">
        <v>5</v>
      </c>
      <c r="AB1286" s="3" t="str">
        <f t="shared" si="123"/>
        <v>["-SADNE-","-SLOWSS-","OTHR","OTHR","XT_OffAnimals"]</v>
      </c>
      <c r="AC1286" s="3">
        <f>_xlfn.XLOOKUP(A1286,Album!A:A,Album!J:J)</f>
        <v>0</v>
      </c>
      <c r="AD1286" s="3">
        <f>_xlfn.XLOOKUP(D1286,Artists!A:A,Artists!B:B)</f>
        <v>0</v>
      </c>
      <c r="AE1286" s="3">
        <f>_xlfn.XLOOKUP(D1286,Artists!A:A,Artists!C:C)</f>
        <v>0</v>
      </c>
      <c r="AF1286" s="3" t="str">
        <f t="shared" si="124"/>
        <v>OTHR</v>
      </c>
      <c r="AG1286" s="3" t="str">
        <f t="shared" si="125"/>
        <v>OTHR</v>
      </c>
    </row>
    <row r="1287" spans="24:33" x14ac:dyDescent="0.3">
      <c r="X1287" s="3" t="str">
        <f t="shared" si="120"/>
        <v>-SADNE-</v>
      </c>
      <c r="Y1287" s="3" t="str">
        <f t="shared" si="121"/>
        <v>-SLOWSS-</v>
      </c>
      <c r="Z1287" s="4" t="str">
        <f t="shared" si="122"/>
        <v>{"couname":"","img":"0","pty":"","artist":"","genres":"","duration":"","spotId":"","Items":["-SADNE-","-SLOWSS-","OTHR","OTHR","XT_OffAnimals"]},</v>
      </c>
      <c r="AA1287" s="5" t="s">
        <v>5</v>
      </c>
      <c r="AB1287" s="3" t="str">
        <f t="shared" si="123"/>
        <v>["-SADNE-","-SLOWSS-","OTHR","OTHR","XT_OffAnimals"]</v>
      </c>
      <c r="AC1287" s="3">
        <f>_xlfn.XLOOKUP(A1287,Album!A:A,Album!J:J)</f>
        <v>0</v>
      </c>
      <c r="AD1287" s="3">
        <f>_xlfn.XLOOKUP(D1287,Artists!A:A,Artists!B:B)</f>
        <v>0</v>
      </c>
      <c r="AE1287" s="3">
        <f>_xlfn.XLOOKUP(D1287,Artists!A:A,Artists!C:C)</f>
        <v>0</v>
      </c>
      <c r="AF1287" s="3" t="str">
        <f t="shared" si="124"/>
        <v>OTHR</v>
      </c>
      <c r="AG1287" s="3" t="str">
        <f t="shared" si="125"/>
        <v>OTHR</v>
      </c>
    </row>
    <row r="1288" spans="24:33" x14ac:dyDescent="0.3">
      <c r="X1288" s="3" t="str">
        <f t="shared" si="120"/>
        <v>-SADNE-</v>
      </c>
      <c r="Y1288" s="3" t="str">
        <f t="shared" si="121"/>
        <v>-SLOWSS-</v>
      </c>
      <c r="Z1288" s="4" t="str">
        <f t="shared" si="122"/>
        <v>{"couname":"","img":"0","pty":"","artist":"","genres":"","duration":"","spotId":"","Items":["-SADNE-","-SLOWSS-","OTHR","OTHR","XT_OffAnimals"]},</v>
      </c>
      <c r="AA1288" s="5" t="s">
        <v>5</v>
      </c>
      <c r="AB1288" s="3" t="str">
        <f t="shared" si="123"/>
        <v>["-SADNE-","-SLOWSS-","OTHR","OTHR","XT_OffAnimals"]</v>
      </c>
      <c r="AC1288" s="3">
        <f>_xlfn.XLOOKUP(A1288,Album!A:A,Album!J:J)</f>
        <v>0</v>
      </c>
      <c r="AD1288" s="3">
        <f>_xlfn.XLOOKUP(D1288,Artists!A:A,Artists!B:B)</f>
        <v>0</v>
      </c>
      <c r="AE1288" s="3">
        <f>_xlfn.XLOOKUP(D1288,Artists!A:A,Artists!C:C)</f>
        <v>0</v>
      </c>
      <c r="AF1288" s="3" t="str">
        <f t="shared" si="124"/>
        <v>OTHR</v>
      </c>
      <c r="AG1288" s="3" t="str">
        <f t="shared" si="125"/>
        <v>OTHR</v>
      </c>
    </row>
    <row r="1289" spans="24:33" x14ac:dyDescent="0.3">
      <c r="X1289" s="3" t="str">
        <f t="shared" si="120"/>
        <v>-SADNE-</v>
      </c>
      <c r="Y1289" s="3" t="str">
        <f t="shared" si="121"/>
        <v>-SLOWSS-</v>
      </c>
      <c r="Z1289" s="4" t="str">
        <f t="shared" si="122"/>
        <v>{"couname":"","img":"0","pty":"","artist":"","genres":"","duration":"","spotId":"","Items":["-SADNE-","-SLOWSS-","OTHR","OTHR","XT_OffAnimals"]},</v>
      </c>
      <c r="AA1289" s="5" t="s">
        <v>5</v>
      </c>
      <c r="AB1289" s="3" t="str">
        <f t="shared" si="123"/>
        <v>["-SADNE-","-SLOWSS-","OTHR","OTHR","XT_OffAnimals"]</v>
      </c>
      <c r="AC1289" s="3">
        <f>_xlfn.XLOOKUP(A1289,Album!A:A,Album!J:J)</f>
        <v>0</v>
      </c>
      <c r="AD1289" s="3">
        <f>_xlfn.XLOOKUP(D1289,Artists!A:A,Artists!B:B)</f>
        <v>0</v>
      </c>
      <c r="AE1289" s="3">
        <f>_xlfn.XLOOKUP(D1289,Artists!A:A,Artists!C:C)</f>
        <v>0</v>
      </c>
      <c r="AF1289" s="3" t="str">
        <f t="shared" si="124"/>
        <v>OTHR</v>
      </c>
      <c r="AG1289" s="3" t="str">
        <f t="shared" si="125"/>
        <v>OTHR</v>
      </c>
    </row>
    <row r="1290" spans="24:33" x14ac:dyDescent="0.3">
      <c r="X1290" s="3" t="str">
        <f t="shared" si="120"/>
        <v>-SADNE-</v>
      </c>
      <c r="Y1290" s="3" t="str">
        <f t="shared" si="121"/>
        <v>-SLOWSS-</v>
      </c>
      <c r="Z1290" s="4" t="str">
        <f t="shared" si="122"/>
        <v>{"couname":"","img":"0","pty":"","artist":"","genres":"","duration":"","spotId":"","Items":["-SADNE-","-SLOWSS-","OTHR","OTHR","XT_OffAnimals"]},</v>
      </c>
      <c r="AA1290" s="5" t="s">
        <v>5</v>
      </c>
      <c r="AB1290" s="3" t="str">
        <f t="shared" si="123"/>
        <v>["-SADNE-","-SLOWSS-","OTHR","OTHR","XT_OffAnimals"]</v>
      </c>
      <c r="AC1290" s="3">
        <f>_xlfn.XLOOKUP(A1290,Album!A:A,Album!J:J)</f>
        <v>0</v>
      </c>
      <c r="AD1290" s="3">
        <f>_xlfn.XLOOKUP(D1290,Artists!A:A,Artists!B:B)</f>
        <v>0</v>
      </c>
      <c r="AE1290" s="3">
        <f>_xlfn.XLOOKUP(D1290,Artists!A:A,Artists!C:C)</f>
        <v>0</v>
      </c>
      <c r="AF1290" s="3" t="str">
        <f t="shared" si="124"/>
        <v>OTHR</v>
      </c>
      <c r="AG1290" s="3" t="str">
        <f t="shared" si="125"/>
        <v>OTHR</v>
      </c>
    </row>
    <row r="1291" spans="24:33" x14ac:dyDescent="0.3">
      <c r="X1291" s="3" t="str">
        <f t="shared" si="120"/>
        <v>-SADNE-</v>
      </c>
      <c r="Y1291" s="3" t="str">
        <f t="shared" si="121"/>
        <v>-SLOWSS-</v>
      </c>
      <c r="Z1291" s="4" t="str">
        <f t="shared" si="122"/>
        <v>{"couname":"","img":"0","pty":"","artist":"","genres":"","duration":"","spotId":"","Items":["-SADNE-","-SLOWSS-","OTHR","OTHR","XT_OffAnimals"]},</v>
      </c>
      <c r="AA1291" s="5" t="s">
        <v>5</v>
      </c>
      <c r="AB1291" s="3" t="str">
        <f t="shared" si="123"/>
        <v>["-SADNE-","-SLOWSS-","OTHR","OTHR","XT_OffAnimals"]</v>
      </c>
      <c r="AC1291" s="3">
        <f>_xlfn.XLOOKUP(A1291,Album!A:A,Album!J:J)</f>
        <v>0</v>
      </c>
      <c r="AD1291" s="3">
        <f>_xlfn.XLOOKUP(D1291,Artists!A:A,Artists!B:B)</f>
        <v>0</v>
      </c>
      <c r="AE1291" s="3">
        <f>_xlfn.XLOOKUP(D1291,Artists!A:A,Artists!C:C)</f>
        <v>0</v>
      </c>
      <c r="AF1291" s="3" t="str">
        <f t="shared" si="124"/>
        <v>OTHR</v>
      </c>
      <c r="AG1291" s="3" t="str">
        <f t="shared" si="125"/>
        <v>OTHR</v>
      </c>
    </row>
    <row r="1292" spans="24:33" x14ac:dyDescent="0.3">
      <c r="X1292" s="3" t="str">
        <f t="shared" si="120"/>
        <v>-SADNE-</v>
      </c>
      <c r="Y1292" s="3" t="str">
        <f t="shared" si="121"/>
        <v>-SLOWSS-</v>
      </c>
      <c r="Z1292" s="4" t="str">
        <f t="shared" si="122"/>
        <v>{"couname":"","img":"0","pty":"","artist":"","genres":"","duration":"","spotId":"","Items":["-SADNE-","-SLOWSS-","OTHR","OTHR","XT_OffAnimals"]},</v>
      </c>
      <c r="AA1292" s="5" t="s">
        <v>5</v>
      </c>
      <c r="AB1292" s="3" t="str">
        <f t="shared" si="123"/>
        <v>["-SADNE-","-SLOWSS-","OTHR","OTHR","XT_OffAnimals"]</v>
      </c>
      <c r="AC1292" s="3">
        <f>_xlfn.XLOOKUP(A1292,Album!A:A,Album!J:J)</f>
        <v>0</v>
      </c>
      <c r="AD1292" s="3">
        <f>_xlfn.XLOOKUP(D1292,Artists!A:A,Artists!B:B)</f>
        <v>0</v>
      </c>
      <c r="AE1292" s="3">
        <f>_xlfn.XLOOKUP(D1292,Artists!A:A,Artists!C:C)</f>
        <v>0</v>
      </c>
      <c r="AF1292" s="3" t="str">
        <f t="shared" si="124"/>
        <v>OTHR</v>
      </c>
      <c r="AG1292" s="3" t="str">
        <f t="shared" si="125"/>
        <v>OTHR</v>
      </c>
    </row>
    <row r="1293" spans="24:33" x14ac:dyDescent="0.3">
      <c r="X1293" s="3" t="str">
        <f t="shared" si="120"/>
        <v>-SADNE-</v>
      </c>
      <c r="Y1293" s="3" t="str">
        <f t="shared" si="121"/>
        <v>-SLOWSS-</v>
      </c>
      <c r="Z1293" s="4" t="str">
        <f t="shared" si="122"/>
        <v>{"couname":"","img":"0","pty":"","artist":"","genres":"","duration":"","spotId":"","Items":["-SADNE-","-SLOWSS-","OTHR","OTHR","XT_OffAnimals"]},</v>
      </c>
      <c r="AA1293" s="5" t="s">
        <v>5</v>
      </c>
      <c r="AB1293" s="3" t="str">
        <f t="shared" si="123"/>
        <v>["-SADNE-","-SLOWSS-","OTHR","OTHR","XT_OffAnimals"]</v>
      </c>
      <c r="AC1293" s="3">
        <f>_xlfn.XLOOKUP(A1293,Album!A:A,Album!J:J)</f>
        <v>0</v>
      </c>
      <c r="AD1293" s="3">
        <f>_xlfn.XLOOKUP(D1293,Artists!A:A,Artists!B:B)</f>
        <v>0</v>
      </c>
      <c r="AE1293" s="3">
        <f>_xlfn.XLOOKUP(D1293,Artists!A:A,Artists!C:C)</f>
        <v>0</v>
      </c>
      <c r="AF1293" s="3" t="str">
        <f t="shared" si="124"/>
        <v>OTHR</v>
      </c>
      <c r="AG1293" s="3" t="str">
        <f t="shared" si="125"/>
        <v>OTHR</v>
      </c>
    </row>
    <row r="1294" spans="24:33" x14ac:dyDescent="0.3">
      <c r="X1294" s="3" t="str">
        <f t="shared" si="120"/>
        <v>-SADNE-</v>
      </c>
      <c r="Y1294" s="3" t="str">
        <f t="shared" si="121"/>
        <v>-SLOWSS-</v>
      </c>
      <c r="Z1294" s="4" t="str">
        <f t="shared" si="122"/>
        <v>{"couname":"","img":"0","pty":"","artist":"","genres":"","duration":"","spotId":"","Items":["-SADNE-","-SLOWSS-","OTHR","OTHR","XT_OffAnimals"]},</v>
      </c>
      <c r="AA1294" s="5" t="s">
        <v>5</v>
      </c>
      <c r="AB1294" s="3" t="str">
        <f t="shared" si="123"/>
        <v>["-SADNE-","-SLOWSS-","OTHR","OTHR","XT_OffAnimals"]</v>
      </c>
      <c r="AC1294" s="3">
        <f>_xlfn.XLOOKUP(A1294,Album!A:A,Album!J:J)</f>
        <v>0</v>
      </c>
      <c r="AD1294" s="3">
        <f>_xlfn.XLOOKUP(D1294,Artists!A:A,Artists!B:B)</f>
        <v>0</v>
      </c>
      <c r="AE1294" s="3">
        <f>_xlfn.XLOOKUP(D1294,Artists!A:A,Artists!C:C)</f>
        <v>0</v>
      </c>
      <c r="AF1294" s="3" t="str">
        <f t="shared" si="124"/>
        <v>OTHR</v>
      </c>
      <c r="AG1294" s="3" t="str">
        <f t="shared" si="125"/>
        <v>OTHR</v>
      </c>
    </row>
    <row r="1295" spans="24:33" x14ac:dyDescent="0.3">
      <c r="X1295" s="3" t="str">
        <f t="shared" si="120"/>
        <v>-SADNE-</v>
      </c>
      <c r="Y1295" s="3" t="str">
        <f t="shared" si="121"/>
        <v>-SLOWSS-</v>
      </c>
      <c r="Z1295" s="4" t="str">
        <f t="shared" si="122"/>
        <v>{"couname":"","img":"0","pty":"","artist":"","genres":"","duration":"","spotId":"","Items":["-SADNE-","-SLOWSS-","OTHR","OTHR","XT_OffAnimals"]},</v>
      </c>
      <c r="AA1295" s="5" t="s">
        <v>5</v>
      </c>
      <c r="AB1295" s="3" t="str">
        <f t="shared" si="123"/>
        <v>["-SADNE-","-SLOWSS-","OTHR","OTHR","XT_OffAnimals"]</v>
      </c>
      <c r="AC1295" s="3">
        <f>_xlfn.XLOOKUP(A1295,Album!A:A,Album!J:J)</f>
        <v>0</v>
      </c>
      <c r="AD1295" s="3">
        <f>_xlfn.XLOOKUP(D1295,Artists!A:A,Artists!B:B)</f>
        <v>0</v>
      </c>
      <c r="AE1295" s="3">
        <f>_xlfn.XLOOKUP(D1295,Artists!A:A,Artists!C:C)</f>
        <v>0</v>
      </c>
      <c r="AF1295" s="3" t="str">
        <f t="shared" si="124"/>
        <v>OTHR</v>
      </c>
      <c r="AG1295" s="3" t="str">
        <f t="shared" si="125"/>
        <v>OTHR</v>
      </c>
    </row>
    <row r="1296" spans="24:33" x14ac:dyDescent="0.3">
      <c r="X1296" s="3" t="str">
        <f t="shared" si="120"/>
        <v>-SADNE-</v>
      </c>
      <c r="Y1296" s="3" t="str">
        <f t="shared" si="121"/>
        <v>-SLOWSS-</v>
      </c>
      <c r="Z1296" s="4" t="str">
        <f t="shared" si="122"/>
        <v>{"couname":"","img":"0","pty":"","artist":"","genres":"","duration":"","spotId":"","Items":["-SADNE-","-SLOWSS-","OTHR","OTHR","XT_OffAnimals"]},</v>
      </c>
      <c r="AA1296" s="5" t="s">
        <v>5</v>
      </c>
      <c r="AB1296" s="3" t="str">
        <f t="shared" si="123"/>
        <v>["-SADNE-","-SLOWSS-","OTHR","OTHR","XT_OffAnimals"]</v>
      </c>
      <c r="AC1296" s="3">
        <f>_xlfn.XLOOKUP(A1296,Album!A:A,Album!J:J)</f>
        <v>0</v>
      </c>
      <c r="AD1296" s="3">
        <f>_xlfn.XLOOKUP(D1296,Artists!A:A,Artists!B:B)</f>
        <v>0</v>
      </c>
      <c r="AE1296" s="3">
        <f>_xlfn.XLOOKUP(D1296,Artists!A:A,Artists!C:C)</f>
        <v>0</v>
      </c>
      <c r="AF1296" s="3" t="str">
        <f t="shared" si="124"/>
        <v>OTHR</v>
      </c>
      <c r="AG1296" s="3" t="str">
        <f t="shared" si="125"/>
        <v>OTHR</v>
      </c>
    </row>
    <row r="1297" spans="24:33" x14ac:dyDescent="0.3">
      <c r="X1297" s="3" t="str">
        <f t="shared" si="120"/>
        <v>-SADNE-</v>
      </c>
      <c r="Y1297" s="3" t="str">
        <f t="shared" si="121"/>
        <v>-SLOWSS-</v>
      </c>
      <c r="Z1297" s="4" t="str">
        <f t="shared" si="122"/>
        <v>{"couname":"","img":"0","pty":"","artist":"","genres":"","duration":"","spotId":"","Items":["-SADNE-","-SLOWSS-","OTHR","OTHR","XT_OffAnimals"]},</v>
      </c>
      <c r="AA1297" s="5" t="s">
        <v>5</v>
      </c>
      <c r="AB1297" s="3" t="str">
        <f t="shared" si="123"/>
        <v>["-SADNE-","-SLOWSS-","OTHR","OTHR","XT_OffAnimals"]</v>
      </c>
      <c r="AC1297" s="3">
        <f>_xlfn.XLOOKUP(A1297,Album!A:A,Album!J:J)</f>
        <v>0</v>
      </c>
      <c r="AD1297" s="3">
        <f>_xlfn.XLOOKUP(D1297,Artists!A:A,Artists!B:B)</f>
        <v>0</v>
      </c>
      <c r="AE1297" s="3">
        <f>_xlfn.XLOOKUP(D1297,Artists!A:A,Artists!C:C)</f>
        <v>0</v>
      </c>
      <c r="AF1297" s="3" t="str">
        <f t="shared" si="124"/>
        <v>OTHR</v>
      </c>
      <c r="AG1297" s="3" t="str">
        <f t="shared" si="125"/>
        <v>OTHR</v>
      </c>
    </row>
    <row r="1298" spans="24:33" x14ac:dyDescent="0.3">
      <c r="X1298" s="3" t="str">
        <f t="shared" si="120"/>
        <v>-SADNE-</v>
      </c>
      <c r="Y1298" s="3" t="str">
        <f t="shared" si="121"/>
        <v>-SLOWSS-</v>
      </c>
      <c r="Z1298" s="4" t="str">
        <f t="shared" si="122"/>
        <v>{"couname":"","img":"0","pty":"","artist":"","genres":"","duration":"","spotId":"","Items":["-SADNE-","-SLOWSS-","OTHR","OTHR","XT_OffAnimals"]},</v>
      </c>
      <c r="AA1298" s="5" t="s">
        <v>5</v>
      </c>
      <c r="AB1298" s="3" t="str">
        <f t="shared" si="123"/>
        <v>["-SADNE-","-SLOWSS-","OTHR","OTHR","XT_OffAnimals"]</v>
      </c>
      <c r="AC1298" s="3">
        <f>_xlfn.XLOOKUP(A1298,Album!A:A,Album!J:J)</f>
        <v>0</v>
      </c>
      <c r="AD1298" s="3">
        <f>_xlfn.XLOOKUP(D1298,Artists!A:A,Artists!B:B)</f>
        <v>0</v>
      </c>
      <c r="AE1298" s="3">
        <f>_xlfn.XLOOKUP(D1298,Artists!A:A,Artists!C:C)</f>
        <v>0</v>
      </c>
      <c r="AF1298" s="3" t="str">
        <f t="shared" si="124"/>
        <v>OTHR</v>
      </c>
      <c r="AG1298" s="3" t="str">
        <f t="shared" si="125"/>
        <v>OTHR</v>
      </c>
    </row>
    <row r="1299" spans="24:33" x14ac:dyDescent="0.3">
      <c r="X1299" s="3" t="str">
        <f t="shared" si="120"/>
        <v>-SADNE-</v>
      </c>
      <c r="Y1299" s="3" t="str">
        <f t="shared" si="121"/>
        <v>-SLOWSS-</v>
      </c>
      <c r="Z1299" s="4" t="str">
        <f t="shared" si="122"/>
        <v>{"couname":"","img":"0","pty":"","artist":"","genres":"","duration":"","spotId":"","Items":["-SADNE-","-SLOWSS-","OTHR","OTHR","XT_OffAnimals"]},</v>
      </c>
      <c r="AA1299" s="5" t="s">
        <v>5</v>
      </c>
      <c r="AB1299" s="3" t="str">
        <f t="shared" si="123"/>
        <v>["-SADNE-","-SLOWSS-","OTHR","OTHR","XT_OffAnimals"]</v>
      </c>
      <c r="AC1299" s="3">
        <f>_xlfn.XLOOKUP(A1299,Album!A:A,Album!J:J)</f>
        <v>0</v>
      </c>
      <c r="AD1299" s="3">
        <f>_xlfn.XLOOKUP(D1299,Artists!A:A,Artists!B:B)</f>
        <v>0</v>
      </c>
      <c r="AE1299" s="3">
        <f>_xlfn.XLOOKUP(D1299,Artists!A:A,Artists!C:C)</f>
        <v>0</v>
      </c>
      <c r="AF1299" s="3" t="str">
        <f t="shared" si="124"/>
        <v>OTHR</v>
      </c>
      <c r="AG1299" s="3" t="str">
        <f t="shared" si="125"/>
        <v>OTHR</v>
      </c>
    </row>
    <row r="1300" spans="24:33" x14ac:dyDescent="0.3">
      <c r="X1300" s="3" t="str">
        <f t="shared" si="120"/>
        <v>-SADNE-</v>
      </c>
      <c r="Y1300" s="3" t="str">
        <f t="shared" si="121"/>
        <v>-SLOWSS-</v>
      </c>
      <c r="Z1300" s="4" t="str">
        <f t="shared" si="122"/>
        <v>{"couname":"","img":"0","pty":"","artist":"","genres":"","duration":"","spotId":"","Items":["-SADNE-","-SLOWSS-","OTHR","OTHR","XT_OffAnimals"]},</v>
      </c>
      <c r="AA1300" s="5" t="s">
        <v>5</v>
      </c>
      <c r="AB1300" s="3" t="str">
        <f t="shared" si="123"/>
        <v>["-SADNE-","-SLOWSS-","OTHR","OTHR","XT_OffAnimals"]</v>
      </c>
      <c r="AC1300" s="3">
        <f>_xlfn.XLOOKUP(A1300,Album!A:A,Album!J:J)</f>
        <v>0</v>
      </c>
      <c r="AD1300" s="3">
        <f>_xlfn.XLOOKUP(D1300,Artists!A:A,Artists!B:B)</f>
        <v>0</v>
      </c>
      <c r="AE1300" s="3">
        <f>_xlfn.XLOOKUP(D1300,Artists!A:A,Artists!C:C)</f>
        <v>0</v>
      </c>
      <c r="AF1300" s="3" t="str">
        <f t="shared" si="124"/>
        <v>OTHR</v>
      </c>
      <c r="AG1300" s="3" t="str">
        <f t="shared" si="125"/>
        <v>OTHR</v>
      </c>
    </row>
    <row r="1301" spans="24:33" x14ac:dyDescent="0.3">
      <c r="X1301" s="3" t="str">
        <f t="shared" si="120"/>
        <v>-SADNE-</v>
      </c>
      <c r="Y1301" s="3" t="str">
        <f t="shared" si="121"/>
        <v>-SLOWSS-</v>
      </c>
      <c r="Z1301" s="4" t="str">
        <f t="shared" si="122"/>
        <v>{"couname":"","img":"0","pty":"","artist":"","genres":"","duration":"","spotId":"","Items":["-SADNE-","-SLOWSS-","OTHR","OTHR","XT_OffAnimals"]},</v>
      </c>
      <c r="AA1301" s="5" t="s">
        <v>5</v>
      </c>
      <c r="AB1301" s="3" t="str">
        <f t="shared" si="123"/>
        <v>["-SADNE-","-SLOWSS-","OTHR","OTHR","XT_OffAnimals"]</v>
      </c>
      <c r="AC1301" s="3">
        <f>_xlfn.XLOOKUP(A1301,Album!A:A,Album!J:J)</f>
        <v>0</v>
      </c>
      <c r="AD1301" s="3">
        <f>_xlfn.XLOOKUP(D1301,Artists!A:A,Artists!B:B)</f>
        <v>0</v>
      </c>
      <c r="AE1301" s="3">
        <f>_xlfn.XLOOKUP(D1301,Artists!A:A,Artists!C:C)</f>
        <v>0</v>
      </c>
      <c r="AF1301" s="3" t="str">
        <f t="shared" si="124"/>
        <v>OTHR</v>
      </c>
      <c r="AG1301" s="3" t="str">
        <f t="shared" si="125"/>
        <v>OTHR</v>
      </c>
    </row>
    <row r="1302" spans="24:33" x14ac:dyDescent="0.3">
      <c r="X1302" s="3" t="str">
        <f t="shared" si="120"/>
        <v>-SADNE-</v>
      </c>
      <c r="Y1302" s="3" t="str">
        <f t="shared" si="121"/>
        <v>-SLOWSS-</v>
      </c>
      <c r="Z1302" s="4" t="str">
        <f t="shared" si="122"/>
        <v>{"couname":"","img":"0","pty":"","artist":"","genres":"","duration":"","spotId":"","Items":["-SADNE-","-SLOWSS-","OTHR","OTHR","XT_OffAnimals"]},</v>
      </c>
      <c r="AA1302" s="5" t="s">
        <v>5</v>
      </c>
      <c r="AB1302" s="3" t="str">
        <f t="shared" si="123"/>
        <v>["-SADNE-","-SLOWSS-","OTHR","OTHR","XT_OffAnimals"]</v>
      </c>
      <c r="AC1302" s="3">
        <f>_xlfn.XLOOKUP(A1302,Album!A:A,Album!J:J)</f>
        <v>0</v>
      </c>
      <c r="AD1302" s="3">
        <f>_xlfn.XLOOKUP(D1302,Artists!A:A,Artists!B:B)</f>
        <v>0</v>
      </c>
      <c r="AE1302" s="3">
        <f>_xlfn.XLOOKUP(D1302,Artists!A:A,Artists!C:C)</f>
        <v>0</v>
      </c>
      <c r="AF1302" s="3" t="str">
        <f t="shared" si="124"/>
        <v>OTHR</v>
      </c>
      <c r="AG1302" s="3" t="str">
        <f t="shared" si="125"/>
        <v>OTHR</v>
      </c>
    </row>
    <row r="1303" spans="24:33" x14ac:dyDescent="0.3">
      <c r="X1303" s="3" t="str">
        <f t="shared" si="120"/>
        <v>-SADNE-</v>
      </c>
      <c r="Y1303" s="3" t="str">
        <f t="shared" si="121"/>
        <v>-SLOWSS-</v>
      </c>
      <c r="Z1303" s="4" t="str">
        <f t="shared" si="122"/>
        <v>{"couname":"","img":"0","pty":"","artist":"","genres":"","duration":"","spotId":"","Items":["-SADNE-","-SLOWSS-","OTHR","OTHR","XT_OffAnimals"]},</v>
      </c>
      <c r="AA1303" s="5" t="s">
        <v>5</v>
      </c>
      <c r="AB1303" s="3" t="str">
        <f t="shared" si="123"/>
        <v>["-SADNE-","-SLOWSS-","OTHR","OTHR","XT_OffAnimals"]</v>
      </c>
      <c r="AC1303" s="3">
        <f>_xlfn.XLOOKUP(A1303,Album!A:A,Album!J:J)</f>
        <v>0</v>
      </c>
      <c r="AD1303" s="3">
        <f>_xlfn.XLOOKUP(D1303,Artists!A:A,Artists!B:B)</f>
        <v>0</v>
      </c>
      <c r="AE1303" s="3">
        <f>_xlfn.XLOOKUP(D1303,Artists!A:A,Artists!C:C)</f>
        <v>0</v>
      </c>
      <c r="AF1303" s="3" t="str">
        <f t="shared" si="124"/>
        <v>OTHR</v>
      </c>
      <c r="AG1303" s="3" t="str">
        <f t="shared" si="125"/>
        <v>OTHR</v>
      </c>
    </row>
    <row r="1304" spans="24:33" x14ac:dyDescent="0.3">
      <c r="X1304" s="3" t="str">
        <f t="shared" si="120"/>
        <v>-SADNE-</v>
      </c>
      <c r="Y1304" s="3" t="str">
        <f t="shared" si="121"/>
        <v>-SLOWSS-</v>
      </c>
      <c r="Z1304" s="4" t="str">
        <f t="shared" si="122"/>
        <v>{"couname":"","img":"0","pty":"","artist":"","genres":"","duration":"","spotId":"","Items":["-SADNE-","-SLOWSS-","OTHR","OTHR","XT_OffAnimals"]},</v>
      </c>
      <c r="AA1304" s="5" t="s">
        <v>5</v>
      </c>
      <c r="AB1304" s="3" t="str">
        <f t="shared" si="123"/>
        <v>["-SADNE-","-SLOWSS-","OTHR","OTHR","XT_OffAnimals"]</v>
      </c>
      <c r="AC1304" s="3">
        <f>_xlfn.XLOOKUP(A1304,Album!A:A,Album!J:J)</f>
        <v>0</v>
      </c>
      <c r="AD1304" s="3">
        <f>_xlfn.XLOOKUP(D1304,Artists!A:A,Artists!B:B)</f>
        <v>0</v>
      </c>
      <c r="AE1304" s="3">
        <f>_xlfn.XLOOKUP(D1304,Artists!A:A,Artists!C:C)</f>
        <v>0</v>
      </c>
      <c r="AF1304" s="3" t="str">
        <f t="shared" si="124"/>
        <v>OTHR</v>
      </c>
      <c r="AG1304" s="3" t="str">
        <f t="shared" si="125"/>
        <v>OTHR</v>
      </c>
    </row>
    <row r="1305" spans="24:33" x14ac:dyDescent="0.3">
      <c r="X1305" s="3" t="str">
        <f t="shared" si="120"/>
        <v>-SADNE-</v>
      </c>
      <c r="Y1305" s="3" t="str">
        <f t="shared" si="121"/>
        <v>-SLOWSS-</v>
      </c>
      <c r="Z1305" s="4" t="str">
        <f t="shared" si="122"/>
        <v>{"couname":"","img":"0","pty":"","artist":"","genres":"","duration":"","spotId":"","Items":["-SADNE-","-SLOWSS-","OTHR","OTHR","XT_OffAnimals"]},</v>
      </c>
      <c r="AA1305" s="5" t="s">
        <v>5</v>
      </c>
      <c r="AB1305" s="3" t="str">
        <f t="shared" si="123"/>
        <v>["-SADNE-","-SLOWSS-","OTHR","OTHR","XT_OffAnimals"]</v>
      </c>
      <c r="AC1305" s="3">
        <f>_xlfn.XLOOKUP(A1305,Album!A:A,Album!J:J)</f>
        <v>0</v>
      </c>
      <c r="AD1305" s="3">
        <f>_xlfn.XLOOKUP(D1305,Artists!A:A,Artists!B:B)</f>
        <v>0</v>
      </c>
      <c r="AE1305" s="3">
        <f>_xlfn.XLOOKUP(D1305,Artists!A:A,Artists!C:C)</f>
        <v>0</v>
      </c>
      <c r="AF1305" s="3" t="str">
        <f t="shared" si="124"/>
        <v>OTHR</v>
      </c>
      <c r="AG1305" s="3" t="str">
        <f t="shared" si="125"/>
        <v>OTHR</v>
      </c>
    </row>
    <row r="1306" spans="24:33" x14ac:dyDescent="0.3">
      <c r="X1306" s="3" t="str">
        <f t="shared" si="120"/>
        <v>-SADNE-</v>
      </c>
      <c r="Y1306" s="3" t="str">
        <f t="shared" si="121"/>
        <v>-SLOWSS-</v>
      </c>
      <c r="Z1306" s="4" t="str">
        <f t="shared" si="122"/>
        <v>{"couname":"","img":"0","pty":"","artist":"","genres":"","duration":"","spotId":"","Items":["-SADNE-","-SLOWSS-","OTHR","OTHR","XT_OffAnimals"]},</v>
      </c>
      <c r="AA1306" s="5" t="s">
        <v>5</v>
      </c>
      <c r="AB1306" s="3" t="str">
        <f t="shared" si="123"/>
        <v>["-SADNE-","-SLOWSS-","OTHR","OTHR","XT_OffAnimals"]</v>
      </c>
      <c r="AC1306" s="3">
        <f>_xlfn.XLOOKUP(A1306,Album!A:A,Album!J:J)</f>
        <v>0</v>
      </c>
      <c r="AD1306" s="3">
        <f>_xlfn.XLOOKUP(D1306,Artists!A:A,Artists!B:B)</f>
        <v>0</v>
      </c>
      <c r="AE1306" s="3">
        <f>_xlfn.XLOOKUP(D1306,Artists!A:A,Artists!C:C)</f>
        <v>0</v>
      </c>
      <c r="AF1306" s="3" t="str">
        <f t="shared" si="124"/>
        <v>OTHR</v>
      </c>
      <c r="AG1306" s="3" t="str">
        <f t="shared" si="125"/>
        <v>OTHR</v>
      </c>
    </row>
    <row r="1307" spans="24:33" x14ac:dyDescent="0.3">
      <c r="X1307" s="3" t="str">
        <f t="shared" si="120"/>
        <v>-SADNE-</v>
      </c>
      <c r="Y1307" s="3" t="str">
        <f t="shared" si="121"/>
        <v>-SLOWSS-</v>
      </c>
      <c r="Z1307" s="4" t="str">
        <f t="shared" si="122"/>
        <v>{"couname":"","img":"0","pty":"","artist":"","genres":"","duration":"","spotId":"","Items":["-SADNE-","-SLOWSS-","OTHR","OTHR","XT_OffAnimals"]},</v>
      </c>
      <c r="AA1307" s="5" t="s">
        <v>5</v>
      </c>
      <c r="AB1307" s="3" t="str">
        <f t="shared" si="123"/>
        <v>["-SADNE-","-SLOWSS-","OTHR","OTHR","XT_OffAnimals"]</v>
      </c>
      <c r="AC1307" s="3">
        <f>_xlfn.XLOOKUP(A1307,Album!A:A,Album!J:J)</f>
        <v>0</v>
      </c>
      <c r="AD1307" s="3">
        <f>_xlfn.XLOOKUP(D1307,Artists!A:A,Artists!B:B)</f>
        <v>0</v>
      </c>
      <c r="AE1307" s="3">
        <f>_xlfn.XLOOKUP(D1307,Artists!A:A,Artists!C:C)</f>
        <v>0</v>
      </c>
      <c r="AF1307" s="3" t="str">
        <f t="shared" si="124"/>
        <v>OTHR</v>
      </c>
      <c r="AG1307" s="3" t="str">
        <f t="shared" si="125"/>
        <v>OTHR</v>
      </c>
    </row>
    <row r="1308" spans="24:33" x14ac:dyDescent="0.3">
      <c r="X1308" s="3" t="str">
        <f t="shared" si="120"/>
        <v>-SADNE-</v>
      </c>
      <c r="Y1308" s="3" t="str">
        <f t="shared" si="121"/>
        <v>-SLOWSS-</v>
      </c>
      <c r="Z1308" s="4" t="str">
        <f t="shared" si="122"/>
        <v>{"couname":"","img":"0","pty":"","artist":"","genres":"","duration":"","spotId":"","Items":["-SADNE-","-SLOWSS-","OTHR","OTHR","XT_OffAnimals"]},</v>
      </c>
      <c r="AA1308" s="5" t="s">
        <v>5</v>
      </c>
      <c r="AB1308" s="3" t="str">
        <f t="shared" si="123"/>
        <v>["-SADNE-","-SLOWSS-","OTHR","OTHR","XT_OffAnimals"]</v>
      </c>
      <c r="AC1308" s="3">
        <f>_xlfn.XLOOKUP(A1308,Album!A:A,Album!J:J)</f>
        <v>0</v>
      </c>
      <c r="AD1308" s="3">
        <f>_xlfn.XLOOKUP(D1308,Artists!A:A,Artists!B:B)</f>
        <v>0</v>
      </c>
      <c r="AE1308" s="3">
        <f>_xlfn.XLOOKUP(D1308,Artists!A:A,Artists!C:C)</f>
        <v>0</v>
      </c>
      <c r="AF1308" s="3" t="str">
        <f t="shared" si="124"/>
        <v>OTHR</v>
      </c>
      <c r="AG1308" s="3" t="str">
        <f t="shared" si="125"/>
        <v>OTHR</v>
      </c>
    </row>
    <row r="1309" spans="24:33" x14ac:dyDescent="0.3">
      <c r="X1309" s="3" t="str">
        <f t="shared" si="120"/>
        <v>-SADNE-</v>
      </c>
      <c r="Y1309" s="3" t="str">
        <f t="shared" si="121"/>
        <v>-SLOWSS-</v>
      </c>
      <c r="Z1309" s="4" t="str">
        <f t="shared" si="122"/>
        <v>{"couname":"","img":"0","pty":"","artist":"","genres":"","duration":"","spotId":"","Items":["-SADNE-","-SLOWSS-","OTHR","OTHR","XT_OffAnimals"]},</v>
      </c>
      <c r="AA1309" s="5" t="s">
        <v>5</v>
      </c>
      <c r="AB1309" s="3" t="str">
        <f t="shared" si="123"/>
        <v>["-SADNE-","-SLOWSS-","OTHR","OTHR","XT_OffAnimals"]</v>
      </c>
      <c r="AC1309" s="3">
        <f>_xlfn.XLOOKUP(A1309,Album!A:A,Album!J:J)</f>
        <v>0</v>
      </c>
      <c r="AD1309" s="3">
        <f>_xlfn.XLOOKUP(D1309,Artists!A:A,Artists!B:B)</f>
        <v>0</v>
      </c>
      <c r="AE1309" s="3">
        <f>_xlfn.XLOOKUP(D1309,Artists!A:A,Artists!C:C)</f>
        <v>0</v>
      </c>
      <c r="AF1309" s="3" t="str">
        <f t="shared" si="124"/>
        <v>OTHR</v>
      </c>
      <c r="AG1309" s="3" t="str">
        <f t="shared" si="125"/>
        <v>OTHR</v>
      </c>
    </row>
    <row r="1310" spans="24:33" x14ac:dyDescent="0.3">
      <c r="X1310" s="3" t="str">
        <f t="shared" si="120"/>
        <v>-SADNE-</v>
      </c>
      <c r="Y1310" s="3" t="str">
        <f t="shared" si="121"/>
        <v>-SLOWSS-</v>
      </c>
      <c r="Z1310" s="4" t="str">
        <f t="shared" si="122"/>
        <v>{"couname":"","img":"0","pty":"","artist":"","genres":"","duration":"","spotId":"","Items":["-SADNE-","-SLOWSS-","OTHR","OTHR","XT_OffAnimals"]},</v>
      </c>
      <c r="AA1310" s="5" t="s">
        <v>5</v>
      </c>
      <c r="AB1310" s="3" t="str">
        <f t="shared" si="123"/>
        <v>["-SADNE-","-SLOWSS-","OTHR","OTHR","XT_OffAnimals"]</v>
      </c>
      <c r="AC1310" s="3">
        <f>_xlfn.XLOOKUP(A1310,Album!A:A,Album!J:J)</f>
        <v>0</v>
      </c>
      <c r="AD1310" s="3">
        <f>_xlfn.XLOOKUP(D1310,Artists!A:A,Artists!B:B)</f>
        <v>0</v>
      </c>
      <c r="AE1310" s="3">
        <f>_xlfn.XLOOKUP(D1310,Artists!A:A,Artists!C:C)</f>
        <v>0</v>
      </c>
      <c r="AF1310" s="3" t="str">
        <f t="shared" si="124"/>
        <v>OTHR</v>
      </c>
      <c r="AG1310" s="3" t="str">
        <f t="shared" si="125"/>
        <v>OTHR</v>
      </c>
    </row>
    <row r="1311" spans="24:33" x14ac:dyDescent="0.3">
      <c r="X1311" s="3" t="str">
        <f t="shared" si="120"/>
        <v>-SADNE-</v>
      </c>
      <c r="Y1311" s="3" t="str">
        <f t="shared" si="121"/>
        <v>-SLOWSS-</v>
      </c>
      <c r="Z1311" s="4" t="str">
        <f t="shared" si="122"/>
        <v>{"couname":"","img":"0","pty":"","artist":"","genres":"","duration":"","spotId":"","Items":["-SADNE-","-SLOWSS-","OTHR","OTHR","XT_OffAnimals"]},</v>
      </c>
      <c r="AA1311" s="5" t="s">
        <v>5</v>
      </c>
      <c r="AB1311" s="3" t="str">
        <f t="shared" si="123"/>
        <v>["-SADNE-","-SLOWSS-","OTHR","OTHR","XT_OffAnimals"]</v>
      </c>
      <c r="AC1311" s="3">
        <f>_xlfn.XLOOKUP(A1311,Album!A:A,Album!J:J)</f>
        <v>0</v>
      </c>
      <c r="AD1311" s="3">
        <f>_xlfn.XLOOKUP(D1311,Artists!A:A,Artists!B:B)</f>
        <v>0</v>
      </c>
      <c r="AE1311" s="3">
        <f>_xlfn.XLOOKUP(D1311,Artists!A:A,Artists!C:C)</f>
        <v>0</v>
      </c>
      <c r="AF1311" s="3" t="str">
        <f t="shared" si="124"/>
        <v>OTHR</v>
      </c>
      <c r="AG1311" s="3" t="str">
        <f t="shared" si="125"/>
        <v>OTHR</v>
      </c>
    </row>
    <row r="1312" spans="24:33" x14ac:dyDescent="0.3">
      <c r="X1312" s="3" t="str">
        <f t="shared" si="120"/>
        <v>-SADNE-</v>
      </c>
      <c r="Y1312" s="3" t="str">
        <f t="shared" si="121"/>
        <v>-SLOWSS-</v>
      </c>
      <c r="Z1312" s="4" t="str">
        <f t="shared" si="122"/>
        <v>{"couname":"","img":"0","pty":"","artist":"","genres":"","duration":"","spotId":"","Items":["-SADNE-","-SLOWSS-","OTHR","OTHR","XT_OffAnimals"]},</v>
      </c>
      <c r="AA1312" s="5" t="s">
        <v>5</v>
      </c>
      <c r="AB1312" s="3" t="str">
        <f t="shared" si="123"/>
        <v>["-SADNE-","-SLOWSS-","OTHR","OTHR","XT_OffAnimals"]</v>
      </c>
      <c r="AC1312" s="3">
        <f>_xlfn.XLOOKUP(A1312,Album!A:A,Album!J:J)</f>
        <v>0</v>
      </c>
      <c r="AD1312" s="3">
        <f>_xlfn.XLOOKUP(D1312,Artists!A:A,Artists!B:B)</f>
        <v>0</v>
      </c>
      <c r="AE1312" s="3">
        <f>_xlfn.XLOOKUP(D1312,Artists!A:A,Artists!C:C)</f>
        <v>0</v>
      </c>
      <c r="AF1312" s="3" t="str">
        <f t="shared" si="124"/>
        <v>OTHR</v>
      </c>
      <c r="AG1312" s="3" t="str">
        <f t="shared" si="125"/>
        <v>OTHR</v>
      </c>
    </row>
    <row r="1313" spans="24:33" x14ac:dyDescent="0.3">
      <c r="X1313" s="3" t="str">
        <f t="shared" si="120"/>
        <v>-SADNE-</v>
      </c>
      <c r="Y1313" s="3" t="str">
        <f t="shared" si="121"/>
        <v>-SLOWSS-</v>
      </c>
      <c r="Z1313" s="4" t="str">
        <f t="shared" si="122"/>
        <v>{"couname":"","img":"0","pty":"","artist":"","genres":"","duration":"","spotId":"","Items":["-SADNE-","-SLOWSS-","OTHR","OTHR","XT_OffAnimals"]},</v>
      </c>
      <c r="AA1313" s="5" t="s">
        <v>5</v>
      </c>
      <c r="AB1313" s="3" t="str">
        <f t="shared" si="123"/>
        <v>["-SADNE-","-SLOWSS-","OTHR","OTHR","XT_OffAnimals"]</v>
      </c>
      <c r="AC1313" s="3">
        <f>_xlfn.XLOOKUP(A1313,Album!A:A,Album!J:J)</f>
        <v>0</v>
      </c>
      <c r="AD1313" s="3">
        <f>_xlfn.XLOOKUP(D1313,Artists!A:A,Artists!B:B)</f>
        <v>0</v>
      </c>
      <c r="AE1313" s="3">
        <f>_xlfn.XLOOKUP(D1313,Artists!A:A,Artists!C:C)</f>
        <v>0</v>
      </c>
      <c r="AF1313" s="3" t="str">
        <f t="shared" si="124"/>
        <v>OTHR</v>
      </c>
      <c r="AG1313" s="3" t="str">
        <f t="shared" si="125"/>
        <v>OTHR</v>
      </c>
    </row>
    <row r="1314" spans="24:33" x14ac:dyDescent="0.3">
      <c r="X1314" s="3" t="str">
        <f t="shared" si="120"/>
        <v>-SADNE-</v>
      </c>
      <c r="Y1314" s="3" t="str">
        <f t="shared" si="121"/>
        <v>-SLOWSS-</v>
      </c>
      <c r="Z1314" s="4" t="str">
        <f t="shared" si="122"/>
        <v>{"couname":"","img":"0","pty":"","artist":"","genres":"","duration":"","spotId":"","Items":["-SADNE-","-SLOWSS-","OTHR","OTHR","XT_OffAnimals"]},</v>
      </c>
      <c r="AA1314" s="5" t="s">
        <v>5</v>
      </c>
      <c r="AB1314" s="3" t="str">
        <f t="shared" si="123"/>
        <v>["-SADNE-","-SLOWSS-","OTHR","OTHR","XT_OffAnimals"]</v>
      </c>
      <c r="AC1314" s="3">
        <f>_xlfn.XLOOKUP(A1314,Album!A:A,Album!J:J)</f>
        <v>0</v>
      </c>
      <c r="AD1314" s="3">
        <f>_xlfn.XLOOKUP(D1314,Artists!A:A,Artists!B:B)</f>
        <v>0</v>
      </c>
      <c r="AE1314" s="3">
        <f>_xlfn.XLOOKUP(D1314,Artists!A:A,Artists!C:C)</f>
        <v>0</v>
      </c>
      <c r="AF1314" s="3" t="str">
        <f t="shared" si="124"/>
        <v>OTHR</v>
      </c>
      <c r="AG1314" s="3" t="str">
        <f t="shared" si="125"/>
        <v>OTHR</v>
      </c>
    </row>
    <row r="1315" spans="24:33" x14ac:dyDescent="0.3">
      <c r="X1315" s="3" t="str">
        <f t="shared" si="120"/>
        <v>-SADNE-</v>
      </c>
      <c r="Y1315" s="3" t="str">
        <f t="shared" si="121"/>
        <v>-SLOWSS-</v>
      </c>
      <c r="Z1315" s="4" t="str">
        <f t="shared" si="122"/>
        <v>{"couname":"","img":"0","pty":"","artist":"","genres":"","duration":"","spotId":"","Items":["-SADNE-","-SLOWSS-","OTHR","OTHR","XT_OffAnimals"]},</v>
      </c>
      <c r="AA1315" s="5" t="s">
        <v>5</v>
      </c>
      <c r="AB1315" s="3" t="str">
        <f t="shared" si="123"/>
        <v>["-SADNE-","-SLOWSS-","OTHR","OTHR","XT_OffAnimals"]</v>
      </c>
      <c r="AC1315" s="3">
        <f>_xlfn.XLOOKUP(A1315,Album!A:A,Album!J:J)</f>
        <v>0</v>
      </c>
      <c r="AD1315" s="3">
        <f>_xlfn.XLOOKUP(D1315,Artists!A:A,Artists!B:B)</f>
        <v>0</v>
      </c>
      <c r="AE1315" s="3">
        <f>_xlfn.XLOOKUP(D1315,Artists!A:A,Artists!C:C)</f>
        <v>0</v>
      </c>
      <c r="AF1315" s="3" t="str">
        <f t="shared" si="124"/>
        <v>OTHR</v>
      </c>
      <c r="AG1315" s="3" t="str">
        <f t="shared" si="125"/>
        <v>OTHR</v>
      </c>
    </row>
    <row r="1316" spans="24:33" x14ac:dyDescent="0.3">
      <c r="X1316" s="3" t="str">
        <f t="shared" si="120"/>
        <v>-SADNE-</v>
      </c>
      <c r="Y1316" s="3" t="str">
        <f t="shared" si="121"/>
        <v>-SLOWSS-</v>
      </c>
      <c r="Z1316" s="4" t="str">
        <f t="shared" si="122"/>
        <v>{"couname":"","img":"0","pty":"","artist":"","genres":"","duration":"","spotId":"","Items":["-SADNE-","-SLOWSS-","OTHR","OTHR","XT_OffAnimals"]},</v>
      </c>
      <c r="AA1316" s="5" t="s">
        <v>5</v>
      </c>
      <c r="AB1316" s="3" t="str">
        <f t="shared" si="123"/>
        <v>["-SADNE-","-SLOWSS-","OTHR","OTHR","XT_OffAnimals"]</v>
      </c>
      <c r="AC1316" s="3">
        <f>_xlfn.XLOOKUP(A1316,Album!A:A,Album!J:J)</f>
        <v>0</v>
      </c>
      <c r="AD1316" s="3">
        <f>_xlfn.XLOOKUP(D1316,Artists!A:A,Artists!B:B)</f>
        <v>0</v>
      </c>
      <c r="AE1316" s="3">
        <f>_xlfn.XLOOKUP(D1316,Artists!A:A,Artists!C:C)</f>
        <v>0</v>
      </c>
      <c r="AF1316" s="3" t="str">
        <f t="shared" si="124"/>
        <v>OTHR</v>
      </c>
      <c r="AG1316" s="3" t="str">
        <f t="shared" si="125"/>
        <v>OTHR</v>
      </c>
    </row>
    <row r="1317" spans="24:33" x14ac:dyDescent="0.3">
      <c r="X1317" s="3" t="str">
        <f t="shared" si="120"/>
        <v>-SADNE-</v>
      </c>
      <c r="Y1317" s="3" t="str">
        <f t="shared" si="121"/>
        <v>-SLOWSS-</v>
      </c>
      <c r="Z1317" s="4" t="str">
        <f t="shared" si="122"/>
        <v>{"couname":"","img":"0","pty":"","artist":"","genres":"","duration":"","spotId":"","Items":["-SADNE-","-SLOWSS-","OTHR","OTHR","XT_OffAnimals"]},</v>
      </c>
      <c r="AA1317" s="5" t="s">
        <v>5</v>
      </c>
      <c r="AB1317" s="3" t="str">
        <f t="shared" si="123"/>
        <v>["-SADNE-","-SLOWSS-","OTHR","OTHR","XT_OffAnimals"]</v>
      </c>
      <c r="AC1317" s="3">
        <f>_xlfn.XLOOKUP(A1317,Album!A:A,Album!J:J)</f>
        <v>0</v>
      </c>
      <c r="AD1317" s="3">
        <f>_xlfn.XLOOKUP(D1317,Artists!A:A,Artists!B:B)</f>
        <v>0</v>
      </c>
      <c r="AE1317" s="3">
        <f>_xlfn.XLOOKUP(D1317,Artists!A:A,Artists!C:C)</f>
        <v>0</v>
      </c>
      <c r="AF1317" s="3" t="str">
        <f t="shared" si="124"/>
        <v>OTHR</v>
      </c>
      <c r="AG1317" s="3" t="str">
        <f t="shared" si="125"/>
        <v>OTHR</v>
      </c>
    </row>
    <row r="1318" spans="24:33" x14ac:dyDescent="0.3">
      <c r="X1318" s="3" t="str">
        <f t="shared" si="120"/>
        <v>-SADNE-</v>
      </c>
      <c r="Y1318" s="3" t="str">
        <f t="shared" si="121"/>
        <v>-SLOWSS-</v>
      </c>
      <c r="Z1318" s="4" t="str">
        <f t="shared" si="122"/>
        <v>{"couname":"","img":"0","pty":"","artist":"","genres":"","duration":"","spotId":"","Items":["-SADNE-","-SLOWSS-","OTHR","OTHR","XT_OffAnimals"]},</v>
      </c>
      <c r="AA1318" s="5" t="s">
        <v>5</v>
      </c>
      <c r="AB1318" s="3" t="str">
        <f t="shared" si="123"/>
        <v>["-SADNE-","-SLOWSS-","OTHR","OTHR","XT_OffAnimals"]</v>
      </c>
      <c r="AC1318" s="3">
        <f>_xlfn.XLOOKUP(A1318,Album!A:A,Album!J:J)</f>
        <v>0</v>
      </c>
      <c r="AD1318" s="3">
        <f>_xlfn.XLOOKUP(D1318,Artists!A:A,Artists!B:B)</f>
        <v>0</v>
      </c>
      <c r="AE1318" s="3">
        <f>_xlfn.XLOOKUP(D1318,Artists!A:A,Artists!C:C)</f>
        <v>0</v>
      </c>
      <c r="AF1318" s="3" t="str">
        <f t="shared" si="124"/>
        <v>OTHR</v>
      </c>
      <c r="AG1318" s="3" t="str">
        <f t="shared" si="125"/>
        <v>OTHR</v>
      </c>
    </row>
    <row r="1319" spans="24:33" x14ac:dyDescent="0.3">
      <c r="X1319" s="3" t="str">
        <f t="shared" si="120"/>
        <v>-SADNE-</v>
      </c>
      <c r="Y1319" s="3" t="str">
        <f t="shared" si="121"/>
        <v>-SLOWSS-</v>
      </c>
      <c r="Z1319" s="4" t="str">
        <f t="shared" si="122"/>
        <v>{"couname":"","img":"0","pty":"","artist":"","genres":"","duration":"","spotId":"","Items":["-SADNE-","-SLOWSS-","OTHR","OTHR","XT_OffAnimals"]},</v>
      </c>
      <c r="AA1319" s="5" t="s">
        <v>5</v>
      </c>
      <c r="AB1319" s="3" t="str">
        <f t="shared" si="123"/>
        <v>["-SADNE-","-SLOWSS-","OTHR","OTHR","XT_OffAnimals"]</v>
      </c>
      <c r="AC1319" s="3">
        <f>_xlfn.XLOOKUP(A1319,Album!A:A,Album!J:J)</f>
        <v>0</v>
      </c>
      <c r="AD1319" s="3">
        <f>_xlfn.XLOOKUP(D1319,Artists!A:A,Artists!B:B)</f>
        <v>0</v>
      </c>
      <c r="AE1319" s="3">
        <f>_xlfn.XLOOKUP(D1319,Artists!A:A,Artists!C:C)</f>
        <v>0</v>
      </c>
      <c r="AF1319" s="3" t="str">
        <f t="shared" si="124"/>
        <v>OTHR</v>
      </c>
      <c r="AG1319" s="3" t="str">
        <f t="shared" si="125"/>
        <v>OTHR</v>
      </c>
    </row>
    <row r="1320" spans="24:33" x14ac:dyDescent="0.3">
      <c r="X1320" s="3" t="str">
        <f t="shared" si="120"/>
        <v>-SADNE-</v>
      </c>
      <c r="Y1320" s="3" t="str">
        <f t="shared" si="121"/>
        <v>-SLOWSS-</v>
      </c>
      <c r="Z1320" s="4" t="str">
        <f t="shared" si="122"/>
        <v>{"couname":"","img":"0","pty":"","artist":"","genres":"","duration":"","spotId":"","Items":["-SADNE-","-SLOWSS-","OTHR","OTHR","XT_OffAnimals"]},</v>
      </c>
      <c r="AA1320" s="5" t="s">
        <v>5</v>
      </c>
      <c r="AB1320" s="3" t="str">
        <f t="shared" si="123"/>
        <v>["-SADNE-","-SLOWSS-","OTHR","OTHR","XT_OffAnimals"]</v>
      </c>
      <c r="AC1320" s="3">
        <f>_xlfn.XLOOKUP(A1320,Album!A:A,Album!J:J)</f>
        <v>0</v>
      </c>
      <c r="AD1320" s="3">
        <f>_xlfn.XLOOKUP(D1320,Artists!A:A,Artists!B:B)</f>
        <v>0</v>
      </c>
      <c r="AE1320" s="3">
        <f>_xlfn.XLOOKUP(D1320,Artists!A:A,Artists!C:C)</f>
        <v>0</v>
      </c>
      <c r="AF1320" s="3" t="str">
        <f t="shared" si="124"/>
        <v>OTHR</v>
      </c>
      <c r="AG1320" s="3" t="str">
        <f t="shared" si="125"/>
        <v>OTHR</v>
      </c>
    </row>
    <row r="1321" spans="24:33" x14ac:dyDescent="0.3">
      <c r="X1321" s="3" t="str">
        <f t="shared" si="120"/>
        <v>-SADNE-</v>
      </c>
      <c r="Y1321" s="3" t="str">
        <f t="shared" si="121"/>
        <v>-SLOWSS-</v>
      </c>
      <c r="Z1321" s="4" t="str">
        <f t="shared" si="122"/>
        <v>{"couname":"","img":"0","pty":"","artist":"","genres":"","duration":"","spotId":"","Items":["-SADNE-","-SLOWSS-","OTHR","OTHR","XT_OffAnimals"]},</v>
      </c>
      <c r="AA1321" s="5" t="s">
        <v>5</v>
      </c>
      <c r="AB1321" s="3" t="str">
        <f t="shared" si="123"/>
        <v>["-SADNE-","-SLOWSS-","OTHR","OTHR","XT_OffAnimals"]</v>
      </c>
      <c r="AC1321" s="3">
        <f>_xlfn.XLOOKUP(A1321,Album!A:A,Album!J:J)</f>
        <v>0</v>
      </c>
      <c r="AD1321" s="3">
        <f>_xlfn.XLOOKUP(D1321,Artists!A:A,Artists!B:B)</f>
        <v>0</v>
      </c>
      <c r="AE1321" s="3">
        <f>_xlfn.XLOOKUP(D1321,Artists!A:A,Artists!C:C)</f>
        <v>0</v>
      </c>
      <c r="AF1321" s="3" t="str">
        <f t="shared" si="124"/>
        <v>OTHR</v>
      </c>
      <c r="AG1321" s="3" t="str">
        <f t="shared" si="125"/>
        <v>OTHR</v>
      </c>
    </row>
    <row r="1322" spans="24:33" x14ac:dyDescent="0.3">
      <c r="X1322" s="3" t="str">
        <f t="shared" si="120"/>
        <v>-SADNE-</v>
      </c>
      <c r="Y1322" s="3" t="str">
        <f t="shared" si="121"/>
        <v>-SLOWSS-</v>
      </c>
      <c r="Z1322" s="4" t="str">
        <f t="shared" si="122"/>
        <v>{"couname":"","img":"0","pty":"","artist":"","genres":"","duration":"","spotId":"","Items":["-SADNE-","-SLOWSS-","OTHR","OTHR","XT_OffAnimals"]},</v>
      </c>
      <c r="AA1322" s="5" t="s">
        <v>5</v>
      </c>
      <c r="AB1322" s="3" t="str">
        <f t="shared" si="123"/>
        <v>["-SADNE-","-SLOWSS-","OTHR","OTHR","XT_OffAnimals"]</v>
      </c>
      <c r="AC1322" s="3">
        <f>_xlfn.XLOOKUP(A1322,Album!A:A,Album!J:J)</f>
        <v>0</v>
      </c>
      <c r="AD1322" s="3">
        <f>_xlfn.XLOOKUP(D1322,Artists!A:A,Artists!B:B)</f>
        <v>0</v>
      </c>
      <c r="AE1322" s="3">
        <f>_xlfn.XLOOKUP(D1322,Artists!A:A,Artists!C:C)</f>
        <v>0</v>
      </c>
      <c r="AF1322" s="3" t="str">
        <f t="shared" si="124"/>
        <v>OTHR</v>
      </c>
      <c r="AG1322" s="3" t="str">
        <f t="shared" si="125"/>
        <v>OTHR</v>
      </c>
    </row>
    <row r="1323" spans="24:33" x14ac:dyDescent="0.3">
      <c r="X1323" s="3" t="str">
        <f t="shared" si="120"/>
        <v>-SADNE-</v>
      </c>
      <c r="Y1323" s="3" t="str">
        <f t="shared" si="121"/>
        <v>-SLOWSS-</v>
      </c>
      <c r="Z1323" s="4" t="str">
        <f t="shared" si="122"/>
        <v>{"couname":"","img":"0","pty":"","artist":"","genres":"","duration":"","spotId":"","Items":["-SADNE-","-SLOWSS-","OTHR","OTHR","XT_OffAnimals"]},</v>
      </c>
      <c r="AA1323" s="5" t="s">
        <v>5</v>
      </c>
      <c r="AB1323" s="3" t="str">
        <f t="shared" si="123"/>
        <v>["-SADNE-","-SLOWSS-","OTHR","OTHR","XT_OffAnimals"]</v>
      </c>
      <c r="AC1323" s="3">
        <f>_xlfn.XLOOKUP(A1323,Album!A:A,Album!J:J)</f>
        <v>0</v>
      </c>
      <c r="AD1323" s="3">
        <f>_xlfn.XLOOKUP(D1323,Artists!A:A,Artists!B:B)</f>
        <v>0</v>
      </c>
      <c r="AE1323" s="3">
        <f>_xlfn.XLOOKUP(D1323,Artists!A:A,Artists!C:C)</f>
        <v>0</v>
      </c>
      <c r="AF1323" s="3" t="str">
        <f t="shared" si="124"/>
        <v>OTHR</v>
      </c>
      <c r="AG1323" s="3" t="str">
        <f t="shared" si="125"/>
        <v>OTHR</v>
      </c>
    </row>
    <row r="1324" spans="24:33" x14ac:dyDescent="0.3">
      <c r="X1324" s="3" t="str">
        <f t="shared" si="120"/>
        <v>-SADNE-</v>
      </c>
      <c r="Y1324" s="3" t="str">
        <f t="shared" si="121"/>
        <v>-SLOWSS-</v>
      </c>
      <c r="Z1324" s="4" t="str">
        <f t="shared" si="122"/>
        <v>{"couname":"","img":"0","pty":"","artist":"","genres":"","duration":"","spotId":"","Items":["-SADNE-","-SLOWSS-","OTHR","OTHR","XT_OffAnimals"]},</v>
      </c>
      <c r="AA1324" s="5" t="s">
        <v>5</v>
      </c>
      <c r="AB1324" s="3" t="str">
        <f t="shared" si="123"/>
        <v>["-SADNE-","-SLOWSS-","OTHR","OTHR","XT_OffAnimals"]</v>
      </c>
      <c r="AC1324" s="3">
        <f>_xlfn.XLOOKUP(A1324,Album!A:A,Album!J:J)</f>
        <v>0</v>
      </c>
      <c r="AD1324" s="3">
        <f>_xlfn.XLOOKUP(D1324,Artists!A:A,Artists!B:B)</f>
        <v>0</v>
      </c>
      <c r="AE1324" s="3">
        <f>_xlfn.XLOOKUP(D1324,Artists!A:A,Artists!C:C)</f>
        <v>0</v>
      </c>
      <c r="AF1324" s="3" t="str">
        <f t="shared" si="124"/>
        <v>OTHR</v>
      </c>
      <c r="AG1324" s="3" t="str">
        <f t="shared" si="125"/>
        <v>OTHR</v>
      </c>
    </row>
    <row r="1325" spans="24:33" x14ac:dyDescent="0.3">
      <c r="X1325" s="3" t="str">
        <f t="shared" si="120"/>
        <v>-SADNE-</v>
      </c>
      <c r="Y1325" s="3" t="str">
        <f t="shared" si="121"/>
        <v>-SLOWSS-</v>
      </c>
      <c r="Z1325" s="4" t="str">
        <f t="shared" si="122"/>
        <v>{"couname":"","img":"0","pty":"","artist":"","genres":"","duration":"","spotId":"","Items":["-SADNE-","-SLOWSS-","OTHR","OTHR","XT_OffAnimals"]},</v>
      </c>
      <c r="AA1325" s="5" t="s">
        <v>5</v>
      </c>
      <c r="AB1325" s="3" t="str">
        <f t="shared" si="123"/>
        <v>["-SADNE-","-SLOWSS-","OTHR","OTHR","XT_OffAnimals"]</v>
      </c>
      <c r="AC1325" s="3">
        <f>_xlfn.XLOOKUP(A1325,Album!A:A,Album!J:J)</f>
        <v>0</v>
      </c>
      <c r="AD1325" s="3">
        <f>_xlfn.XLOOKUP(D1325,Artists!A:A,Artists!B:B)</f>
        <v>0</v>
      </c>
      <c r="AE1325" s="3">
        <f>_xlfn.XLOOKUP(D1325,Artists!A:A,Artists!C:C)</f>
        <v>0</v>
      </c>
      <c r="AF1325" s="3" t="str">
        <f t="shared" si="124"/>
        <v>OTHR</v>
      </c>
      <c r="AG1325" s="3" t="str">
        <f t="shared" si="125"/>
        <v>OTHR</v>
      </c>
    </row>
    <row r="1326" spans="24:33" x14ac:dyDescent="0.3">
      <c r="X1326" s="3" t="str">
        <f t="shared" si="120"/>
        <v>-SADNE-</v>
      </c>
      <c r="Y1326" s="3" t="str">
        <f t="shared" si="121"/>
        <v>-SLOWSS-</v>
      </c>
      <c r="Z1326" s="4" t="str">
        <f t="shared" si="122"/>
        <v>{"couname":"","img":"0","pty":"","artist":"","genres":"","duration":"","spotId":"","Items":["-SADNE-","-SLOWSS-","OTHR","OTHR","XT_OffAnimals"]},</v>
      </c>
      <c r="AA1326" s="5" t="s">
        <v>5</v>
      </c>
      <c r="AB1326" s="3" t="str">
        <f t="shared" si="123"/>
        <v>["-SADNE-","-SLOWSS-","OTHR","OTHR","XT_OffAnimals"]</v>
      </c>
      <c r="AC1326" s="3">
        <f>_xlfn.XLOOKUP(A1326,Album!A:A,Album!J:J)</f>
        <v>0</v>
      </c>
      <c r="AD1326" s="3">
        <f>_xlfn.XLOOKUP(D1326,Artists!A:A,Artists!B:B)</f>
        <v>0</v>
      </c>
      <c r="AE1326" s="3">
        <f>_xlfn.XLOOKUP(D1326,Artists!A:A,Artists!C:C)</f>
        <v>0</v>
      </c>
      <c r="AF1326" s="3" t="str">
        <f t="shared" si="124"/>
        <v>OTHR</v>
      </c>
      <c r="AG1326" s="3" t="str">
        <f t="shared" si="125"/>
        <v>OTHR</v>
      </c>
    </row>
    <row r="1327" spans="24:33" x14ac:dyDescent="0.3">
      <c r="X1327" s="3" t="str">
        <f t="shared" si="120"/>
        <v>-SADNE-</v>
      </c>
      <c r="Y1327" s="3" t="str">
        <f t="shared" si="121"/>
        <v>-SLOWSS-</v>
      </c>
      <c r="Z1327" s="4" t="str">
        <f t="shared" si="122"/>
        <v>{"couname":"","img":"0","pty":"","artist":"","genres":"","duration":"","spotId":"","Items":["-SADNE-","-SLOWSS-","OTHR","OTHR","XT_OffAnimals"]},</v>
      </c>
      <c r="AA1327" s="5" t="s">
        <v>5</v>
      </c>
      <c r="AB1327" s="3" t="str">
        <f t="shared" si="123"/>
        <v>["-SADNE-","-SLOWSS-","OTHR","OTHR","XT_OffAnimals"]</v>
      </c>
      <c r="AC1327" s="3">
        <f>_xlfn.XLOOKUP(A1327,Album!A:A,Album!J:J)</f>
        <v>0</v>
      </c>
      <c r="AD1327" s="3">
        <f>_xlfn.XLOOKUP(D1327,Artists!A:A,Artists!B:B)</f>
        <v>0</v>
      </c>
      <c r="AE1327" s="3">
        <f>_xlfn.XLOOKUP(D1327,Artists!A:A,Artists!C:C)</f>
        <v>0</v>
      </c>
      <c r="AF1327" s="3" t="str">
        <f t="shared" si="124"/>
        <v>OTHR</v>
      </c>
      <c r="AG1327" s="3" t="str">
        <f t="shared" si="125"/>
        <v>OTHR</v>
      </c>
    </row>
    <row r="1328" spans="24:33" x14ac:dyDescent="0.3">
      <c r="X1328" s="3" t="str">
        <f t="shared" si="120"/>
        <v>-SADNE-</v>
      </c>
      <c r="Y1328" s="3" t="str">
        <f t="shared" si="121"/>
        <v>-SLOWSS-</v>
      </c>
      <c r="Z1328" s="4" t="str">
        <f t="shared" si="122"/>
        <v>{"couname":"","img":"0","pty":"","artist":"","genres":"","duration":"","spotId":"","Items":["-SADNE-","-SLOWSS-","OTHR","OTHR","XT_OffAnimals"]},</v>
      </c>
      <c r="AA1328" s="5" t="s">
        <v>5</v>
      </c>
      <c r="AB1328" s="3" t="str">
        <f t="shared" si="123"/>
        <v>["-SADNE-","-SLOWSS-","OTHR","OTHR","XT_OffAnimals"]</v>
      </c>
      <c r="AC1328" s="3">
        <f>_xlfn.XLOOKUP(A1328,Album!A:A,Album!J:J)</f>
        <v>0</v>
      </c>
      <c r="AD1328" s="3">
        <f>_xlfn.XLOOKUP(D1328,Artists!A:A,Artists!B:B)</f>
        <v>0</v>
      </c>
      <c r="AE1328" s="3">
        <f>_xlfn.XLOOKUP(D1328,Artists!A:A,Artists!C:C)</f>
        <v>0</v>
      </c>
      <c r="AF1328" s="3" t="str">
        <f t="shared" si="124"/>
        <v>OTHR</v>
      </c>
      <c r="AG1328" s="3" t="str">
        <f t="shared" si="125"/>
        <v>OTHR</v>
      </c>
    </row>
    <row r="1329" spans="24:33" x14ac:dyDescent="0.3">
      <c r="X1329" s="3" t="str">
        <f t="shared" si="120"/>
        <v>-SADNE-</v>
      </c>
      <c r="Y1329" s="3" t="str">
        <f t="shared" si="121"/>
        <v>-SLOWSS-</v>
      </c>
      <c r="Z1329" s="4" t="str">
        <f t="shared" si="122"/>
        <v>{"couname":"","img":"0","pty":"","artist":"","genres":"","duration":"","spotId":"","Items":["-SADNE-","-SLOWSS-","OTHR","OTHR","XT_OffAnimals"]},</v>
      </c>
      <c r="AA1329" s="5" t="s">
        <v>5</v>
      </c>
      <c r="AB1329" s="3" t="str">
        <f t="shared" si="123"/>
        <v>["-SADNE-","-SLOWSS-","OTHR","OTHR","XT_OffAnimals"]</v>
      </c>
      <c r="AC1329" s="3">
        <f>_xlfn.XLOOKUP(A1329,Album!A:A,Album!J:J)</f>
        <v>0</v>
      </c>
      <c r="AD1329" s="3">
        <f>_xlfn.XLOOKUP(D1329,Artists!A:A,Artists!B:B)</f>
        <v>0</v>
      </c>
      <c r="AE1329" s="3">
        <f>_xlfn.XLOOKUP(D1329,Artists!A:A,Artists!C:C)</f>
        <v>0</v>
      </c>
      <c r="AF1329" s="3" t="str">
        <f t="shared" si="124"/>
        <v>OTHR</v>
      </c>
      <c r="AG1329" s="3" t="str">
        <f t="shared" si="125"/>
        <v>OTHR</v>
      </c>
    </row>
    <row r="1330" spans="24:33" x14ac:dyDescent="0.3">
      <c r="X1330" s="3" t="str">
        <f t="shared" si="120"/>
        <v>-SADNE-</v>
      </c>
      <c r="Y1330" s="3" t="str">
        <f t="shared" si="121"/>
        <v>-SLOWSS-</v>
      </c>
      <c r="Z1330" s="4" t="str">
        <f t="shared" si="122"/>
        <v>{"couname":"","img":"0","pty":"","artist":"","genres":"","duration":"","spotId":"","Items":["-SADNE-","-SLOWSS-","OTHR","OTHR","XT_OffAnimals"]},</v>
      </c>
      <c r="AA1330" s="5" t="s">
        <v>5</v>
      </c>
      <c r="AB1330" s="3" t="str">
        <f t="shared" si="123"/>
        <v>["-SADNE-","-SLOWSS-","OTHR","OTHR","XT_OffAnimals"]</v>
      </c>
      <c r="AC1330" s="3">
        <f>_xlfn.XLOOKUP(A1330,Album!A:A,Album!J:J)</f>
        <v>0</v>
      </c>
      <c r="AD1330" s="3">
        <f>_xlfn.XLOOKUP(D1330,Artists!A:A,Artists!B:B)</f>
        <v>0</v>
      </c>
      <c r="AE1330" s="3">
        <f>_xlfn.XLOOKUP(D1330,Artists!A:A,Artists!C:C)</f>
        <v>0</v>
      </c>
      <c r="AF1330" s="3" t="str">
        <f t="shared" si="124"/>
        <v>OTHR</v>
      </c>
      <c r="AG1330" s="3" t="str">
        <f t="shared" si="125"/>
        <v>OTHR</v>
      </c>
    </row>
    <row r="1331" spans="24:33" x14ac:dyDescent="0.3">
      <c r="X1331" s="3" t="str">
        <f t="shared" si="120"/>
        <v>-SADNE-</v>
      </c>
      <c r="Y1331" s="3" t="str">
        <f t="shared" si="121"/>
        <v>-SLOWSS-</v>
      </c>
      <c r="Z1331" s="4" t="str">
        <f t="shared" si="122"/>
        <v>{"couname":"","img":"0","pty":"","artist":"","genres":"","duration":"","spotId":"","Items":["-SADNE-","-SLOWSS-","OTHR","OTHR","XT_OffAnimals"]},</v>
      </c>
      <c r="AA1331" s="5" t="s">
        <v>5</v>
      </c>
      <c r="AB1331" s="3" t="str">
        <f t="shared" si="123"/>
        <v>["-SADNE-","-SLOWSS-","OTHR","OTHR","XT_OffAnimals"]</v>
      </c>
      <c r="AC1331" s="3">
        <f>_xlfn.XLOOKUP(A1331,Album!A:A,Album!J:J)</f>
        <v>0</v>
      </c>
      <c r="AD1331" s="3">
        <f>_xlfn.XLOOKUP(D1331,Artists!A:A,Artists!B:B)</f>
        <v>0</v>
      </c>
      <c r="AE1331" s="3">
        <f>_xlfn.XLOOKUP(D1331,Artists!A:A,Artists!C:C)</f>
        <v>0</v>
      </c>
      <c r="AF1331" s="3" t="str">
        <f t="shared" si="124"/>
        <v>OTHR</v>
      </c>
      <c r="AG1331" s="3" t="str">
        <f t="shared" si="125"/>
        <v>OTHR</v>
      </c>
    </row>
    <row r="1332" spans="24:33" x14ac:dyDescent="0.3">
      <c r="X1332" s="3" t="str">
        <f t="shared" si="120"/>
        <v>-SADNE-</v>
      </c>
      <c r="Y1332" s="3" t="str">
        <f t="shared" si="121"/>
        <v>-SLOWSS-</v>
      </c>
      <c r="Z1332" s="4" t="str">
        <f t="shared" si="122"/>
        <v>{"couname":"","img":"0","pty":"","artist":"","genres":"","duration":"","spotId":"","Items":["-SADNE-","-SLOWSS-","OTHR","OTHR","XT_OffAnimals"]},</v>
      </c>
      <c r="AA1332" s="5" t="s">
        <v>5</v>
      </c>
      <c r="AB1332" s="3" t="str">
        <f t="shared" si="123"/>
        <v>["-SADNE-","-SLOWSS-","OTHR","OTHR","XT_OffAnimals"]</v>
      </c>
      <c r="AC1332" s="3">
        <f>_xlfn.XLOOKUP(A1332,Album!A:A,Album!J:J)</f>
        <v>0</v>
      </c>
      <c r="AD1332" s="3">
        <f>_xlfn.XLOOKUP(D1332,Artists!A:A,Artists!B:B)</f>
        <v>0</v>
      </c>
      <c r="AE1332" s="3">
        <f>_xlfn.XLOOKUP(D1332,Artists!A:A,Artists!C:C)</f>
        <v>0</v>
      </c>
      <c r="AF1332" s="3" t="str">
        <f t="shared" si="124"/>
        <v>OTHR</v>
      </c>
      <c r="AG1332" s="3" t="str">
        <f t="shared" si="125"/>
        <v>OTHR</v>
      </c>
    </row>
    <row r="1333" spans="24:33" x14ac:dyDescent="0.3">
      <c r="X1333" s="3" t="str">
        <f t="shared" si="120"/>
        <v>-SADNE-</v>
      </c>
      <c r="Y1333" s="3" t="str">
        <f t="shared" si="121"/>
        <v>-SLOWSS-</v>
      </c>
      <c r="Z1333" s="4" t="str">
        <f t="shared" si="122"/>
        <v>{"couname":"","img":"0","pty":"","artist":"","genres":"","duration":"","spotId":"","Items":["-SADNE-","-SLOWSS-","OTHR","OTHR","XT_OffAnimals"]},</v>
      </c>
      <c r="AA1333" s="5" t="s">
        <v>5</v>
      </c>
      <c r="AB1333" s="3" t="str">
        <f t="shared" si="123"/>
        <v>["-SADNE-","-SLOWSS-","OTHR","OTHR","XT_OffAnimals"]</v>
      </c>
      <c r="AC1333" s="3">
        <f>_xlfn.XLOOKUP(A1333,Album!A:A,Album!J:J)</f>
        <v>0</v>
      </c>
      <c r="AD1333" s="3">
        <f>_xlfn.XLOOKUP(D1333,Artists!A:A,Artists!B:B)</f>
        <v>0</v>
      </c>
      <c r="AE1333" s="3">
        <f>_xlfn.XLOOKUP(D1333,Artists!A:A,Artists!C:C)</f>
        <v>0</v>
      </c>
      <c r="AF1333" s="3" t="str">
        <f t="shared" si="124"/>
        <v>OTHR</v>
      </c>
      <c r="AG1333" s="3" t="str">
        <f t="shared" si="125"/>
        <v>OTHR</v>
      </c>
    </row>
    <row r="1334" spans="24:33" x14ac:dyDescent="0.3">
      <c r="X1334" s="3" t="str">
        <f t="shared" si="120"/>
        <v>-SADNE-</v>
      </c>
      <c r="Y1334" s="3" t="str">
        <f t="shared" si="121"/>
        <v>-SLOWSS-</v>
      </c>
      <c r="Z1334" s="4" t="str">
        <f t="shared" si="122"/>
        <v>{"couname":"","img":"0","pty":"","artist":"","genres":"","duration":"","spotId":"","Items":["-SADNE-","-SLOWSS-","OTHR","OTHR","XT_OffAnimals"]},</v>
      </c>
      <c r="AA1334" s="5" t="s">
        <v>5</v>
      </c>
      <c r="AB1334" s="3" t="str">
        <f t="shared" si="123"/>
        <v>["-SADNE-","-SLOWSS-","OTHR","OTHR","XT_OffAnimals"]</v>
      </c>
      <c r="AC1334" s="3">
        <f>_xlfn.XLOOKUP(A1334,Album!A:A,Album!J:J)</f>
        <v>0</v>
      </c>
      <c r="AD1334" s="3">
        <f>_xlfn.XLOOKUP(D1334,Artists!A:A,Artists!B:B)</f>
        <v>0</v>
      </c>
      <c r="AE1334" s="3">
        <f>_xlfn.XLOOKUP(D1334,Artists!A:A,Artists!C:C)</f>
        <v>0</v>
      </c>
      <c r="AF1334" s="3" t="str">
        <f t="shared" si="124"/>
        <v>OTHR</v>
      </c>
      <c r="AG1334" s="3" t="str">
        <f t="shared" si="125"/>
        <v>OTHR</v>
      </c>
    </row>
    <row r="1335" spans="24:33" x14ac:dyDescent="0.3">
      <c r="X1335" s="3" t="str">
        <f t="shared" si="120"/>
        <v>-SADNE-</v>
      </c>
      <c r="Y1335" s="3" t="str">
        <f t="shared" si="121"/>
        <v>-SLOWSS-</v>
      </c>
      <c r="Z1335" s="4" t="str">
        <f t="shared" si="122"/>
        <v>{"couname":"","img":"0","pty":"","artist":"","genres":"","duration":"","spotId":"","Items":["-SADNE-","-SLOWSS-","OTHR","OTHR","XT_OffAnimals"]},</v>
      </c>
      <c r="AA1335" s="5" t="s">
        <v>5</v>
      </c>
      <c r="AB1335" s="3" t="str">
        <f t="shared" si="123"/>
        <v>["-SADNE-","-SLOWSS-","OTHR","OTHR","XT_OffAnimals"]</v>
      </c>
      <c r="AC1335" s="3">
        <f>_xlfn.XLOOKUP(A1335,Album!A:A,Album!J:J)</f>
        <v>0</v>
      </c>
      <c r="AD1335" s="3">
        <f>_xlfn.XLOOKUP(D1335,Artists!A:A,Artists!B:B)</f>
        <v>0</v>
      </c>
      <c r="AE1335" s="3">
        <f>_xlfn.XLOOKUP(D1335,Artists!A:A,Artists!C:C)</f>
        <v>0</v>
      </c>
      <c r="AF1335" s="3" t="str">
        <f t="shared" si="124"/>
        <v>OTHR</v>
      </c>
      <c r="AG1335" s="3" t="str">
        <f t="shared" si="125"/>
        <v>OTHR</v>
      </c>
    </row>
    <row r="1336" spans="24:33" x14ac:dyDescent="0.3">
      <c r="X1336" s="3" t="str">
        <f t="shared" si="120"/>
        <v>-SADNE-</v>
      </c>
      <c r="Y1336" s="3" t="str">
        <f t="shared" si="121"/>
        <v>-SLOWSS-</v>
      </c>
      <c r="Z1336" s="4" t="str">
        <f t="shared" si="122"/>
        <v>{"couname":"","img":"0","pty":"","artist":"","genres":"","duration":"","spotId":"","Items":["-SADNE-","-SLOWSS-","OTHR","OTHR","XT_OffAnimals"]},</v>
      </c>
      <c r="AA1336" s="5" t="s">
        <v>5</v>
      </c>
      <c r="AB1336" s="3" t="str">
        <f t="shared" si="123"/>
        <v>["-SADNE-","-SLOWSS-","OTHR","OTHR","XT_OffAnimals"]</v>
      </c>
      <c r="AC1336" s="3">
        <f>_xlfn.XLOOKUP(A1336,Album!A:A,Album!J:J)</f>
        <v>0</v>
      </c>
      <c r="AD1336" s="3">
        <f>_xlfn.XLOOKUP(D1336,Artists!A:A,Artists!B:B)</f>
        <v>0</v>
      </c>
      <c r="AE1336" s="3">
        <f>_xlfn.XLOOKUP(D1336,Artists!A:A,Artists!C:C)</f>
        <v>0</v>
      </c>
      <c r="AF1336" s="3" t="str">
        <f t="shared" si="124"/>
        <v>OTHR</v>
      </c>
      <c r="AG1336" s="3" t="str">
        <f t="shared" si="125"/>
        <v>OTHR</v>
      </c>
    </row>
    <row r="1337" spans="24:33" x14ac:dyDescent="0.3">
      <c r="X1337" s="3" t="str">
        <f t="shared" si="120"/>
        <v>-SADNE-</v>
      </c>
      <c r="Y1337" s="3" t="str">
        <f t="shared" si="121"/>
        <v>-SLOWSS-</v>
      </c>
      <c r="Z1337" s="4" t="str">
        <f t="shared" si="122"/>
        <v>{"couname":"","img":"0","pty":"","artist":"","genres":"","duration":"","spotId":"","Items":["-SADNE-","-SLOWSS-","OTHR","OTHR","XT_OffAnimals"]},</v>
      </c>
      <c r="AA1337" s="5" t="s">
        <v>5</v>
      </c>
      <c r="AB1337" s="3" t="str">
        <f t="shared" si="123"/>
        <v>["-SADNE-","-SLOWSS-","OTHR","OTHR","XT_OffAnimals"]</v>
      </c>
      <c r="AC1337" s="3">
        <f>_xlfn.XLOOKUP(A1337,Album!A:A,Album!J:J)</f>
        <v>0</v>
      </c>
      <c r="AD1337" s="3">
        <f>_xlfn.XLOOKUP(D1337,Artists!A:A,Artists!B:B)</f>
        <v>0</v>
      </c>
      <c r="AE1337" s="3">
        <f>_xlfn.XLOOKUP(D1337,Artists!A:A,Artists!C:C)</f>
        <v>0</v>
      </c>
      <c r="AF1337" s="3" t="str">
        <f t="shared" si="124"/>
        <v>OTHR</v>
      </c>
      <c r="AG1337" s="3" t="str">
        <f t="shared" si="125"/>
        <v>OTHR</v>
      </c>
    </row>
    <row r="1338" spans="24:33" x14ac:dyDescent="0.3">
      <c r="X1338" s="3" t="str">
        <f t="shared" si="120"/>
        <v>-SADNE-</v>
      </c>
      <c r="Y1338" s="3" t="str">
        <f t="shared" si="121"/>
        <v>-SLOWSS-</v>
      </c>
      <c r="Z1338" s="4" t="str">
        <f t="shared" si="122"/>
        <v>{"couname":"","img":"0","pty":"","artist":"","genres":"","duration":"","spotId":"","Items":["-SADNE-","-SLOWSS-","OTHR","OTHR","XT_OffAnimals"]},</v>
      </c>
      <c r="AA1338" s="5" t="s">
        <v>5</v>
      </c>
      <c r="AB1338" s="3" t="str">
        <f t="shared" si="123"/>
        <v>["-SADNE-","-SLOWSS-","OTHR","OTHR","XT_OffAnimals"]</v>
      </c>
      <c r="AC1338" s="3">
        <f>_xlfn.XLOOKUP(A1338,Album!A:A,Album!J:J)</f>
        <v>0</v>
      </c>
      <c r="AD1338" s="3">
        <f>_xlfn.XLOOKUP(D1338,Artists!A:A,Artists!B:B)</f>
        <v>0</v>
      </c>
      <c r="AE1338" s="3">
        <f>_xlfn.XLOOKUP(D1338,Artists!A:A,Artists!C:C)</f>
        <v>0</v>
      </c>
      <c r="AF1338" s="3" t="str">
        <f t="shared" si="124"/>
        <v>OTHR</v>
      </c>
      <c r="AG1338" s="3" t="str">
        <f t="shared" si="125"/>
        <v>OTHR</v>
      </c>
    </row>
    <row r="1339" spans="24:33" x14ac:dyDescent="0.3">
      <c r="X1339" s="3" t="str">
        <f t="shared" si="120"/>
        <v>-SADNE-</v>
      </c>
      <c r="Y1339" s="3" t="str">
        <f t="shared" si="121"/>
        <v>-SLOWSS-</v>
      </c>
      <c r="Z1339" s="4" t="str">
        <f t="shared" si="122"/>
        <v>{"couname":"","img":"0","pty":"","artist":"","genres":"","duration":"","spotId":"","Items":["-SADNE-","-SLOWSS-","OTHR","OTHR","XT_OffAnimals"]},</v>
      </c>
      <c r="AA1339" s="5" t="s">
        <v>5</v>
      </c>
      <c r="AB1339" s="3" t="str">
        <f t="shared" si="123"/>
        <v>["-SADNE-","-SLOWSS-","OTHR","OTHR","XT_OffAnimals"]</v>
      </c>
      <c r="AC1339" s="3">
        <f>_xlfn.XLOOKUP(A1339,Album!A:A,Album!J:J)</f>
        <v>0</v>
      </c>
      <c r="AD1339" s="3">
        <f>_xlfn.XLOOKUP(D1339,Artists!A:A,Artists!B:B)</f>
        <v>0</v>
      </c>
      <c r="AE1339" s="3">
        <f>_xlfn.XLOOKUP(D1339,Artists!A:A,Artists!C:C)</f>
        <v>0</v>
      </c>
      <c r="AF1339" s="3" t="str">
        <f t="shared" si="124"/>
        <v>OTHR</v>
      </c>
      <c r="AG1339" s="3" t="str">
        <f t="shared" si="125"/>
        <v>OTHR</v>
      </c>
    </row>
    <row r="1340" spans="24:33" x14ac:dyDescent="0.3">
      <c r="X1340" s="3" t="str">
        <f t="shared" si="120"/>
        <v>-SADNE-</v>
      </c>
      <c r="Y1340" s="3" t="str">
        <f t="shared" si="121"/>
        <v>-SLOWSS-</v>
      </c>
      <c r="Z1340" s="4" t="str">
        <f t="shared" si="122"/>
        <v>{"couname":"","img":"0","pty":"","artist":"","genres":"","duration":"","spotId":"","Items":["-SADNE-","-SLOWSS-","OTHR","OTHR","XT_OffAnimals"]},</v>
      </c>
      <c r="AA1340" s="5" t="s">
        <v>5</v>
      </c>
      <c r="AB1340" s="3" t="str">
        <f t="shared" si="123"/>
        <v>["-SADNE-","-SLOWSS-","OTHR","OTHR","XT_OffAnimals"]</v>
      </c>
      <c r="AC1340" s="3">
        <f>_xlfn.XLOOKUP(A1340,Album!A:A,Album!J:J)</f>
        <v>0</v>
      </c>
      <c r="AD1340" s="3">
        <f>_xlfn.XLOOKUP(D1340,Artists!A:A,Artists!B:B)</f>
        <v>0</v>
      </c>
      <c r="AE1340" s="3">
        <f>_xlfn.XLOOKUP(D1340,Artists!A:A,Artists!C:C)</f>
        <v>0</v>
      </c>
      <c r="AF1340" s="3" t="str">
        <f t="shared" si="124"/>
        <v>OTHR</v>
      </c>
      <c r="AG1340" s="3" t="str">
        <f t="shared" si="125"/>
        <v>OTHR</v>
      </c>
    </row>
    <row r="1341" spans="24:33" x14ac:dyDescent="0.3">
      <c r="X1341" s="3" t="str">
        <f t="shared" si="120"/>
        <v>-SADNE-</v>
      </c>
      <c r="Y1341" s="3" t="str">
        <f t="shared" si="121"/>
        <v>-SLOWSS-</v>
      </c>
      <c r="Z1341" s="4" t="str">
        <f t="shared" si="122"/>
        <v>{"couname":"","img":"0","pty":"","artist":"","genres":"","duration":"","spotId":"","Items":["-SADNE-","-SLOWSS-","OTHR","OTHR","XT_OffAnimals"]},</v>
      </c>
      <c r="AA1341" s="5" t="s">
        <v>5</v>
      </c>
      <c r="AB1341" s="3" t="str">
        <f t="shared" si="123"/>
        <v>["-SADNE-","-SLOWSS-","OTHR","OTHR","XT_OffAnimals"]</v>
      </c>
      <c r="AC1341" s="3">
        <f>_xlfn.XLOOKUP(A1341,Album!A:A,Album!J:J)</f>
        <v>0</v>
      </c>
      <c r="AD1341" s="3">
        <f>_xlfn.XLOOKUP(D1341,Artists!A:A,Artists!B:B)</f>
        <v>0</v>
      </c>
      <c r="AE1341" s="3">
        <f>_xlfn.XLOOKUP(D1341,Artists!A:A,Artists!C:C)</f>
        <v>0</v>
      </c>
      <c r="AF1341" s="3" t="str">
        <f t="shared" si="124"/>
        <v>OTHR</v>
      </c>
      <c r="AG1341" s="3" t="str">
        <f t="shared" si="125"/>
        <v>OTHR</v>
      </c>
    </row>
    <row r="1342" spans="24:33" x14ac:dyDescent="0.3">
      <c r="X1342" s="3" t="str">
        <f t="shared" si="120"/>
        <v>-SADNE-</v>
      </c>
      <c r="Y1342" s="3" t="str">
        <f t="shared" si="121"/>
        <v>-SLOWSS-</v>
      </c>
      <c r="Z1342" s="4" t="str">
        <f t="shared" si="122"/>
        <v>{"couname":"","img":"0","pty":"","artist":"","genres":"","duration":"","spotId":"","Items":["-SADNE-","-SLOWSS-","OTHR","OTHR","XT_OffAnimals"]},</v>
      </c>
      <c r="AA1342" s="5" t="s">
        <v>5</v>
      </c>
      <c r="AB1342" s="3" t="str">
        <f t="shared" si="123"/>
        <v>["-SADNE-","-SLOWSS-","OTHR","OTHR","XT_OffAnimals"]</v>
      </c>
      <c r="AC1342" s="3">
        <f>_xlfn.XLOOKUP(A1342,Album!A:A,Album!J:J)</f>
        <v>0</v>
      </c>
      <c r="AD1342" s="3">
        <f>_xlfn.XLOOKUP(D1342,Artists!A:A,Artists!B:B)</f>
        <v>0</v>
      </c>
      <c r="AE1342" s="3">
        <f>_xlfn.XLOOKUP(D1342,Artists!A:A,Artists!C:C)</f>
        <v>0</v>
      </c>
      <c r="AF1342" s="3" t="str">
        <f t="shared" si="124"/>
        <v>OTHR</v>
      </c>
      <c r="AG1342" s="3" t="str">
        <f t="shared" si="125"/>
        <v>OTHR</v>
      </c>
    </row>
    <row r="1343" spans="24:33" x14ac:dyDescent="0.3">
      <c r="X1343" s="3" t="str">
        <f t="shared" si="120"/>
        <v>-SADNE-</v>
      </c>
      <c r="Y1343" s="3" t="str">
        <f t="shared" si="121"/>
        <v>-SLOWSS-</v>
      </c>
      <c r="Z1343" s="4" t="str">
        <f t="shared" si="122"/>
        <v>{"couname":"","img":"0","pty":"","artist":"","genres":"","duration":"","spotId":"","Items":["-SADNE-","-SLOWSS-","OTHR","OTHR","XT_OffAnimals"]},</v>
      </c>
      <c r="AA1343" s="5" t="s">
        <v>5</v>
      </c>
      <c r="AB1343" s="3" t="str">
        <f t="shared" si="123"/>
        <v>["-SADNE-","-SLOWSS-","OTHR","OTHR","XT_OffAnimals"]</v>
      </c>
      <c r="AC1343" s="3">
        <f>_xlfn.XLOOKUP(A1343,Album!A:A,Album!J:J)</f>
        <v>0</v>
      </c>
      <c r="AD1343" s="3">
        <f>_xlfn.XLOOKUP(D1343,Artists!A:A,Artists!B:B)</f>
        <v>0</v>
      </c>
      <c r="AE1343" s="3">
        <f>_xlfn.XLOOKUP(D1343,Artists!A:A,Artists!C:C)</f>
        <v>0</v>
      </c>
      <c r="AF1343" s="3" t="str">
        <f t="shared" si="124"/>
        <v>OTHR</v>
      </c>
      <c r="AG1343" s="3" t="str">
        <f t="shared" si="125"/>
        <v>OTHR</v>
      </c>
    </row>
    <row r="1344" spans="24:33" x14ac:dyDescent="0.3">
      <c r="X1344" s="3" t="str">
        <f t="shared" si="120"/>
        <v>-SADNE-</v>
      </c>
      <c r="Y1344" s="3" t="str">
        <f t="shared" si="121"/>
        <v>-SLOWSS-</v>
      </c>
      <c r="Z1344" s="4" t="str">
        <f t="shared" si="122"/>
        <v>{"couname":"","img":"0","pty":"","artist":"","genres":"","duration":"","spotId":"","Items":["-SADNE-","-SLOWSS-","OTHR","OTHR","XT_OffAnimals"]},</v>
      </c>
      <c r="AA1344" s="5" t="s">
        <v>5</v>
      </c>
      <c r="AB1344" s="3" t="str">
        <f t="shared" si="123"/>
        <v>["-SADNE-","-SLOWSS-","OTHR","OTHR","XT_OffAnimals"]</v>
      </c>
      <c r="AC1344" s="3">
        <f>_xlfn.XLOOKUP(A1344,Album!A:A,Album!J:J)</f>
        <v>0</v>
      </c>
      <c r="AD1344" s="3">
        <f>_xlfn.XLOOKUP(D1344,Artists!A:A,Artists!B:B)</f>
        <v>0</v>
      </c>
      <c r="AE1344" s="3">
        <f>_xlfn.XLOOKUP(D1344,Artists!A:A,Artists!C:C)</f>
        <v>0</v>
      </c>
      <c r="AF1344" s="3" t="str">
        <f t="shared" si="124"/>
        <v>OTHR</v>
      </c>
      <c r="AG1344" s="3" t="str">
        <f t="shared" si="125"/>
        <v>OTHR</v>
      </c>
    </row>
    <row r="1345" spans="24:33" x14ac:dyDescent="0.3">
      <c r="X1345" s="3" t="str">
        <f t="shared" si="120"/>
        <v>-SADNE-</v>
      </c>
      <c r="Y1345" s="3" t="str">
        <f t="shared" si="121"/>
        <v>-SLOWSS-</v>
      </c>
      <c r="Z1345" s="4" t="str">
        <f t="shared" si="122"/>
        <v>{"couname":"","img":"0","pty":"","artist":"","genres":"","duration":"","spotId":"","Items":["-SADNE-","-SLOWSS-","OTHR","OTHR","XT_OffAnimals"]},</v>
      </c>
      <c r="AA1345" s="5" t="s">
        <v>5</v>
      </c>
      <c r="AB1345" s="3" t="str">
        <f t="shared" si="123"/>
        <v>["-SADNE-","-SLOWSS-","OTHR","OTHR","XT_OffAnimals"]</v>
      </c>
      <c r="AC1345" s="3">
        <f>_xlfn.XLOOKUP(A1345,Album!A:A,Album!J:J)</f>
        <v>0</v>
      </c>
      <c r="AD1345" s="3">
        <f>_xlfn.XLOOKUP(D1345,Artists!A:A,Artists!B:B)</f>
        <v>0</v>
      </c>
      <c r="AE1345" s="3">
        <f>_xlfn.XLOOKUP(D1345,Artists!A:A,Artists!C:C)</f>
        <v>0</v>
      </c>
      <c r="AF1345" s="3" t="str">
        <f t="shared" si="124"/>
        <v>OTHR</v>
      </c>
      <c r="AG1345" s="3" t="str">
        <f t="shared" si="125"/>
        <v>OTHR</v>
      </c>
    </row>
    <row r="1346" spans="24:33" x14ac:dyDescent="0.3">
      <c r="X1346" s="3" t="str">
        <f t="shared" ref="X1346:X1409" si="126">IF(OR(U1346&lt;0.301, AND(U1346&lt;0.4, P1346=0)), "-SADNE-", "-HAPPY-")</f>
        <v>-SADNE-</v>
      </c>
      <c r="Y1346" s="3" t="str">
        <f t="shared" ref="Y1346:Y1409" si="127">IF(OR(AND(L1346&lt;0.5,M1346&lt;0.5),AND(L1346&lt;0.45,V1346&lt;100),AND(M1346&lt;0.45,V1346&lt;100),AND(U1346&lt;0.39,V1346&lt;100)),"-SLOWSS-","-ENERGY-")</f>
        <v>-SLOWSS-</v>
      </c>
      <c r="Z1346" s="4" t="str">
        <f t="shared" si="122"/>
        <v>{"couname":"","img":"0","pty":"","artist":"","genres":"","duration":"","spotId":"","Items":["-SADNE-","-SLOWSS-","OTHR","OTHR","XT_OffAnimals"]},</v>
      </c>
      <c r="AA1346" s="5" t="s">
        <v>5</v>
      </c>
      <c r="AB1346" s="3" t="str">
        <f t="shared" si="123"/>
        <v>["-SADNE-","-SLOWSS-","OTHR","OTHR","XT_OffAnimals"]</v>
      </c>
      <c r="AC1346" s="3">
        <f>_xlfn.XLOOKUP(A1346,Album!A:A,Album!J:J)</f>
        <v>0</v>
      </c>
      <c r="AD1346" s="3">
        <f>_xlfn.XLOOKUP(D1346,Artists!A:A,Artists!B:B)</f>
        <v>0</v>
      </c>
      <c r="AE1346" s="3">
        <f>_xlfn.XLOOKUP(D1346,Artists!A:A,Artists!C:C)</f>
        <v>0</v>
      </c>
      <c r="AF1346" s="3" t="str">
        <f t="shared" si="124"/>
        <v>OTHR</v>
      </c>
      <c r="AG1346" s="3" t="str">
        <f t="shared" si="125"/>
        <v>OTHR</v>
      </c>
    </row>
    <row r="1347" spans="24:33" x14ac:dyDescent="0.3">
      <c r="X1347" s="3" t="str">
        <f t="shared" si="126"/>
        <v>-SADNE-</v>
      </c>
      <c r="Y1347" s="3" t="str">
        <f t="shared" si="127"/>
        <v>-SLOWSS-</v>
      </c>
      <c r="Z1347" s="4" t="str">
        <f t="shared" ref="Z1347:Z1410" si="128">"{"&amp;CHAR(34)&amp;"couname"&amp;CHAR(34)&amp;":"&amp;CHAR(34)&amp;B1347&amp;CHAR(34)&amp;","&amp;CHAR(34)&amp;"img"&amp;CHAR(34)&amp;":"&amp;CHAR(34)&amp;AC1347&amp;CHAR(34)&amp;","&amp;CHAR(34)&amp;"pty"&amp;CHAR(34)&amp;":"&amp;CHAR(34)&amp;G1347&amp;CHAR(34)&amp;","&amp;CHAR(34)&amp;"artist"&amp;CHAR(34)&amp;":"&amp;CHAR(34)&amp;D1347&amp;CHAR(34)&amp;","&amp;CHAR(34)&amp;"genres"&amp;CHAR(34)&amp;":"&amp;CHAR(34)&amp;J1347&amp;CHAR(34)&amp;","&amp;CHAR(34)&amp;"duration"&amp;CHAR(34)&amp;":"&amp;CHAR(34)&amp;F1347&amp;CHAR(34)&amp;","&amp;CHAR(34)&amp;"spotId"&amp;CHAR(34)&amp;":"&amp;CHAR(34)&amp;A1347&amp;CHAR(34)&amp;","&amp;CHAR(34)&amp;"Items"&amp;CHAR(34)&amp;":"&amp;AB1347&amp;"},"</f>
        <v>{"couname":"","img":"0","pty":"","artist":"","genres":"","duration":"","spotId":"","Items":["-SADNE-","-SLOWSS-","OTHR","OTHR","XT_OffAnimals"]},</v>
      </c>
      <c r="AA1347" s="5" t="s">
        <v>5</v>
      </c>
      <c r="AB1347" s="3" t="str">
        <f t="shared" ref="AB1347:AB1410" si="129" xml:space="preserve"> "[" &amp; _xlfn.TEXTJOIN(",",TRUE,CHAR(34) &amp; X1347&amp; CHAR(34), CHAR(34) &amp; Y1347 &amp; CHAR(34),  CHAR(34) &amp; AF1347 &amp; CHAR(34), CHAR(34) &amp;AG1347 &amp; CHAR(34), CHAR(34) &amp; AA1347 &amp; CHAR(34)) &amp; "]"</f>
        <v>["-SADNE-","-SLOWSS-","OTHR","OTHR","XT_OffAnimals"]</v>
      </c>
      <c r="AC1347" s="3">
        <f>_xlfn.XLOOKUP(A1347,Album!A:A,Album!J:J)</f>
        <v>0</v>
      </c>
      <c r="AD1347" s="3">
        <f>_xlfn.XLOOKUP(D1347,Artists!A:A,Artists!B:B)</f>
        <v>0</v>
      </c>
      <c r="AE1347" s="3">
        <f>_xlfn.XLOOKUP(D1347,Artists!A:A,Artists!C:C)</f>
        <v>0</v>
      </c>
      <c r="AF1347" s="3" t="str">
        <f t="shared" ref="AF1347:AF1410" si="130">IF(ISNUMBER(SEARCH("female", AD1347)), "GIRL", IF(ISNUMBER(SEARCH("male", AD1347)), "DUDE", "OTHR"))</f>
        <v>OTHR</v>
      </c>
      <c r="AG1347" s="3" t="str">
        <f t="shared" ref="AG1347:AG1410" si="131">IF(ISNUMBER(SEARCH("band", AD1347)), "BAND", IF(ISNUMBER(SEARCH("solo", AD1347)), "SOLO", "OTHR"))</f>
        <v>OTHR</v>
      </c>
    </row>
    <row r="1348" spans="24:33" x14ac:dyDescent="0.3">
      <c r="X1348" s="3" t="str">
        <f t="shared" si="126"/>
        <v>-SADNE-</v>
      </c>
      <c r="Y1348" s="3" t="str">
        <f t="shared" si="127"/>
        <v>-SLOWSS-</v>
      </c>
      <c r="Z1348" s="4" t="str">
        <f t="shared" si="128"/>
        <v>{"couname":"","img":"0","pty":"","artist":"","genres":"","duration":"","spotId":"","Items":["-SADNE-","-SLOWSS-","OTHR","OTHR","XT_OffAnimals"]},</v>
      </c>
      <c r="AA1348" s="5" t="s">
        <v>5</v>
      </c>
      <c r="AB1348" s="3" t="str">
        <f t="shared" si="129"/>
        <v>["-SADNE-","-SLOWSS-","OTHR","OTHR","XT_OffAnimals"]</v>
      </c>
      <c r="AC1348" s="3">
        <f>_xlfn.XLOOKUP(A1348,Album!A:A,Album!J:J)</f>
        <v>0</v>
      </c>
      <c r="AD1348" s="3">
        <f>_xlfn.XLOOKUP(D1348,Artists!A:A,Artists!B:B)</f>
        <v>0</v>
      </c>
      <c r="AE1348" s="3">
        <f>_xlfn.XLOOKUP(D1348,Artists!A:A,Artists!C:C)</f>
        <v>0</v>
      </c>
      <c r="AF1348" s="3" t="str">
        <f t="shared" si="130"/>
        <v>OTHR</v>
      </c>
      <c r="AG1348" s="3" t="str">
        <f t="shared" si="131"/>
        <v>OTHR</v>
      </c>
    </row>
    <row r="1349" spans="24:33" x14ac:dyDescent="0.3">
      <c r="X1349" s="3" t="str">
        <f t="shared" si="126"/>
        <v>-SADNE-</v>
      </c>
      <c r="Y1349" s="3" t="str">
        <f t="shared" si="127"/>
        <v>-SLOWSS-</v>
      </c>
      <c r="Z1349" s="4" t="str">
        <f t="shared" si="128"/>
        <v>{"couname":"","img":"0","pty":"","artist":"","genres":"","duration":"","spotId":"","Items":["-SADNE-","-SLOWSS-","OTHR","OTHR","XT_OffAnimals"]},</v>
      </c>
      <c r="AA1349" s="5" t="s">
        <v>5</v>
      </c>
      <c r="AB1349" s="3" t="str">
        <f t="shared" si="129"/>
        <v>["-SADNE-","-SLOWSS-","OTHR","OTHR","XT_OffAnimals"]</v>
      </c>
      <c r="AC1349" s="3">
        <f>_xlfn.XLOOKUP(A1349,Album!A:A,Album!J:J)</f>
        <v>0</v>
      </c>
      <c r="AD1349" s="3">
        <f>_xlfn.XLOOKUP(D1349,Artists!A:A,Artists!B:B)</f>
        <v>0</v>
      </c>
      <c r="AE1349" s="3">
        <f>_xlfn.XLOOKUP(D1349,Artists!A:A,Artists!C:C)</f>
        <v>0</v>
      </c>
      <c r="AF1349" s="3" t="str">
        <f t="shared" si="130"/>
        <v>OTHR</v>
      </c>
      <c r="AG1349" s="3" t="str">
        <f t="shared" si="131"/>
        <v>OTHR</v>
      </c>
    </row>
    <row r="1350" spans="24:33" x14ac:dyDescent="0.3">
      <c r="X1350" s="3" t="str">
        <f t="shared" si="126"/>
        <v>-SADNE-</v>
      </c>
      <c r="Y1350" s="3" t="str">
        <f t="shared" si="127"/>
        <v>-SLOWSS-</v>
      </c>
      <c r="Z1350" s="4" t="str">
        <f t="shared" si="128"/>
        <v>{"couname":"","img":"0","pty":"","artist":"","genres":"","duration":"","spotId":"","Items":["-SADNE-","-SLOWSS-","OTHR","OTHR","XT_OffAnimals"]},</v>
      </c>
      <c r="AA1350" s="5" t="s">
        <v>5</v>
      </c>
      <c r="AB1350" s="3" t="str">
        <f t="shared" si="129"/>
        <v>["-SADNE-","-SLOWSS-","OTHR","OTHR","XT_OffAnimals"]</v>
      </c>
      <c r="AC1350" s="3">
        <f>_xlfn.XLOOKUP(A1350,Album!A:A,Album!J:J)</f>
        <v>0</v>
      </c>
      <c r="AD1350" s="3">
        <f>_xlfn.XLOOKUP(D1350,Artists!A:A,Artists!B:B)</f>
        <v>0</v>
      </c>
      <c r="AE1350" s="3">
        <f>_xlfn.XLOOKUP(D1350,Artists!A:A,Artists!C:C)</f>
        <v>0</v>
      </c>
      <c r="AF1350" s="3" t="str">
        <f t="shared" si="130"/>
        <v>OTHR</v>
      </c>
      <c r="AG1350" s="3" t="str">
        <f t="shared" si="131"/>
        <v>OTHR</v>
      </c>
    </row>
    <row r="1351" spans="24:33" x14ac:dyDescent="0.3">
      <c r="X1351" s="3" t="str">
        <f t="shared" si="126"/>
        <v>-SADNE-</v>
      </c>
      <c r="Y1351" s="3" t="str">
        <f t="shared" si="127"/>
        <v>-SLOWSS-</v>
      </c>
      <c r="Z1351" s="4" t="str">
        <f t="shared" si="128"/>
        <v>{"couname":"","img":"0","pty":"","artist":"","genres":"","duration":"","spotId":"","Items":["-SADNE-","-SLOWSS-","OTHR","OTHR","XT_OffAnimals"]},</v>
      </c>
      <c r="AA1351" s="5" t="s">
        <v>5</v>
      </c>
      <c r="AB1351" s="3" t="str">
        <f t="shared" si="129"/>
        <v>["-SADNE-","-SLOWSS-","OTHR","OTHR","XT_OffAnimals"]</v>
      </c>
      <c r="AC1351" s="3">
        <f>_xlfn.XLOOKUP(A1351,Album!A:A,Album!J:J)</f>
        <v>0</v>
      </c>
      <c r="AD1351" s="3">
        <f>_xlfn.XLOOKUP(D1351,Artists!A:A,Artists!B:B)</f>
        <v>0</v>
      </c>
      <c r="AE1351" s="3">
        <f>_xlfn.XLOOKUP(D1351,Artists!A:A,Artists!C:C)</f>
        <v>0</v>
      </c>
      <c r="AF1351" s="3" t="str">
        <f t="shared" si="130"/>
        <v>OTHR</v>
      </c>
      <c r="AG1351" s="3" t="str">
        <f t="shared" si="131"/>
        <v>OTHR</v>
      </c>
    </row>
    <row r="1352" spans="24:33" x14ac:dyDescent="0.3">
      <c r="X1352" s="3" t="str">
        <f t="shared" si="126"/>
        <v>-SADNE-</v>
      </c>
      <c r="Y1352" s="3" t="str">
        <f t="shared" si="127"/>
        <v>-SLOWSS-</v>
      </c>
      <c r="Z1352" s="4" t="str">
        <f t="shared" si="128"/>
        <v>{"couname":"","img":"0","pty":"","artist":"","genres":"","duration":"","spotId":"","Items":["-SADNE-","-SLOWSS-","OTHR","OTHR","XT_OffAnimals"]},</v>
      </c>
      <c r="AA1352" s="5" t="s">
        <v>5</v>
      </c>
      <c r="AB1352" s="3" t="str">
        <f t="shared" si="129"/>
        <v>["-SADNE-","-SLOWSS-","OTHR","OTHR","XT_OffAnimals"]</v>
      </c>
      <c r="AC1352" s="3">
        <f>_xlfn.XLOOKUP(A1352,Album!A:A,Album!J:J)</f>
        <v>0</v>
      </c>
      <c r="AD1352" s="3">
        <f>_xlfn.XLOOKUP(D1352,Artists!A:A,Artists!B:B)</f>
        <v>0</v>
      </c>
      <c r="AE1352" s="3">
        <f>_xlfn.XLOOKUP(D1352,Artists!A:A,Artists!C:C)</f>
        <v>0</v>
      </c>
      <c r="AF1352" s="3" t="str">
        <f t="shared" si="130"/>
        <v>OTHR</v>
      </c>
      <c r="AG1352" s="3" t="str">
        <f t="shared" si="131"/>
        <v>OTHR</v>
      </c>
    </row>
    <row r="1353" spans="24:33" x14ac:dyDescent="0.3">
      <c r="X1353" s="3" t="str">
        <f t="shared" si="126"/>
        <v>-SADNE-</v>
      </c>
      <c r="Y1353" s="3" t="str">
        <f t="shared" si="127"/>
        <v>-SLOWSS-</v>
      </c>
      <c r="Z1353" s="4" t="str">
        <f t="shared" si="128"/>
        <v>{"couname":"","img":"0","pty":"","artist":"","genres":"","duration":"","spotId":"","Items":["-SADNE-","-SLOWSS-","OTHR","OTHR","XT_OffAnimals"]},</v>
      </c>
      <c r="AA1353" s="5" t="s">
        <v>5</v>
      </c>
      <c r="AB1353" s="3" t="str">
        <f t="shared" si="129"/>
        <v>["-SADNE-","-SLOWSS-","OTHR","OTHR","XT_OffAnimals"]</v>
      </c>
      <c r="AC1353" s="3">
        <f>_xlfn.XLOOKUP(A1353,Album!A:A,Album!J:J)</f>
        <v>0</v>
      </c>
      <c r="AD1353" s="3">
        <f>_xlfn.XLOOKUP(D1353,Artists!A:A,Artists!B:B)</f>
        <v>0</v>
      </c>
      <c r="AE1353" s="3">
        <f>_xlfn.XLOOKUP(D1353,Artists!A:A,Artists!C:C)</f>
        <v>0</v>
      </c>
      <c r="AF1353" s="3" t="str">
        <f t="shared" si="130"/>
        <v>OTHR</v>
      </c>
      <c r="AG1353" s="3" t="str">
        <f t="shared" si="131"/>
        <v>OTHR</v>
      </c>
    </row>
    <row r="1354" spans="24:33" x14ac:dyDescent="0.3">
      <c r="X1354" s="3" t="str">
        <f t="shared" si="126"/>
        <v>-SADNE-</v>
      </c>
      <c r="Y1354" s="3" t="str">
        <f t="shared" si="127"/>
        <v>-SLOWSS-</v>
      </c>
      <c r="Z1354" s="4" t="str">
        <f t="shared" si="128"/>
        <v>{"couname":"","img":"0","pty":"","artist":"","genres":"","duration":"","spotId":"","Items":["-SADNE-","-SLOWSS-","OTHR","OTHR","XT_OffAnimals"]},</v>
      </c>
      <c r="AA1354" s="5" t="s">
        <v>5</v>
      </c>
      <c r="AB1354" s="3" t="str">
        <f t="shared" si="129"/>
        <v>["-SADNE-","-SLOWSS-","OTHR","OTHR","XT_OffAnimals"]</v>
      </c>
      <c r="AC1354" s="3">
        <f>_xlfn.XLOOKUP(A1354,Album!A:A,Album!J:J)</f>
        <v>0</v>
      </c>
      <c r="AD1354" s="3">
        <f>_xlfn.XLOOKUP(D1354,Artists!A:A,Artists!B:B)</f>
        <v>0</v>
      </c>
      <c r="AE1354" s="3">
        <f>_xlfn.XLOOKUP(D1354,Artists!A:A,Artists!C:C)</f>
        <v>0</v>
      </c>
      <c r="AF1354" s="3" t="str">
        <f t="shared" si="130"/>
        <v>OTHR</v>
      </c>
      <c r="AG1354" s="3" t="str">
        <f t="shared" si="131"/>
        <v>OTHR</v>
      </c>
    </row>
    <row r="1355" spans="24:33" x14ac:dyDescent="0.3">
      <c r="X1355" s="3" t="str">
        <f t="shared" si="126"/>
        <v>-SADNE-</v>
      </c>
      <c r="Y1355" s="3" t="str">
        <f t="shared" si="127"/>
        <v>-SLOWSS-</v>
      </c>
      <c r="Z1355" s="4" t="str">
        <f t="shared" si="128"/>
        <v>{"couname":"","img":"0","pty":"","artist":"","genres":"","duration":"","spotId":"","Items":["-SADNE-","-SLOWSS-","OTHR","OTHR","XT_OffAnimals"]},</v>
      </c>
      <c r="AA1355" s="5" t="s">
        <v>5</v>
      </c>
      <c r="AB1355" s="3" t="str">
        <f t="shared" si="129"/>
        <v>["-SADNE-","-SLOWSS-","OTHR","OTHR","XT_OffAnimals"]</v>
      </c>
      <c r="AC1355" s="3">
        <f>_xlfn.XLOOKUP(A1355,Album!A:A,Album!J:J)</f>
        <v>0</v>
      </c>
      <c r="AD1355" s="3">
        <f>_xlfn.XLOOKUP(D1355,Artists!A:A,Artists!B:B)</f>
        <v>0</v>
      </c>
      <c r="AE1355" s="3">
        <f>_xlfn.XLOOKUP(D1355,Artists!A:A,Artists!C:C)</f>
        <v>0</v>
      </c>
      <c r="AF1355" s="3" t="str">
        <f t="shared" si="130"/>
        <v>OTHR</v>
      </c>
      <c r="AG1355" s="3" t="str">
        <f t="shared" si="131"/>
        <v>OTHR</v>
      </c>
    </row>
    <row r="1356" spans="24:33" x14ac:dyDescent="0.3">
      <c r="X1356" s="3" t="str">
        <f t="shared" si="126"/>
        <v>-SADNE-</v>
      </c>
      <c r="Y1356" s="3" t="str">
        <f t="shared" si="127"/>
        <v>-SLOWSS-</v>
      </c>
      <c r="Z1356" s="4" t="str">
        <f t="shared" si="128"/>
        <v>{"couname":"","img":"0","pty":"","artist":"","genres":"","duration":"","spotId":"","Items":["-SADNE-","-SLOWSS-","OTHR","OTHR","XT_OffAnimals"]},</v>
      </c>
      <c r="AA1356" s="5" t="s">
        <v>5</v>
      </c>
      <c r="AB1356" s="3" t="str">
        <f t="shared" si="129"/>
        <v>["-SADNE-","-SLOWSS-","OTHR","OTHR","XT_OffAnimals"]</v>
      </c>
      <c r="AC1356" s="3">
        <f>_xlfn.XLOOKUP(A1356,Album!A:A,Album!J:J)</f>
        <v>0</v>
      </c>
      <c r="AD1356" s="3">
        <f>_xlfn.XLOOKUP(D1356,Artists!A:A,Artists!B:B)</f>
        <v>0</v>
      </c>
      <c r="AE1356" s="3">
        <f>_xlfn.XLOOKUP(D1356,Artists!A:A,Artists!C:C)</f>
        <v>0</v>
      </c>
      <c r="AF1356" s="3" t="str">
        <f t="shared" si="130"/>
        <v>OTHR</v>
      </c>
      <c r="AG1356" s="3" t="str">
        <f t="shared" si="131"/>
        <v>OTHR</v>
      </c>
    </row>
    <row r="1357" spans="24:33" x14ac:dyDescent="0.3">
      <c r="X1357" s="3" t="str">
        <f t="shared" si="126"/>
        <v>-SADNE-</v>
      </c>
      <c r="Y1357" s="3" t="str">
        <f t="shared" si="127"/>
        <v>-SLOWSS-</v>
      </c>
      <c r="Z1357" s="4" t="str">
        <f t="shared" si="128"/>
        <v>{"couname":"","img":"0","pty":"","artist":"","genres":"","duration":"","spotId":"","Items":["-SADNE-","-SLOWSS-","OTHR","OTHR","XT_OffAnimals"]},</v>
      </c>
      <c r="AA1357" s="5" t="s">
        <v>5</v>
      </c>
      <c r="AB1357" s="3" t="str">
        <f t="shared" si="129"/>
        <v>["-SADNE-","-SLOWSS-","OTHR","OTHR","XT_OffAnimals"]</v>
      </c>
      <c r="AC1357" s="3">
        <f>_xlfn.XLOOKUP(A1357,Album!A:A,Album!J:J)</f>
        <v>0</v>
      </c>
      <c r="AD1357" s="3">
        <f>_xlfn.XLOOKUP(D1357,Artists!A:A,Artists!B:B)</f>
        <v>0</v>
      </c>
      <c r="AE1357" s="3">
        <f>_xlfn.XLOOKUP(D1357,Artists!A:A,Artists!C:C)</f>
        <v>0</v>
      </c>
      <c r="AF1357" s="3" t="str">
        <f t="shared" si="130"/>
        <v>OTHR</v>
      </c>
      <c r="AG1357" s="3" t="str">
        <f t="shared" si="131"/>
        <v>OTHR</v>
      </c>
    </row>
    <row r="1358" spans="24:33" x14ac:dyDescent="0.3">
      <c r="X1358" s="3" t="str">
        <f t="shared" si="126"/>
        <v>-SADNE-</v>
      </c>
      <c r="Y1358" s="3" t="str">
        <f t="shared" si="127"/>
        <v>-SLOWSS-</v>
      </c>
      <c r="Z1358" s="4" t="str">
        <f t="shared" si="128"/>
        <v>{"couname":"","img":"0","pty":"","artist":"","genres":"","duration":"","spotId":"","Items":["-SADNE-","-SLOWSS-","OTHR","OTHR","XT_OffAnimals"]},</v>
      </c>
      <c r="AA1358" s="5" t="s">
        <v>5</v>
      </c>
      <c r="AB1358" s="3" t="str">
        <f t="shared" si="129"/>
        <v>["-SADNE-","-SLOWSS-","OTHR","OTHR","XT_OffAnimals"]</v>
      </c>
      <c r="AC1358" s="3">
        <f>_xlfn.XLOOKUP(A1358,Album!A:A,Album!J:J)</f>
        <v>0</v>
      </c>
      <c r="AD1358" s="3">
        <f>_xlfn.XLOOKUP(D1358,Artists!A:A,Artists!B:B)</f>
        <v>0</v>
      </c>
      <c r="AE1358" s="3">
        <f>_xlfn.XLOOKUP(D1358,Artists!A:A,Artists!C:C)</f>
        <v>0</v>
      </c>
      <c r="AF1358" s="3" t="str">
        <f t="shared" si="130"/>
        <v>OTHR</v>
      </c>
      <c r="AG1358" s="3" t="str">
        <f t="shared" si="131"/>
        <v>OTHR</v>
      </c>
    </row>
    <row r="1359" spans="24:33" x14ac:dyDescent="0.3">
      <c r="X1359" s="3" t="str">
        <f t="shared" si="126"/>
        <v>-SADNE-</v>
      </c>
      <c r="Y1359" s="3" t="str">
        <f t="shared" si="127"/>
        <v>-SLOWSS-</v>
      </c>
      <c r="Z1359" s="4" t="str">
        <f t="shared" si="128"/>
        <v>{"couname":"","img":"0","pty":"","artist":"","genres":"","duration":"","spotId":"","Items":["-SADNE-","-SLOWSS-","OTHR","OTHR","XT_OffAnimals"]},</v>
      </c>
      <c r="AA1359" s="5" t="s">
        <v>5</v>
      </c>
      <c r="AB1359" s="3" t="str">
        <f t="shared" si="129"/>
        <v>["-SADNE-","-SLOWSS-","OTHR","OTHR","XT_OffAnimals"]</v>
      </c>
      <c r="AC1359" s="3">
        <f>_xlfn.XLOOKUP(A1359,Album!A:A,Album!J:J)</f>
        <v>0</v>
      </c>
      <c r="AD1359" s="3">
        <f>_xlfn.XLOOKUP(D1359,Artists!A:A,Artists!B:B)</f>
        <v>0</v>
      </c>
      <c r="AE1359" s="3">
        <f>_xlfn.XLOOKUP(D1359,Artists!A:A,Artists!C:C)</f>
        <v>0</v>
      </c>
      <c r="AF1359" s="3" t="str">
        <f t="shared" si="130"/>
        <v>OTHR</v>
      </c>
      <c r="AG1359" s="3" t="str">
        <f t="shared" si="131"/>
        <v>OTHR</v>
      </c>
    </row>
    <row r="1360" spans="24:33" x14ac:dyDescent="0.3">
      <c r="X1360" s="3" t="str">
        <f t="shared" si="126"/>
        <v>-SADNE-</v>
      </c>
      <c r="Y1360" s="3" t="str">
        <f t="shared" si="127"/>
        <v>-SLOWSS-</v>
      </c>
      <c r="Z1360" s="4" t="str">
        <f t="shared" si="128"/>
        <v>{"couname":"","img":"0","pty":"","artist":"","genres":"","duration":"","spotId":"","Items":["-SADNE-","-SLOWSS-","OTHR","OTHR","XT_OffAnimals"]},</v>
      </c>
      <c r="AA1360" s="5" t="s">
        <v>5</v>
      </c>
      <c r="AB1360" s="3" t="str">
        <f t="shared" si="129"/>
        <v>["-SADNE-","-SLOWSS-","OTHR","OTHR","XT_OffAnimals"]</v>
      </c>
      <c r="AC1360" s="3">
        <f>_xlfn.XLOOKUP(A1360,Album!A:A,Album!J:J)</f>
        <v>0</v>
      </c>
      <c r="AD1360" s="3">
        <f>_xlfn.XLOOKUP(D1360,Artists!A:A,Artists!B:B)</f>
        <v>0</v>
      </c>
      <c r="AE1360" s="3">
        <f>_xlfn.XLOOKUP(D1360,Artists!A:A,Artists!C:C)</f>
        <v>0</v>
      </c>
      <c r="AF1360" s="3" t="str">
        <f t="shared" si="130"/>
        <v>OTHR</v>
      </c>
      <c r="AG1360" s="3" t="str">
        <f t="shared" si="131"/>
        <v>OTHR</v>
      </c>
    </row>
    <row r="1361" spans="24:33" x14ac:dyDescent="0.3">
      <c r="X1361" s="3" t="str">
        <f t="shared" si="126"/>
        <v>-SADNE-</v>
      </c>
      <c r="Y1361" s="3" t="str">
        <f t="shared" si="127"/>
        <v>-SLOWSS-</v>
      </c>
      <c r="Z1361" s="4" t="str">
        <f t="shared" si="128"/>
        <v>{"couname":"","img":"0","pty":"","artist":"","genres":"","duration":"","spotId":"","Items":["-SADNE-","-SLOWSS-","OTHR","OTHR","XT_OffAnimals"]},</v>
      </c>
      <c r="AA1361" s="5" t="s">
        <v>5</v>
      </c>
      <c r="AB1361" s="3" t="str">
        <f t="shared" si="129"/>
        <v>["-SADNE-","-SLOWSS-","OTHR","OTHR","XT_OffAnimals"]</v>
      </c>
      <c r="AC1361" s="3">
        <f>_xlfn.XLOOKUP(A1361,Album!A:A,Album!J:J)</f>
        <v>0</v>
      </c>
      <c r="AD1361" s="3">
        <f>_xlfn.XLOOKUP(D1361,Artists!A:A,Artists!B:B)</f>
        <v>0</v>
      </c>
      <c r="AE1361" s="3">
        <f>_xlfn.XLOOKUP(D1361,Artists!A:A,Artists!C:C)</f>
        <v>0</v>
      </c>
      <c r="AF1361" s="3" t="str">
        <f t="shared" si="130"/>
        <v>OTHR</v>
      </c>
      <c r="AG1361" s="3" t="str">
        <f t="shared" si="131"/>
        <v>OTHR</v>
      </c>
    </row>
    <row r="1362" spans="24:33" x14ac:dyDescent="0.3">
      <c r="X1362" s="3" t="str">
        <f t="shared" si="126"/>
        <v>-SADNE-</v>
      </c>
      <c r="Y1362" s="3" t="str">
        <f t="shared" si="127"/>
        <v>-SLOWSS-</v>
      </c>
      <c r="Z1362" s="4" t="str">
        <f t="shared" si="128"/>
        <v>{"couname":"","img":"0","pty":"","artist":"","genres":"","duration":"","spotId":"","Items":["-SADNE-","-SLOWSS-","OTHR","OTHR","XT_OffAnimals"]},</v>
      </c>
      <c r="AA1362" s="5" t="s">
        <v>5</v>
      </c>
      <c r="AB1362" s="3" t="str">
        <f t="shared" si="129"/>
        <v>["-SADNE-","-SLOWSS-","OTHR","OTHR","XT_OffAnimals"]</v>
      </c>
      <c r="AC1362" s="3">
        <f>_xlfn.XLOOKUP(A1362,Album!A:A,Album!J:J)</f>
        <v>0</v>
      </c>
      <c r="AD1362" s="3">
        <f>_xlfn.XLOOKUP(D1362,Artists!A:A,Artists!B:B)</f>
        <v>0</v>
      </c>
      <c r="AE1362" s="3">
        <f>_xlfn.XLOOKUP(D1362,Artists!A:A,Artists!C:C)</f>
        <v>0</v>
      </c>
      <c r="AF1362" s="3" t="str">
        <f t="shared" si="130"/>
        <v>OTHR</v>
      </c>
      <c r="AG1362" s="3" t="str">
        <f t="shared" si="131"/>
        <v>OTHR</v>
      </c>
    </row>
    <row r="1363" spans="24:33" x14ac:dyDescent="0.3">
      <c r="X1363" s="3" t="str">
        <f t="shared" si="126"/>
        <v>-SADNE-</v>
      </c>
      <c r="Y1363" s="3" t="str">
        <f t="shared" si="127"/>
        <v>-SLOWSS-</v>
      </c>
      <c r="Z1363" s="4" t="str">
        <f t="shared" si="128"/>
        <v>{"couname":"","img":"0","pty":"","artist":"","genres":"","duration":"","spotId":"","Items":["-SADNE-","-SLOWSS-","OTHR","OTHR","XT_OffAnimals"]},</v>
      </c>
      <c r="AA1363" s="5" t="s">
        <v>5</v>
      </c>
      <c r="AB1363" s="3" t="str">
        <f t="shared" si="129"/>
        <v>["-SADNE-","-SLOWSS-","OTHR","OTHR","XT_OffAnimals"]</v>
      </c>
      <c r="AC1363" s="3">
        <f>_xlfn.XLOOKUP(A1363,Album!A:A,Album!J:J)</f>
        <v>0</v>
      </c>
      <c r="AD1363" s="3">
        <f>_xlfn.XLOOKUP(D1363,Artists!A:A,Artists!B:B)</f>
        <v>0</v>
      </c>
      <c r="AE1363" s="3">
        <f>_xlfn.XLOOKUP(D1363,Artists!A:A,Artists!C:C)</f>
        <v>0</v>
      </c>
      <c r="AF1363" s="3" t="str">
        <f t="shared" si="130"/>
        <v>OTHR</v>
      </c>
      <c r="AG1363" s="3" t="str">
        <f t="shared" si="131"/>
        <v>OTHR</v>
      </c>
    </row>
    <row r="1364" spans="24:33" x14ac:dyDescent="0.3">
      <c r="X1364" s="3" t="str">
        <f t="shared" si="126"/>
        <v>-SADNE-</v>
      </c>
      <c r="Y1364" s="3" t="str">
        <f t="shared" si="127"/>
        <v>-SLOWSS-</v>
      </c>
      <c r="Z1364" s="4" t="str">
        <f t="shared" si="128"/>
        <v>{"couname":"","img":"0","pty":"","artist":"","genres":"","duration":"","spotId":"","Items":["-SADNE-","-SLOWSS-","OTHR","OTHR","XT_OffAnimals"]},</v>
      </c>
      <c r="AA1364" s="5" t="s">
        <v>5</v>
      </c>
      <c r="AB1364" s="3" t="str">
        <f t="shared" si="129"/>
        <v>["-SADNE-","-SLOWSS-","OTHR","OTHR","XT_OffAnimals"]</v>
      </c>
      <c r="AC1364" s="3">
        <f>_xlfn.XLOOKUP(A1364,Album!A:A,Album!J:J)</f>
        <v>0</v>
      </c>
      <c r="AD1364" s="3">
        <f>_xlfn.XLOOKUP(D1364,Artists!A:A,Artists!B:B)</f>
        <v>0</v>
      </c>
      <c r="AE1364" s="3">
        <f>_xlfn.XLOOKUP(D1364,Artists!A:A,Artists!C:C)</f>
        <v>0</v>
      </c>
      <c r="AF1364" s="3" t="str">
        <f t="shared" si="130"/>
        <v>OTHR</v>
      </c>
      <c r="AG1364" s="3" t="str">
        <f t="shared" si="131"/>
        <v>OTHR</v>
      </c>
    </row>
    <row r="1365" spans="24:33" x14ac:dyDescent="0.3">
      <c r="X1365" s="3" t="str">
        <f t="shared" si="126"/>
        <v>-SADNE-</v>
      </c>
      <c r="Y1365" s="3" t="str">
        <f t="shared" si="127"/>
        <v>-SLOWSS-</v>
      </c>
      <c r="Z1365" s="4" t="str">
        <f t="shared" si="128"/>
        <v>{"couname":"","img":"0","pty":"","artist":"","genres":"","duration":"","spotId":"","Items":["-SADNE-","-SLOWSS-","OTHR","OTHR","XT_OffAnimals"]},</v>
      </c>
      <c r="AA1365" s="5" t="s">
        <v>5</v>
      </c>
      <c r="AB1365" s="3" t="str">
        <f t="shared" si="129"/>
        <v>["-SADNE-","-SLOWSS-","OTHR","OTHR","XT_OffAnimals"]</v>
      </c>
      <c r="AC1365" s="3">
        <f>_xlfn.XLOOKUP(A1365,Album!A:A,Album!J:J)</f>
        <v>0</v>
      </c>
      <c r="AD1365" s="3">
        <f>_xlfn.XLOOKUP(D1365,Artists!A:A,Artists!B:B)</f>
        <v>0</v>
      </c>
      <c r="AE1365" s="3">
        <f>_xlfn.XLOOKUP(D1365,Artists!A:A,Artists!C:C)</f>
        <v>0</v>
      </c>
      <c r="AF1365" s="3" t="str">
        <f t="shared" si="130"/>
        <v>OTHR</v>
      </c>
      <c r="AG1365" s="3" t="str">
        <f t="shared" si="131"/>
        <v>OTHR</v>
      </c>
    </row>
    <row r="1366" spans="24:33" x14ac:dyDescent="0.3">
      <c r="X1366" s="3" t="str">
        <f t="shared" si="126"/>
        <v>-SADNE-</v>
      </c>
      <c r="Y1366" s="3" t="str">
        <f t="shared" si="127"/>
        <v>-SLOWSS-</v>
      </c>
      <c r="Z1366" s="4" t="str">
        <f t="shared" si="128"/>
        <v>{"couname":"","img":"0","pty":"","artist":"","genres":"","duration":"","spotId":"","Items":["-SADNE-","-SLOWSS-","OTHR","OTHR","XT_OffAnimals"]},</v>
      </c>
      <c r="AA1366" s="5" t="s">
        <v>5</v>
      </c>
      <c r="AB1366" s="3" t="str">
        <f t="shared" si="129"/>
        <v>["-SADNE-","-SLOWSS-","OTHR","OTHR","XT_OffAnimals"]</v>
      </c>
      <c r="AC1366" s="3">
        <f>_xlfn.XLOOKUP(A1366,Album!A:A,Album!J:J)</f>
        <v>0</v>
      </c>
      <c r="AD1366" s="3">
        <f>_xlfn.XLOOKUP(D1366,Artists!A:A,Artists!B:B)</f>
        <v>0</v>
      </c>
      <c r="AE1366" s="3">
        <f>_xlfn.XLOOKUP(D1366,Artists!A:A,Artists!C:C)</f>
        <v>0</v>
      </c>
      <c r="AF1366" s="3" t="str">
        <f t="shared" si="130"/>
        <v>OTHR</v>
      </c>
      <c r="AG1366" s="3" t="str">
        <f t="shared" si="131"/>
        <v>OTHR</v>
      </c>
    </row>
    <row r="1367" spans="24:33" x14ac:dyDescent="0.3">
      <c r="X1367" s="3" t="str">
        <f t="shared" si="126"/>
        <v>-SADNE-</v>
      </c>
      <c r="Y1367" s="3" t="str">
        <f t="shared" si="127"/>
        <v>-SLOWSS-</v>
      </c>
      <c r="Z1367" s="4" t="str">
        <f t="shared" si="128"/>
        <v>{"couname":"","img":"0","pty":"","artist":"","genres":"","duration":"","spotId":"","Items":["-SADNE-","-SLOWSS-","OTHR","OTHR","XT_OffAnimals"]},</v>
      </c>
      <c r="AA1367" s="5" t="s">
        <v>5</v>
      </c>
      <c r="AB1367" s="3" t="str">
        <f t="shared" si="129"/>
        <v>["-SADNE-","-SLOWSS-","OTHR","OTHR","XT_OffAnimals"]</v>
      </c>
      <c r="AC1367" s="3">
        <f>_xlfn.XLOOKUP(A1367,Album!A:A,Album!J:J)</f>
        <v>0</v>
      </c>
      <c r="AD1367" s="3">
        <f>_xlfn.XLOOKUP(D1367,Artists!A:A,Artists!B:B)</f>
        <v>0</v>
      </c>
      <c r="AE1367" s="3">
        <f>_xlfn.XLOOKUP(D1367,Artists!A:A,Artists!C:C)</f>
        <v>0</v>
      </c>
      <c r="AF1367" s="3" t="str">
        <f t="shared" si="130"/>
        <v>OTHR</v>
      </c>
      <c r="AG1367" s="3" t="str">
        <f t="shared" si="131"/>
        <v>OTHR</v>
      </c>
    </row>
    <row r="1368" spans="24:33" x14ac:dyDescent="0.3">
      <c r="X1368" s="3" t="str">
        <f t="shared" si="126"/>
        <v>-SADNE-</v>
      </c>
      <c r="Y1368" s="3" t="str">
        <f t="shared" si="127"/>
        <v>-SLOWSS-</v>
      </c>
      <c r="Z1368" s="4" t="str">
        <f t="shared" si="128"/>
        <v>{"couname":"","img":"0","pty":"","artist":"","genres":"","duration":"","spotId":"","Items":["-SADNE-","-SLOWSS-","OTHR","OTHR","XT_OffAnimals"]},</v>
      </c>
      <c r="AA1368" s="5" t="s">
        <v>5</v>
      </c>
      <c r="AB1368" s="3" t="str">
        <f t="shared" si="129"/>
        <v>["-SADNE-","-SLOWSS-","OTHR","OTHR","XT_OffAnimals"]</v>
      </c>
      <c r="AC1368" s="3">
        <f>_xlfn.XLOOKUP(A1368,Album!A:A,Album!J:J)</f>
        <v>0</v>
      </c>
      <c r="AD1368" s="3">
        <f>_xlfn.XLOOKUP(D1368,Artists!A:A,Artists!B:B)</f>
        <v>0</v>
      </c>
      <c r="AE1368" s="3">
        <f>_xlfn.XLOOKUP(D1368,Artists!A:A,Artists!C:C)</f>
        <v>0</v>
      </c>
      <c r="AF1368" s="3" t="str">
        <f t="shared" si="130"/>
        <v>OTHR</v>
      </c>
      <c r="AG1368" s="3" t="str">
        <f t="shared" si="131"/>
        <v>OTHR</v>
      </c>
    </row>
    <row r="1369" spans="24:33" x14ac:dyDescent="0.3">
      <c r="X1369" s="3" t="str">
        <f t="shared" si="126"/>
        <v>-SADNE-</v>
      </c>
      <c r="Y1369" s="3" t="str">
        <f t="shared" si="127"/>
        <v>-SLOWSS-</v>
      </c>
      <c r="Z1369" s="4" t="str">
        <f t="shared" si="128"/>
        <v>{"couname":"","img":"0","pty":"","artist":"","genres":"","duration":"","spotId":"","Items":["-SADNE-","-SLOWSS-","OTHR","OTHR","XT_OffAnimals"]},</v>
      </c>
      <c r="AA1369" s="5" t="s">
        <v>5</v>
      </c>
      <c r="AB1369" s="3" t="str">
        <f t="shared" si="129"/>
        <v>["-SADNE-","-SLOWSS-","OTHR","OTHR","XT_OffAnimals"]</v>
      </c>
      <c r="AC1369" s="3">
        <f>_xlfn.XLOOKUP(A1369,Album!A:A,Album!J:J)</f>
        <v>0</v>
      </c>
      <c r="AD1369" s="3">
        <f>_xlfn.XLOOKUP(D1369,Artists!A:A,Artists!B:B)</f>
        <v>0</v>
      </c>
      <c r="AE1369" s="3">
        <f>_xlfn.XLOOKUP(D1369,Artists!A:A,Artists!C:C)</f>
        <v>0</v>
      </c>
      <c r="AF1369" s="3" t="str">
        <f t="shared" si="130"/>
        <v>OTHR</v>
      </c>
      <c r="AG1369" s="3" t="str">
        <f t="shared" si="131"/>
        <v>OTHR</v>
      </c>
    </row>
    <row r="1370" spans="24:33" x14ac:dyDescent="0.3">
      <c r="X1370" s="3" t="str">
        <f t="shared" si="126"/>
        <v>-SADNE-</v>
      </c>
      <c r="Y1370" s="3" t="str">
        <f t="shared" si="127"/>
        <v>-SLOWSS-</v>
      </c>
      <c r="Z1370" s="4" t="str">
        <f t="shared" si="128"/>
        <v>{"couname":"","img":"0","pty":"","artist":"","genres":"","duration":"","spotId":"","Items":["-SADNE-","-SLOWSS-","OTHR","OTHR","XT_OffAnimals"]},</v>
      </c>
      <c r="AA1370" s="5" t="s">
        <v>5</v>
      </c>
      <c r="AB1370" s="3" t="str">
        <f t="shared" si="129"/>
        <v>["-SADNE-","-SLOWSS-","OTHR","OTHR","XT_OffAnimals"]</v>
      </c>
      <c r="AC1370" s="3">
        <f>_xlfn.XLOOKUP(A1370,Album!A:A,Album!J:J)</f>
        <v>0</v>
      </c>
      <c r="AD1370" s="3">
        <f>_xlfn.XLOOKUP(D1370,Artists!A:A,Artists!B:B)</f>
        <v>0</v>
      </c>
      <c r="AE1370" s="3">
        <f>_xlfn.XLOOKUP(D1370,Artists!A:A,Artists!C:C)</f>
        <v>0</v>
      </c>
      <c r="AF1370" s="3" t="str">
        <f t="shared" si="130"/>
        <v>OTHR</v>
      </c>
      <c r="AG1370" s="3" t="str">
        <f t="shared" si="131"/>
        <v>OTHR</v>
      </c>
    </row>
    <row r="1371" spans="24:33" x14ac:dyDescent="0.3">
      <c r="X1371" s="3" t="str">
        <f t="shared" si="126"/>
        <v>-SADNE-</v>
      </c>
      <c r="Y1371" s="3" t="str">
        <f t="shared" si="127"/>
        <v>-SLOWSS-</v>
      </c>
      <c r="Z1371" s="4" t="str">
        <f t="shared" si="128"/>
        <v>{"couname":"","img":"0","pty":"","artist":"","genres":"","duration":"","spotId":"","Items":["-SADNE-","-SLOWSS-","OTHR","OTHR","XT_OffAnimals"]},</v>
      </c>
      <c r="AA1371" s="5" t="s">
        <v>5</v>
      </c>
      <c r="AB1371" s="3" t="str">
        <f t="shared" si="129"/>
        <v>["-SADNE-","-SLOWSS-","OTHR","OTHR","XT_OffAnimals"]</v>
      </c>
      <c r="AC1371" s="3">
        <f>_xlfn.XLOOKUP(A1371,Album!A:A,Album!J:J)</f>
        <v>0</v>
      </c>
      <c r="AD1371" s="3">
        <f>_xlfn.XLOOKUP(D1371,Artists!A:A,Artists!B:B)</f>
        <v>0</v>
      </c>
      <c r="AE1371" s="3">
        <f>_xlfn.XLOOKUP(D1371,Artists!A:A,Artists!C:C)</f>
        <v>0</v>
      </c>
      <c r="AF1371" s="3" t="str">
        <f t="shared" si="130"/>
        <v>OTHR</v>
      </c>
      <c r="AG1371" s="3" t="str">
        <f t="shared" si="131"/>
        <v>OTHR</v>
      </c>
    </row>
    <row r="1372" spans="24:33" x14ac:dyDescent="0.3">
      <c r="X1372" s="3" t="str">
        <f t="shared" si="126"/>
        <v>-SADNE-</v>
      </c>
      <c r="Y1372" s="3" t="str">
        <f t="shared" si="127"/>
        <v>-SLOWSS-</v>
      </c>
      <c r="Z1372" s="4" t="str">
        <f t="shared" si="128"/>
        <v>{"couname":"","img":"0","pty":"","artist":"","genres":"","duration":"","spotId":"","Items":["-SADNE-","-SLOWSS-","OTHR","OTHR","XT_OffAnimals"]},</v>
      </c>
      <c r="AA1372" s="5" t="s">
        <v>5</v>
      </c>
      <c r="AB1372" s="3" t="str">
        <f t="shared" si="129"/>
        <v>["-SADNE-","-SLOWSS-","OTHR","OTHR","XT_OffAnimals"]</v>
      </c>
      <c r="AC1372" s="3">
        <f>_xlfn.XLOOKUP(A1372,Album!A:A,Album!J:J)</f>
        <v>0</v>
      </c>
      <c r="AD1372" s="3">
        <f>_xlfn.XLOOKUP(D1372,Artists!A:A,Artists!B:B)</f>
        <v>0</v>
      </c>
      <c r="AE1372" s="3">
        <f>_xlfn.XLOOKUP(D1372,Artists!A:A,Artists!C:C)</f>
        <v>0</v>
      </c>
      <c r="AF1372" s="3" t="str">
        <f t="shared" si="130"/>
        <v>OTHR</v>
      </c>
      <c r="AG1372" s="3" t="str">
        <f t="shared" si="131"/>
        <v>OTHR</v>
      </c>
    </row>
    <row r="1373" spans="24:33" x14ac:dyDescent="0.3">
      <c r="X1373" s="3" t="str">
        <f t="shared" si="126"/>
        <v>-SADNE-</v>
      </c>
      <c r="Y1373" s="3" t="str">
        <f t="shared" si="127"/>
        <v>-SLOWSS-</v>
      </c>
      <c r="Z1373" s="4" t="str">
        <f t="shared" si="128"/>
        <v>{"couname":"","img":"0","pty":"","artist":"","genres":"","duration":"","spotId":"","Items":["-SADNE-","-SLOWSS-","OTHR","OTHR","XT_OffAnimals"]},</v>
      </c>
      <c r="AA1373" s="5" t="s">
        <v>5</v>
      </c>
      <c r="AB1373" s="3" t="str">
        <f t="shared" si="129"/>
        <v>["-SADNE-","-SLOWSS-","OTHR","OTHR","XT_OffAnimals"]</v>
      </c>
      <c r="AC1373" s="3">
        <f>_xlfn.XLOOKUP(A1373,Album!A:A,Album!J:J)</f>
        <v>0</v>
      </c>
      <c r="AD1373" s="3">
        <f>_xlfn.XLOOKUP(D1373,Artists!A:A,Artists!B:B)</f>
        <v>0</v>
      </c>
      <c r="AE1373" s="3">
        <f>_xlfn.XLOOKUP(D1373,Artists!A:A,Artists!C:C)</f>
        <v>0</v>
      </c>
      <c r="AF1373" s="3" t="str">
        <f t="shared" si="130"/>
        <v>OTHR</v>
      </c>
      <c r="AG1373" s="3" t="str">
        <f t="shared" si="131"/>
        <v>OTHR</v>
      </c>
    </row>
    <row r="1374" spans="24:33" x14ac:dyDescent="0.3">
      <c r="X1374" s="3" t="str">
        <f t="shared" si="126"/>
        <v>-SADNE-</v>
      </c>
      <c r="Y1374" s="3" t="str">
        <f t="shared" si="127"/>
        <v>-SLOWSS-</v>
      </c>
      <c r="Z1374" s="4" t="str">
        <f t="shared" si="128"/>
        <v>{"couname":"","img":"0","pty":"","artist":"","genres":"","duration":"","spotId":"","Items":["-SADNE-","-SLOWSS-","OTHR","OTHR","XT_OffAnimals"]},</v>
      </c>
      <c r="AA1374" s="5" t="s">
        <v>5</v>
      </c>
      <c r="AB1374" s="3" t="str">
        <f t="shared" si="129"/>
        <v>["-SADNE-","-SLOWSS-","OTHR","OTHR","XT_OffAnimals"]</v>
      </c>
      <c r="AC1374" s="3">
        <f>_xlfn.XLOOKUP(A1374,Album!A:A,Album!J:J)</f>
        <v>0</v>
      </c>
      <c r="AD1374" s="3">
        <f>_xlfn.XLOOKUP(D1374,Artists!A:A,Artists!B:B)</f>
        <v>0</v>
      </c>
      <c r="AE1374" s="3">
        <f>_xlfn.XLOOKUP(D1374,Artists!A:A,Artists!C:C)</f>
        <v>0</v>
      </c>
      <c r="AF1374" s="3" t="str">
        <f t="shared" si="130"/>
        <v>OTHR</v>
      </c>
      <c r="AG1374" s="3" t="str">
        <f t="shared" si="131"/>
        <v>OTHR</v>
      </c>
    </row>
    <row r="1375" spans="24:33" x14ac:dyDescent="0.3">
      <c r="X1375" s="3" t="str">
        <f t="shared" si="126"/>
        <v>-SADNE-</v>
      </c>
      <c r="Y1375" s="3" t="str">
        <f t="shared" si="127"/>
        <v>-SLOWSS-</v>
      </c>
      <c r="Z1375" s="4" t="str">
        <f t="shared" si="128"/>
        <v>{"couname":"","img":"0","pty":"","artist":"","genres":"","duration":"","spotId":"","Items":["-SADNE-","-SLOWSS-","OTHR","OTHR","XT_OffAnimals"]},</v>
      </c>
      <c r="AA1375" s="5" t="s">
        <v>5</v>
      </c>
      <c r="AB1375" s="3" t="str">
        <f t="shared" si="129"/>
        <v>["-SADNE-","-SLOWSS-","OTHR","OTHR","XT_OffAnimals"]</v>
      </c>
      <c r="AC1375" s="3">
        <f>_xlfn.XLOOKUP(A1375,Album!A:A,Album!J:J)</f>
        <v>0</v>
      </c>
      <c r="AD1375" s="3">
        <f>_xlfn.XLOOKUP(D1375,Artists!A:A,Artists!B:B)</f>
        <v>0</v>
      </c>
      <c r="AE1375" s="3">
        <f>_xlfn.XLOOKUP(D1375,Artists!A:A,Artists!C:C)</f>
        <v>0</v>
      </c>
      <c r="AF1375" s="3" t="str">
        <f t="shared" si="130"/>
        <v>OTHR</v>
      </c>
      <c r="AG1375" s="3" t="str">
        <f t="shared" si="131"/>
        <v>OTHR</v>
      </c>
    </row>
    <row r="1376" spans="24:33" x14ac:dyDescent="0.3">
      <c r="X1376" s="3" t="str">
        <f t="shared" si="126"/>
        <v>-SADNE-</v>
      </c>
      <c r="Y1376" s="3" t="str">
        <f t="shared" si="127"/>
        <v>-SLOWSS-</v>
      </c>
      <c r="Z1376" s="4" t="str">
        <f t="shared" si="128"/>
        <v>{"couname":"","img":"0","pty":"","artist":"","genres":"","duration":"","spotId":"","Items":["-SADNE-","-SLOWSS-","OTHR","OTHR","XT_OffAnimals"]},</v>
      </c>
      <c r="AA1376" s="5" t="s">
        <v>5</v>
      </c>
      <c r="AB1376" s="3" t="str">
        <f t="shared" si="129"/>
        <v>["-SADNE-","-SLOWSS-","OTHR","OTHR","XT_OffAnimals"]</v>
      </c>
      <c r="AC1376" s="3">
        <f>_xlfn.XLOOKUP(A1376,Album!A:A,Album!J:J)</f>
        <v>0</v>
      </c>
      <c r="AD1376" s="3">
        <f>_xlfn.XLOOKUP(D1376,Artists!A:A,Artists!B:B)</f>
        <v>0</v>
      </c>
      <c r="AE1376" s="3">
        <f>_xlfn.XLOOKUP(D1376,Artists!A:A,Artists!C:C)</f>
        <v>0</v>
      </c>
      <c r="AF1376" s="3" t="str">
        <f t="shared" si="130"/>
        <v>OTHR</v>
      </c>
      <c r="AG1376" s="3" t="str">
        <f t="shared" si="131"/>
        <v>OTHR</v>
      </c>
    </row>
    <row r="1377" spans="24:33" x14ac:dyDescent="0.3">
      <c r="X1377" s="3" t="str">
        <f t="shared" si="126"/>
        <v>-SADNE-</v>
      </c>
      <c r="Y1377" s="3" t="str">
        <f t="shared" si="127"/>
        <v>-SLOWSS-</v>
      </c>
      <c r="Z1377" s="4" t="str">
        <f t="shared" si="128"/>
        <v>{"couname":"","img":"0","pty":"","artist":"","genres":"","duration":"","spotId":"","Items":["-SADNE-","-SLOWSS-","OTHR","OTHR","XT_OffAnimals"]},</v>
      </c>
      <c r="AA1377" s="5" t="s">
        <v>5</v>
      </c>
      <c r="AB1377" s="3" t="str">
        <f t="shared" si="129"/>
        <v>["-SADNE-","-SLOWSS-","OTHR","OTHR","XT_OffAnimals"]</v>
      </c>
      <c r="AC1377" s="3">
        <f>_xlfn.XLOOKUP(A1377,Album!A:A,Album!J:J)</f>
        <v>0</v>
      </c>
      <c r="AD1377" s="3">
        <f>_xlfn.XLOOKUP(D1377,Artists!A:A,Artists!B:B)</f>
        <v>0</v>
      </c>
      <c r="AE1377" s="3">
        <f>_xlfn.XLOOKUP(D1377,Artists!A:A,Artists!C:C)</f>
        <v>0</v>
      </c>
      <c r="AF1377" s="3" t="str">
        <f t="shared" si="130"/>
        <v>OTHR</v>
      </c>
      <c r="AG1377" s="3" t="str">
        <f t="shared" si="131"/>
        <v>OTHR</v>
      </c>
    </row>
    <row r="1378" spans="24:33" x14ac:dyDescent="0.3">
      <c r="X1378" s="3" t="str">
        <f t="shared" si="126"/>
        <v>-SADNE-</v>
      </c>
      <c r="Y1378" s="3" t="str">
        <f t="shared" si="127"/>
        <v>-SLOWSS-</v>
      </c>
      <c r="Z1378" s="4" t="str">
        <f t="shared" si="128"/>
        <v>{"couname":"","img":"0","pty":"","artist":"","genres":"","duration":"","spotId":"","Items":["-SADNE-","-SLOWSS-","OTHR","OTHR","XT_OffAnimals"]},</v>
      </c>
      <c r="AA1378" s="5" t="s">
        <v>5</v>
      </c>
      <c r="AB1378" s="3" t="str">
        <f t="shared" si="129"/>
        <v>["-SADNE-","-SLOWSS-","OTHR","OTHR","XT_OffAnimals"]</v>
      </c>
      <c r="AC1378" s="3">
        <f>_xlfn.XLOOKUP(A1378,Album!A:A,Album!J:J)</f>
        <v>0</v>
      </c>
      <c r="AD1378" s="3">
        <f>_xlfn.XLOOKUP(D1378,Artists!A:A,Artists!B:B)</f>
        <v>0</v>
      </c>
      <c r="AE1378" s="3">
        <f>_xlfn.XLOOKUP(D1378,Artists!A:A,Artists!C:C)</f>
        <v>0</v>
      </c>
      <c r="AF1378" s="3" t="str">
        <f t="shared" si="130"/>
        <v>OTHR</v>
      </c>
      <c r="AG1378" s="3" t="str">
        <f t="shared" si="131"/>
        <v>OTHR</v>
      </c>
    </row>
    <row r="1379" spans="24:33" x14ac:dyDescent="0.3">
      <c r="X1379" s="3" t="str">
        <f t="shared" si="126"/>
        <v>-SADNE-</v>
      </c>
      <c r="Y1379" s="3" t="str">
        <f t="shared" si="127"/>
        <v>-SLOWSS-</v>
      </c>
      <c r="Z1379" s="4" t="str">
        <f t="shared" si="128"/>
        <v>{"couname":"","img":"0","pty":"","artist":"","genres":"","duration":"","spotId":"","Items":["-SADNE-","-SLOWSS-","OTHR","OTHR","XT_OffAnimals"]},</v>
      </c>
      <c r="AA1379" s="5" t="s">
        <v>5</v>
      </c>
      <c r="AB1379" s="3" t="str">
        <f t="shared" si="129"/>
        <v>["-SADNE-","-SLOWSS-","OTHR","OTHR","XT_OffAnimals"]</v>
      </c>
      <c r="AC1379" s="3">
        <f>_xlfn.XLOOKUP(A1379,Album!A:A,Album!J:J)</f>
        <v>0</v>
      </c>
      <c r="AD1379" s="3">
        <f>_xlfn.XLOOKUP(D1379,Artists!A:A,Artists!B:B)</f>
        <v>0</v>
      </c>
      <c r="AE1379" s="3">
        <f>_xlfn.XLOOKUP(D1379,Artists!A:A,Artists!C:C)</f>
        <v>0</v>
      </c>
      <c r="AF1379" s="3" t="str">
        <f t="shared" si="130"/>
        <v>OTHR</v>
      </c>
      <c r="AG1379" s="3" t="str">
        <f t="shared" si="131"/>
        <v>OTHR</v>
      </c>
    </row>
    <row r="1380" spans="24:33" x14ac:dyDescent="0.3">
      <c r="X1380" s="3" t="str">
        <f t="shared" si="126"/>
        <v>-SADNE-</v>
      </c>
      <c r="Y1380" s="3" t="str">
        <f t="shared" si="127"/>
        <v>-SLOWSS-</v>
      </c>
      <c r="Z1380" s="4" t="str">
        <f t="shared" si="128"/>
        <v>{"couname":"","img":"0","pty":"","artist":"","genres":"","duration":"","spotId":"","Items":["-SADNE-","-SLOWSS-","OTHR","OTHR","XT_OffAnimals"]},</v>
      </c>
      <c r="AA1380" s="5" t="s">
        <v>5</v>
      </c>
      <c r="AB1380" s="3" t="str">
        <f t="shared" si="129"/>
        <v>["-SADNE-","-SLOWSS-","OTHR","OTHR","XT_OffAnimals"]</v>
      </c>
      <c r="AC1380" s="3">
        <f>_xlfn.XLOOKUP(A1380,Album!A:A,Album!J:J)</f>
        <v>0</v>
      </c>
      <c r="AD1380" s="3">
        <f>_xlfn.XLOOKUP(D1380,Artists!A:A,Artists!B:B)</f>
        <v>0</v>
      </c>
      <c r="AE1380" s="3">
        <f>_xlfn.XLOOKUP(D1380,Artists!A:A,Artists!C:C)</f>
        <v>0</v>
      </c>
      <c r="AF1380" s="3" t="str">
        <f t="shared" si="130"/>
        <v>OTHR</v>
      </c>
      <c r="AG1380" s="3" t="str">
        <f t="shared" si="131"/>
        <v>OTHR</v>
      </c>
    </row>
    <row r="1381" spans="24:33" x14ac:dyDescent="0.3">
      <c r="X1381" s="3" t="str">
        <f t="shared" si="126"/>
        <v>-SADNE-</v>
      </c>
      <c r="Y1381" s="3" t="str">
        <f t="shared" si="127"/>
        <v>-SLOWSS-</v>
      </c>
      <c r="Z1381" s="4" t="str">
        <f t="shared" si="128"/>
        <v>{"couname":"","img":"0","pty":"","artist":"","genres":"","duration":"","spotId":"","Items":["-SADNE-","-SLOWSS-","OTHR","OTHR","XT_OffAnimals"]},</v>
      </c>
      <c r="AA1381" s="5" t="s">
        <v>5</v>
      </c>
      <c r="AB1381" s="3" t="str">
        <f t="shared" si="129"/>
        <v>["-SADNE-","-SLOWSS-","OTHR","OTHR","XT_OffAnimals"]</v>
      </c>
      <c r="AC1381" s="3">
        <f>_xlfn.XLOOKUP(A1381,Album!A:A,Album!J:J)</f>
        <v>0</v>
      </c>
      <c r="AD1381" s="3">
        <f>_xlfn.XLOOKUP(D1381,Artists!A:A,Artists!B:B)</f>
        <v>0</v>
      </c>
      <c r="AE1381" s="3">
        <f>_xlfn.XLOOKUP(D1381,Artists!A:A,Artists!C:C)</f>
        <v>0</v>
      </c>
      <c r="AF1381" s="3" t="str">
        <f t="shared" si="130"/>
        <v>OTHR</v>
      </c>
      <c r="AG1381" s="3" t="str">
        <f t="shared" si="131"/>
        <v>OTHR</v>
      </c>
    </row>
    <row r="1382" spans="24:33" x14ac:dyDescent="0.3">
      <c r="X1382" s="3" t="str">
        <f t="shared" si="126"/>
        <v>-SADNE-</v>
      </c>
      <c r="Y1382" s="3" t="str">
        <f t="shared" si="127"/>
        <v>-SLOWSS-</v>
      </c>
      <c r="Z1382" s="4" t="str">
        <f t="shared" si="128"/>
        <v>{"couname":"","img":"0","pty":"","artist":"","genres":"","duration":"","spotId":"","Items":["-SADNE-","-SLOWSS-","OTHR","OTHR","XT_OffAnimals"]},</v>
      </c>
      <c r="AA1382" s="5" t="s">
        <v>5</v>
      </c>
      <c r="AB1382" s="3" t="str">
        <f t="shared" si="129"/>
        <v>["-SADNE-","-SLOWSS-","OTHR","OTHR","XT_OffAnimals"]</v>
      </c>
      <c r="AC1382" s="3">
        <f>_xlfn.XLOOKUP(A1382,Album!A:A,Album!J:J)</f>
        <v>0</v>
      </c>
      <c r="AD1382" s="3">
        <f>_xlfn.XLOOKUP(D1382,Artists!A:A,Artists!B:B)</f>
        <v>0</v>
      </c>
      <c r="AE1382" s="3">
        <f>_xlfn.XLOOKUP(D1382,Artists!A:A,Artists!C:C)</f>
        <v>0</v>
      </c>
      <c r="AF1382" s="3" t="str">
        <f t="shared" si="130"/>
        <v>OTHR</v>
      </c>
      <c r="AG1382" s="3" t="str">
        <f t="shared" si="131"/>
        <v>OTHR</v>
      </c>
    </row>
    <row r="1383" spans="24:33" x14ac:dyDescent="0.3">
      <c r="X1383" s="3" t="str">
        <f t="shared" si="126"/>
        <v>-SADNE-</v>
      </c>
      <c r="Y1383" s="3" t="str">
        <f t="shared" si="127"/>
        <v>-SLOWSS-</v>
      </c>
      <c r="Z1383" s="4" t="str">
        <f t="shared" si="128"/>
        <v>{"couname":"","img":"0","pty":"","artist":"","genres":"","duration":"","spotId":"","Items":["-SADNE-","-SLOWSS-","OTHR","OTHR","XT_OffAnimals"]},</v>
      </c>
      <c r="AA1383" s="5" t="s">
        <v>5</v>
      </c>
      <c r="AB1383" s="3" t="str">
        <f t="shared" si="129"/>
        <v>["-SADNE-","-SLOWSS-","OTHR","OTHR","XT_OffAnimals"]</v>
      </c>
      <c r="AC1383" s="3">
        <f>_xlfn.XLOOKUP(A1383,Album!A:A,Album!J:J)</f>
        <v>0</v>
      </c>
      <c r="AD1383" s="3">
        <f>_xlfn.XLOOKUP(D1383,Artists!A:A,Artists!B:B)</f>
        <v>0</v>
      </c>
      <c r="AE1383" s="3">
        <f>_xlfn.XLOOKUP(D1383,Artists!A:A,Artists!C:C)</f>
        <v>0</v>
      </c>
      <c r="AF1383" s="3" t="str">
        <f t="shared" si="130"/>
        <v>OTHR</v>
      </c>
      <c r="AG1383" s="3" t="str">
        <f t="shared" si="131"/>
        <v>OTHR</v>
      </c>
    </row>
    <row r="1384" spans="24:33" x14ac:dyDescent="0.3">
      <c r="X1384" s="3" t="str">
        <f t="shared" si="126"/>
        <v>-SADNE-</v>
      </c>
      <c r="Y1384" s="3" t="str">
        <f t="shared" si="127"/>
        <v>-SLOWSS-</v>
      </c>
      <c r="Z1384" s="4" t="str">
        <f t="shared" si="128"/>
        <v>{"couname":"","img":"0","pty":"","artist":"","genres":"","duration":"","spotId":"","Items":["-SADNE-","-SLOWSS-","OTHR","OTHR","XT_OffAnimals"]},</v>
      </c>
      <c r="AA1384" s="5" t="s">
        <v>5</v>
      </c>
      <c r="AB1384" s="3" t="str">
        <f t="shared" si="129"/>
        <v>["-SADNE-","-SLOWSS-","OTHR","OTHR","XT_OffAnimals"]</v>
      </c>
      <c r="AC1384" s="3">
        <f>_xlfn.XLOOKUP(A1384,Album!A:A,Album!J:J)</f>
        <v>0</v>
      </c>
      <c r="AD1384" s="3">
        <f>_xlfn.XLOOKUP(D1384,Artists!A:A,Artists!B:B)</f>
        <v>0</v>
      </c>
      <c r="AE1384" s="3">
        <f>_xlfn.XLOOKUP(D1384,Artists!A:A,Artists!C:C)</f>
        <v>0</v>
      </c>
      <c r="AF1384" s="3" t="str">
        <f t="shared" si="130"/>
        <v>OTHR</v>
      </c>
      <c r="AG1384" s="3" t="str">
        <f t="shared" si="131"/>
        <v>OTHR</v>
      </c>
    </row>
    <row r="1385" spans="24:33" x14ac:dyDescent="0.3">
      <c r="X1385" s="3" t="str">
        <f t="shared" si="126"/>
        <v>-SADNE-</v>
      </c>
      <c r="Y1385" s="3" t="str">
        <f t="shared" si="127"/>
        <v>-SLOWSS-</v>
      </c>
      <c r="Z1385" s="4" t="str">
        <f t="shared" si="128"/>
        <v>{"couname":"","img":"0","pty":"","artist":"","genres":"","duration":"","spotId":"","Items":["-SADNE-","-SLOWSS-","OTHR","OTHR","XT_OffAnimals"]},</v>
      </c>
      <c r="AA1385" s="5" t="s">
        <v>5</v>
      </c>
      <c r="AB1385" s="3" t="str">
        <f t="shared" si="129"/>
        <v>["-SADNE-","-SLOWSS-","OTHR","OTHR","XT_OffAnimals"]</v>
      </c>
      <c r="AC1385" s="3">
        <f>_xlfn.XLOOKUP(A1385,Album!A:A,Album!J:J)</f>
        <v>0</v>
      </c>
      <c r="AD1385" s="3">
        <f>_xlfn.XLOOKUP(D1385,Artists!A:A,Artists!B:B)</f>
        <v>0</v>
      </c>
      <c r="AE1385" s="3">
        <f>_xlfn.XLOOKUP(D1385,Artists!A:A,Artists!C:C)</f>
        <v>0</v>
      </c>
      <c r="AF1385" s="3" t="str">
        <f t="shared" si="130"/>
        <v>OTHR</v>
      </c>
      <c r="AG1385" s="3" t="str">
        <f t="shared" si="131"/>
        <v>OTHR</v>
      </c>
    </row>
    <row r="1386" spans="24:33" x14ac:dyDescent="0.3">
      <c r="X1386" s="3" t="str">
        <f t="shared" si="126"/>
        <v>-SADNE-</v>
      </c>
      <c r="Y1386" s="3" t="str">
        <f t="shared" si="127"/>
        <v>-SLOWSS-</v>
      </c>
      <c r="Z1386" s="4" t="str">
        <f t="shared" si="128"/>
        <v>{"couname":"","img":"0","pty":"","artist":"","genres":"","duration":"","spotId":"","Items":["-SADNE-","-SLOWSS-","OTHR","OTHR","XT_OffAnimals"]},</v>
      </c>
      <c r="AA1386" s="5" t="s">
        <v>5</v>
      </c>
      <c r="AB1386" s="3" t="str">
        <f t="shared" si="129"/>
        <v>["-SADNE-","-SLOWSS-","OTHR","OTHR","XT_OffAnimals"]</v>
      </c>
      <c r="AC1386" s="3">
        <f>_xlfn.XLOOKUP(A1386,Album!A:A,Album!J:J)</f>
        <v>0</v>
      </c>
      <c r="AD1386" s="3">
        <f>_xlfn.XLOOKUP(D1386,Artists!A:A,Artists!B:B)</f>
        <v>0</v>
      </c>
      <c r="AE1386" s="3">
        <f>_xlfn.XLOOKUP(D1386,Artists!A:A,Artists!C:C)</f>
        <v>0</v>
      </c>
      <c r="AF1386" s="3" t="str">
        <f t="shared" si="130"/>
        <v>OTHR</v>
      </c>
      <c r="AG1386" s="3" t="str">
        <f t="shared" si="131"/>
        <v>OTHR</v>
      </c>
    </row>
    <row r="1387" spans="24:33" x14ac:dyDescent="0.3">
      <c r="X1387" s="3" t="str">
        <f t="shared" si="126"/>
        <v>-SADNE-</v>
      </c>
      <c r="Y1387" s="3" t="str">
        <f t="shared" si="127"/>
        <v>-SLOWSS-</v>
      </c>
      <c r="Z1387" s="4" t="str">
        <f t="shared" si="128"/>
        <v>{"couname":"","img":"0","pty":"","artist":"","genres":"","duration":"","spotId":"","Items":["-SADNE-","-SLOWSS-","OTHR","OTHR","XT_OffAnimals"]},</v>
      </c>
      <c r="AA1387" s="5" t="s">
        <v>5</v>
      </c>
      <c r="AB1387" s="3" t="str">
        <f t="shared" si="129"/>
        <v>["-SADNE-","-SLOWSS-","OTHR","OTHR","XT_OffAnimals"]</v>
      </c>
      <c r="AC1387" s="3">
        <f>_xlfn.XLOOKUP(A1387,Album!A:A,Album!J:J)</f>
        <v>0</v>
      </c>
      <c r="AD1387" s="3">
        <f>_xlfn.XLOOKUP(D1387,Artists!A:A,Artists!B:B)</f>
        <v>0</v>
      </c>
      <c r="AE1387" s="3">
        <f>_xlfn.XLOOKUP(D1387,Artists!A:A,Artists!C:C)</f>
        <v>0</v>
      </c>
      <c r="AF1387" s="3" t="str">
        <f t="shared" si="130"/>
        <v>OTHR</v>
      </c>
      <c r="AG1387" s="3" t="str">
        <f t="shared" si="131"/>
        <v>OTHR</v>
      </c>
    </row>
    <row r="1388" spans="24:33" x14ac:dyDescent="0.3">
      <c r="X1388" s="3" t="str">
        <f t="shared" si="126"/>
        <v>-SADNE-</v>
      </c>
      <c r="Y1388" s="3" t="str">
        <f t="shared" si="127"/>
        <v>-SLOWSS-</v>
      </c>
      <c r="Z1388" s="4" t="str">
        <f t="shared" si="128"/>
        <v>{"couname":"","img":"0","pty":"","artist":"","genres":"","duration":"","spotId":"","Items":["-SADNE-","-SLOWSS-","OTHR","OTHR","XT_OffAnimals"]},</v>
      </c>
      <c r="AA1388" s="5" t="s">
        <v>5</v>
      </c>
      <c r="AB1388" s="3" t="str">
        <f t="shared" si="129"/>
        <v>["-SADNE-","-SLOWSS-","OTHR","OTHR","XT_OffAnimals"]</v>
      </c>
      <c r="AC1388" s="3">
        <f>_xlfn.XLOOKUP(A1388,Album!A:A,Album!J:J)</f>
        <v>0</v>
      </c>
      <c r="AD1388" s="3">
        <f>_xlfn.XLOOKUP(D1388,Artists!A:A,Artists!B:B)</f>
        <v>0</v>
      </c>
      <c r="AE1388" s="3">
        <f>_xlfn.XLOOKUP(D1388,Artists!A:A,Artists!C:C)</f>
        <v>0</v>
      </c>
      <c r="AF1388" s="3" t="str">
        <f t="shared" si="130"/>
        <v>OTHR</v>
      </c>
      <c r="AG1388" s="3" t="str">
        <f t="shared" si="131"/>
        <v>OTHR</v>
      </c>
    </row>
    <row r="1389" spans="24:33" x14ac:dyDescent="0.3">
      <c r="X1389" s="3" t="str">
        <f t="shared" si="126"/>
        <v>-SADNE-</v>
      </c>
      <c r="Y1389" s="3" t="str">
        <f t="shared" si="127"/>
        <v>-SLOWSS-</v>
      </c>
      <c r="Z1389" s="4" t="str">
        <f t="shared" si="128"/>
        <v>{"couname":"","img":"0","pty":"","artist":"","genres":"","duration":"","spotId":"","Items":["-SADNE-","-SLOWSS-","OTHR","OTHR","XT_OffAnimals"]},</v>
      </c>
      <c r="AA1389" s="5" t="s">
        <v>5</v>
      </c>
      <c r="AB1389" s="3" t="str">
        <f t="shared" si="129"/>
        <v>["-SADNE-","-SLOWSS-","OTHR","OTHR","XT_OffAnimals"]</v>
      </c>
      <c r="AC1389" s="3">
        <f>_xlfn.XLOOKUP(A1389,Album!A:A,Album!J:J)</f>
        <v>0</v>
      </c>
      <c r="AD1389" s="3">
        <f>_xlfn.XLOOKUP(D1389,Artists!A:A,Artists!B:B)</f>
        <v>0</v>
      </c>
      <c r="AE1389" s="3">
        <f>_xlfn.XLOOKUP(D1389,Artists!A:A,Artists!C:C)</f>
        <v>0</v>
      </c>
      <c r="AF1389" s="3" t="str">
        <f t="shared" si="130"/>
        <v>OTHR</v>
      </c>
      <c r="AG1389" s="3" t="str">
        <f t="shared" si="131"/>
        <v>OTHR</v>
      </c>
    </row>
    <row r="1390" spans="24:33" x14ac:dyDescent="0.3">
      <c r="X1390" s="3" t="str">
        <f t="shared" si="126"/>
        <v>-SADNE-</v>
      </c>
      <c r="Y1390" s="3" t="str">
        <f t="shared" si="127"/>
        <v>-SLOWSS-</v>
      </c>
      <c r="Z1390" s="4" t="str">
        <f t="shared" si="128"/>
        <v>{"couname":"","img":"0","pty":"","artist":"","genres":"","duration":"","spotId":"","Items":["-SADNE-","-SLOWSS-","OTHR","OTHR","XT_OffAnimals"]},</v>
      </c>
      <c r="AA1390" s="5" t="s">
        <v>5</v>
      </c>
      <c r="AB1390" s="3" t="str">
        <f t="shared" si="129"/>
        <v>["-SADNE-","-SLOWSS-","OTHR","OTHR","XT_OffAnimals"]</v>
      </c>
      <c r="AC1390" s="3">
        <f>_xlfn.XLOOKUP(A1390,Album!A:A,Album!J:J)</f>
        <v>0</v>
      </c>
      <c r="AD1390" s="3">
        <f>_xlfn.XLOOKUP(D1390,Artists!A:A,Artists!B:B)</f>
        <v>0</v>
      </c>
      <c r="AE1390" s="3">
        <f>_xlfn.XLOOKUP(D1390,Artists!A:A,Artists!C:C)</f>
        <v>0</v>
      </c>
      <c r="AF1390" s="3" t="str">
        <f t="shared" si="130"/>
        <v>OTHR</v>
      </c>
      <c r="AG1390" s="3" t="str">
        <f t="shared" si="131"/>
        <v>OTHR</v>
      </c>
    </row>
    <row r="1391" spans="24:33" x14ac:dyDescent="0.3">
      <c r="X1391" s="3" t="str">
        <f t="shared" si="126"/>
        <v>-SADNE-</v>
      </c>
      <c r="Y1391" s="3" t="str">
        <f t="shared" si="127"/>
        <v>-SLOWSS-</v>
      </c>
      <c r="Z1391" s="4" t="str">
        <f t="shared" si="128"/>
        <v>{"couname":"","img":"0","pty":"","artist":"","genres":"","duration":"","spotId":"","Items":["-SADNE-","-SLOWSS-","OTHR","OTHR","XT_OffAnimals"]},</v>
      </c>
      <c r="AA1391" s="5" t="s">
        <v>5</v>
      </c>
      <c r="AB1391" s="3" t="str">
        <f t="shared" si="129"/>
        <v>["-SADNE-","-SLOWSS-","OTHR","OTHR","XT_OffAnimals"]</v>
      </c>
      <c r="AC1391" s="3">
        <f>_xlfn.XLOOKUP(A1391,Album!A:A,Album!J:J)</f>
        <v>0</v>
      </c>
      <c r="AD1391" s="3">
        <f>_xlfn.XLOOKUP(D1391,Artists!A:A,Artists!B:B)</f>
        <v>0</v>
      </c>
      <c r="AE1391" s="3">
        <f>_xlfn.XLOOKUP(D1391,Artists!A:A,Artists!C:C)</f>
        <v>0</v>
      </c>
      <c r="AF1391" s="3" t="str">
        <f t="shared" si="130"/>
        <v>OTHR</v>
      </c>
      <c r="AG1391" s="3" t="str">
        <f t="shared" si="131"/>
        <v>OTHR</v>
      </c>
    </row>
    <row r="1392" spans="24:33" x14ac:dyDescent="0.3">
      <c r="X1392" s="3" t="str">
        <f t="shared" si="126"/>
        <v>-SADNE-</v>
      </c>
      <c r="Y1392" s="3" t="str">
        <f t="shared" si="127"/>
        <v>-SLOWSS-</v>
      </c>
      <c r="Z1392" s="4" t="str">
        <f t="shared" si="128"/>
        <v>{"couname":"","img":"0","pty":"","artist":"","genres":"","duration":"","spotId":"","Items":["-SADNE-","-SLOWSS-","OTHR","OTHR","XT_OffAnimals"]},</v>
      </c>
      <c r="AA1392" s="5" t="s">
        <v>5</v>
      </c>
      <c r="AB1392" s="3" t="str">
        <f t="shared" si="129"/>
        <v>["-SADNE-","-SLOWSS-","OTHR","OTHR","XT_OffAnimals"]</v>
      </c>
      <c r="AC1392" s="3">
        <f>_xlfn.XLOOKUP(A1392,Album!A:A,Album!J:J)</f>
        <v>0</v>
      </c>
      <c r="AD1392" s="3">
        <f>_xlfn.XLOOKUP(D1392,Artists!A:A,Artists!B:B)</f>
        <v>0</v>
      </c>
      <c r="AE1392" s="3">
        <f>_xlfn.XLOOKUP(D1392,Artists!A:A,Artists!C:C)</f>
        <v>0</v>
      </c>
      <c r="AF1392" s="3" t="str">
        <f t="shared" si="130"/>
        <v>OTHR</v>
      </c>
      <c r="AG1392" s="3" t="str">
        <f t="shared" si="131"/>
        <v>OTHR</v>
      </c>
    </row>
    <row r="1393" spans="24:33" x14ac:dyDescent="0.3">
      <c r="X1393" s="3" t="str">
        <f t="shared" si="126"/>
        <v>-SADNE-</v>
      </c>
      <c r="Y1393" s="3" t="str">
        <f t="shared" si="127"/>
        <v>-SLOWSS-</v>
      </c>
      <c r="Z1393" s="4" t="str">
        <f t="shared" si="128"/>
        <v>{"couname":"","img":"0","pty":"","artist":"","genres":"","duration":"","spotId":"","Items":["-SADNE-","-SLOWSS-","OTHR","OTHR","XT_OffAnimals"]},</v>
      </c>
      <c r="AA1393" s="5" t="s">
        <v>5</v>
      </c>
      <c r="AB1393" s="3" t="str">
        <f t="shared" si="129"/>
        <v>["-SADNE-","-SLOWSS-","OTHR","OTHR","XT_OffAnimals"]</v>
      </c>
      <c r="AC1393" s="3">
        <f>_xlfn.XLOOKUP(A1393,Album!A:A,Album!J:J)</f>
        <v>0</v>
      </c>
      <c r="AD1393" s="3">
        <f>_xlfn.XLOOKUP(D1393,Artists!A:A,Artists!B:B)</f>
        <v>0</v>
      </c>
      <c r="AE1393" s="3">
        <f>_xlfn.XLOOKUP(D1393,Artists!A:A,Artists!C:C)</f>
        <v>0</v>
      </c>
      <c r="AF1393" s="3" t="str">
        <f t="shared" si="130"/>
        <v>OTHR</v>
      </c>
      <c r="AG1393" s="3" t="str">
        <f t="shared" si="131"/>
        <v>OTHR</v>
      </c>
    </row>
    <row r="1394" spans="24:33" x14ac:dyDescent="0.3">
      <c r="X1394" s="3" t="str">
        <f t="shared" si="126"/>
        <v>-SADNE-</v>
      </c>
      <c r="Y1394" s="3" t="str">
        <f t="shared" si="127"/>
        <v>-SLOWSS-</v>
      </c>
      <c r="Z1394" s="4" t="str">
        <f t="shared" si="128"/>
        <v>{"couname":"","img":"0","pty":"","artist":"","genres":"","duration":"","spotId":"","Items":["-SADNE-","-SLOWSS-","OTHR","OTHR","XT_OffAnimals"]},</v>
      </c>
      <c r="AA1394" s="5" t="s">
        <v>5</v>
      </c>
      <c r="AB1394" s="3" t="str">
        <f t="shared" si="129"/>
        <v>["-SADNE-","-SLOWSS-","OTHR","OTHR","XT_OffAnimals"]</v>
      </c>
      <c r="AC1394" s="3">
        <f>_xlfn.XLOOKUP(A1394,Album!A:A,Album!J:J)</f>
        <v>0</v>
      </c>
      <c r="AD1394" s="3">
        <f>_xlfn.XLOOKUP(D1394,Artists!A:A,Artists!B:B)</f>
        <v>0</v>
      </c>
      <c r="AE1394" s="3">
        <f>_xlfn.XLOOKUP(D1394,Artists!A:A,Artists!C:C)</f>
        <v>0</v>
      </c>
      <c r="AF1394" s="3" t="str">
        <f t="shared" si="130"/>
        <v>OTHR</v>
      </c>
      <c r="AG1394" s="3" t="str">
        <f t="shared" si="131"/>
        <v>OTHR</v>
      </c>
    </row>
    <row r="1395" spans="24:33" x14ac:dyDescent="0.3">
      <c r="X1395" s="3" t="str">
        <f t="shared" si="126"/>
        <v>-SADNE-</v>
      </c>
      <c r="Y1395" s="3" t="str">
        <f t="shared" si="127"/>
        <v>-SLOWSS-</v>
      </c>
      <c r="Z1395" s="4" t="str">
        <f t="shared" si="128"/>
        <v>{"couname":"","img":"0","pty":"","artist":"","genres":"","duration":"","spotId":"","Items":["-SADNE-","-SLOWSS-","OTHR","OTHR","XT_OffAnimals"]},</v>
      </c>
      <c r="AA1395" s="5" t="s">
        <v>5</v>
      </c>
      <c r="AB1395" s="3" t="str">
        <f t="shared" si="129"/>
        <v>["-SADNE-","-SLOWSS-","OTHR","OTHR","XT_OffAnimals"]</v>
      </c>
      <c r="AC1395" s="3">
        <f>_xlfn.XLOOKUP(A1395,Album!A:A,Album!J:J)</f>
        <v>0</v>
      </c>
      <c r="AD1395" s="3">
        <f>_xlfn.XLOOKUP(D1395,Artists!A:A,Artists!B:B)</f>
        <v>0</v>
      </c>
      <c r="AE1395" s="3">
        <f>_xlfn.XLOOKUP(D1395,Artists!A:A,Artists!C:C)</f>
        <v>0</v>
      </c>
      <c r="AF1395" s="3" t="str">
        <f t="shared" si="130"/>
        <v>OTHR</v>
      </c>
      <c r="AG1395" s="3" t="str">
        <f t="shared" si="131"/>
        <v>OTHR</v>
      </c>
    </row>
    <row r="1396" spans="24:33" x14ac:dyDescent="0.3">
      <c r="X1396" s="3" t="str">
        <f t="shared" si="126"/>
        <v>-SADNE-</v>
      </c>
      <c r="Y1396" s="3" t="str">
        <f t="shared" si="127"/>
        <v>-SLOWSS-</v>
      </c>
      <c r="Z1396" s="4" t="str">
        <f t="shared" si="128"/>
        <v>{"couname":"","img":"0","pty":"","artist":"","genres":"","duration":"","spotId":"","Items":["-SADNE-","-SLOWSS-","OTHR","OTHR","XT_OffAnimals"]},</v>
      </c>
      <c r="AA1396" s="5" t="s">
        <v>5</v>
      </c>
      <c r="AB1396" s="3" t="str">
        <f t="shared" si="129"/>
        <v>["-SADNE-","-SLOWSS-","OTHR","OTHR","XT_OffAnimals"]</v>
      </c>
      <c r="AC1396" s="3">
        <f>_xlfn.XLOOKUP(A1396,Album!A:A,Album!J:J)</f>
        <v>0</v>
      </c>
      <c r="AD1396" s="3">
        <f>_xlfn.XLOOKUP(D1396,Artists!A:A,Artists!B:B)</f>
        <v>0</v>
      </c>
      <c r="AE1396" s="3">
        <f>_xlfn.XLOOKUP(D1396,Artists!A:A,Artists!C:C)</f>
        <v>0</v>
      </c>
      <c r="AF1396" s="3" t="str">
        <f t="shared" si="130"/>
        <v>OTHR</v>
      </c>
      <c r="AG1396" s="3" t="str">
        <f t="shared" si="131"/>
        <v>OTHR</v>
      </c>
    </row>
    <row r="1397" spans="24:33" x14ac:dyDescent="0.3">
      <c r="X1397" s="3" t="str">
        <f t="shared" si="126"/>
        <v>-SADNE-</v>
      </c>
      <c r="Y1397" s="3" t="str">
        <f t="shared" si="127"/>
        <v>-SLOWSS-</v>
      </c>
      <c r="Z1397" s="4" t="str">
        <f t="shared" si="128"/>
        <v>{"couname":"","img":"0","pty":"","artist":"","genres":"","duration":"","spotId":"","Items":["-SADNE-","-SLOWSS-","OTHR","OTHR","XT_OffAnimals"]},</v>
      </c>
      <c r="AA1397" s="5" t="s">
        <v>5</v>
      </c>
      <c r="AB1397" s="3" t="str">
        <f t="shared" si="129"/>
        <v>["-SADNE-","-SLOWSS-","OTHR","OTHR","XT_OffAnimals"]</v>
      </c>
      <c r="AC1397" s="3">
        <f>_xlfn.XLOOKUP(A1397,Album!A:A,Album!J:J)</f>
        <v>0</v>
      </c>
      <c r="AD1397" s="3">
        <f>_xlfn.XLOOKUP(D1397,Artists!A:A,Artists!B:B)</f>
        <v>0</v>
      </c>
      <c r="AE1397" s="3">
        <f>_xlfn.XLOOKUP(D1397,Artists!A:A,Artists!C:C)</f>
        <v>0</v>
      </c>
      <c r="AF1397" s="3" t="str">
        <f t="shared" si="130"/>
        <v>OTHR</v>
      </c>
      <c r="AG1397" s="3" t="str">
        <f t="shared" si="131"/>
        <v>OTHR</v>
      </c>
    </row>
    <row r="1398" spans="24:33" x14ac:dyDescent="0.3">
      <c r="X1398" s="3" t="str">
        <f t="shared" si="126"/>
        <v>-SADNE-</v>
      </c>
      <c r="Y1398" s="3" t="str">
        <f t="shared" si="127"/>
        <v>-SLOWSS-</v>
      </c>
      <c r="Z1398" s="4" t="str">
        <f t="shared" si="128"/>
        <v>{"couname":"","img":"0","pty":"","artist":"","genres":"","duration":"","spotId":"","Items":["-SADNE-","-SLOWSS-","OTHR","OTHR","XT_OffAnimals"]},</v>
      </c>
      <c r="AA1398" s="5" t="s">
        <v>5</v>
      </c>
      <c r="AB1398" s="3" t="str">
        <f t="shared" si="129"/>
        <v>["-SADNE-","-SLOWSS-","OTHR","OTHR","XT_OffAnimals"]</v>
      </c>
      <c r="AC1398" s="3">
        <f>_xlfn.XLOOKUP(A1398,Album!A:A,Album!J:J)</f>
        <v>0</v>
      </c>
      <c r="AD1398" s="3">
        <f>_xlfn.XLOOKUP(D1398,Artists!A:A,Artists!B:B)</f>
        <v>0</v>
      </c>
      <c r="AE1398" s="3">
        <f>_xlfn.XLOOKUP(D1398,Artists!A:A,Artists!C:C)</f>
        <v>0</v>
      </c>
      <c r="AF1398" s="3" t="str">
        <f t="shared" si="130"/>
        <v>OTHR</v>
      </c>
      <c r="AG1398" s="3" t="str">
        <f t="shared" si="131"/>
        <v>OTHR</v>
      </c>
    </row>
    <row r="1399" spans="24:33" x14ac:dyDescent="0.3">
      <c r="X1399" s="3" t="str">
        <f t="shared" si="126"/>
        <v>-SADNE-</v>
      </c>
      <c r="Y1399" s="3" t="str">
        <f t="shared" si="127"/>
        <v>-SLOWSS-</v>
      </c>
      <c r="Z1399" s="4" t="str">
        <f t="shared" si="128"/>
        <v>{"couname":"","img":"0","pty":"","artist":"","genres":"","duration":"","spotId":"","Items":["-SADNE-","-SLOWSS-","OTHR","OTHR","XT_OffAnimals"]},</v>
      </c>
      <c r="AA1399" s="5" t="s">
        <v>5</v>
      </c>
      <c r="AB1399" s="3" t="str">
        <f t="shared" si="129"/>
        <v>["-SADNE-","-SLOWSS-","OTHR","OTHR","XT_OffAnimals"]</v>
      </c>
      <c r="AC1399" s="3">
        <f>_xlfn.XLOOKUP(A1399,Album!A:A,Album!J:J)</f>
        <v>0</v>
      </c>
      <c r="AD1399" s="3">
        <f>_xlfn.XLOOKUP(D1399,Artists!A:A,Artists!B:B)</f>
        <v>0</v>
      </c>
      <c r="AE1399" s="3">
        <f>_xlfn.XLOOKUP(D1399,Artists!A:A,Artists!C:C)</f>
        <v>0</v>
      </c>
      <c r="AF1399" s="3" t="str">
        <f t="shared" si="130"/>
        <v>OTHR</v>
      </c>
      <c r="AG1399" s="3" t="str">
        <f t="shared" si="131"/>
        <v>OTHR</v>
      </c>
    </row>
    <row r="1400" spans="24:33" x14ac:dyDescent="0.3">
      <c r="X1400" s="3" t="str">
        <f t="shared" si="126"/>
        <v>-SADNE-</v>
      </c>
      <c r="Y1400" s="3" t="str">
        <f t="shared" si="127"/>
        <v>-SLOWSS-</v>
      </c>
      <c r="Z1400" s="4" t="str">
        <f t="shared" si="128"/>
        <v>{"couname":"","img":"0","pty":"","artist":"","genres":"","duration":"","spotId":"","Items":["-SADNE-","-SLOWSS-","OTHR","OTHR","XT_OffAnimals"]},</v>
      </c>
      <c r="AA1400" s="5" t="s">
        <v>5</v>
      </c>
      <c r="AB1400" s="3" t="str">
        <f t="shared" si="129"/>
        <v>["-SADNE-","-SLOWSS-","OTHR","OTHR","XT_OffAnimals"]</v>
      </c>
      <c r="AC1400" s="3">
        <f>_xlfn.XLOOKUP(A1400,Album!A:A,Album!J:J)</f>
        <v>0</v>
      </c>
      <c r="AD1400" s="3">
        <f>_xlfn.XLOOKUP(D1400,Artists!A:A,Artists!B:B)</f>
        <v>0</v>
      </c>
      <c r="AE1400" s="3">
        <f>_xlfn.XLOOKUP(D1400,Artists!A:A,Artists!C:C)</f>
        <v>0</v>
      </c>
      <c r="AF1400" s="3" t="str">
        <f t="shared" si="130"/>
        <v>OTHR</v>
      </c>
      <c r="AG1400" s="3" t="str">
        <f t="shared" si="131"/>
        <v>OTHR</v>
      </c>
    </row>
    <row r="1401" spans="24:33" x14ac:dyDescent="0.3">
      <c r="X1401" s="3" t="str">
        <f t="shared" si="126"/>
        <v>-SADNE-</v>
      </c>
      <c r="Y1401" s="3" t="str">
        <f t="shared" si="127"/>
        <v>-SLOWSS-</v>
      </c>
      <c r="Z1401" s="4" t="str">
        <f t="shared" si="128"/>
        <v>{"couname":"","img":"0","pty":"","artist":"","genres":"","duration":"","spotId":"","Items":["-SADNE-","-SLOWSS-","OTHR","OTHR","XT_OffAnimals"]},</v>
      </c>
      <c r="AA1401" s="5" t="s">
        <v>5</v>
      </c>
      <c r="AB1401" s="3" t="str">
        <f t="shared" si="129"/>
        <v>["-SADNE-","-SLOWSS-","OTHR","OTHR","XT_OffAnimals"]</v>
      </c>
      <c r="AC1401" s="3">
        <f>_xlfn.XLOOKUP(A1401,Album!A:A,Album!J:J)</f>
        <v>0</v>
      </c>
      <c r="AD1401" s="3">
        <f>_xlfn.XLOOKUP(D1401,Artists!A:A,Artists!B:B)</f>
        <v>0</v>
      </c>
      <c r="AE1401" s="3">
        <f>_xlfn.XLOOKUP(D1401,Artists!A:A,Artists!C:C)</f>
        <v>0</v>
      </c>
      <c r="AF1401" s="3" t="str">
        <f t="shared" si="130"/>
        <v>OTHR</v>
      </c>
      <c r="AG1401" s="3" t="str">
        <f t="shared" si="131"/>
        <v>OTHR</v>
      </c>
    </row>
    <row r="1402" spans="24:33" x14ac:dyDescent="0.3">
      <c r="X1402" s="3" t="str">
        <f t="shared" si="126"/>
        <v>-SADNE-</v>
      </c>
      <c r="Y1402" s="3" t="str">
        <f t="shared" si="127"/>
        <v>-SLOWSS-</v>
      </c>
      <c r="Z1402" s="4" t="str">
        <f t="shared" si="128"/>
        <v>{"couname":"","img":"0","pty":"","artist":"","genres":"","duration":"","spotId":"","Items":["-SADNE-","-SLOWSS-","OTHR","OTHR","XT_OffAnimals"]},</v>
      </c>
      <c r="AA1402" s="5" t="s">
        <v>5</v>
      </c>
      <c r="AB1402" s="3" t="str">
        <f t="shared" si="129"/>
        <v>["-SADNE-","-SLOWSS-","OTHR","OTHR","XT_OffAnimals"]</v>
      </c>
      <c r="AC1402" s="3">
        <f>_xlfn.XLOOKUP(A1402,Album!A:A,Album!J:J)</f>
        <v>0</v>
      </c>
      <c r="AD1402" s="3">
        <f>_xlfn.XLOOKUP(D1402,Artists!A:A,Artists!B:B)</f>
        <v>0</v>
      </c>
      <c r="AE1402" s="3">
        <f>_xlfn.XLOOKUP(D1402,Artists!A:A,Artists!C:C)</f>
        <v>0</v>
      </c>
      <c r="AF1402" s="3" t="str">
        <f t="shared" si="130"/>
        <v>OTHR</v>
      </c>
      <c r="AG1402" s="3" t="str">
        <f t="shared" si="131"/>
        <v>OTHR</v>
      </c>
    </row>
    <row r="1403" spans="24:33" x14ac:dyDescent="0.3">
      <c r="X1403" s="3" t="str">
        <f t="shared" si="126"/>
        <v>-SADNE-</v>
      </c>
      <c r="Y1403" s="3" t="str">
        <f t="shared" si="127"/>
        <v>-SLOWSS-</v>
      </c>
      <c r="Z1403" s="4" t="str">
        <f t="shared" si="128"/>
        <v>{"couname":"","img":"0","pty":"","artist":"","genres":"","duration":"","spotId":"","Items":["-SADNE-","-SLOWSS-","OTHR","OTHR","XT_OffAnimals"]},</v>
      </c>
      <c r="AA1403" s="5" t="s">
        <v>5</v>
      </c>
      <c r="AB1403" s="3" t="str">
        <f t="shared" si="129"/>
        <v>["-SADNE-","-SLOWSS-","OTHR","OTHR","XT_OffAnimals"]</v>
      </c>
      <c r="AC1403" s="3">
        <f>_xlfn.XLOOKUP(A1403,Album!A:A,Album!J:J)</f>
        <v>0</v>
      </c>
      <c r="AD1403" s="3">
        <f>_xlfn.XLOOKUP(D1403,Artists!A:A,Artists!B:B)</f>
        <v>0</v>
      </c>
      <c r="AE1403" s="3">
        <f>_xlfn.XLOOKUP(D1403,Artists!A:A,Artists!C:C)</f>
        <v>0</v>
      </c>
      <c r="AF1403" s="3" t="str">
        <f t="shared" si="130"/>
        <v>OTHR</v>
      </c>
      <c r="AG1403" s="3" t="str">
        <f t="shared" si="131"/>
        <v>OTHR</v>
      </c>
    </row>
    <row r="1404" spans="24:33" x14ac:dyDescent="0.3">
      <c r="X1404" s="3" t="str">
        <f t="shared" si="126"/>
        <v>-SADNE-</v>
      </c>
      <c r="Y1404" s="3" t="str">
        <f t="shared" si="127"/>
        <v>-SLOWSS-</v>
      </c>
      <c r="Z1404" s="4" t="str">
        <f t="shared" si="128"/>
        <v>{"couname":"","img":"0","pty":"","artist":"","genres":"","duration":"","spotId":"","Items":["-SADNE-","-SLOWSS-","OTHR","OTHR","XT_OffAnimals"]},</v>
      </c>
      <c r="AA1404" s="5" t="s">
        <v>5</v>
      </c>
      <c r="AB1404" s="3" t="str">
        <f t="shared" si="129"/>
        <v>["-SADNE-","-SLOWSS-","OTHR","OTHR","XT_OffAnimals"]</v>
      </c>
      <c r="AC1404" s="3">
        <f>_xlfn.XLOOKUP(A1404,Album!A:A,Album!J:J)</f>
        <v>0</v>
      </c>
      <c r="AD1404" s="3">
        <f>_xlfn.XLOOKUP(D1404,Artists!A:A,Artists!B:B)</f>
        <v>0</v>
      </c>
      <c r="AE1404" s="3">
        <f>_xlfn.XLOOKUP(D1404,Artists!A:A,Artists!C:C)</f>
        <v>0</v>
      </c>
      <c r="AF1404" s="3" t="str">
        <f t="shared" si="130"/>
        <v>OTHR</v>
      </c>
      <c r="AG1404" s="3" t="str">
        <f t="shared" si="131"/>
        <v>OTHR</v>
      </c>
    </row>
    <row r="1405" spans="24:33" x14ac:dyDescent="0.3">
      <c r="X1405" s="3" t="str">
        <f t="shared" si="126"/>
        <v>-SADNE-</v>
      </c>
      <c r="Y1405" s="3" t="str">
        <f t="shared" si="127"/>
        <v>-SLOWSS-</v>
      </c>
      <c r="Z1405" s="4" t="str">
        <f t="shared" si="128"/>
        <v>{"couname":"","img":"0","pty":"","artist":"","genres":"","duration":"","spotId":"","Items":["-SADNE-","-SLOWSS-","OTHR","OTHR","XT_OffAnimals"]},</v>
      </c>
      <c r="AA1405" s="5" t="s">
        <v>5</v>
      </c>
      <c r="AB1405" s="3" t="str">
        <f t="shared" si="129"/>
        <v>["-SADNE-","-SLOWSS-","OTHR","OTHR","XT_OffAnimals"]</v>
      </c>
      <c r="AC1405" s="3">
        <f>_xlfn.XLOOKUP(A1405,Album!A:A,Album!J:J)</f>
        <v>0</v>
      </c>
      <c r="AD1405" s="3">
        <f>_xlfn.XLOOKUP(D1405,Artists!A:A,Artists!B:B)</f>
        <v>0</v>
      </c>
      <c r="AE1405" s="3">
        <f>_xlfn.XLOOKUP(D1405,Artists!A:A,Artists!C:C)</f>
        <v>0</v>
      </c>
      <c r="AF1405" s="3" t="str">
        <f t="shared" si="130"/>
        <v>OTHR</v>
      </c>
      <c r="AG1405" s="3" t="str">
        <f t="shared" si="131"/>
        <v>OTHR</v>
      </c>
    </row>
    <row r="1406" spans="24:33" x14ac:dyDescent="0.3">
      <c r="X1406" s="3" t="str">
        <f t="shared" si="126"/>
        <v>-SADNE-</v>
      </c>
      <c r="Y1406" s="3" t="str">
        <f t="shared" si="127"/>
        <v>-SLOWSS-</v>
      </c>
      <c r="Z1406" s="4" t="str">
        <f t="shared" si="128"/>
        <v>{"couname":"","img":"0","pty":"","artist":"","genres":"","duration":"","spotId":"","Items":["-SADNE-","-SLOWSS-","OTHR","OTHR","XT_OffAnimals"]},</v>
      </c>
      <c r="AA1406" s="5" t="s">
        <v>5</v>
      </c>
      <c r="AB1406" s="3" t="str">
        <f t="shared" si="129"/>
        <v>["-SADNE-","-SLOWSS-","OTHR","OTHR","XT_OffAnimals"]</v>
      </c>
      <c r="AC1406" s="3">
        <f>_xlfn.XLOOKUP(A1406,Album!A:A,Album!J:J)</f>
        <v>0</v>
      </c>
      <c r="AD1406" s="3">
        <f>_xlfn.XLOOKUP(D1406,Artists!A:A,Artists!B:B)</f>
        <v>0</v>
      </c>
      <c r="AE1406" s="3">
        <f>_xlfn.XLOOKUP(D1406,Artists!A:A,Artists!C:C)</f>
        <v>0</v>
      </c>
      <c r="AF1406" s="3" t="str">
        <f t="shared" si="130"/>
        <v>OTHR</v>
      </c>
      <c r="AG1406" s="3" t="str">
        <f t="shared" si="131"/>
        <v>OTHR</v>
      </c>
    </row>
    <row r="1407" spans="24:33" x14ac:dyDescent="0.3">
      <c r="X1407" s="3" t="str">
        <f t="shared" si="126"/>
        <v>-SADNE-</v>
      </c>
      <c r="Y1407" s="3" t="str">
        <f t="shared" si="127"/>
        <v>-SLOWSS-</v>
      </c>
      <c r="Z1407" s="4" t="str">
        <f t="shared" si="128"/>
        <v>{"couname":"","img":"0","pty":"","artist":"","genres":"","duration":"","spotId":"","Items":["-SADNE-","-SLOWSS-","OTHR","OTHR","XT_OffAnimals"]},</v>
      </c>
      <c r="AA1407" s="5" t="s">
        <v>5</v>
      </c>
      <c r="AB1407" s="3" t="str">
        <f t="shared" si="129"/>
        <v>["-SADNE-","-SLOWSS-","OTHR","OTHR","XT_OffAnimals"]</v>
      </c>
      <c r="AC1407" s="3">
        <f>_xlfn.XLOOKUP(A1407,Album!A:A,Album!J:J)</f>
        <v>0</v>
      </c>
      <c r="AD1407" s="3">
        <f>_xlfn.XLOOKUP(D1407,Artists!A:A,Artists!B:B)</f>
        <v>0</v>
      </c>
      <c r="AE1407" s="3">
        <f>_xlfn.XLOOKUP(D1407,Artists!A:A,Artists!C:C)</f>
        <v>0</v>
      </c>
      <c r="AF1407" s="3" t="str">
        <f t="shared" si="130"/>
        <v>OTHR</v>
      </c>
      <c r="AG1407" s="3" t="str">
        <f t="shared" si="131"/>
        <v>OTHR</v>
      </c>
    </row>
    <row r="1408" spans="24:33" x14ac:dyDescent="0.3">
      <c r="X1408" s="3" t="str">
        <f t="shared" si="126"/>
        <v>-SADNE-</v>
      </c>
      <c r="Y1408" s="3" t="str">
        <f t="shared" si="127"/>
        <v>-SLOWSS-</v>
      </c>
      <c r="Z1408" s="4" t="str">
        <f t="shared" si="128"/>
        <v>{"couname":"","img":"0","pty":"","artist":"","genres":"","duration":"","spotId":"","Items":["-SADNE-","-SLOWSS-","OTHR","OTHR","XT_OffAnimals"]},</v>
      </c>
      <c r="AA1408" s="5" t="s">
        <v>5</v>
      </c>
      <c r="AB1408" s="3" t="str">
        <f t="shared" si="129"/>
        <v>["-SADNE-","-SLOWSS-","OTHR","OTHR","XT_OffAnimals"]</v>
      </c>
      <c r="AC1408" s="3">
        <f>_xlfn.XLOOKUP(A1408,Album!A:A,Album!J:J)</f>
        <v>0</v>
      </c>
      <c r="AD1408" s="3">
        <f>_xlfn.XLOOKUP(D1408,Artists!A:A,Artists!B:B)</f>
        <v>0</v>
      </c>
      <c r="AE1408" s="3">
        <f>_xlfn.XLOOKUP(D1408,Artists!A:A,Artists!C:C)</f>
        <v>0</v>
      </c>
      <c r="AF1408" s="3" t="str">
        <f t="shared" si="130"/>
        <v>OTHR</v>
      </c>
      <c r="AG1408" s="3" t="str">
        <f t="shared" si="131"/>
        <v>OTHR</v>
      </c>
    </row>
    <row r="1409" spans="24:33" x14ac:dyDescent="0.3">
      <c r="X1409" s="3" t="str">
        <f t="shared" si="126"/>
        <v>-SADNE-</v>
      </c>
      <c r="Y1409" s="3" t="str">
        <f t="shared" si="127"/>
        <v>-SLOWSS-</v>
      </c>
      <c r="Z1409" s="4" t="str">
        <f t="shared" si="128"/>
        <v>{"couname":"","img":"0","pty":"","artist":"","genres":"","duration":"","spotId":"","Items":["-SADNE-","-SLOWSS-","OTHR","OTHR","XT_OffAnimals"]},</v>
      </c>
      <c r="AA1409" s="5" t="s">
        <v>5</v>
      </c>
      <c r="AB1409" s="3" t="str">
        <f t="shared" si="129"/>
        <v>["-SADNE-","-SLOWSS-","OTHR","OTHR","XT_OffAnimals"]</v>
      </c>
      <c r="AC1409" s="3">
        <f>_xlfn.XLOOKUP(A1409,Album!A:A,Album!J:J)</f>
        <v>0</v>
      </c>
      <c r="AD1409" s="3">
        <f>_xlfn.XLOOKUP(D1409,Artists!A:A,Artists!B:B)</f>
        <v>0</v>
      </c>
      <c r="AE1409" s="3">
        <f>_xlfn.XLOOKUP(D1409,Artists!A:A,Artists!C:C)</f>
        <v>0</v>
      </c>
      <c r="AF1409" s="3" t="str">
        <f t="shared" si="130"/>
        <v>OTHR</v>
      </c>
      <c r="AG1409" s="3" t="str">
        <f t="shared" si="131"/>
        <v>OTHR</v>
      </c>
    </row>
    <row r="1410" spans="24:33" x14ac:dyDescent="0.3">
      <c r="X1410" s="3" t="str">
        <f t="shared" ref="X1410:X1443" si="132">IF(OR(U1410&lt;0.301, AND(U1410&lt;0.4, P1410=0)), "-SADNE-", "-HAPPY-")</f>
        <v>-SADNE-</v>
      </c>
      <c r="Y1410" s="3" t="str">
        <f t="shared" ref="Y1410:Y1443" si="133">IF(OR(AND(L1410&lt;0.5,M1410&lt;0.5),AND(L1410&lt;0.45,V1410&lt;100),AND(M1410&lt;0.45,V1410&lt;100),AND(U1410&lt;0.39,V1410&lt;100)),"-SLOWSS-","-ENERGY-")</f>
        <v>-SLOWSS-</v>
      </c>
      <c r="Z1410" s="4" t="str">
        <f t="shared" si="128"/>
        <v>{"couname":"","img":"0","pty":"","artist":"","genres":"","duration":"","spotId":"","Items":["-SADNE-","-SLOWSS-","OTHR","OTHR","XT_OffAnimals"]},</v>
      </c>
      <c r="AA1410" s="5" t="s">
        <v>5</v>
      </c>
      <c r="AB1410" s="3" t="str">
        <f t="shared" si="129"/>
        <v>["-SADNE-","-SLOWSS-","OTHR","OTHR","XT_OffAnimals"]</v>
      </c>
      <c r="AC1410" s="3">
        <f>_xlfn.XLOOKUP(A1410,Album!A:A,Album!J:J)</f>
        <v>0</v>
      </c>
      <c r="AD1410" s="3">
        <f>_xlfn.XLOOKUP(D1410,Artists!A:A,Artists!B:B)</f>
        <v>0</v>
      </c>
      <c r="AE1410" s="3">
        <f>_xlfn.XLOOKUP(D1410,Artists!A:A,Artists!C:C)</f>
        <v>0</v>
      </c>
      <c r="AF1410" s="3" t="str">
        <f t="shared" si="130"/>
        <v>OTHR</v>
      </c>
      <c r="AG1410" s="3" t="str">
        <f t="shared" si="131"/>
        <v>OTHR</v>
      </c>
    </row>
    <row r="1411" spans="24:33" x14ac:dyDescent="0.3">
      <c r="X1411" s="3" t="str">
        <f t="shared" si="132"/>
        <v>-SADNE-</v>
      </c>
      <c r="Y1411" s="3" t="str">
        <f t="shared" si="133"/>
        <v>-SLOWSS-</v>
      </c>
      <c r="Z1411" s="4" t="str">
        <f t="shared" ref="Z1411:Z1443" si="134">"{"&amp;CHAR(34)&amp;"couname"&amp;CHAR(34)&amp;":"&amp;CHAR(34)&amp;B1411&amp;CHAR(34)&amp;","&amp;CHAR(34)&amp;"img"&amp;CHAR(34)&amp;":"&amp;CHAR(34)&amp;AC1411&amp;CHAR(34)&amp;","&amp;CHAR(34)&amp;"pty"&amp;CHAR(34)&amp;":"&amp;CHAR(34)&amp;G1411&amp;CHAR(34)&amp;","&amp;CHAR(34)&amp;"artist"&amp;CHAR(34)&amp;":"&amp;CHAR(34)&amp;D1411&amp;CHAR(34)&amp;","&amp;CHAR(34)&amp;"genres"&amp;CHAR(34)&amp;":"&amp;CHAR(34)&amp;J1411&amp;CHAR(34)&amp;","&amp;CHAR(34)&amp;"duration"&amp;CHAR(34)&amp;":"&amp;CHAR(34)&amp;F1411&amp;CHAR(34)&amp;","&amp;CHAR(34)&amp;"spotId"&amp;CHAR(34)&amp;":"&amp;CHAR(34)&amp;A1411&amp;CHAR(34)&amp;","&amp;CHAR(34)&amp;"Items"&amp;CHAR(34)&amp;":"&amp;AB1411&amp;"},"</f>
        <v>{"couname":"","img":"0","pty":"","artist":"","genres":"","duration":"","spotId":"","Items":["-SADNE-","-SLOWSS-","OTHR","OTHR","XT_OffAnimals"]},</v>
      </c>
      <c r="AA1411" s="5" t="s">
        <v>5</v>
      </c>
      <c r="AB1411" s="3" t="str">
        <f t="shared" ref="AB1411:AB1443" si="135" xml:space="preserve"> "[" &amp; _xlfn.TEXTJOIN(",",TRUE,CHAR(34) &amp; X1411&amp; CHAR(34), CHAR(34) &amp; Y1411 &amp; CHAR(34),  CHAR(34) &amp; AF1411 &amp; CHAR(34), CHAR(34) &amp;AG1411 &amp; CHAR(34), CHAR(34) &amp; AA1411 &amp; CHAR(34)) &amp; "]"</f>
        <v>["-SADNE-","-SLOWSS-","OTHR","OTHR","XT_OffAnimals"]</v>
      </c>
      <c r="AC1411" s="3">
        <f>_xlfn.XLOOKUP(A1411,Album!A:A,Album!J:J)</f>
        <v>0</v>
      </c>
      <c r="AD1411" s="3">
        <f>_xlfn.XLOOKUP(D1411,Artists!A:A,Artists!B:B)</f>
        <v>0</v>
      </c>
      <c r="AE1411" s="3">
        <f>_xlfn.XLOOKUP(D1411,Artists!A:A,Artists!C:C)</f>
        <v>0</v>
      </c>
      <c r="AF1411" s="3" t="str">
        <f t="shared" ref="AF1411:AF1443" si="136">IF(ISNUMBER(SEARCH("female", AD1411)), "GIRL", IF(ISNUMBER(SEARCH("male", AD1411)), "DUDE", "OTHR"))</f>
        <v>OTHR</v>
      </c>
      <c r="AG1411" s="3" t="str">
        <f t="shared" ref="AG1411:AG1443" si="137">IF(ISNUMBER(SEARCH("band", AD1411)), "BAND", IF(ISNUMBER(SEARCH("solo", AD1411)), "SOLO", "OTHR"))</f>
        <v>OTHR</v>
      </c>
    </row>
    <row r="1412" spans="24:33" x14ac:dyDescent="0.3">
      <c r="X1412" s="3" t="str">
        <f t="shared" si="132"/>
        <v>-SADNE-</v>
      </c>
      <c r="Y1412" s="3" t="str">
        <f t="shared" si="133"/>
        <v>-SLOWSS-</v>
      </c>
      <c r="Z1412" s="4" t="str">
        <f t="shared" si="134"/>
        <v>{"couname":"","img":"0","pty":"","artist":"","genres":"","duration":"","spotId":"","Items":["-SADNE-","-SLOWSS-","OTHR","OTHR","XT_OffAnimals"]},</v>
      </c>
      <c r="AA1412" s="5" t="s">
        <v>5</v>
      </c>
      <c r="AB1412" s="3" t="str">
        <f t="shared" si="135"/>
        <v>["-SADNE-","-SLOWSS-","OTHR","OTHR","XT_OffAnimals"]</v>
      </c>
      <c r="AC1412" s="3">
        <f>_xlfn.XLOOKUP(A1412,Album!A:A,Album!J:J)</f>
        <v>0</v>
      </c>
      <c r="AD1412" s="3">
        <f>_xlfn.XLOOKUP(D1412,Artists!A:A,Artists!B:B)</f>
        <v>0</v>
      </c>
      <c r="AE1412" s="3">
        <f>_xlfn.XLOOKUP(D1412,Artists!A:A,Artists!C:C)</f>
        <v>0</v>
      </c>
      <c r="AF1412" s="3" t="str">
        <f t="shared" si="136"/>
        <v>OTHR</v>
      </c>
      <c r="AG1412" s="3" t="str">
        <f t="shared" si="137"/>
        <v>OTHR</v>
      </c>
    </row>
    <row r="1413" spans="24:33" x14ac:dyDescent="0.3">
      <c r="X1413" s="3" t="str">
        <f t="shared" si="132"/>
        <v>-SADNE-</v>
      </c>
      <c r="Y1413" s="3" t="str">
        <f t="shared" si="133"/>
        <v>-SLOWSS-</v>
      </c>
      <c r="Z1413" s="4" t="str">
        <f t="shared" si="134"/>
        <v>{"couname":"","img":"0","pty":"","artist":"","genres":"","duration":"","spotId":"","Items":["-SADNE-","-SLOWSS-","OTHR","OTHR","XT_OffAnimals"]},</v>
      </c>
      <c r="AA1413" s="5" t="s">
        <v>5</v>
      </c>
      <c r="AB1413" s="3" t="str">
        <f t="shared" si="135"/>
        <v>["-SADNE-","-SLOWSS-","OTHR","OTHR","XT_OffAnimals"]</v>
      </c>
      <c r="AC1413" s="3">
        <f>_xlfn.XLOOKUP(A1413,Album!A:A,Album!J:J)</f>
        <v>0</v>
      </c>
      <c r="AD1413" s="3">
        <f>_xlfn.XLOOKUP(D1413,Artists!A:A,Artists!B:B)</f>
        <v>0</v>
      </c>
      <c r="AE1413" s="3">
        <f>_xlfn.XLOOKUP(D1413,Artists!A:A,Artists!C:C)</f>
        <v>0</v>
      </c>
      <c r="AF1413" s="3" t="str">
        <f t="shared" si="136"/>
        <v>OTHR</v>
      </c>
      <c r="AG1413" s="3" t="str">
        <f t="shared" si="137"/>
        <v>OTHR</v>
      </c>
    </row>
    <row r="1414" spans="24:33" x14ac:dyDescent="0.3">
      <c r="X1414" s="3" t="str">
        <f t="shared" si="132"/>
        <v>-SADNE-</v>
      </c>
      <c r="Y1414" s="3" t="str">
        <f t="shared" si="133"/>
        <v>-SLOWSS-</v>
      </c>
      <c r="Z1414" s="4" t="str">
        <f t="shared" si="134"/>
        <v>{"couname":"","img":"0","pty":"","artist":"","genres":"","duration":"","spotId":"","Items":["-SADNE-","-SLOWSS-","OTHR","OTHR","XT_OffAnimals"]},</v>
      </c>
      <c r="AA1414" s="5" t="s">
        <v>5</v>
      </c>
      <c r="AB1414" s="3" t="str">
        <f t="shared" si="135"/>
        <v>["-SADNE-","-SLOWSS-","OTHR","OTHR","XT_OffAnimals"]</v>
      </c>
      <c r="AC1414" s="3">
        <f>_xlfn.XLOOKUP(A1414,Album!A:A,Album!J:J)</f>
        <v>0</v>
      </c>
      <c r="AD1414" s="3">
        <f>_xlfn.XLOOKUP(D1414,Artists!A:A,Artists!B:B)</f>
        <v>0</v>
      </c>
      <c r="AE1414" s="3">
        <f>_xlfn.XLOOKUP(D1414,Artists!A:A,Artists!C:C)</f>
        <v>0</v>
      </c>
      <c r="AF1414" s="3" t="str">
        <f t="shared" si="136"/>
        <v>OTHR</v>
      </c>
      <c r="AG1414" s="3" t="str">
        <f t="shared" si="137"/>
        <v>OTHR</v>
      </c>
    </row>
    <row r="1415" spans="24:33" x14ac:dyDescent="0.3">
      <c r="X1415" s="3" t="str">
        <f t="shared" si="132"/>
        <v>-SADNE-</v>
      </c>
      <c r="Y1415" s="3" t="str">
        <f t="shared" si="133"/>
        <v>-SLOWSS-</v>
      </c>
      <c r="Z1415" s="4" t="str">
        <f t="shared" si="134"/>
        <v>{"couname":"","img":"0","pty":"","artist":"","genres":"","duration":"","spotId":"","Items":["-SADNE-","-SLOWSS-","OTHR","OTHR","XT_OffAnimals"]},</v>
      </c>
      <c r="AA1415" s="5" t="s">
        <v>5</v>
      </c>
      <c r="AB1415" s="3" t="str">
        <f t="shared" si="135"/>
        <v>["-SADNE-","-SLOWSS-","OTHR","OTHR","XT_OffAnimals"]</v>
      </c>
      <c r="AC1415" s="3">
        <f>_xlfn.XLOOKUP(A1415,Album!A:A,Album!J:J)</f>
        <v>0</v>
      </c>
      <c r="AD1415" s="3">
        <f>_xlfn.XLOOKUP(D1415,Artists!A:A,Artists!B:B)</f>
        <v>0</v>
      </c>
      <c r="AE1415" s="3">
        <f>_xlfn.XLOOKUP(D1415,Artists!A:A,Artists!C:C)</f>
        <v>0</v>
      </c>
      <c r="AF1415" s="3" t="str">
        <f t="shared" si="136"/>
        <v>OTHR</v>
      </c>
      <c r="AG1415" s="3" t="str">
        <f t="shared" si="137"/>
        <v>OTHR</v>
      </c>
    </row>
    <row r="1416" spans="24:33" x14ac:dyDescent="0.3">
      <c r="X1416" s="3" t="str">
        <f t="shared" si="132"/>
        <v>-SADNE-</v>
      </c>
      <c r="Y1416" s="3" t="str">
        <f t="shared" si="133"/>
        <v>-SLOWSS-</v>
      </c>
      <c r="Z1416" s="4" t="str">
        <f t="shared" si="134"/>
        <v>{"couname":"","img":"0","pty":"","artist":"","genres":"","duration":"","spotId":"","Items":["-SADNE-","-SLOWSS-","OTHR","OTHR","XT_OffAnimals"]},</v>
      </c>
      <c r="AA1416" s="5" t="s">
        <v>5</v>
      </c>
      <c r="AB1416" s="3" t="str">
        <f t="shared" si="135"/>
        <v>["-SADNE-","-SLOWSS-","OTHR","OTHR","XT_OffAnimals"]</v>
      </c>
      <c r="AC1416" s="3">
        <f>_xlfn.XLOOKUP(A1416,Album!A:A,Album!J:J)</f>
        <v>0</v>
      </c>
      <c r="AD1416" s="3">
        <f>_xlfn.XLOOKUP(D1416,Artists!A:A,Artists!B:B)</f>
        <v>0</v>
      </c>
      <c r="AE1416" s="3">
        <f>_xlfn.XLOOKUP(D1416,Artists!A:A,Artists!C:C)</f>
        <v>0</v>
      </c>
      <c r="AF1416" s="3" t="str">
        <f t="shared" si="136"/>
        <v>OTHR</v>
      </c>
      <c r="AG1416" s="3" t="str">
        <f t="shared" si="137"/>
        <v>OTHR</v>
      </c>
    </row>
    <row r="1417" spans="24:33" x14ac:dyDescent="0.3">
      <c r="X1417" s="3" t="str">
        <f t="shared" si="132"/>
        <v>-SADNE-</v>
      </c>
      <c r="Y1417" s="3" t="str">
        <f t="shared" si="133"/>
        <v>-SLOWSS-</v>
      </c>
      <c r="Z1417" s="4" t="str">
        <f t="shared" si="134"/>
        <v>{"couname":"","img":"0","pty":"","artist":"","genres":"","duration":"","spotId":"","Items":["-SADNE-","-SLOWSS-","OTHR","OTHR","XT_OffAnimals"]},</v>
      </c>
      <c r="AA1417" s="5" t="s">
        <v>5</v>
      </c>
      <c r="AB1417" s="3" t="str">
        <f t="shared" si="135"/>
        <v>["-SADNE-","-SLOWSS-","OTHR","OTHR","XT_OffAnimals"]</v>
      </c>
      <c r="AC1417" s="3">
        <f>_xlfn.XLOOKUP(A1417,Album!A:A,Album!J:J)</f>
        <v>0</v>
      </c>
      <c r="AD1417" s="3">
        <f>_xlfn.XLOOKUP(D1417,Artists!A:A,Artists!B:B)</f>
        <v>0</v>
      </c>
      <c r="AE1417" s="3">
        <f>_xlfn.XLOOKUP(D1417,Artists!A:A,Artists!C:C)</f>
        <v>0</v>
      </c>
      <c r="AF1417" s="3" t="str">
        <f t="shared" si="136"/>
        <v>OTHR</v>
      </c>
      <c r="AG1417" s="3" t="str">
        <f t="shared" si="137"/>
        <v>OTHR</v>
      </c>
    </row>
    <row r="1418" spans="24:33" x14ac:dyDescent="0.3">
      <c r="X1418" s="3" t="str">
        <f t="shared" si="132"/>
        <v>-SADNE-</v>
      </c>
      <c r="Y1418" s="3" t="str">
        <f t="shared" si="133"/>
        <v>-SLOWSS-</v>
      </c>
      <c r="Z1418" s="4" t="str">
        <f t="shared" si="134"/>
        <v>{"couname":"","img":"0","pty":"","artist":"","genres":"","duration":"","spotId":"","Items":["-SADNE-","-SLOWSS-","OTHR","OTHR","XT_OffAnimals"]},</v>
      </c>
      <c r="AA1418" s="5" t="s">
        <v>5</v>
      </c>
      <c r="AB1418" s="3" t="str">
        <f t="shared" si="135"/>
        <v>["-SADNE-","-SLOWSS-","OTHR","OTHR","XT_OffAnimals"]</v>
      </c>
      <c r="AC1418" s="3">
        <f>_xlfn.XLOOKUP(A1418,Album!A:A,Album!J:J)</f>
        <v>0</v>
      </c>
      <c r="AD1418" s="3">
        <f>_xlfn.XLOOKUP(D1418,Artists!A:A,Artists!B:B)</f>
        <v>0</v>
      </c>
      <c r="AE1418" s="3">
        <f>_xlfn.XLOOKUP(D1418,Artists!A:A,Artists!C:C)</f>
        <v>0</v>
      </c>
      <c r="AF1418" s="3" t="str">
        <f t="shared" si="136"/>
        <v>OTHR</v>
      </c>
      <c r="AG1418" s="3" t="str">
        <f t="shared" si="137"/>
        <v>OTHR</v>
      </c>
    </row>
    <row r="1419" spans="24:33" x14ac:dyDescent="0.3">
      <c r="X1419" s="3" t="str">
        <f t="shared" si="132"/>
        <v>-SADNE-</v>
      </c>
      <c r="Y1419" s="3" t="str">
        <f t="shared" si="133"/>
        <v>-SLOWSS-</v>
      </c>
      <c r="Z1419" s="4" t="str">
        <f t="shared" si="134"/>
        <v>{"couname":"","img":"0","pty":"","artist":"","genres":"","duration":"","spotId":"","Items":["-SADNE-","-SLOWSS-","OTHR","OTHR","XT_OffAnimals"]},</v>
      </c>
      <c r="AA1419" s="5" t="s">
        <v>5</v>
      </c>
      <c r="AB1419" s="3" t="str">
        <f t="shared" si="135"/>
        <v>["-SADNE-","-SLOWSS-","OTHR","OTHR","XT_OffAnimals"]</v>
      </c>
      <c r="AC1419" s="3">
        <f>_xlfn.XLOOKUP(A1419,Album!A:A,Album!J:J)</f>
        <v>0</v>
      </c>
      <c r="AD1419" s="3">
        <f>_xlfn.XLOOKUP(D1419,Artists!A:A,Artists!B:B)</f>
        <v>0</v>
      </c>
      <c r="AE1419" s="3">
        <f>_xlfn.XLOOKUP(D1419,Artists!A:A,Artists!C:C)</f>
        <v>0</v>
      </c>
      <c r="AF1419" s="3" t="str">
        <f t="shared" si="136"/>
        <v>OTHR</v>
      </c>
      <c r="AG1419" s="3" t="str">
        <f t="shared" si="137"/>
        <v>OTHR</v>
      </c>
    </row>
    <row r="1420" spans="24:33" x14ac:dyDescent="0.3">
      <c r="X1420" s="3" t="str">
        <f t="shared" si="132"/>
        <v>-SADNE-</v>
      </c>
      <c r="Y1420" s="3" t="str">
        <f t="shared" si="133"/>
        <v>-SLOWSS-</v>
      </c>
      <c r="Z1420" s="4" t="str">
        <f t="shared" si="134"/>
        <v>{"couname":"","img":"0","pty":"","artist":"","genres":"","duration":"","spotId":"","Items":["-SADNE-","-SLOWSS-","OTHR","OTHR","XT_OffAnimals"]},</v>
      </c>
      <c r="AA1420" s="5" t="s">
        <v>5</v>
      </c>
      <c r="AB1420" s="3" t="str">
        <f t="shared" si="135"/>
        <v>["-SADNE-","-SLOWSS-","OTHR","OTHR","XT_OffAnimals"]</v>
      </c>
      <c r="AC1420" s="3">
        <f>_xlfn.XLOOKUP(A1420,Album!A:A,Album!J:J)</f>
        <v>0</v>
      </c>
      <c r="AD1420" s="3">
        <f>_xlfn.XLOOKUP(D1420,Artists!A:A,Artists!B:B)</f>
        <v>0</v>
      </c>
      <c r="AE1420" s="3">
        <f>_xlfn.XLOOKUP(D1420,Artists!A:A,Artists!C:C)</f>
        <v>0</v>
      </c>
      <c r="AF1420" s="3" t="str">
        <f t="shared" si="136"/>
        <v>OTHR</v>
      </c>
      <c r="AG1420" s="3" t="str">
        <f t="shared" si="137"/>
        <v>OTHR</v>
      </c>
    </row>
    <row r="1421" spans="24:33" x14ac:dyDescent="0.3">
      <c r="X1421" s="3" t="str">
        <f t="shared" si="132"/>
        <v>-SADNE-</v>
      </c>
      <c r="Y1421" s="3" t="str">
        <f t="shared" si="133"/>
        <v>-SLOWSS-</v>
      </c>
      <c r="Z1421" s="4" t="str">
        <f t="shared" si="134"/>
        <v>{"couname":"","img":"0","pty":"","artist":"","genres":"","duration":"","spotId":"","Items":["-SADNE-","-SLOWSS-","OTHR","OTHR","XT_OffAnimals"]},</v>
      </c>
      <c r="AA1421" s="5" t="s">
        <v>5</v>
      </c>
      <c r="AB1421" s="3" t="str">
        <f t="shared" si="135"/>
        <v>["-SADNE-","-SLOWSS-","OTHR","OTHR","XT_OffAnimals"]</v>
      </c>
      <c r="AC1421" s="3">
        <f>_xlfn.XLOOKUP(A1421,Album!A:A,Album!J:J)</f>
        <v>0</v>
      </c>
      <c r="AD1421" s="3">
        <f>_xlfn.XLOOKUP(D1421,Artists!A:A,Artists!B:B)</f>
        <v>0</v>
      </c>
      <c r="AE1421" s="3">
        <f>_xlfn.XLOOKUP(D1421,Artists!A:A,Artists!C:C)</f>
        <v>0</v>
      </c>
      <c r="AF1421" s="3" t="str">
        <f t="shared" si="136"/>
        <v>OTHR</v>
      </c>
      <c r="AG1421" s="3" t="str">
        <f t="shared" si="137"/>
        <v>OTHR</v>
      </c>
    </row>
    <row r="1422" spans="24:33" x14ac:dyDescent="0.3">
      <c r="X1422" s="3" t="str">
        <f t="shared" si="132"/>
        <v>-SADNE-</v>
      </c>
      <c r="Y1422" s="3" t="str">
        <f t="shared" si="133"/>
        <v>-SLOWSS-</v>
      </c>
      <c r="Z1422" s="4" t="str">
        <f t="shared" si="134"/>
        <v>{"couname":"","img":"0","pty":"","artist":"","genres":"","duration":"","spotId":"","Items":["-SADNE-","-SLOWSS-","OTHR","OTHR","XT_OffAnimals"]},</v>
      </c>
      <c r="AA1422" s="5" t="s">
        <v>5</v>
      </c>
      <c r="AB1422" s="3" t="str">
        <f t="shared" si="135"/>
        <v>["-SADNE-","-SLOWSS-","OTHR","OTHR","XT_OffAnimals"]</v>
      </c>
      <c r="AC1422" s="3">
        <f>_xlfn.XLOOKUP(A1422,Album!A:A,Album!J:J)</f>
        <v>0</v>
      </c>
      <c r="AD1422" s="3">
        <f>_xlfn.XLOOKUP(D1422,Artists!A:A,Artists!B:B)</f>
        <v>0</v>
      </c>
      <c r="AE1422" s="3">
        <f>_xlfn.XLOOKUP(D1422,Artists!A:A,Artists!C:C)</f>
        <v>0</v>
      </c>
      <c r="AF1422" s="3" t="str">
        <f t="shared" si="136"/>
        <v>OTHR</v>
      </c>
      <c r="AG1422" s="3" t="str">
        <f t="shared" si="137"/>
        <v>OTHR</v>
      </c>
    </row>
    <row r="1423" spans="24:33" x14ac:dyDescent="0.3">
      <c r="X1423" s="3" t="str">
        <f t="shared" si="132"/>
        <v>-SADNE-</v>
      </c>
      <c r="Y1423" s="3" t="str">
        <f t="shared" si="133"/>
        <v>-SLOWSS-</v>
      </c>
      <c r="Z1423" s="4" t="str">
        <f t="shared" si="134"/>
        <v>{"couname":"","img":"0","pty":"","artist":"","genres":"","duration":"","spotId":"","Items":["-SADNE-","-SLOWSS-","OTHR","OTHR","XT_OffAnimals"]},</v>
      </c>
      <c r="AA1423" s="5" t="s">
        <v>5</v>
      </c>
      <c r="AB1423" s="3" t="str">
        <f t="shared" si="135"/>
        <v>["-SADNE-","-SLOWSS-","OTHR","OTHR","XT_OffAnimals"]</v>
      </c>
      <c r="AC1423" s="3">
        <f>_xlfn.XLOOKUP(A1423,Album!A:A,Album!J:J)</f>
        <v>0</v>
      </c>
      <c r="AD1423" s="3">
        <f>_xlfn.XLOOKUP(D1423,Artists!A:A,Artists!B:B)</f>
        <v>0</v>
      </c>
      <c r="AE1423" s="3">
        <f>_xlfn.XLOOKUP(D1423,Artists!A:A,Artists!C:C)</f>
        <v>0</v>
      </c>
      <c r="AF1423" s="3" t="str">
        <f t="shared" si="136"/>
        <v>OTHR</v>
      </c>
      <c r="AG1423" s="3" t="str">
        <f t="shared" si="137"/>
        <v>OTHR</v>
      </c>
    </row>
    <row r="1424" spans="24:33" x14ac:dyDescent="0.3">
      <c r="X1424" s="3" t="str">
        <f t="shared" si="132"/>
        <v>-SADNE-</v>
      </c>
      <c r="Y1424" s="3" t="str">
        <f t="shared" si="133"/>
        <v>-SLOWSS-</v>
      </c>
      <c r="Z1424" s="4" t="str">
        <f t="shared" si="134"/>
        <v>{"couname":"","img":"0","pty":"","artist":"","genres":"","duration":"","spotId":"","Items":["-SADNE-","-SLOWSS-","OTHR","OTHR","XT_OffAnimals"]},</v>
      </c>
      <c r="AA1424" s="5" t="s">
        <v>5</v>
      </c>
      <c r="AB1424" s="3" t="str">
        <f t="shared" si="135"/>
        <v>["-SADNE-","-SLOWSS-","OTHR","OTHR","XT_OffAnimals"]</v>
      </c>
      <c r="AC1424" s="3">
        <f>_xlfn.XLOOKUP(A1424,Album!A:A,Album!J:J)</f>
        <v>0</v>
      </c>
      <c r="AD1424" s="3">
        <f>_xlfn.XLOOKUP(D1424,Artists!A:A,Artists!B:B)</f>
        <v>0</v>
      </c>
      <c r="AE1424" s="3">
        <f>_xlfn.XLOOKUP(D1424,Artists!A:A,Artists!C:C)</f>
        <v>0</v>
      </c>
      <c r="AF1424" s="3" t="str">
        <f t="shared" si="136"/>
        <v>OTHR</v>
      </c>
      <c r="AG1424" s="3" t="str">
        <f t="shared" si="137"/>
        <v>OTHR</v>
      </c>
    </row>
    <row r="1425" spans="24:33" x14ac:dyDescent="0.3">
      <c r="X1425" s="3" t="str">
        <f t="shared" si="132"/>
        <v>-SADNE-</v>
      </c>
      <c r="Y1425" s="3" t="str">
        <f t="shared" si="133"/>
        <v>-SLOWSS-</v>
      </c>
      <c r="Z1425" s="4" t="str">
        <f t="shared" si="134"/>
        <v>{"couname":"","img":"0","pty":"","artist":"","genres":"","duration":"","spotId":"","Items":["-SADNE-","-SLOWSS-","OTHR","OTHR","XT_OffAnimals"]},</v>
      </c>
      <c r="AA1425" s="5" t="s">
        <v>5</v>
      </c>
      <c r="AB1425" s="3" t="str">
        <f t="shared" si="135"/>
        <v>["-SADNE-","-SLOWSS-","OTHR","OTHR","XT_OffAnimals"]</v>
      </c>
      <c r="AC1425" s="3">
        <f>_xlfn.XLOOKUP(A1425,Album!A:A,Album!J:J)</f>
        <v>0</v>
      </c>
      <c r="AD1425" s="3">
        <f>_xlfn.XLOOKUP(D1425,Artists!A:A,Artists!B:B)</f>
        <v>0</v>
      </c>
      <c r="AE1425" s="3">
        <f>_xlfn.XLOOKUP(D1425,Artists!A:A,Artists!C:C)</f>
        <v>0</v>
      </c>
      <c r="AF1425" s="3" t="str">
        <f t="shared" si="136"/>
        <v>OTHR</v>
      </c>
      <c r="AG1425" s="3" t="str">
        <f t="shared" si="137"/>
        <v>OTHR</v>
      </c>
    </row>
    <row r="1426" spans="24:33" x14ac:dyDescent="0.3">
      <c r="X1426" s="3" t="str">
        <f t="shared" si="132"/>
        <v>-SADNE-</v>
      </c>
      <c r="Y1426" s="3" t="str">
        <f t="shared" si="133"/>
        <v>-SLOWSS-</v>
      </c>
      <c r="Z1426" s="4" t="str">
        <f t="shared" si="134"/>
        <v>{"couname":"","img":"0","pty":"","artist":"","genres":"","duration":"","spotId":"","Items":["-SADNE-","-SLOWSS-","OTHR","OTHR","XT_OffAnimals"]},</v>
      </c>
      <c r="AA1426" s="5" t="s">
        <v>5</v>
      </c>
      <c r="AB1426" s="3" t="str">
        <f t="shared" si="135"/>
        <v>["-SADNE-","-SLOWSS-","OTHR","OTHR","XT_OffAnimals"]</v>
      </c>
      <c r="AC1426" s="3">
        <f>_xlfn.XLOOKUP(A1426,Album!A:A,Album!J:J)</f>
        <v>0</v>
      </c>
      <c r="AD1426" s="3">
        <f>_xlfn.XLOOKUP(D1426,Artists!A:A,Artists!B:B)</f>
        <v>0</v>
      </c>
      <c r="AE1426" s="3">
        <f>_xlfn.XLOOKUP(D1426,Artists!A:A,Artists!C:C)</f>
        <v>0</v>
      </c>
      <c r="AF1426" s="3" t="str">
        <f t="shared" si="136"/>
        <v>OTHR</v>
      </c>
      <c r="AG1426" s="3" t="str">
        <f t="shared" si="137"/>
        <v>OTHR</v>
      </c>
    </row>
    <row r="1427" spans="24:33" x14ac:dyDescent="0.3">
      <c r="X1427" s="3" t="str">
        <f t="shared" si="132"/>
        <v>-SADNE-</v>
      </c>
      <c r="Y1427" s="3" t="str">
        <f t="shared" si="133"/>
        <v>-SLOWSS-</v>
      </c>
      <c r="Z1427" s="4" t="str">
        <f t="shared" si="134"/>
        <v>{"couname":"","img":"0","pty":"","artist":"","genres":"","duration":"","spotId":"","Items":["-SADNE-","-SLOWSS-","OTHR","OTHR","XT_OffAnimals"]},</v>
      </c>
      <c r="AA1427" s="5" t="s">
        <v>5</v>
      </c>
      <c r="AB1427" s="3" t="str">
        <f t="shared" si="135"/>
        <v>["-SADNE-","-SLOWSS-","OTHR","OTHR","XT_OffAnimals"]</v>
      </c>
      <c r="AC1427" s="3">
        <f>_xlfn.XLOOKUP(A1427,Album!A:A,Album!J:J)</f>
        <v>0</v>
      </c>
      <c r="AD1427" s="3">
        <f>_xlfn.XLOOKUP(D1427,Artists!A:A,Artists!B:B)</f>
        <v>0</v>
      </c>
      <c r="AE1427" s="3">
        <f>_xlfn.XLOOKUP(D1427,Artists!A:A,Artists!C:C)</f>
        <v>0</v>
      </c>
      <c r="AF1427" s="3" t="str">
        <f t="shared" si="136"/>
        <v>OTHR</v>
      </c>
      <c r="AG1427" s="3" t="str">
        <f t="shared" si="137"/>
        <v>OTHR</v>
      </c>
    </row>
    <row r="1428" spans="24:33" x14ac:dyDescent="0.3">
      <c r="X1428" s="3" t="str">
        <f t="shared" si="132"/>
        <v>-SADNE-</v>
      </c>
      <c r="Y1428" s="3" t="str">
        <f t="shared" si="133"/>
        <v>-SLOWSS-</v>
      </c>
      <c r="Z1428" s="4" t="str">
        <f t="shared" si="134"/>
        <v>{"couname":"","img":"0","pty":"","artist":"","genres":"","duration":"","spotId":"","Items":["-SADNE-","-SLOWSS-","OTHR","OTHR","XT_OffAnimals"]},</v>
      </c>
      <c r="AA1428" s="5" t="s">
        <v>5</v>
      </c>
      <c r="AB1428" s="3" t="str">
        <f t="shared" si="135"/>
        <v>["-SADNE-","-SLOWSS-","OTHR","OTHR","XT_OffAnimals"]</v>
      </c>
      <c r="AC1428" s="3">
        <f>_xlfn.XLOOKUP(A1428,Album!A:A,Album!J:J)</f>
        <v>0</v>
      </c>
      <c r="AD1428" s="3">
        <f>_xlfn.XLOOKUP(D1428,Artists!A:A,Artists!B:B)</f>
        <v>0</v>
      </c>
      <c r="AE1428" s="3">
        <f>_xlfn.XLOOKUP(D1428,Artists!A:A,Artists!C:C)</f>
        <v>0</v>
      </c>
      <c r="AF1428" s="3" t="str">
        <f t="shared" si="136"/>
        <v>OTHR</v>
      </c>
      <c r="AG1428" s="3" t="str">
        <f t="shared" si="137"/>
        <v>OTHR</v>
      </c>
    </row>
    <row r="1429" spans="24:33" x14ac:dyDescent="0.3">
      <c r="X1429" s="3" t="str">
        <f t="shared" si="132"/>
        <v>-SADNE-</v>
      </c>
      <c r="Y1429" s="3" t="str">
        <f t="shared" si="133"/>
        <v>-SLOWSS-</v>
      </c>
      <c r="Z1429" s="4" t="str">
        <f t="shared" si="134"/>
        <v>{"couname":"","img":"0","pty":"","artist":"","genres":"","duration":"","spotId":"","Items":["-SADNE-","-SLOWSS-","OTHR","OTHR","XT_OffAnimals"]},</v>
      </c>
      <c r="AA1429" s="5" t="s">
        <v>5</v>
      </c>
      <c r="AB1429" s="3" t="str">
        <f t="shared" si="135"/>
        <v>["-SADNE-","-SLOWSS-","OTHR","OTHR","XT_OffAnimals"]</v>
      </c>
      <c r="AC1429" s="3">
        <f>_xlfn.XLOOKUP(A1429,Album!A:A,Album!J:J)</f>
        <v>0</v>
      </c>
      <c r="AD1429" s="3">
        <f>_xlfn.XLOOKUP(D1429,Artists!A:A,Artists!B:B)</f>
        <v>0</v>
      </c>
      <c r="AE1429" s="3">
        <f>_xlfn.XLOOKUP(D1429,Artists!A:A,Artists!C:C)</f>
        <v>0</v>
      </c>
      <c r="AF1429" s="3" t="str">
        <f t="shared" si="136"/>
        <v>OTHR</v>
      </c>
      <c r="AG1429" s="3" t="str">
        <f t="shared" si="137"/>
        <v>OTHR</v>
      </c>
    </row>
    <row r="1430" spans="24:33" x14ac:dyDescent="0.3">
      <c r="X1430" s="3" t="str">
        <f t="shared" si="132"/>
        <v>-SADNE-</v>
      </c>
      <c r="Y1430" s="3" t="str">
        <f t="shared" si="133"/>
        <v>-SLOWSS-</v>
      </c>
      <c r="Z1430" s="4" t="str">
        <f t="shared" si="134"/>
        <v>{"couname":"","img":"0","pty":"","artist":"","genres":"","duration":"","spotId":"","Items":["-SADNE-","-SLOWSS-","OTHR","OTHR","XT_OffAnimals"]},</v>
      </c>
      <c r="AA1430" s="5" t="s">
        <v>5</v>
      </c>
      <c r="AB1430" s="3" t="str">
        <f t="shared" si="135"/>
        <v>["-SADNE-","-SLOWSS-","OTHR","OTHR","XT_OffAnimals"]</v>
      </c>
      <c r="AC1430" s="3">
        <f>_xlfn.XLOOKUP(A1430,Album!A:A,Album!J:J)</f>
        <v>0</v>
      </c>
      <c r="AD1430" s="3">
        <f>_xlfn.XLOOKUP(D1430,Artists!A:A,Artists!B:B)</f>
        <v>0</v>
      </c>
      <c r="AE1430" s="3">
        <f>_xlfn.XLOOKUP(D1430,Artists!A:A,Artists!C:C)</f>
        <v>0</v>
      </c>
      <c r="AF1430" s="3" t="str">
        <f t="shared" si="136"/>
        <v>OTHR</v>
      </c>
      <c r="AG1430" s="3" t="str">
        <f t="shared" si="137"/>
        <v>OTHR</v>
      </c>
    </row>
    <row r="1431" spans="24:33" x14ac:dyDescent="0.3">
      <c r="X1431" s="3" t="str">
        <f t="shared" si="132"/>
        <v>-SADNE-</v>
      </c>
      <c r="Y1431" s="3" t="str">
        <f t="shared" si="133"/>
        <v>-SLOWSS-</v>
      </c>
      <c r="Z1431" s="4" t="str">
        <f t="shared" si="134"/>
        <v>{"couname":"","img":"0","pty":"","artist":"","genres":"","duration":"","spotId":"","Items":["-SADNE-","-SLOWSS-","OTHR","OTHR","XT_OffAnimals"]},</v>
      </c>
      <c r="AA1431" s="5" t="s">
        <v>5</v>
      </c>
      <c r="AB1431" s="3" t="str">
        <f t="shared" si="135"/>
        <v>["-SADNE-","-SLOWSS-","OTHR","OTHR","XT_OffAnimals"]</v>
      </c>
      <c r="AC1431" s="3">
        <f>_xlfn.XLOOKUP(A1431,Album!A:A,Album!J:J)</f>
        <v>0</v>
      </c>
      <c r="AD1431" s="3">
        <f>_xlfn.XLOOKUP(D1431,Artists!A:A,Artists!B:B)</f>
        <v>0</v>
      </c>
      <c r="AE1431" s="3">
        <f>_xlfn.XLOOKUP(D1431,Artists!A:A,Artists!C:C)</f>
        <v>0</v>
      </c>
      <c r="AF1431" s="3" t="str">
        <f t="shared" si="136"/>
        <v>OTHR</v>
      </c>
      <c r="AG1431" s="3" t="str">
        <f t="shared" si="137"/>
        <v>OTHR</v>
      </c>
    </row>
    <row r="1432" spans="24:33" x14ac:dyDescent="0.3">
      <c r="X1432" s="3" t="str">
        <f t="shared" si="132"/>
        <v>-SADNE-</v>
      </c>
      <c r="Y1432" s="3" t="str">
        <f t="shared" si="133"/>
        <v>-SLOWSS-</v>
      </c>
      <c r="Z1432" s="4" t="str">
        <f t="shared" si="134"/>
        <v>{"couname":"","img":"0","pty":"","artist":"","genres":"","duration":"","spotId":"","Items":["-SADNE-","-SLOWSS-","OTHR","OTHR","XT_OffAnimals"]},</v>
      </c>
      <c r="AA1432" s="5" t="s">
        <v>5</v>
      </c>
      <c r="AB1432" s="3" t="str">
        <f t="shared" si="135"/>
        <v>["-SADNE-","-SLOWSS-","OTHR","OTHR","XT_OffAnimals"]</v>
      </c>
      <c r="AC1432" s="3">
        <f>_xlfn.XLOOKUP(A1432,Album!A:A,Album!J:J)</f>
        <v>0</v>
      </c>
      <c r="AD1432" s="3">
        <f>_xlfn.XLOOKUP(D1432,Artists!A:A,Artists!B:B)</f>
        <v>0</v>
      </c>
      <c r="AE1432" s="3">
        <f>_xlfn.XLOOKUP(D1432,Artists!A:A,Artists!C:C)</f>
        <v>0</v>
      </c>
      <c r="AF1432" s="3" t="str">
        <f t="shared" si="136"/>
        <v>OTHR</v>
      </c>
      <c r="AG1432" s="3" t="str">
        <f t="shared" si="137"/>
        <v>OTHR</v>
      </c>
    </row>
    <row r="1433" spans="24:33" x14ac:dyDescent="0.3">
      <c r="X1433" s="3" t="str">
        <f t="shared" si="132"/>
        <v>-SADNE-</v>
      </c>
      <c r="Y1433" s="3" t="str">
        <f t="shared" si="133"/>
        <v>-SLOWSS-</v>
      </c>
      <c r="Z1433" s="4" t="str">
        <f t="shared" si="134"/>
        <v>{"couname":"","img":"0","pty":"","artist":"","genres":"","duration":"","spotId":"","Items":["-SADNE-","-SLOWSS-","OTHR","OTHR","XT_OffAnimals"]},</v>
      </c>
      <c r="AA1433" s="5" t="s">
        <v>5</v>
      </c>
      <c r="AB1433" s="3" t="str">
        <f t="shared" si="135"/>
        <v>["-SADNE-","-SLOWSS-","OTHR","OTHR","XT_OffAnimals"]</v>
      </c>
      <c r="AC1433" s="3">
        <f>_xlfn.XLOOKUP(A1433,Album!A:A,Album!J:J)</f>
        <v>0</v>
      </c>
      <c r="AD1433" s="3">
        <f>_xlfn.XLOOKUP(D1433,Artists!A:A,Artists!B:B)</f>
        <v>0</v>
      </c>
      <c r="AE1433" s="3">
        <f>_xlfn.XLOOKUP(D1433,Artists!A:A,Artists!C:C)</f>
        <v>0</v>
      </c>
      <c r="AF1433" s="3" t="str">
        <f t="shared" si="136"/>
        <v>OTHR</v>
      </c>
      <c r="AG1433" s="3" t="str">
        <f t="shared" si="137"/>
        <v>OTHR</v>
      </c>
    </row>
    <row r="1434" spans="24:33" x14ac:dyDescent="0.3">
      <c r="X1434" s="3" t="str">
        <f t="shared" si="132"/>
        <v>-SADNE-</v>
      </c>
      <c r="Y1434" s="3" t="str">
        <f t="shared" si="133"/>
        <v>-SLOWSS-</v>
      </c>
      <c r="Z1434" s="4" t="str">
        <f t="shared" si="134"/>
        <v>{"couname":"","img":"0","pty":"","artist":"","genres":"","duration":"","spotId":"","Items":["-SADNE-","-SLOWSS-","OTHR","OTHR","XT_OffAnimals"]},</v>
      </c>
      <c r="AA1434" s="5" t="s">
        <v>5</v>
      </c>
      <c r="AB1434" s="3" t="str">
        <f t="shared" si="135"/>
        <v>["-SADNE-","-SLOWSS-","OTHR","OTHR","XT_OffAnimals"]</v>
      </c>
      <c r="AC1434" s="3">
        <f>_xlfn.XLOOKUP(A1434,Album!A:A,Album!J:J)</f>
        <v>0</v>
      </c>
      <c r="AD1434" s="3">
        <f>_xlfn.XLOOKUP(D1434,Artists!A:A,Artists!B:B)</f>
        <v>0</v>
      </c>
      <c r="AE1434" s="3">
        <f>_xlfn.XLOOKUP(D1434,Artists!A:A,Artists!C:C)</f>
        <v>0</v>
      </c>
      <c r="AF1434" s="3" t="str">
        <f t="shared" si="136"/>
        <v>OTHR</v>
      </c>
      <c r="AG1434" s="3" t="str">
        <f t="shared" si="137"/>
        <v>OTHR</v>
      </c>
    </row>
    <row r="1435" spans="24:33" x14ac:dyDescent="0.3">
      <c r="X1435" s="3" t="str">
        <f t="shared" si="132"/>
        <v>-SADNE-</v>
      </c>
      <c r="Y1435" s="3" t="str">
        <f t="shared" si="133"/>
        <v>-SLOWSS-</v>
      </c>
      <c r="Z1435" s="4" t="str">
        <f t="shared" si="134"/>
        <v>{"couname":"","img":"0","pty":"","artist":"","genres":"","duration":"","spotId":"","Items":["-SADNE-","-SLOWSS-","OTHR","OTHR","XT_OffAnimals"]},</v>
      </c>
      <c r="AA1435" s="5" t="s">
        <v>5</v>
      </c>
      <c r="AB1435" s="3" t="str">
        <f t="shared" si="135"/>
        <v>["-SADNE-","-SLOWSS-","OTHR","OTHR","XT_OffAnimals"]</v>
      </c>
      <c r="AC1435" s="3">
        <f>_xlfn.XLOOKUP(A1435,Album!A:A,Album!J:J)</f>
        <v>0</v>
      </c>
      <c r="AD1435" s="3">
        <f>_xlfn.XLOOKUP(D1435,Artists!A:A,Artists!B:B)</f>
        <v>0</v>
      </c>
      <c r="AE1435" s="3">
        <f>_xlfn.XLOOKUP(D1435,Artists!A:A,Artists!C:C)</f>
        <v>0</v>
      </c>
      <c r="AF1435" s="3" t="str">
        <f t="shared" si="136"/>
        <v>OTHR</v>
      </c>
      <c r="AG1435" s="3" t="str">
        <f t="shared" si="137"/>
        <v>OTHR</v>
      </c>
    </row>
    <row r="1436" spans="24:33" x14ac:dyDescent="0.3">
      <c r="X1436" s="3" t="str">
        <f t="shared" si="132"/>
        <v>-SADNE-</v>
      </c>
      <c r="Y1436" s="3" t="str">
        <f t="shared" si="133"/>
        <v>-SLOWSS-</v>
      </c>
      <c r="Z1436" s="4" t="str">
        <f t="shared" si="134"/>
        <v>{"couname":"","img":"0","pty":"","artist":"","genres":"","duration":"","spotId":"","Items":["-SADNE-","-SLOWSS-","OTHR","OTHR","XT_OffAnimals"]},</v>
      </c>
      <c r="AA1436" s="5" t="s">
        <v>5</v>
      </c>
      <c r="AB1436" s="3" t="str">
        <f t="shared" si="135"/>
        <v>["-SADNE-","-SLOWSS-","OTHR","OTHR","XT_OffAnimals"]</v>
      </c>
      <c r="AC1436" s="3">
        <f>_xlfn.XLOOKUP(A1436,Album!A:A,Album!J:J)</f>
        <v>0</v>
      </c>
      <c r="AD1436" s="3">
        <f>_xlfn.XLOOKUP(D1436,Artists!A:A,Artists!B:B)</f>
        <v>0</v>
      </c>
      <c r="AE1436" s="3">
        <f>_xlfn.XLOOKUP(D1436,Artists!A:A,Artists!C:C)</f>
        <v>0</v>
      </c>
      <c r="AF1436" s="3" t="str">
        <f t="shared" si="136"/>
        <v>OTHR</v>
      </c>
      <c r="AG1436" s="3" t="str">
        <f t="shared" si="137"/>
        <v>OTHR</v>
      </c>
    </row>
    <row r="1437" spans="24:33" x14ac:dyDescent="0.3">
      <c r="X1437" s="3" t="str">
        <f t="shared" si="132"/>
        <v>-SADNE-</v>
      </c>
      <c r="Y1437" s="3" t="str">
        <f t="shared" si="133"/>
        <v>-SLOWSS-</v>
      </c>
      <c r="Z1437" s="4" t="str">
        <f t="shared" si="134"/>
        <v>{"couname":"","img":"0","pty":"","artist":"","genres":"","duration":"","spotId":"","Items":["-SADNE-","-SLOWSS-","OTHR","OTHR","XT_OffAnimals"]},</v>
      </c>
      <c r="AA1437" s="5" t="s">
        <v>5</v>
      </c>
      <c r="AB1437" s="3" t="str">
        <f t="shared" si="135"/>
        <v>["-SADNE-","-SLOWSS-","OTHR","OTHR","XT_OffAnimals"]</v>
      </c>
      <c r="AC1437" s="3">
        <f>_xlfn.XLOOKUP(A1437,Album!A:A,Album!J:J)</f>
        <v>0</v>
      </c>
      <c r="AD1437" s="3">
        <f>_xlfn.XLOOKUP(D1437,Artists!A:A,Artists!B:B)</f>
        <v>0</v>
      </c>
      <c r="AE1437" s="3">
        <f>_xlfn.XLOOKUP(D1437,Artists!A:A,Artists!C:C)</f>
        <v>0</v>
      </c>
      <c r="AF1437" s="3" t="str">
        <f t="shared" si="136"/>
        <v>OTHR</v>
      </c>
      <c r="AG1437" s="3" t="str">
        <f t="shared" si="137"/>
        <v>OTHR</v>
      </c>
    </row>
    <row r="1438" spans="24:33" x14ac:dyDescent="0.3">
      <c r="X1438" s="3" t="str">
        <f t="shared" si="132"/>
        <v>-SADNE-</v>
      </c>
      <c r="Y1438" s="3" t="str">
        <f t="shared" si="133"/>
        <v>-SLOWSS-</v>
      </c>
      <c r="Z1438" s="4" t="str">
        <f t="shared" si="134"/>
        <v>{"couname":"","img":"0","pty":"","artist":"","genres":"","duration":"","spotId":"","Items":["-SADNE-","-SLOWSS-","OTHR","OTHR","XT_OffAnimals"]},</v>
      </c>
      <c r="AA1438" s="5" t="s">
        <v>5</v>
      </c>
      <c r="AB1438" s="3" t="str">
        <f t="shared" si="135"/>
        <v>["-SADNE-","-SLOWSS-","OTHR","OTHR","XT_OffAnimals"]</v>
      </c>
      <c r="AC1438" s="3">
        <f>_xlfn.XLOOKUP(A1438,Album!A:A,Album!J:J)</f>
        <v>0</v>
      </c>
      <c r="AD1438" s="3">
        <f>_xlfn.XLOOKUP(D1438,Artists!A:A,Artists!B:B)</f>
        <v>0</v>
      </c>
      <c r="AE1438" s="3">
        <f>_xlfn.XLOOKUP(D1438,Artists!A:A,Artists!C:C)</f>
        <v>0</v>
      </c>
      <c r="AF1438" s="3" t="str">
        <f t="shared" si="136"/>
        <v>OTHR</v>
      </c>
      <c r="AG1438" s="3" t="str">
        <f t="shared" si="137"/>
        <v>OTHR</v>
      </c>
    </row>
    <row r="1439" spans="24:33" x14ac:dyDescent="0.3">
      <c r="X1439" s="3" t="str">
        <f t="shared" si="132"/>
        <v>-SADNE-</v>
      </c>
      <c r="Y1439" s="3" t="str">
        <f t="shared" si="133"/>
        <v>-SLOWSS-</v>
      </c>
      <c r="Z1439" s="4" t="str">
        <f t="shared" si="134"/>
        <v>{"couname":"","img":"0","pty":"","artist":"","genres":"","duration":"","spotId":"","Items":["-SADNE-","-SLOWSS-","OTHR","OTHR","XT_OffAnimals"]},</v>
      </c>
      <c r="AA1439" s="5" t="s">
        <v>5</v>
      </c>
      <c r="AB1439" s="3" t="str">
        <f t="shared" si="135"/>
        <v>["-SADNE-","-SLOWSS-","OTHR","OTHR","XT_OffAnimals"]</v>
      </c>
      <c r="AC1439" s="3">
        <f>_xlfn.XLOOKUP(A1439,Album!A:A,Album!J:J)</f>
        <v>0</v>
      </c>
      <c r="AD1439" s="3">
        <f>_xlfn.XLOOKUP(D1439,Artists!A:A,Artists!B:B)</f>
        <v>0</v>
      </c>
      <c r="AE1439" s="3">
        <f>_xlfn.XLOOKUP(D1439,Artists!A:A,Artists!C:C)</f>
        <v>0</v>
      </c>
      <c r="AF1439" s="3" t="str">
        <f t="shared" si="136"/>
        <v>OTHR</v>
      </c>
      <c r="AG1439" s="3" t="str">
        <f t="shared" si="137"/>
        <v>OTHR</v>
      </c>
    </row>
    <row r="1440" spans="24:33" x14ac:dyDescent="0.3">
      <c r="X1440" s="3" t="str">
        <f t="shared" si="132"/>
        <v>-SADNE-</v>
      </c>
      <c r="Y1440" s="3" t="str">
        <f t="shared" si="133"/>
        <v>-SLOWSS-</v>
      </c>
      <c r="Z1440" s="4" t="str">
        <f t="shared" si="134"/>
        <v>{"couname":"","img":"0","pty":"","artist":"","genres":"","duration":"","spotId":"","Items":["-SADNE-","-SLOWSS-","OTHR","OTHR","XT_OffAnimals"]},</v>
      </c>
      <c r="AA1440" s="5" t="s">
        <v>5</v>
      </c>
      <c r="AB1440" s="3" t="str">
        <f t="shared" si="135"/>
        <v>["-SADNE-","-SLOWSS-","OTHR","OTHR","XT_OffAnimals"]</v>
      </c>
      <c r="AC1440" s="3">
        <f>_xlfn.XLOOKUP(A1440,Album!A:A,Album!J:J)</f>
        <v>0</v>
      </c>
      <c r="AD1440" s="3">
        <f>_xlfn.XLOOKUP(D1440,Artists!A:A,Artists!B:B)</f>
        <v>0</v>
      </c>
      <c r="AE1440" s="3">
        <f>_xlfn.XLOOKUP(D1440,Artists!A:A,Artists!C:C)</f>
        <v>0</v>
      </c>
      <c r="AF1440" s="3" t="str">
        <f t="shared" si="136"/>
        <v>OTHR</v>
      </c>
      <c r="AG1440" s="3" t="str">
        <f t="shared" si="137"/>
        <v>OTHR</v>
      </c>
    </row>
    <row r="1441" spans="24:33" x14ac:dyDescent="0.3">
      <c r="X1441" s="3" t="str">
        <f t="shared" si="132"/>
        <v>-SADNE-</v>
      </c>
      <c r="Y1441" s="3" t="str">
        <f t="shared" si="133"/>
        <v>-SLOWSS-</v>
      </c>
      <c r="Z1441" s="4" t="str">
        <f t="shared" si="134"/>
        <v>{"couname":"","img":"0","pty":"","artist":"","genres":"","duration":"","spotId":"","Items":["-SADNE-","-SLOWSS-","OTHR","OTHR","XT_OffAnimals"]},</v>
      </c>
      <c r="AA1441" s="5" t="s">
        <v>5</v>
      </c>
      <c r="AB1441" s="3" t="str">
        <f t="shared" si="135"/>
        <v>["-SADNE-","-SLOWSS-","OTHR","OTHR","XT_OffAnimals"]</v>
      </c>
      <c r="AC1441" s="3">
        <f>_xlfn.XLOOKUP(A1441,Album!A:A,Album!J:J)</f>
        <v>0</v>
      </c>
      <c r="AD1441" s="3">
        <f>_xlfn.XLOOKUP(D1441,Artists!A:A,Artists!B:B)</f>
        <v>0</v>
      </c>
      <c r="AE1441" s="3">
        <f>_xlfn.XLOOKUP(D1441,Artists!A:A,Artists!C:C)</f>
        <v>0</v>
      </c>
      <c r="AF1441" s="3" t="str">
        <f t="shared" si="136"/>
        <v>OTHR</v>
      </c>
      <c r="AG1441" s="3" t="str">
        <f t="shared" si="137"/>
        <v>OTHR</v>
      </c>
    </row>
    <row r="1442" spans="24:33" x14ac:dyDescent="0.3">
      <c r="X1442" s="3" t="str">
        <f t="shared" si="132"/>
        <v>-SADNE-</v>
      </c>
      <c r="Y1442" s="3" t="str">
        <f t="shared" si="133"/>
        <v>-SLOWSS-</v>
      </c>
      <c r="Z1442" s="4" t="str">
        <f t="shared" si="134"/>
        <v>{"couname":"","img":"0","pty":"","artist":"","genres":"","duration":"","spotId":"","Items":["-SADNE-","-SLOWSS-","OTHR","OTHR","XT_OffAnimals"]},</v>
      </c>
      <c r="AA1442" s="5" t="s">
        <v>5</v>
      </c>
      <c r="AB1442" s="3" t="str">
        <f t="shared" si="135"/>
        <v>["-SADNE-","-SLOWSS-","OTHR","OTHR","XT_OffAnimals"]</v>
      </c>
      <c r="AC1442" s="3">
        <f>_xlfn.XLOOKUP(A1442,Album!A:A,Album!J:J)</f>
        <v>0</v>
      </c>
      <c r="AD1442" s="3">
        <f>_xlfn.XLOOKUP(D1442,Artists!A:A,Artists!B:B)</f>
        <v>0</v>
      </c>
      <c r="AE1442" s="3">
        <f>_xlfn.XLOOKUP(D1442,Artists!A:A,Artists!C:C)</f>
        <v>0</v>
      </c>
      <c r="AF1442" s="3" t="str">
        <f t="shared" si="136"/>
        <v>OTHR</v>
      </c>
      <c r="AG1442" s="3" t="str">
        <f t="shared" si="137"/>
        <v>OTHR</v>
      </c>
    </row>
    <row r="1443" spans="24:33" x14ac:dyDescent="0.3">
      <c r="X1443" s="3" t="str">
        <f t="shared" si="132"/>
        <v>-SADNE-</v>
      </c>
      <c r="Y1443" s="3" t="str">
        <f t="shared" si="133"/>
        <v>-SLOWSS-</v>
      </c>
      <c r="Z1443" s="4" t="str">
        <f t="shared" si="134"/>
        <v>{"couname":"","img":"0","pty":"","artist":"","genres":"","duration":"","spotId":"","Items":["-SADNE-","-SLOWSS-","OTHR","OTHR","XT_OffAnimals"]},</v>
      </c>
      <c r="AA1443" s="5" t="s">
        <v>5</v>
      </c>
      <c r="AB1443" s="3" t="str">
        <f t="shared" si="135"/>
        <v>["-SADNE-","-SLOWSS-","OTHR","OTHR","XT_OffAnimals"]</v>
      </c>
      <c r="AC1443" s="3">
        <f>_xlfn.XLOOKUP(A1443,Album!A:A,Album!J:J)</f>
        <v>0</v>
      </c>
      <c r="AD1443" s="3">
        <f>_xlfn.XLOOKUP(D1443,Artists!A:A,Artists!B:B)</f>
        <v>0</v>
      </c>
      <c r="AE1443" s="3">
        <f>_xlfn.XLOOKUP(D1443,Artists!A:A,Artists!C:C)</f>
        <v>0</v>
      </c>
      <c r="AF1443" s="3" t="str">
        <f t="shared" si="136"/>
        <v>OTHR</v>
      </c>
      <c r="AG1443" s="3" t="str">
        <f t="shared" si="137"/>
        <v>OTHR</v>
      </c>
    </row>
  </sheetData>
  <autoFilter ref="A1:AF1" xr:uid="{D530825F-BFB1-4E74-8256-090FFA7139D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DFE0-FFDF-4AA1-9B84-2B2A6E4BD5EE}">
  <sheetPr codeName="Sheet1"/>
  <dimension ref="A1:V1326"/>
  <sheetViews>
    <sheetView workbookViewId="0">
      <selection sqref="A1:A1048576"/>
    </sheetView>
  </sheetViews>
  <sheetFormatPr defaultRowHeight="14.4" x14ac:dyDescent="0.3"/>
  <sheetData>
    <row r="1" spans="1:22" x14ac:dyDescent="0.3">
      <c r="A1" t="s">
        <v>55</v>
      </c>
      <c r="B1" t="s">
        <v>25</v>
      </c>
      <c r="C1" t="s">
        <v>56</v>
      </c>
      <c r="D1" t="s">
        <v>27</v>
      </c>
      <c r="E1" t="s">
        <v>57</v>
      </c>
      <c r="F1" t="s">
        <v>26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30</v>
      </c>
      <c r="Q1" t="s">
        <v>67</v>
      </c>
      <c r="R1" t="s">
        <v>31</v>
      </c>
      <c r="S1" t="s">
        <v>32</v>
      </c>
    </row>
    <row r="2" spans="1:22" x14ac:dyDescent="0.3">
      <c r="A2" t="s">
        <v>99</v>
      </c>
      <c r="B2" t="s">
        <v>100</v>
      </c>
      <c r="C2" t="s">
        <v>2103</v>
      </c>
      <c r="D2" t="s">
        <v>18</v>
      </c>
      <c r="E2" s="1" t="s">
        <v>2104</v>
      </c>
      <c r="F2" t="s">
        <v>2105</v>
      </c>
      <c r="G2" t="s">
        <v>2103</v>
      </c>
      <c r="H2" t="s">
        <v>18</v>
      </c>
      <c r="I2" s="1">
        <v>27802</v>
      </c>
      <c r="J2" t="s">
        <v>2106</v>
      </c>
      <c r="K2">
        <v>1</v>
      </c>
      <c r="L2">
        <v>1</v>
      </c>
      <c r="M2">
        <v>460640</v>
      </c>
      <c r="N2" t="s">
        <v>2107</v>
      </c>
      <c r="O2" s="7" t="s">
        <v>70</v>
      </c>
      <c r="P2">
        <v>0</v>
      </c>
      <c r="Q2" t="s">
        <v>2108</v>
      </c>
      <c r="R2" t="s">
        <v>68</v>
      </c>
      <c r="S2" t="s">
        <v>102</v>
      </c>
    </row>
    <row r="3" spans="1:22" x14ac:dyDescent="0.3">
      <c r="A3" t="s">
        <v>105</v>
      </c>
      <c r="B3" t="s">
        <v>106</v>
      </c>
      <c r="C3" t="s">
        <v>2103</v>
      </c>
      <c r="D3" t="s">
        <v>18</v>
      </c>
      <c r="E3" s="1" t="s">
        <v>2104</v>
      </c>
      <c r="F3" t="s">
        <v>2105</v>
      </c>
      <c r="G3" t="s">
        <v>2103</v>
      </c>
      <c r="H3" t="s">
        <v>18</v>
      </c>
      <c r="I3" s="1">
        <v>27802</v>
      </c>
      <c r="J3" t="s">
        <v>2106</v>
      </c>
      <c r="K3">
        <v>1</v>
      </c>
      <c r="L3">
        <v>2</v>
      </c>
      <c r="M3">
        <v>466306</v>
      </c>
      <c r="N3" t="s">
        <v>2109</v>
      </c>
      <c r="O3" s="7" t="s">
        <v>70</v>
      </c>
      <c r="P3">
        <v>1</v>
      </c>
      <c r="Q3" t="s">
        <v>2110</v>
      </c>
      <c r="R3" t="s">
        <v>68</v>
      </c>
      <c r="S3" t="s">
        <v>102</v>
      </c>
    </row>
    <row r="4" spans="1:22" x14ac:dyDescent="0.3">
      <c r="A4" t="s">
        <v>107</v>
      </c>
      <c r="B4" t="s">
        <v>108</v>
      </c>
      <c r="C4" t="s">
        <v>2103</v>
      </c>
      <c r="D4" t="s">
        <v>18</v>
      </c>
      <c r="E4" s="1" t="s">
        <v>2104</v>
      </c>
      <c r="F4" t="s">
        <v>2105</v>
      </c>
      <c r="G4" t="s">
        <v>2103</v>
      </c>
      <c r="H4" t="s">
        <v>18</v>
      </c>
      <c r="I4" s="1">
        <v>27802</v>
      </c>
      <c r="J4" t="s">
        <v>2106</v>
      </c>
      <c r="K4">
        <v>1</v>
      </c>
      <c r="L4">
        <v>3</v>
      </c>
      <c r="M4">
        <v>196733</v>
      </c>
      <c r="N4" t="s">
        <v>2111</v>
      </c>
      <c r="O4" s="7" t="s">
        <v>70</v>
      </c>
      <c r="P4">
        <v>0</v>
      </c>
      <c r="Q4" t="s">
        <v>2112</v>
      </c>
      <c r="R4" t="s">
        <v>68</v>
      </c>
      <c r="S4" t="s">
        <v>102</v>
      </c>
      <c r="V4" s="7"/>
    </row>
    <row r="5" spans="1:22" x14ac:dyDescent="0.3">
      <c r="A5" t="s">
        <v>109</v>
      </c>
      <c r="B5" t="s">
        <v>110</v>
      </c>
      <c r="C5" t="s">
        <v>2103</v>
      </c>
      <c r="D5" t="s">
        <v>18</v>
      </c>
      <c r="E5" s="1" t="s">
        <v>2104</v>
      </c>
      <c r="F5" t="s">
        <v>2105</v>
      </c>
      <c r="G5" t="s">
        <v>2103</v>
      </c>
      <c r="H5" t="s">
        <v>18</v>
      </c>
      <c r="I5" s="1">
        <v>27802</v>
      </c>
      <c r="J5" t="s">
        <v>2106</v>
      </c>
      <c r="K5">
        <v>1</v>
      </c>
      <c r="L5">
        <v>4</v>
      </c>
      <c r="M5">
        <v>246893</v>
      </c>
      <c r="N5" t="s">
        <v>2113</v>
      </c>
      <c r="O5" s="7" t="s">
        <v>70</v>
      </c>
      <c r="P5">
        <v>2</v>
      </c>
      <c r="Q5" t="s">
        <v>2114</v>
      </c>
      <c r="R5" t="s">
        <v>68</v>
      </c>
      <c r="S5" t="s">
        <v>102</v>
      </c>
      <c r="V5" s="7"/>
    </row>
    <row r="6" spans="1:22" x14ac:dyDescent="0.3">
      <c r="A6" t="s">
        <v>111</v>
      </c>
      <c r="B6" t="s">
        <v>112</v>
      </c>
      <c r="C6" t="s">
        <v>2103</v>
      </c>
      <c r="D6" t="s">
        <v>18</v>
      </c>
      <c r="E6" s="1" t="s">
        <v>2104</v>
      </c>
      <c r="F6" t="s">
        <v>2105</v>
      </c>
      <c r="G6" t="s">
        <v>2103</v>
      </c>
      <c r="H6" t="s">
        <v>18</v>
      </c>
      <c r="I6" s="1">
        <v>27802</v>
      </c>
      <c r="J6" t="s">
        <v>2106</v>
      </c>
      <c r="K6">
        <v>1</v>
      </c>
      <c r="L6">
        <v>5</v>
      </c>
      <c r="M6">
        <v>615173</v>
      </c>
      <c r="N6" t="s">
        <v>2115</v>
      </c>
      <c r="O6" s="7" t="s">
        <v>70</v>
      </c>
      <c r="P6">
        <v>0</v>
      </c>
      <c r="Q6" t="s">
        <v>2116</v>
      </c>
      <c r="R6" t="s">
        <v>68</v>
      </c>
      <c r="S6" t="s">
        <v>102</v>
      </c>
      <c r="V6" s="7"/>
    </row>
    <row r="7" spans="1:22" x14ac:dyDescent="0.3">
      <c r="A7" t="s">
        <v>113</v>
      </c>
      <c r="B7" t="s">
        <v>114</v>
      </c>
      <c r="C7" t="s">
        <v>2103</v>
      </c>
      <c r="D7" t="s">
        <v>18</v>
      </c>
      <c r="E7" s="1" t="s">
        <v>2104</v>
      </c>
      <c r="F7" t="s">
        <v>2105</v>
      </c>
      <c r="G7" t="s">
        <v>2103</v>
      </c>
      <c r="H7" t="s">
        <v>18</v>
      </c>
      <c r="I7" s="1">
        <v>27802</v>
      </c>
      <c r="J7" t="s">
        <v>2106</v>
      </c>
      <c r="K7">
        <v>1</v>
      </c>
      <c r="L7">
        <v>6</v>
      </c>
      <c r="M7">
        <v>396360</v>
      </c>
      <c r="N7" t="s">
        <v>2117</v>
      </c>
      <c r="O7" s="7" t="s">
        <v>70</v>
      </c>
      <c r="P7">
        <v>0</v>
      </c>
      <c r="Q7" t="s">
        <v>2118</v>
      </c>
      <c r="R7" t="s">
        <v>68</v>
      </c>
      <c r="S7" t="s">
        <v>102</v>
      </c>
    </row>
    <row r="8" spans="1:22" x14ac:dyDescent="0.3">
      <c r="A8" t="s">
        <v>115</v>
      </c>
      <c r="B8" t="s">
        <v>116</v>
      </c>
      <c r="C8" t="s">
        <v>2103</v>
      </c>
      <c r="D8" t="s">
        <v>18</v>
      </c>
      <c r="E8" s="1" t="s">
        <v>2119</v>
      </c>
      <c r="F8" t="s">
        <v>117</v>
      </c>
      <c r="G8" t="s">
        <v>2103</v>
      </c>
      <c r="H8" t="s">
        <v>18</v>
      </c>
      <c r="I8" s="1" t="s">
        <v>118</v>
      </c>
      <c r="J8" t="s">
        <v>2120</v>
      </c>
      <c r="K8">
        <v>1</v>
      </c>
      <c r="L8">
        <v>1</v>
      </c>
      <c r="M8">
        <v>143680</v>
      </c>
      <c r="N8" t="s">
        <v>2121</v>
      </c>
      <c r="O8" s="7" t="s">
        <v>70</v>
      </c>
      <c r="P8">
        <v>0</v>
      </c>
      <c r="Q8" t="s">
        <v>2122</v>
      </c>
      <c r="R8" t="s">
        <v>68</v>
      </c>
      <c r="S8" t="s">
        <v>102</v>
      </c>
      <c r="V8" s="7"/>
    </row>
    <row r="9" spans="1:22" x14ac:dyDescent="0.3">
      <c r="A9" t="s">
        <v>119</v>
      </c>
      <c r="B9" t="s">
        <v>120</v>
      </c>
      <c r="C9" t="s">
        <v>2103</v>
      </c>
      <c r="D9" t="s">
        <v>18</v>
      </c>
      <c r="E9" s="1" t="s">
        <v>2119</v>
      </c>
      <c r="F9" t="s">
        <v>117</v>
      </c>
      <c r="G9" t="s">
        <v>2103</v>
      </c>
      <c r="H9" t="s">
        <v>18</v>
      </c>
      <c r="I9" s="1" t="s">
        <v>118</v>
      </c>
      <c r="J9" t="s">
        <v>2120</v>
      </c>
      <c r="K9">
        <v>1</v>
      </c>
      <c r="L9">
        <v>2</v>
      </c>
      <c r="M9">
        <v>302746</v>
      </c>
      <c r="N9" t="s">
        <v>2123</v>
      </c>
      <c r="O9" s="7" t="s">
        <v>70</v>
      </c>
      <c r="P9">
        <v>0</v>
      </c>
      <c r="Q9" t="s">
        <v>2124</v>
      </c>
      <c r="R9" t="s">
        <v>68</v>
      </c>
      <c r="S9" t="s">
        <v>102</v>
      </c>
      <c r="V9" s="7"/>
    </row>
    <row r="10" spans="1:22" x14ac:dyDescent="0.3">
      <c r="A10" t="s">
        <v>121</v>
      </c>
      <c r="B10" t="s">
        <v>122</v>
      </c>
      <c r="C10" t="s">
        <v>2103</v>
      </c>
      <c r="D10" t="s">
        <v>18</v>
      </c>
      <c r="E10" s="1" t="s">
        <v>2119</v>
      </c>
      <c r="F10" t="s">
        <v>117</v>
      </c>
      <c r="G10" t="s">
        <v>2103</v>
      </c>
      <c r="H10" t="s">
        <v>18</v>
      </c>
      <c r="I10" s="1" t="s">
        <v>118</v>
      </c>
      <c r="J10" t="s">
        <v>2120</v>
      </c>
      <c r="K10">
        <v>1</v>
      </c>
      <c r="L10">
        <v>3</v>
      </c>
      <c r="M10">
        <v>299253</v>
      </c>
      <c r="N10" t="s">
        <v>2125</v>
      </c>
      <c r="O10" s="7" t="s">
        <v>70</v>
      </c>
      <c r="P10">
        <v>0</v>
      </c>
      <c r="Q10" t="s">
        <v>2126</v>
      </c>
      <c r="R10" t="s">
        <v>68</v>
      </c>
      <c r="S10" t="s">
        <v>102</v>
      </c>
      <c r="V10" s="7"/>
    </row>
    <row r="11" spans="1:22" x14ac:dyDescent="0.3">
      <c r="A11" t="s">
        <v>123</v>
      </c>
      <c r="B11" t="s">
        <v>124</v>
      </c>
      <c r="C11" t="s">
        <v>2103</v>
      </c>
      <c r="D11" t="s">
        <v>18</v>
      </c>
      <c r="E11" s="1" t="s">
        <v>2119</v>
      </c>
      <c r="F11" t="s">
        <v>117</v>
      </c>
      <c r="G11" t="s">
        <v>2103</v>
      </c>
      <c r="H11" t="s">
        <v>18</v>
      </c>
      <c r="I11" s="1" t="s">
        <v>118</v>
      </c>
      <c r="J11" t="s">
        <v>2120</v>
      </c>
      <c r="K11">
        <v>1</v>
      </c>
      <c r="L11">
        <v>4</v>
      </c>
      <c r="M11">
        <v>425133</v>
      </c>
      <c r="N11" t="s">
        <v>2127</v>
      </c>
      <c r="O11" s="7" t="s">
        <v>70</v>
      </c>
      <c r="P11">
        <v>0</v>
      </c>
      <c r="Q11" t="s">
        <v>2128</v>
      </c>
      <c r="R11" t="s">
        <v>68</v>
      </c>
      <c r="S11" t="s">
        <v>102</v>
      </c>
      <c r="V11" s="7"/>
    </row>
    <row r="12" spans="1:22" x14ac:dyDescent="0.3">
      <c r="A12" t="s">
        <v>125</v>
      </c>
      <c r="B12" t="s">
        <v>126</v>
      </c>
      <c r="C12" t="s">
        <v>2103</v>
      </c>
      <c r="D12" t="s">
        <v>18</v>
      </c>
      <c r="E12" s="1" t="s">
        <v>2119</v>
      </c>
      <c r="F12" t="s">
        <v>117</v>
      </c>
      <c r="G12" t="s">
        <v>2103</v>
      </c>
      <c r="H12" t="s">
        <v>18</v>
      </c>
      <c r="I12" s="1" t="s">
        <v>118</v>
      </c>
      <c r="J12" t="s">
        <v>2120</v>
      </c>
      <c r="K12">
        <v>1</v>
      </c>
      <c r="L12">
        <v>5</v>
      </c>
      <c r="M12">
        <v>232093</v>
      </c>
      <c r="N12" t="s">
        <v>2129</v>
      </c>
      <c r="O12" s="7" t="s">
        <v>70</v>
      </c>
      <c r="P12">
        <v>0</v>
      </c>
      <c r="Q12" t="s">
        <v>2130</v>
      </c>
      <c r="R12" t="s">
        <v>68</v>
      </c>
      <c r="S12" t="s">
        <v>102</v>
      </c>
      <c r="V12" s="7"/>
    </row>
    <row r="13" spans="1:22" x14ac:dyDescent="0.3">
      <c r="A13" t="s">
        <v>127</v>
      </c>
      <c r="B13" t="s">
        <v>128</v>
      </c>
      <c r="C13" t="s">
        <v>2103</v>
      </c>
      <c r="D13" t="s">
        <v>18</v>
      </c>
      <c r="E13" s="1" t="s">
        <v>2119</v>
      </c>
      <c r="F13" t="s">
        <v>117</v>
      </c>
      <c r="G13" t="s">
        <v>2103</v>
      </c>
      <c r="H13" t="s">
        <v>18</v>
      </c>
      <c r="I13" s="1" t="s">
        <v>118</v>
      </c>
      <c r="J13" t="s">
        <v>2120</v>
      </c>
      <c r="K13">
        <v>1</v>
      </c>
      <c r="L13">
        <v>6</v>
      </c>
      <c r="M13">
        <v>166626</v>
      </c>
      <c r="N13" t="s">
        <v>2131</v>
      </c>
      <c r="O13" s="7" t="s">
        <v>70</v>
      </c>
      <c r="P13">
        <v>0</v>
      </c>
      <c r="Q13" t="s">
        <v>2132</v>
      </c>
      <c r="R13" t="s">
        <v>68</v>
      </c>
      <c r="S13" t="s">
        <v>102</v>
      </c>
      <c r="V13" s="7"/>
    </row>
    <row r="14" spans="1:22" x14ac:dyDescent="0.3">
      <c r="A14" t="s">
        <v>129</v>
      </c>
      <c r="B14" t="s">
        <v>130</v>
      </c>
      <c r="C14" t="s">
        <v>2103</v>
      </c>
      <c r="D14" t="s">
        <v>18</v>
      </c>
      <c r="E14" s="1" t="s">
        <v>2119</v>
      </c>
      <c r="F14" t="s">
        <v>117</v>
      </c>
      <c r="G14" t="s">
        <v>2103</v>
      </c>
      <c r="H14" t="s">
        <v>18</v>
      </c>
      <c r="I14" s="1" t="s">
        <v>118</v>
      </c>
      <c r="J14" t="s">
        <v>2120</v>
      </c>
      <c r="K14">
        <v>1</v>
      </c>
      <c r="L14">
        <v>7</v>
      </c>
      <c r="M14">
        <v>468573</v>
      </c>
      <c r="N14" t="s">
        <v>2133</v>
      </c>
      <c r="O14" s="7" t="s">
        <v>70</v>
      </c>
      <c r="P14">
        <v>0</v>
      </c>
      <c r="Q14" t="s">
        <v>2134</v>
      </c>
      <c r="R14" t="s">
        <v>68</v>
      </c>
      <c r="S14" t="s">
        <v>102</v>
      </c>
      <c r="V14" s="7"/>
    </row>
    <row r="15" spans="1:22" x14ac:dyDescent="0.3">
      <c r="A15" t="s">
        <v>131</v>
      </c>
      <c r="B15" t="s">
        <v>132</v>
      </c>
      <c r="C15" t="s">
        <v>2103</v>
      </c>
      <c r="D15" t="s">
        <v>18</v>
      </c>
      <c r="E15" s="1" t="s">
        <v>2119</v>
      </c>
      <c r="F15" t="s">
        <v>117</v>
      </c>
      <c r="G15" t="s">
        <v>2103</v>
      </c>
      <c r="H15" t="s">
        <v>18</v>
      </c>
      <c r="I15" s="1" t="s">
        <v>118</v>
      </c>
      <c r="J15" t="s">
        <v>2120</v>
      </c>
      <c r="K15">
        <v>1</v>
      </c>
      <c r="L15">
        <v>8</v>
      </c>
      <c r="M15">
        <v>309053</v>
      </c>
      <c r="N15" t="s">
        <v>2135</v>
      </c>
      <c r="O15" s="7" t="s">
        <v>70</v>
      </c>
      <c r="P15">
        <v>0</v>
      </c>
      <c r="Q15" t="s">
        <v>2136</v>
      </c>
      <c r="R15" t="s">
        <v>68</v>
      </c>
      <c r="S15" t="s">
        <v>102</v>
      </c>
      <c r="V15" s="7"/>
    </row>
    <row r="16" spans="1:22" x14ac:dyDescent="0.3">
      <c r="A16" t="s">
        <v>133</v>
      </c>
      <c r="B16" t="s">
        <v>134</v>
      </c>
      <c r="C16" t="s">
        <v>2103</v>
      </c>
      <c r="D16" t="s">
        <v>18</v>
      </c>
      <c r="E16" s="1" t="s">
        <v>2137</v>
      </c>
      <c r="F16" t="s">
        <v>2138</v>
      </c>
      <c r="G16" t="s">
        <v>2103</v>
      </c>
      <c r="H16" t="s">
        <v>18</v>
      </c>
      <c r="I16" s="1" t="s">
        <v>4987</v>
      </c>
      <c r="J16" t="s">
        <v>2139</v>
      </c>
      <c r="K16">
        <v>1</v>
      </c>
      <c r="L16">
        <v>1</v>
      </c>
      <c r="M16">
        <v>1078826</v>
      </c>
      <c r="N16" t="s">
        <v>2140</v>
      </c>
      <c r="O16" s="7" t="s">
        <v>70</v>
      </c>
      <c r="P16">
        <v>0</v>
      </c>
      <c r="Q16" t="s">
        <v>2141</v>
      </c>
      <c r="R16" t="s">
        <v>68</v>
      </c>
      <c r="S16" t="s">
        <v>102</v>
      </c>
      <c r="V16" s="7"/>
    </row>
    <row r="17" spans="1:22" x14ac:dyDescent="0.3">
      <c r="A17" t="s">
        <v>136</v>
      </c>
      <c r="B17" t="s">
        <v>137</v>
      </c>
      <c r="C17" t="s">
        <v>2103</v>
      </c>
      <c r="D17" t="s">
        <v>18</v>
      </c>
      <c r="E17" s="1" t="s">
        <v>2137</v>
      </c>
      <c r="F17" t="s">
        <v>2138</v>
      </c>
      <c r="G17" t="s">
        <v>2103</v>
      </c>
      <c r="H17" t="s">
        <v>18</v>
      </c>
      <c r="I17" s="1" t="s">
        <v>4987</v>
      </c>
      <c r="J17" t="s">
        <v>2139</v>
      </c>
      <c r="K17">
        <v>1</v>
      </c>
      <c r="L17">
        <v>2</v>
      </c>
      <c r="M17">
        <v>238826</v>
      </c>
      <c r="N17" t="s">
        <v>2142</v>
      </c>
      <c r="O17" s="7" t="s">
        <v>70</v>
      </c>
      <c r="P17">
        <v>0</v>
      </c>
      <c r="Q17" t="s">
        <v>2143</v>
      </c>
      <c r="R17" t="s">
        <v>68</v>
      </c>
      <c r="S17" t="s">
        <v>102</v>
      </c>
      <c r="V17" s="7"/>
    </row>
    <row r="18" spans="1:22" x14ac:dyDescent="0.3">
      <c r="A18" t="s">
        <v>138</v>
      </c>
      <c r="B18" t="s">
        <v>139</v>
      </c>
      <c r="C18" t="s">
        <v>2103</v>
      </c>
      <c r="D18" t="s">
        <v>18</v>
      </c>
      <c r="E18" s="1" t="s">
        <v>2137</v>
      </c>
      <c r="F18" t="s">
        <v>2138</v>
      </c>
      <c r="G18" t="s">
        <v>2103</v>
      </c>
      <c r="H18" t="s">
        <v>18</v>
      </c>
      <c r="I18" s="1" t="s">
        <v>4987</v>
      </c>
      <c r="J18" t="s">
        <v>2139</v>
      </c>
      <c r="K18">
        <v>1</v>
      </c>
      <c r="L18">
        <v>3</v>
      </c>
      <c r="M18">
        <v>250666</v>
      </c>
      <c r="N18" t="s">
        <v>2144</v>
      </c>
      <c r="O18" s="7" t="s">
        <v>70</v>
      </c>
      <c r="P18">
        <v>0</v>
      </c>
      <c r="Q18" t="s">
        <v>2145</v>
      </c>
      <c r="R18" t="s">
        <v>68</v>
      </c>
      <c r="S18" t="s">
        <v>102</v>
      </c>
      <c r="V18" s="7"/>
    </row>
    <row r="19" spans="1:22" x14ac:dyDescent="0.3">
      <c r="A19" t="s">
        <v>140</v>
      </c>
      <c r="B19" t="s">
        <v>141</v>
      </c>
      <c r="C19" t="s">
        <v>2103</v>
      </c>
      <c r="D19" t="s">
        <v>18</v>
      </c>
      <c r="E19" s="1" t="s">
        <v>2137</v>
      </c>
      <c r="F19" t="s">
        <v>2138</v>
      </c>
      <c r="G19" t="s">
        <v>2103</v>
      </c>
      <c r="H19" t="s">
        <v>18</v>
      </c>
      <c r="I19" s="1" t="s">
        <v>4987</v>
      </c>
      <c r="J19" t="s">
        <v>2139</v>
      </c>
      <c r="K19">
        <v>1</v>
      </c>
      <c r="L19">
        <v>4</v>
      </c>
      <c r="M19">
        <v>385360</v>
      </c>
      <c r="N19" t="s">
        <v>2146</v>
      </c>
      <c r="O19" s="7" t="s">
        <v>70</v>
      </c>
      <c r="P19">
        <v>0</v>
      </c>
      <c r="Q19" t="s">
        <v>2147</v>
      </c>
      <c r="R19" t="s">
        <v>68</v>
      </c>
      <c r="S19" t="s">
        <v>102</v>
      </c>
      <c r="V19" s="7"/>
    </row>
    <row r="20" spans="1:22" x14ac:dyDescent="0.3">
      <c r="A20" t="s">
        <v>142</v>
      </c>
      <c r="B20" t="s">
        <v>143</v>
      </c>
      <c r="C20" t="s">
        <v>2103</v>
      </c>
      <c r="D20" t="s">
        <v>18</v>
      </c>
      <c r="E20" s="1" t="s">
        <v>2137</v>
      </c>
      <c r="F20" t="s">
        <v>2138</v>
      </c>
      <c r="G20" t="s">
        <v>2103</v>
      </c>
      <c r="H20" t="s">
        <v>18</v>
      </c>
      <c r="I20" s="1" t="s">
        <v>4987</v>
      </c>
      <c r="J20" t="s">
        <v>2139</v>
      </c>
      <c r="K20">
        <v>1</v>
      </c>
      <c r="L20">
        <v>5</v>
      </c>
      <c r="M20">
        <v>210760</v>
      </c>
      <c r="N20" t="s">
        <v>2148</v>
      </c>
      <c r="O20" s="7" t="s">
        <v>70</v>
      </c>
      <c r="P20">
        <v>0</v>
      </c>
      <c r="Q20" t="s">
        <v>2149</v>
      </c>
      <c r="R20" t="s">
        <v>68</v>
      </c>
      <c r="S20" t="s">
        <v>102</v>
      </c>
      <c r="V20" s="7"/>
    </row>
    <row r="21" spans="1:22" x14ac:dyDescent="0.3">
      <c r="A21" t="s">
        <v>144</v>
      </c>
      <c r="B21" t="s">
        <v>145</v>
      </c>
      <c r="C21" t="s">
        <v>2103</v>
      </c>
      <c r="D21" t="s">
        <v>18</v>
      </c>
      <c r="E21" s="1" t="s">
        <v>2150</v>
      </c>
      <c r="F21" t="s">
        <v>146</v>
      </c>
      <c r="G21" t="s">
        <v>2103</v>
      </c>
      <c r="H21" t="s">
        <v>18</v>
      </c>
      <c r="I21" s="1" t="s">
        <v>4988</v>
      </c>
      <c r="J21" t="s">
        <v>2151</v>
      </c>
      <c r="K21">
        <v>1</v>
      </c>
      <c r="L21">
        <v>1</v>
      </c>
      <c r="M21">
        <v>708213</v>
      </c>
      <c r="N21" t="s">
        <v>2152</v>
      </c>
      <c r="O21" s="7" t="s">
        <v>70</v>
      </c>
      <c r="P21">
        <v>27</v>
      </c>
      <c r="Q21" t="s">
        <v>2153</v>
      </c>
      <c r="R21" t="s">
        <v>68</v>
      </c>
      <c r="S21" t="s">
        <v>102</v>
      </c>
    </row>
    <row r="22" spans="1:22" x14ac:dyDescent="0.3">
      <c r="A22" t="s">
        <v>147</v>
      </c>
      <c r="B22" t="s">
        <v>148</v>
      </c>
      <c r="C22" t="s">
        <v>2103</v>
      </c>
      <c r="D22" t="s">
        <v>18</v>
      </c>
      <c r="E22" s="1" t="s">
        <v>2150</v>
      </c>
      <c r="F22" t="s">
        <v>146</v>
      </c>
      <c r="G22" t="s">
        <v>2103</v>
      </c>
      <c r="H22" t="s">
        <v>18</v>
      </c>
      <c r="I22" s="1" t="s">
        <v>4988</v>
      </c>
      <c r="J22" t="s">
        <v>2151</v>
      </c>
      <c r="K22">
        <v>1</v>
      </c>
      <c r="L22">
        <v>2</v>
      </c>
      <c r="M22">
        <v>442106</v>
      </c>
      <c r="N22" t="s">
        <v>2154</v>
      </c>
      <c r="O22" s="7" t="s">
        <v>70</v>
      </c>
      <c r="P22">
        <v>19</v>
      </c>
      <c r="Q22" t="s">
        <v>2155</v>
      </c>
      <c r="R22" t="s">
        <v>68</v>
      </c>
      <c r="S22" t="s">
        <v>102</v>
      </c>
      <c r="V22" s="7"/>
    </row>
    <row r="23" spans="1:22" x14ac:dyDescent="0.3">
      <c r="A23" t="s">
        <v>149</v>
      </c>
      <c r="B23" t="s">
        <v>150</v>
      </c>
      <c r="C23" t="s">
        <v>2103</v>
      </c>
      <c r="D23" t="s">
        <v>18</v>
      </c>
      <c r="E23" s="1" t="s">
        <v>2150</v>
      </c>
      <c r="F23" t="s">
        <v>146</v>
      </c>
      <c r="G23" t="s">
        <v>2103</v>
      </c>
      <c r="H23" t="s">
        <v>18</v>
      </c>
      <c r="I23" s="1" t="s">
        <v>4988</v>
      </c>
      <c r="J23" t="s">
        <v>2151</v>
      </c>
      <c r="K23">
        <v>1</v>
      </c>
      <c r="L23">
        <v>3</v>
      </c>
      <c r="M23">
        <v>232613</v>
      </c>
      <c r="N23" t="s">
        <v>2156</v>
      </c>
      <c r="O23" s="7" t="s">
        <v>70</v>
      </c>
      <c r="P23">
        <v>25</v>
      </c>
      <c r="Q23" t="s">
        <v>2157</v>
      </c>
      <c r="R23" t="s">
        <v>68</v>
      </c>
      <c r="S23" t="s">
        <v>102</v>
      </c>
      <c r="V23" s="7"/>
    </row>
    <row r="24" spans="1:22" x14ac:dyDescent="0.3">
      <c r="A24" t="s">
        <v>151</v>
      </c>
      <c r="B24" t="s">
        <v>152</v>
      </c>
      <c r="C24" t="s">
        <v>2103</v>
      </c>
      <c r="D24" t="s">
        <v>18</v>
      </c>
      <c r="E24" s="1" t="s">
        <v>2150</v>
      </c>
      <c r="F24" t="s">
        <v>146</v>
      </c>
      <c r="G24" t="s">
        <v>2103</v>
      </c>
      <c r="H24" t="s">
        <v>18</v>
      </c>
      <c r="I24" s="1" t="s">
        <v>4988</v>
      </c>
      <c r="J24" t="s">
        <v>2151</v>
      </c>
      <c r="K24">
        <v>1</v>
      </c>
      <c r="L24">
        <v>4</v>
      </c>
      <c r="M24">
        <v>198640</v>
      </c>
      <c r="N24" t="s">
        <v>2158</v>
      </c>
      <c r="O24" s="7" t="s">
        <v>70</v>
      </c>
      <c r="P24">
        <v>19</v>
      </c>
      <c r="Q24" t="s">
        <v>2159</v>
      </c>
      <c r="R24" t="s">
        <v>68</v>
      </c>
      <c r="S24" t="s">
        <v>102</v>
      </c>
      <c r="V24" s="7"/>
    </row>
    <row r="25" spans="1:22" x14ac:dyDescent="0.3">
      <c r="A25" t="s">
        <v>153</v>
      </c>
      <c r="B25" t="s">
        <v>154</v>
      </c>
      <c r="C25" t="s">
        <v>2103</v>
      </c>
      <c r="D25" t="s">
        <v>18</v>
      </c>
      <c r="E25" s="1" t="s">
        <v>2150</v>
      </c>
      <c r="F25" s="14" t="s">
        <v>146</v>
      </c>
      <c r="G25" t="s">
        <v>2103</v>
      </c>
      <c r="H25" t="s">
        <v>18</v>
      </c>
      <c r="I25" s="1" t="s">
        <v>4988</v>
      </c>
      <c r="J25" t="s">
        <v>2151</v>
      </c>
      <c r="K25">
        <v>1</v>
      </c>
      <c r="L25">
        <v>5</v>
      </c>
      <c r="M25">
        <v>261186</v>
      </c>
      <c r="N25" t="s">
        <v>2160</v>
      </c>
      <c r="O25" s="7" t="s">
        <v>70</v>
      </c>
      <c r="P25">
        <v>26</v>
      </c>
      <c r="Q25" t="s">
        <v>2161</v>
      </c>
      <c r="R25" t="s">
        <v>68</v>
      </c>
      <c r="S25" t="s">
        <v>102</v>
      </c>
      <c r="V25" s="7"/>
    </row>
    <row r="26" spans="1:22" x14ac:dyDescent="0.3">
      <c r="A26" t="s">
        <v>155</v>
      </c>
      <c r="B26" t="s">
        <v>156</v>
      </c>
      <c r="C26" t="s">
        <v>2103</v>
      </c>
      <c r="D26" t="s">
        <v>18</v>
      </c>
      <c r="E26" s="1" t="s">
        <v>2150</v>
      </c>
      <c r="F26" t="s">
        <v>146</v>
      </c>
      <c r="G26" t="s">
        <v>2103</v>
      </c>
      <c r="H26" t="s">
        <v>18</v>
      </c>
      <c r="I26" s="1" t="s">
        <v>4988</v>
      </c>
      <c r="J26" t="s">
        <v>2151</v>
      </c>
      <c r="K26">
        <v>1</v>
      </c>
      <c r="L26">
        <v>6</v>
      </c>
      <c r="M26">
        <v>201106</v>
      </c>
      <c r="N26" t="s">
        <v>2162</v>
      </c>
      <c r="O26" s="7" t="s">
        <v>70</v>
      </c>
      <c r="P26">
        <v>17</v>
      </c>
      <c r="Q26" t="s">
        <v>2163</v>
      </c>
      <c r="R26" t="s">
        <v>68</v>
      </c>
      <c r="S26" t="s">
        <v>102</v>
      </c>
      <c r="V26" s="7"/>
    </row>
    <row r="27" spans="1:22" x14ac:dyDescent="0.3">
      <c r="A27" t="s">
        <v>157</v>
      </c>
      <c r="B27" t="s">
        <v>158</v>
      </c>
      <c r="C27" t="s">
        <v>2103</v>
      </c>
      <c r="D27" t="s">
        <v>18</v>
      </c>
      <c r="E27" s="1" t="s">
        <v>2150</v>
      </c>
      <c r="F27" t="s">
        <v>146</v>
      </c>
      <c r="G27" t="s">
        <v>2103</v>
      </c>
      <c r="H27" t="s">
        <v>18</v>
      </c>
      <c r="I27" s="1" t="s">
        <v>4988</v>
      </c>
      <c r="J27" t="s">
        <v>2151</v>
      </c>
      <c r="K27">
        <v>1</v>
      </c>
      <c r="L27">
        <v>7</v>
      </c>
      <c r="M27">
        <v>232826</v>
      </c>
      <c r="N27" t="s">
        <v>2164</v>
      </c>
      <c r="O27" s="7" t="s">
        <v>70</v>
      </c>
      <c r="P27">
        <v>16</v>
      </c>
      <c r="Q27" t="s">
        <v>2165</v>
      </c>
      <c r="R27" t="s">
        <v>68</v>
      </c>
      <c r="S27" t="s">
        <v>102</v>
      </c>
      <c r="V27" s="7"/>
    </row>
    <row r="28" spans="1:22" x14ac:dyDescent="0.3">
      <c r="A28" t="s">
        <v>144</v>
      </c>
      <c r="B28" t="s">
        <v>145</v>
      </c>
      <c r="C28" t="s">
        <v>2103</v>
      </c>
      <c r="D28" t="s">
        <v>18</v>
      </c>
      <c r="E28" s="1" t="s">
        <v>2150</v>
      </c>
      <c r="F28" t="s">
        <v>146</v>
      </c>
      <c r="G28" t="s">
        <v>2103</v>
      </c>
      <c r="H28" t="s">
        <v>18</v>
      </c>
      <c r="I28" s="1" t="s">
        <v>4988</v>
      </c>
      <c r="J28" t="s">
        <v>2151</v>
      </c>
      <c r="K28">
        <v>1</v>
      </c>
      <c r="L28">
        <v>1</v>
      </c>
      <c r="M28">
        <v>708213</v>
      </c>
      <c r="N28" t="s">
        <v>2152</v>
      </c>
      <c r="O28" s="7" t="s">
        <v>70</v>
      </c>
      <c r="P28">
        <v>27</v>
      </c>
      <c r="Q28" t="s">
        <v>2153</v>
      </c>
      <c r="R28" t="s">
        <v>68</v>
      </c>
      <c r="S28" t="s">
        <v>102</v>
      </c>
    </row>
    <row r="29" spans="1:22" x14ac:dyDescent="0.3">
      <c r="A29" t="s">
        <v>159</v>
      </c>
      <c r="B29" t="s">
        <v>160</v>
      </c>
      <c r="C29" t="s">
        <v>2103</v>
      </c>
      <c r="D29" t="s">
        <v>18</v>
      </c>
      <c r="E29" s="1" t="s">
        <v>2166</v>
      </c>
      <c r="F29" t="s">
        <v>161</v>
      </c>
      <c r="G29" t="s">
        <v>2103</v>
      </c>
      <c r="H29" t="s">
        <v>18</v>
      </c>
      <c r="I29" s="1" t="s">
        <v>4988</v>
      </c>
      <c r="J29" t="s">
        <v>2167</v>
      </c>
      <c r="K29">
        <v>1</v>
      </c>
      <c r="L29">
        <v>1</v>
      </c>
      <c r="M29">
        <v>174920</v>
      </c>
      <c r="O29" s="7" t="s">
        <v>70</v>
      </c>
      <c r="P29">
        <v>0</v>
      </c>
      <c r="Q29" t="s">
        <v>2168</v>
      </c>
      <c r="R29" t="s">
        <v>68</v>
      </c>
      <c r="S29" t="s">
        <v>102</v>
      </c>
      <c r="V29" s="7"/>
    </row>
    <row r="30" spans="1:22" x14ac:dyDescent="0.3">
      <c r="A30" t="s">
        <v>162</v>
      </c>
      <c r="B30" t="s">
        <v>163</v>
      </c>
      <c r="C30" t="s">
        <v>2103</v>
      </c>
      <c r="D30" t="s">
        <v>18</v>
      </c>
      <c r="E30" s="1" t="s">
        <v>2166</v>
      </c>
      <c r="F30" t="s">
        <v>161</v>
      </c>
      <c r="G30" t="s">
        <v>2103</v>
      </c>
      <c r="H30" t="s">
        <v>18</v>
      </c>
      <c r="I30" s="1" t="s">
        <v>4988</v>
      </c>
      <c r="J30" t="s">
        <v>2167</v>
      </c>
      <c r="K30">
        <v>1</v>
      </c>
      <c r="L30">
        <v>2</v>
      </c>
      <c r="M30">
        <v>654573</v>
      </c>
      <c r="O30" s="7" t="s">
        <v>70</v>
      </c>
      <c r="P30">
        <v>0</v>
      </c>
      <c r="Q30" t="s">
        <v>2169</v>
      </c>
      <c r="R30" t="s">
        <v>68</v>
      </c>
      <c r="S30" t="s">
        <v>102</v>
      </c>
      <c r="V30" s="7"/>
    </row>
    <row r="31" spans="1:22" x14ac:dyDescent="0.3">
      <c r="A31" t="s">
        <v>164</v>
      </c>
      <c r="B31" t="s">
        <v>165</v>
      </c>
      <c r="C31" t="s">
        <v>2103</v>
      </c>
      <c r="D31" t="s">
        <v>18</v>
      </c>
      <c r="E31" s="1" t="s">
        <v>2166</v>
      </c>
      <c r="F31" t="s">
        <v>161</v>
      </c>
      <c r="G31" t="s">
        <v>2103</v>
      </c>
      <c r="H31" t="s">
        <v>18</v>
      </c>
      <c r="I31" s="1" t="s">
        <v>4988</v>
      </c>
      <c r="J31" t="s">
        <v>2167</v>
      </c>
      <c r="K31">
        <v>1</v>
      </c>
      <c r="L31">
        <v>3</v>
      </c>
      <c r="M31">
        <v>213626</v>
      </c>
      <c r="O31" s="7" t="s">
        <v>70</v>
      </c>
      <c r="P31">
        <v>0</v>
      </c>
      <c r="Q31" t="s">
        <v>2170</v>
      </c>
      <c r="R31" t="s">
        <v>68</v>
      </c>
      <c r="S31" t="s">
        <v>102</v>
      </c>
      <c r="V31" s="7"/>
    </row>
    <row r="32" spans="1:22" x14ac:dyDescent="0.3">
      <c r="A32" t="s">
        <v>166</v>
      </c>
      <c r="B32" t="s">
        <v>167</v>
      </c>
      <c r="C32" t="s">
        <v>2103</v>
      </c>
      <c r="D32" t="s">
        <v>18</v>
      </c>
      <c r="E32" s="1" t="s">
        <v>2166</v>
      </c>
      <c r="F32" t="s">
        <v>161</v>
      </c>
      <c r="G32" t="s">
        <v>2103</v>
      </c>
      <c r="H32" t="s">
        <v>18</v>
      </c>
      <c r="I32" s="1" t="s">
        <v>4988</v>
      </c>
      <c r="J32" t="s">
        <v>2167</v>
      </c>
      <c r="K32">
        <v>1</v>
      </c>
      <c r="L32">
        <v>4</v>
      </c>
      <c r="M32">
        <v>238226</v>
      </c>
      <c r="O32" s="7" t="s">
        <v>70</v>
      </c>
      <c r="P32">
        <v>1</v>
      </c>
      <c r="Q32" t="s">
        <v>2171</v>
      </c>
      <c r="R32" t="s">
        <v>68</v>
      </c>
      <c r="S32" t="s">
        <v>102</v>
      </c>
      <c r="V32" s="7"/>
    </row>
    <row r="33" spans="1:22" x14ac:dyDescent="0.3">
      <c r="A33" t="s">
        <v>168</v>
      </c>
      <c r="B33" t="s">
        <v>169</v>
      </c>
      <c r="C33" t="s">
        <v>2103</v>
      </c>
      <c r="D33" t="s">
        <v>18</v>
      </c>
      <c r="E33" s="1" t="s">
        <v>2166</v>
      </c>
      <c r="F33" t="s">
        <v>161</v>
      </c>
      <c r="G33" t="s">
        <v>2103</v>
      </c>
      <c r="H33" t="s">
        <v>18</v>
      </c>
      <c r="I33" s="1" t="s">
        <v>4988</v>
      </c>
      <c r="J33" t="s">
        <v>2167</v>
      </c>
      <c r="K33">
        <v>1</v>
      </c>
      <c r="L33">
        <v>5</v>
      </c>
      <c r="M33">
        <v>461320</v>
      </c>
      <c r="O33" s="7" t="s">
        <v>70</v>
      </c>
      <c r="P33">
        <v>0</v>
      </c>
      <c r="Q33" t="s">
        <v>2172</v>
      </c>
      <c r="R33" t="s">
        <v>68</v>
      </c>
      <c r="S33" t="s">
        <v>102</v>
      </c>
      <c r="V33" s="7"/>
    </row>
    <row r="34" spans="1:22" x14ac:dyDescent="0.3">
      <c r="A34" t="s">
        <v>170</v>
      </c>
      <c r="B34" t="s">
        <v>171</v>
      </c>
      <c r="C34" t="s">
        <v>2103</v>
      </c>
      <c r="D34" t="s">
        <v>18</v>
      </c>
      <c r="E34" s="1" t="s">
        <v>2166</v>
      </c>
      <c r="F34" t="s">
        <v>161</v>
      </c>
      <c r="G34" t="s">
        <v>2103</v>
      </c>
      <c r="H34" t="s">
        <v>18</v>
      </c>
      <c r="I34" s="1" t="s">
        <v>4988</v>
      </c>
      <c r="J34" t="s">
        <v>2167</v>
      </c>
      <c r="K34">
        <v>1</v>
      </c>
      <c r="L34">
        <v>6</v>
      </c>
      <c r="M34">
        <v>362533</v>
      </c>
      <c r="O34" s="7" t="s">
        <v>70</v>
      </c>
      <c r="P34">
        <v>0</v>
      </c>
      <c r="Q34" t="s">
        <v>2173</v>
      </c>
      <c r="R34" t="s">
        <v>68</v>
      </c>
      <c r="S34" t="s">
        <v>102</v>
      </c>
      <c r="V34" s="7"/>
    </row>
    <row r="35" spans="1:22" x14ac:dyDescent="0.3">
      <c r="A35" t="s">
        <v>172</v>
      </c>
      <c r="B35" t="s">
        <v>173</v>
      </c>
      <c r="C35" t="s">
        <v>2103</v>
      </c>
      <c r="D35" t="s">
        <v>18</v>
      </c>
      <c r="E35" s="1" t="s">
        <v>2174</v>
      </c>
      <c r="F35" t="s">
        <v>174</v>
      </c>
      <c r="G35" t="s">
        <v>2103</v>
      </c>
      <c r="H35" t="s">
        <v>18</v>
      </c>
      <c r="I35" s="1">
        <v>32150</v>
      </c>
      <c r="J35" t="s">
        <v>2175</v>
      </c>
      <c r="K35">
        <v>1</v>
      </c>
      <c r="L35">
        <v>1</v>
      </c>
      <c r="M35">
        <v>310093</v>
      </c>
      <c r="N35" t="s">
        <v>2176</v>
      </c>
      <c r="O35" s="7" t="s">
        <v>70</v>
      </c>
      <c r="P35">
        <v>20</v>
      </c>
      <c r="Q35" t="s">
        <v>2177</v>
      </c>
      <c r="R35" t="s">
        <v>68</v>
      </c>
      <c r="S35" t="s">
        <v>102</v>
      </c>
      <c r="V35" s="7"/>
    </row>
    <row r="36" spans="1:22" x14ac:dyDescent="0.3">
      <c r="A36" t="s">
        <v>175</v>
      </c>
      <c r="B36" t="s">
        <v>176</v>
      </c>
      <c r="C36" t="s">
        <v>2103</v>
      </c>
      <c r="D36" t="s">
        <v>18</v>
      </c>
      <c r="E36" s="1" t="s">
        <v>2174</v>
      </c>
      <c r="F36" t="s">
        <v>174</v>
      </c>
      <c r="G36" t="s">
        <v>2103</v>
      </c>
      <c r="H36" t="s">
        <v>18</v>
      </c>
      <c r="I36" s="1">
        <v>32150</v>
      </c>
      <c r="J36" t="s">
        <v>2175</v>
      </c>
      <c r="K36">
        <v>1</v>
      </c>
      <c r="L36">
        <v>2</v>
      </c>
      <c r="M36">
        <v>309120</v>
      </c>
      <c r="N36" t="s">
        <v>2178</v>
      </c>
      <c r="O36" s="7" t="s">
        <v>70</v>
      </c>
      <c r="P36">
        <v>17</v>
      </c>
      <c r="Q36" t="s">
        <v>2179</v>
      </c>
      <c r="R36" t="s">
        <v>68</v>
      </c>
      <c r="S36" t="s">
        <v>102</v>
      </c>
      <c r="V36" s="7"/>
    </row>
    <row r="37" spans="1:22" x14ac:dyDescent="0.3">
      <c r="A37" t="s">
        <v>177</v>
      </c>
      <c r="B37" t="s">
        <v>178</v>
      </c>
      <c r="C37" t="s">
        <v>2103</v>
      </c>
      <c r="D37" t="s">
        <v>18</v>
      </c>
      <c r="E37" s="1" t="s">
        <v>2174</v>
      </c>
      <c r="F37" t="s">
        <v>174</v>
      </c>
      <c r="G37" t="s">
        <v>2103</v>
      </c>
      <c r="H37" t="s">
        <v>18</v>
      </c>
      <c r="I37" s="1">
        <v>32150</v>
      </c>
      <c r="J37" t="s">
        <v>2175</v>
      </c>
      <c r="K37">
        <v>1</v>
      </c>
      <c r="L37">
        <v>3</v>
      </c>
      <c r="M37">
        <v>137173</v>
      </c>
      <c r="N37" t="s">
        <v>2180</v>
      </c>
      <c r="O37" s="7" t="s">
        <v>70</v>
      </c>
      <c r="P37">
        <v>25</v>
      </c>
      <c r="Q37" t="s">
        <v>2181</v>
      </c>
      <c r="R37" t="s">
        <v>68</v>
      </c>
      <c r="S37" t="s">
        <v>102</v>
      </c>
      <c r="V37" s="7"/>
    </row>
    <row r="38" spans="1:22" x14ac:dyDescent="0.3">
      <c r="A38" t="s">
        <v>179</v>
      </c>
      <c r="B38" t="s">
        <v>180</v>
      </c>
      <c r="C38" t="s">
        <v>2103</v>
      </c>
      <c r="D38" t="s">
        <v>18</v>
      </c>
      <c r="E38" s="1" t="s">
        <v>2174</v>
      </c>
      <c r="F38" t="s">
        <v>174</v>
      </c>
      <c r="G38" t="s">
        <v>2103</v>
      </c>
      <c r="H38" t="s">
        <v>18</v>
      </c>
      <c r="I38" s="1">
        <v>32150</v>
      </c>
      <c r="J38" t="s">
        <v>2175</v>
      </c>
      <c r="K38">
        <v>1</v>
      </c>
      <c r="L38">
        <v>4</v>
      </c>
      <c r="M38">
        <v>252213</v>
      </c>
      <c r="N38" t="s">
        <v>2182</v>
      </c>
      <c r="O38" s="7" t="s">
        <v>70</v>
      </c>
      <c r="P38">
        <v>17</v>
      </c>
      <c r="Q38" t="s">
        <v>2183</v>
      </c>
      <c r="R38" t="s">
        <v>68</v>
      </c>
      <c r="S38" t="s">
        <v>102</v>
      </c>
      <c r="V38" s="7"/>
    </row>
    <row r="39" spans="1:22" x14ac:dyDescent="0.3">
      <c r="A39" t="s">
        <v>181</v>
      </c>
      <c r="B39" t="s">
        <v>182</v>
      </c>
      <c r="C39" t="s">
        <v>2103</v>
      </c>
      <c r="D39" t="s">
        <v>18</v>
      </c>
      <c r="E39" s="1" t="s">
        <v>2174</v>
      </c>
      <c r="F39" t="s">
        <v>174</v>
      </c>
      <c r="G39" t="s">
        <v>2103</v>
      </c>
      <c r="H39" t="s">
        <v>18</v>
      </c>
      <c r="I39" s="1">
        <v>32150</v>
      </c>
      <c r="J39" t="s">
        <v>2175</v>
      </c>
      <c r="K39">
        <v>1</v>
      </c>
      <c r="L39">
        <v>5</v>
      </c>
      <c r="M39">
        <v>265506</v>
      </c>
      <c r="N39" t="s">
        <v>2184</v>
      </c>
      <c r="O39" s="7" t="s">
        <v>70</v>
      </c>
      <c r="P39">
        <v>27</v>
      </c>
      <c r="Q39" t="s">
        <v>2185</v>
      </c>
      <c r="R39" t="s">
        <v>68</v>
      </c>
      <c r="S39" t="s">
        <v>102</v>
      </c>
      <c r="V39" s="7"/>
    </row>
    <row r="40" spans="1:22" x14ac:dyDescent="0.3">
      <c r="A40" t="s">
        <v>183</v>
      </c>
      <c r="B40" t="s">
        <v>184</v>
      </c>
      <c r="C40" t="s">
        <v>2103</v>
      </c>
      <c r="D40" t="s">
        <v>18</v>
      </c>
      <c r="E40" s="1" t="s">
        <v>2174</v>
      </c>
      <c r="F40" t="s">
        <v>174</v>
      </c>
      <c r="G40" t="s">
        <v>2103</v>
      </c>
      <c r="H40" t="s">
        <v>18</v>
      </c>
      <c r="I40" s="1">
        <v>32150</v>
      </c>
      <c r="J40" t="s">
        <v>2175</v>
      </c>
      <c r="K40">
        <v>1</v>
      </c>
      <c r="L40">
        <v>6</v>
      </c>
      <c r="M40">
        <v>296040</v>
      </c>
      <c r="N40" t="s">
        <v>2186</v>
      </c>
      <c r="O40" s="7" t="s">
        <v>70</v>
      </c>
      <c r="P40">
        <v>22</v>
      </c>
      <c r="Q40" t="s">
        <v>2187</v>
      </c>
      <c r="R40" t="s">
        <v>68</v>
      </c>
      <c r="S40" t="s">
        <v>102</v>
      </c>
      <c r="V40" s="7"/>
    </row>
    <row r="41" spans="1:22" x14ac:dyDescent="0.3">
      <c r="A41" t="s">
        <v>185</v>
      </c>
      <c r="B41" t="s">
        <v>186</v>
      </c>
      <c r="C41" t="s">
        <v>2103</v>
      </c>
      <c r="D41" t="s">
        <v>18</v>
      </c>
      <c r="E41" s="1" t="s">
        <v>2174</v>
      </c>
      <c r="F41" t="s">
        <v>174</v>
      </c>
      <c r="G41" t="s">
        <v>2103</v>
      </c>
      <c r="H41" t="s">
        <v>18</v>
      </c>
      <c r="I41" s="1">
        <v>32150</v>
      </c>
      <c r="J41" t="s">
        <v>2175</v>
      </c>
      <c r="K41">
        <v>1</v>
      </c>
      <c r="L41">
        <v>7</v>
      </c>
      <c r="M41">
        <v>321586</v>
      </c>
      <c r="N41" t="s">
        <v>2188</v>
      </c>
      <c r="O41" s="7" t="s">
        <v>70</v>
      </c>
      <c r="P41">
        <v>15</v>
      </c>
      <c r="Q41" t="s">
        <v>2189</v>
      </c>
      <c r="R41" t="s">
        <v>68</v>
      </c>
      <c r="S41" t="s">
        <v>102</v>
      </c>
      <c r="V41" s="7"/>
    </row>
    <row r="42" spans="1:22" x14ac:dyDescent="0.3">
      <c r="A42" t="s">
        <v>187</v>
      </c>
      <c r="B42" t="s">
        <v>188</v>
      </c>
      <c r="C42" t="s">
        <v>2103</v>
      </c>
      <c r="D42" t="s">
        <v>18</v>
      </c>
      <c r="E42" s="1" t="s">
        <v>2174</v>
      </c>
      <c r="F42" t="s">
        <v>174</v>
      </c>
      <c r="G42" t="s">
        <v>2103</v>
      </c>
      <c r="H42" t="s">
        <v>18</v>
      </c>
      <c r="I42" s="1">
        <v>32150</v>
      </c>
      <c r="J42" t="s">
        <v>2175</v>
      </c>
      <c r="K42">
        <v>1</v>
      </c>
      <c r="L42">
        <v>8</v>
      </c>
      <c r="M42">
        <v>281626</v>
      </c>
      <c r="N42" t="s">
        <v>2190</v>
      </c>
      <c r="O42" s="7" t="s">
        <v>70</v>
      </c>
      <c r="P42">
        <v>20</v>
      </c>
      <c r="Q42" t="s">
        <v>2191</v>
      </c>
      <c r="R42" t="s">
        <v>68</v>
      </c>
      <c r="S42" t="s">
        <v>102</v>
      </c>
      <c r="V42" s="7"/>
    </row>
    <row r="43" spans="1:22" x14ac:dyDescent="0.3">
      <c r="A43" t="s">
        <v>189</v>
      </c>
      <c r="B43" t="s">
        <v>190</v>
      </c>
      <c r="C43" t="s">
        <v>2103</v>
      </c>
      <c r="D43" t="s">
        <v>18</v>
      </c>
      <c r="E43" s="1" t="s">
        <v>2174</v>
      </c>
      <c r="F43" t="s">
        <v>174</v>
      </c>
      <c r="G43" t="s">
        <v>2103</v>
      </c>
      <c r="H43" t="s">
        <v>18</v>
      </c>
      <c r="I43" s="1">
        <v>32150</v>
      </c>
      <c r="J43" t="s">
        <v>2175</v>
      </c>
      <c r="K43">
        <v>1</v>
      </c>
      <c r="L43">
        <v>9</v>
      </c>
      <c r="M43">
        <v>244946</v>
      </c>
      <c r="N43" t="s">
        <v>2192</v>
      </c>
      <c r="O43" s="7" t="s">
        <v>70</v>
      </c>
      <c r="P43">
        <v>15</v>
      </c>
      <c r="Q43" t="s">
        <v>2193</v>
      </c>
      <c r="R43" t="s">
        <v>68</v>
      </c>
      <c r="S43" t="s">
        <v>102</v>
      </c>
      <c r="V43" s="7"/>
    </row>
    <row r="44" spans="1:22" x14ac:dyDescent="0.3">
      <c r="A44" t="s">
        <v>191</v>
      </c>
      <c r="B44" t="s">
        <v>192</v>
      </c>
      <c r="C44" t="s">
        <v>2103</v>
      </c>
      <c r="D44" t="s">
        <v>18</v>
      </c>
      <c r="E44" s="1" t="s">
        <v>2174</v>
      </c>
      <c r="F44" t="s">
        <v>174</v>
      </c>
      <c r="G44" t="s">
        <v>2103</v>
      </c>
      <c r="H44" t="s">
        <v>18</v>
      </c>
      <c r="I44" s="1">
        <v>32150</v>
      </c>
      <c r="J44" t="s">
        <v>2175</v>
      </c>
      <c r="K44">
        <v>1</v>
      </c>
      <c r="L44">
        <v>10</v>
      </c>
      <c r="M44">
        <v>236293</v>
      </c>
      <c r="N44" t="s">
        <v>2194</v>
      </c>
      <c r="O44" s="7" t="s">
        <v>70</v>
      </c>
      <c r="P44">
        <v>15</v>
      </c>
      <c r="Q44" t="s">
        <v>2195</v>
      </c>
      <c r="R44" t="s">
        <v>68</v>
      </c>
      <c r="S44" t="s">
        <v>102</v>
      </c>
      <c r="V44" s="7"/>
    </row>
    <row r="45" spans="1:22" x14ac:dyDescent="0.3">
      <c r="A45" t="s">
        <v>193</v>
      </c>
      <c r="B45" t="s">
        <v>194</v>
      </c>
      <c r="C45" t="s">
        <v>2103</v>
      </c>
      <c r="D45" t="s">
        <v>18</v>
      </c>
      <c r="E45" s="1" t="s">
        <v>2196</v>
      </c>
      <c r="F45" t="s">
        <v>195</v>
      </c>
      <c r="G45" t="s">
        <v>2103</v>
      </c>
      <c r="H45" t="s">
        <v>18</v>
      </c>
      <c r="I45" s="1" t="s">
        <v>4988</v>
      </c>
      <c r="J45" t="s">
        <v>2197</v>
      </c>
      <c r="K45">
        <v>1</v>
      </c>
      <c r="L45">
        <v>1</v>
      </c>
      <c r="M45">
        <v>502533</v>
      </c>
      <c r="N45" t="s">
        <v>2198</v>
      </c>
      <c r="O45" s="7" t="s">
        <v>70</v>
      </c>
      <c r="P45">
        <v>23</v>
      </c>
      <c r="Q45" t="s">
        <v>2199</v>
      </c>
      <c r="R45" t="s">
        <v>68</v>
      </c>
      <c r="S45" t="s">
        <v>102</v>
      </c>
      <c r="V45" s="7"/>
    </row>
    <row r="46" spans="1:22" x14ac:dyDescent="0.3">
      <c r="A46" t="s">
        <v>196</v>
      </c>
      <c r="B46" t="s">
        <v>197</v>
      </c>
      <c r="C46" t="s">
        <v>2103</v>
      </c>
      <c r="D46" t="s">
        <v>18</v>
      </c>
      <c r="E46" s="1" t="s">
        <v>2196</v>
      </c>
      <c r="F46" t="s">
        <v>195</v>
      </c>
      <c r="G46" t="s">
        <v>2103</v>
      </c>
      <c r="H46" t="s">
        <v>18</v>
      </c>
      <c r="I46" s="1" t="s">
        <v>4988</v>
      </c>
      <c r="J46" t="s">
        <v>2197</v>
      </c>
      <c r="K46">
        <v>1</v>
      </c>
      <c r="L46">
        <v>2</v>
      </c>
      <c r="M46">
        <v>431413</v>
      </c>
      <c r="N46" t="s">
        <v>2200</v>
      </c>
      <c r="O46" s="7" t="s">
        <v>70</v>
      </c>
      <c r="P46">
        <v>17</v>
      </c>
      <c r="Q46" t="s">
        <v>2201</v>
      </c>
      <c r="R46" t="s">
        <v>68</v>
      </c>
      <c r="S46" t="s">
        <v>102</v>
      </c>
      <c r="V46" s="7"/>
    </row>
    <row r="47" spans="1:22" x14ac:dyDescent="0.3">
      <c r="A47" t="s">
        <v>198</v>
      </c>
      <c r="B47" t="s">
        <v>199</v>
      </c>
      <c r="C47" t="s">
        <v>2103</v>
      </c>
      <c r="D47" t="s">
        <v>18</v>
      </c>
      <c r="E47" s="1" t="s">
        <v>2196</v>
      </c>
      <c r="F47" t="s">
        <v>195</v>
      </c>
      <c r="G47" t="s">
        <v>2103</v>
      </c>
      <c r="H47" t="s">
        <v>18</v>
      </c>
      <c r="I47" s="1" t="s">
        <v>4988</v>
      </c>
      <c r="J47" t="s">
        <v>2197</v>
      </c>
      <c r="K47">
        <v>1</v>
      </c>
      <c r="L47">
        <v>3</v>
      </c>
      <c r="M47">
        <v>382920</v>
      </c>
      <c r="N47" t="s">
        <v>2202</v>
      </c>
      <c r="O47" s="7" t="s">
        <v>70</v>
      </c>
      <c r="P47">
        <v>18</v>
      </c>
      <c r="Q47" t="s">
        <v>2203</v>
      </c>
      <c r="R47" t="s">
        <v>68</v>
      </c>
      <c r="S47" t="s">
        <v>102</v>
      </c>
    </row>
    <row r="48" spans="1:22" x14ac:dyDescent="0.3">
      <c r="A48" t="s">
        <v>200</v>
      </c>
      <c r="B48" t="s">
        <v>201</v>
      </c>
      <c r="C48" t="s">
        <v>2103</v>
      </c>
      <c r="D48" t="s">
        <v>18</v>
      </c>
      <c r="E48" s="1" t="s">
        <v>2196</v>
      </c>
      <c r="F48" t="s">
        <v>195</v>
      </c>
      <c r="G48" t="s">
        <v>2103</v>
      </c>
      <c r="H48" t="s">
        <v>18</v>
      </c>
      <c r="I48" s="1" t="s">
        <v>4988</v>
      </c>
      <c r="J48" t="s">
        <v>2197</v>
      </c>
      <c r="K48">
        <v>1</v>
      </c>
      <c r="L48">
        <v>4</v>
      </c>
      <c r="M48">
        <v>2806400</v>
      </c>
      <c r="N48" t="s">
        <v>2204</v>
      </c>
      <c r="O48" s="7" t="s">
        <v>70</v>
      </c>
      <c r="P48">
        <v>29</v>
      </c>
      <c r="Q48" t="s">
        <v>2205</v>
      </c>
      <c r="R48" t="s">
        <v>68</v>
      </c>
      <c r="S48" t="s">
        <v>102</v>
      </c>
      <c r="V48" s="7"/>
    </row>
    <row r="49" spans="1:22" x14ac:dyDescent="0.3">
      <c r="A49" t="s">
        <v>202</v>
      </c>
      <c r="B49" t="s">
        <v>203</v>
      </c>
      <c r="C49" t="s">
        <v>2103</v>
      </c>
      <c r="D49" t="s">
        <v>18</v>
      </c>
      <c r="E49" s="1" t="s">
        <v>2206</v>
      </c>
      <c r="F49" t="s">
        <v>204</v>
      </c>
      <c r="G49" t="s">
        <v>2103</v>
      </c>
      <c r="H49" t="s">
        <v>18</v>
      </c>
      <c r="I49" s="1" t="s">
        <v>4988</v>
      </c>
      <c r="J49" t="s">
        <v>2207</v>
      </c>
      <c r="K49">
        <v>1</v>
      </c>
      <c r="L49">
        <v>1</v>
      </c>
      <c r="M49">
        <v>660440</v>
      </c>
      <c r="N49" t="s">
        <v>2208</v>
      </c>
      <c r="O49" s="7" t="s">
        <v>70</v>
      </c>
      <c r="P49">
        <v>21</v>
      </c>
      <c r="Q49" t="s">
        <v>2209</v>
      </c>
      <c r="R49" t="s">
        <v>68</v>
      </c>
      <c r="S49" t="s">
        <v>102</v>
      </c>
      <c r="V49" s="7"/>
    </row>
    <row r="50" spans="1:22" x14ac:dyDescent="0.3">
      <c r="A50" t="s">
        <v>205</v>
      </c>
      <c r="B50" t="s">
        <v>206</v>
      </c>
      <c r="C50" t="s">
        <v>2103</v>
      </c>
      <c r="D50" t="s">
        <v>18</v>
      </c>
      <c r="E50" s="1" t="s">
        <v>2206</v>
      </c>
      <c r="F50" t="s">
        <v>204</v>
      </c>
      <c r="G50" t="s">
        <v>2103</v>
      </c>
      <c r="H50" t="s">
        <v>18</v>
      </c>
      <c r="I50" s="1" t="s">
        <v>4988</v>
      </c>
      <c r="J50" t="s">
        <v>2207</v>
      </c>
      <c r="K50">
        <v>1</v>
      </c>
      <c r="L50">
        <v>2</v>
      </c>
      <c r="M50">
        <v>365413</v>
      </c>
      <c r="N50" t="s">
        <v>2210</v>
      </c>
      <c r="O50" s="7" t="s">
        <v>70</v>
      </c>
      <c r="P50">
        <v>22</v>
      </c>
      <c r="Q50" t="s">
        <v>2211</v>
      </c>
      <c r="R50" t="s">
        <v>68</v>
      </c>
      <c r="S50" t="s">
        <v>102</v>
      </c>
      <c r="V50" s="7"/>
    </row>
    <row r="51" spans="1:22" x14ac:dyDescent="0.3">
      <c r="A51" t="s">
        <v>207</v>
      </c>
      <c r="B51" t="s">
        <v>208</v>
      </c>
      <c r="C51" t="s">
        <v>2103</v>
      </c>
      <c r="D51" t="s">
        <v>18</v>
      </c>
      <c r="E51" s="1" t="s">
        <v>2206</v>
      </c>
      <c r="F51" t="s">
        <v>204</v>
      </c>
      <c r="G51" t="s">
        <v>2103</v>
      </c>
      <c r="H51" t="s">
        <v>18</v>
      </c>
      <c r="I51" s="1" t="s">
        <v>4988</v>
      </c>
      <c r="J51" t="s">
        <v>2207</v>
      </c>
      <c r="K51">
        <v>1</v>
      </c>
      <c r="L51">
        <v>3</v>
      </c>
      <c r="M51">
        <v>239546</v>
      </c>
      <c r="N51" t="s">
        <v>2212</v>
      </c>
      <c r="O51" s="7" t="s">
        <v>70</v>
      </c>
      <c r="P51">
        <v>19</v>
      </c>
      <c r="Q51" t="s">
        <v>2213</v>
      </c>
      <c r="R51" t="s">
        <v>68</v>
      </c>
      <c r="S51" t="s">
        <v>102</v>
      </c>
      <c r="V51" s="7"/>
    </row>
    <row r="52" spans="1:22" x14ac:dyDescent="0.3">
      <c r="A52" t="s">
        <v>209</v>
      </c>
      <c r="B52" t="s">
        <v>210</v>
      </c>
      <c r="C52" t="s">
        <v>2103</v>
      </c>
      <c r="D52" t="s">
        <v>18</v>
      </c>
      <c r="E52" s="1" t="s">
        <v>2206</v>
      </c>
      <c r="F52" t="s">
        <v>204</v>
      </c>
      <c r="G52" t="s">
        <v>2103</v>
      </c>
      <c r="H52" t="s">
        <v>18</v>
      </c>
      <c r="I52" s="1" t="s">
        <v>4988</v>
      </c>
      <c r="J52" t="s">
        <v>2207</v>
      </c>
      <c r="K52">
        <v>1</v>
      </c>
      <c r="L52">
        <v>4</v>
      </c>
      <c r="M52">
        <v>239013</v>
      </c>
      <c r="N52" t="s">
        <v>2214</v>
      </c>
      <c r="O52" s="7" t="s">
        <v>70</v>
      </c>
      <c r="P52">
        <v>35</v>
      </c>
      <c r="Q52" t="s">
        <v>2215</v>
      </c>
      <c r="R52" t="s">
        <v>68</v>
      </c>
      <c r="S52" t="s">
        <v>102</v>
      </c>
      <c r="V52" s="7"/>
    </row>
    <row r="53" spans="1:22" x14ac:dyDescent="0.3">
      <c r="A53" t="s">
        <v>211</v>
      </c>
      <c r="B53" t="s">
        <v>212</v>
      </c>
      <c r="C53" t="s">
        <v>2103</v>
      </c>
      <c r="D53" t="s">
        <v>18</v>
      </c>
      <c r="E53" s="1" t="s">
        <v>2206</v>
      </c>
      <c r="F53" t="s">
        <v>204</v>
      </c>
      <c r="G53" t="s">
        <v>2103</v>
      </c>
      <c r="H53" t="s">
        <v>18</v>
      </c>
      <c r="I53" s="1" t="s">
        <v>4988</v>
      </c>
      <c r="J53" t="s">
        <v>2207</v>
      </c>
      <c r="K53">
        <v>1</v>
      </c>
      <c r="L53">
        <v>5</v>
      </c>
      <c r="M53">
        <v>334653</v>
      </c>
      <c r="N53" t="s">
        <v>2216</v>
      </c>
      <c r="O53" s="7" t="s">
        <v>70</v>
      </c>
      <c r="P53">
        <v>18</v>
      </c>
      <c r="Q53" t="s">
        <v>2217</v>
      </c>
      <c r="R53" t="s">
        <v>68</v>
      </c>
      <c r="S53" t="s">
        <v>102</v>
      </c>
      <c r="V53" s="7"/>
    </row>
    <row r="54" spans="1:22" x14ac:dyDescent="0.3">
      <c r="A54" t="s">
        <v>213</v>
      </c>
      <c r="B54" t="s">
        <v>214</v>
      </c>
      <c r="C54" t="s">
        <v>2103</v>
      </c>
      <c r="D54" t="s">
        <v>18</v>
      </c>
      <c r="E54" s="1" t="s">
        <v>2206</v>
      </c>
      <c r="F54" t="s">
        <v>204</v>
      </c>
      <c r="G54" t="s">
        <v>2103</v>
      </c>
      <c r="H54" t="s">
        <v>18</v>
      </c>
      <c r="I54" s="1" t="s">
        <v>4988</v>
      </c>
      <c r="J54" t="s">
        <v>2207</v>
      </c>
      <c r="K54">
        <v>1</v>
      </c>
      <c r="L54">
        <v>6</v>
      </c>
      <c r="M54">
        <v>225466</v>
      </c>
      <c r="N54" t="s">
        <v>2218</v>
      </c>
      <c r="O54" s="7" t="s">
        <v>70</v>
      </c>
      <c r="P54">
        <v>32</v>
      </c>
      <c r="Q54" t="s">
        <v>2219</v>
      </c>
      <c r="R54" t="s">
        <v>68</v>
      </c>
      <c r="S54" t="s">
        <v>102</v>
      </c>
      <c r="V54" s="7"/>
    </row>
    <row r="55" spans="1:22" x14ac:dyDescent="0.3">
      <c r="A55" t="s">
        <v>215</v>
      </c>
      <c r="B55" t="s">
        <v>216</v>
      </c>
      <c r="C55" t="s">
        <v>2103</v>
      </c>
      <c r="D55" t="s">
        <v>18</v>
      </c>
      <c r="E55" s="1" t="s">
        <v>2206</v>
      </c>
      <c r="F55" t="s">
        <v>204</v>
      </c>
      <c r="G55" t="s">
        <v>2103</v>
      </c>
      <c r="H55" t="s">
        <v>18</v>
      </c>
      <c r="I55" s="1" t="s">
        <v>4988</v>
      </c>
      <c r="J55" t="s">
        <v>2207</v>
      </c>
      <c r="K55">
        <v>1</v>
      </c>
      <c r="L55">
        <v>7</v>
      </c>
      <c r="M55">
        <v>137533</v>
      </c>
      <c r="N55" t="s">
        <v>2220</v>
      </c>
      <c r="O55" s="7" t="s">
        <v>70</v>
      </c>
      <c r="P55">
        <v>16</v>
      </c>
      <c r="Q55" t="s">
        <v>2221</v>
      </c>
      <c r="R55" t="s">
        <v>68</v>
      </c>
      <c r="S55" t="s">
        <v>102</v>
      </c>
      <c r="V55" s="7"/>
    </row>
    <row r="56" spans="1:22" x14ac:dyDescent="0.3">
      <c r="A56" t="s">
        <v>217</v>
      </c>
      <c r="B56" t="s">
        <v>218</v>
      </c>
      <c r="C56" t="s">
        <v>2103</v>
      </c>
      <c r="D56" t="s">
        <v>18</v>
      </c>
      <c r="E56" s="1" t="s">
        <v>2206</v>
      </c>
      <c r="F56" t="s">
        <v>204</v>
      </c>
      <c r="G56" t="s">
        <v>2103</v>
      </c>
      <c r="H56" t="s">
        <v>18</v>
      </c>
      <c r="I56" s="1" t="s">
        <v>4988</v>
      </c>
      <c r="J56" t="s">
        <v>2207</v>
      </c>
      <c r="K56">
        <v>1</v>
      </c>
      <c r="L56">
        <v>8</v>
      </c>
      <c r="M56">
        <v>309933</v>
      </c>
      <c r="N56" t="s">
        <v>2222</v>
      </c>
      <c r="O56" s="7" t="s">
        <v>70</v>
      </c>
      <c r="P56">
        <v>18</v>
      </c>
      <c r="Q56" t="s">
        <v>2223</v>
      </c>
      <c r="R56" t="s">
        <v>68</v>
      </c>
      <c r="S56" t="s">
        <v>102</v>
      </c>
      <c r="V56" s="7"/>
    </row>
    <row r="57" spans="1:22" x14ac:dyDescent="0.3">
      <c r="A57" t="s">
        <v>219</v>
      </c>
      <c r="B57" t="s">
        <v>220</v>
      </c>
      <c r="C57" t="s">
        <v>2103</v>
      </c>
      <c r="D57" t="s">
        <v>18</v>
      </c>
      <c r="E57" s="1" t="s">
        <v>2224</v>
      </c>
      <c r="F57" t="s">
        <v>221</v>
      </c>
      <c r="G57" t="s">
        <v>2103</v>
      </c>
      <c r="H57" t="s">
        <v>18</v>
      </c>
      <c r="I57" s="1">
        <v>42412</v>
      </c>
      <c r="J57" t="s">
        <v>2225</v>
      </c>
      <c r="K57">
        <v>2</v>
      </c>
      <c r="L57">
        <v>1</v>
      </c>
      <c r="M57">
        <v>701546</v>
      </c>
      <c r="N57" t="s">
        <v>2226</v>
      </c>
      <c r="O57" s="7" t="s">
        <v>70</v>
      </c>
      <c r="P57">
        <v>31</v>
      </c>
      <c r="Q57" t="s">
        <v>2227</v>
      </c>
      <c r="R57" t="s">
        <v>68</v>
      </c>
      <c r="S57" t="s">
        <v>102</v>
      </c>
      <c r="V57" s="7"/>
    </row>
    <row r="58" spans="1:22" x14ac:dyDescent="0.3">
      <c r="A58" t="s">
        <v>222</v>
      </c>
      <c r="B58" t="s">
        <v>223</v>
      </c>
      <c r="C58" t="s">
        <v>2103</v>
      </c>
      <c r="D58" t="s">
        <v>18</v>
      </c>
      <c r="E58" s="1" t="s">
        <v>2224</v>
      </c>
      <c r="F58" t="s">
        <v>221</v>
      </c>
      <c r="G58" t="s">
        <v>2103</v>
      </c>
      <c r="H58" t="s">
        <v>18</v>
      </c>
      <c r="I58" s="1">
        <v>42412</v>
      </c>
      <c r="J58" t="s">
        <v>2225</v>
      </c>
      <c r="K58">
        <v>2</v>
      </c>
      <c r="L58">
        <v>2</v>
      </c>
      <c r="M58">
        <v>234013</v>
      </c>
      <c r="N58" t="s">
        <v>2228</v>
      </c>
      <c r="O58" s="7" t="s">
        <v>70</v>
      </c>
      <c r="P58">
        <v>33</v>
      </c>
      <c r="Q58" t="s">
        <v>2229</v>
      </c>
      <c r="R58" t="s">
        <v>68</v>
      </c>
      <c r="S58" t="s">
        <v>102</v>
      </c>
      <c r="V58" s="7"/>
    </row>
    <row r="59" spans="1:22" x14ac:dyDescent="0.3">
      <c r="A59" t="s">
        <v>224</v>
      </c>
      <c r="B59" t="s">
        <v>225</v>
      </c>
      <c r="C59" t="s">
        <v>2103</v>
      </c>
      <c r="D59" t="s">
        <v>18</v>
      </c>
      <c r="E59" s="1" t="s">
        <v>2224</v>
      </c>
      <c r="F59" t="s">
        <v>221</v>
      </c>
      <c r="G59" t="s">
        <v>2103</v>
      </c>
      <c r="H59" t="s">
        <v>18</v>
      </c>
      <c r="I59" s="1">
        <v>42412</v>
      </c>
      <c r="J59" t="s">
        <v>2225</v>
      </c>
      <c r="K59">
        <v>2</v>
      </c>
      <c r="L59">
        <v>3</v>
      </c>
      <c r="M59">
        <v>373333</v>
      </c>
      <c r="N59" t="s">
        <v>2230</v>
      </c>
      <c r="O59" s="7" t="s">
        <v>70</v>
      </c>
      <c r="P59">
        <v>22</v>
      </c>
      <c r="Q59" t="s">
        <v>2231</v>
      </c>
      <c r="R59" t="s">
        <v>68</v>
      </c>
      <c r="S59" t="s">
        <v>102</v>
      </c>
      <c r="V59" s="7"/>
    </row>
    <row r="60" spans="1:22" x14ac:dyDescent="0.3">
      <c r="A60" t="s">
        <v>226</v>
      </c>
      <c r="B60" t="s">
        <v>227</v>
      </c>
      <c r="C60" t="s">
        <v>2103</v>
      </c>
      <c r="D60" t="s">
        <v>18</v>
      </c>
      <c r="E60" s="1" t="s">
        <v>2224</v>
      </c>
      <c r="F60" t="s">
        <v>221</v>
      </c>
      <c r="G60" t="s">
        <v>2103</v>
      </c>
      <c r="H60" t="s">
        <v>18</v>
      </c>
      <c r="I60" s="1">
        <v>42412</v>
      </c>
      <c r="J60" t="s">
        <v>2225</v>
      </c>
      <c r="K60">
        <v>2</v>
      </c>
      <c r="L60">
        <v>4</v>
      </c>
      <c r="M60">
        <v>256426</v>
      </c>
      <c r="N60" t="s">
        <v>2232</v>
      </c>
      <c r="O60" s="7" t="s">
        <v>70</v>
      </c>
      <c r="P60">
        <v>26</v>
      </c>
      <c r="Q60" t="s">
        <v>2233</v>
      </c>
      <c r="R60" t="s">
        <v>68</v>
      </c>
      <c r="S60" t="s">
        <v>102</v>
      </c>
      <c r="V60" s="7"/>
    </row>
    <row r="61" spans="1:22" x14ac:dyDescent="0.3">
      <c r="A61" t="s">
        <v>228</v>
      </c>
      <c r="B61" t="s">
        <v>229</v>
      </c>
      <c r="C61" t="s">
        <v>2103</v>
      </c>
      <c r="D61" t="s">
        <v>18</v>
      </c>
      <c r="E61" s="1" t="s">
        <v>2224</v>
      </c>
      <c r="F61" t="s">
        <v>221</v>
      </c>
      <c r="G61" t="s">
        <v>2103</v>
      </c>
      <c r="H61" t="s">
        <v>18</v>
      </c>
      <c r="I61" s="1">
        <v>42412</v>
      </c>
      <c r="J61" t="s">
        <v>2225</v>
      </c>
      <c r="K61">
        <v>2</v>
      </c>
      <c r="L61">
        <v>5</v>
      </c>
      <c r="M61">
        <v>298053</v>
      </c>
      <c r="N61" t="s">
        <v>2234</v>
      </c>
      <c r="O61" s="7" t="s">
        <v>70</v>
      </c>
      <c r="P61">
        <v>21</v>
      </c>
      <c r="Q61" t="s">
        <v>2235</v>
      </c>
      <c r="R61" t="s">
        <v>68</v>
      </c>
      <c r="S61" t="s">
        <v>102</v>
      </c>
      <c r="V61" s="7"/>
    </row>
    <row r="62" spans="1:22" x14ac:dyDescent="0.3">
      <c r="A62" t="s">
        <v>230</v>
      </c>
      <c r="B62" t="s">
        <v>231</v>
      </c>
      <c r="C62" t="s">
        <v>2103</v>
      </c>
      <c r="D62" t="s">
        <v>18</v>
      </c>
      <c r="E62" s="1" t="s">
        <v>2224</v>
      </c>
      <c r="F62" t="s">
        <v>221</v>
      </c>
      <c r="G62" t="s">
        <v>2103</v>
      </c>
      <c r="H62" t="s">
        <v>18</v>
      </c>
      <c r="I62" s="1">
        <v>42412</v>
      </c>
      <c r="J62" t="s">
        <v>2225</v>
      </c>
      <c r="K62">
        <v>2</v>
      </c>
      <c r="L62">
        <v>6</v>
      </c>
      <c r="M62">
        <v>340760</v>
      </c>
      <c r="N62" t="s">
        <v>2236</v>
      </c>
      <c r="O62" s="7" t="s">
        <v>70</v>
      </c>
      <c r="P62">
        <v>27</v>
      </c>
      <c r="Q62" t="s">
        <v>2237</v>
      </c>
      <c r="R62" t="s">
        <v>68</v>
      </c>
      <c r="S62" t="s">
        <v>102</v>
      </c>
      <c r="V62" s="7"/>
    </row>
    <row r="63" spans="1:22" x14ac:dyDescent="0.3">
      <c r="A63" t="s">
        <v>232</v>
      </c>
      <c r="B63" t="s">
        <v>233</v>
      </c>
      <c r="C63" t="s">
        <v>2103</v>
      </c>
      <c r="D63" t="s">
        <v>18</v>
      </c>
      <c r="E63" s="1" t="s">
        <v>2224</v>
      </c>
      <c r="F63" t="s">
        <v>221</v>
      </c>
      <c r="G63" t="s">
        <v>2103</v>
      </c>
      <c r="H63" t="s">
        <v>18</v>
      </c>
      <c r="I63" s="1">
        <v>42412</v>
      </c>
      <c r="J63" t="s">
        <v>2225</v>
      </c>
      <c r="K63">
        <v>2</v>
      </c>
      <c r="L63">
        <v>7</v>
      </c>
      <c r="M63">
        <v>265213</v>
      </c>
      <c r="N63" t="s">
        <v>2238</v>
      </c>
      <c r="O63" s="7" t="s">
        <v>70</v>
      </c>
      <c r="P63">
        <v>21</v>
      </c>
      <c r="Q63" t="s">
        <v>2239</v>
      </c>
      <c r="R63" t="s">
        <v>68</v>
      </c>
      <c r="S63" t="s">
        <v>102</v>
      </c>
      <c r="V63" s="7"/>
    </row>
    <row r="64" spans="1:22" x14ac:dyDescent="0.3">
      <c r="A64" t="s">
        <v>234</v>
      </c>
      <c r="B64" t="s">
        <v>235</v>
      </c>
      <c r="C64" t="s">
        <v>2240</v>
      </c>
      <c r="D64" t="s">
        <v>2241</v>
      </c>
      <c r="E64" s="1" t="s">
        <v>2242</v>
      </c>
      <c r="F64" t="s">
        <v>236</v>
      </c>
      <c r="G64" t="s">
        <v>2103</v>
      </c>
      <c r="H64" t="s">
        <v>18</v>
      </c>
      <c r="I64" s="1" t="s">
        <v>79</v>
      </c>
      <c r="J64" t="s">
        <v>2243</v>
      </c>
      <c r="K64">
        <v>1</v>
      </c>
      <c r="L64">
        <v>1</v>
      </c>
      <c r="M64">
        <v>232306</v>
      </c>
      <c r="N64" t="s">
        <v>2244</v>
      </c>
      <c r="O64" s="7" t="s">
        <v>70</v>
      </c>
      <c r="P64">
        <v>24</v>
      </c>
      <c r="Q64" t="s">
        <v>2245</v>
      </c>
      <c r="R64" t="s">
        <v>68</v>
      </c>
      <c r="S64" t="s">
        <v>102</v>
      </c>
      <c r="V64" s="7"/>
    </row>
    <row r="65" spans="1:22" x14ac:dyDescent="0.3">
      <c r="A65" t="s">
        <v>238</v>
      </c>
      <c r="B65" t="s">
        <v>239</v>
      </c>
      <c r="C65" t="s">
        <v>2246</v>
      </c>
      <c r="D65" t="s">
        <v>2247</v>
      </c>
      <c r="E65" s="1" t="s">
        <v>2242</v>
      </c>
      <c r="F65" t="s">
        <v>236</v>
      </c>
      <c r="G65" t="s">
        <v>2103</v>
      </c>
      <c r="H65" t="s">
        <v>18</v>
      </c>
      <c r="I65" s="1" t="s">
        <v>79</v>
      </c>
      <c r="J65" t="s">
        <v>2243</v>
      </c>
      <c r="K65">
        <v>1</v>
      </c>
      <c r="L65">
        <v>2</v>
      </c>
      <c r="M65">
        <v>236360</v>
      </c>
      <c r="N65" t="s">
        <v>2248</v>
      </c>
      <c r="O65" s="7" t="s">
        <v>70</v>
      </c>
      <c r="P65">
        <v>22</v>
      </c>
      <c r="Q65" t="s">
        <v>2249</v>
      </c>
      <c r="R65" t="s">
        <v>68</v>
      </c>
      <c r="S65" t="s">
        <v>102</v>
      </c>
      <c r="V65" s="7"/>
    </row>
    <row r="66" spans="1:22" x14ac:dyDescent="0.3">
      <c r="A66" t="s">
        <v>241</v>
      </c>
      <c r="B66" t="s">
        <v>10</v>
      </c>
      <c r="C66" t="s">
        <v>2250</v>
      </c>
      <c r="D66" t="s">
        <v>2251</v>
      </c>
      <c r="E66" s="1" t="s">
        <v>2242</v>
      </c>
      <c r="F66" t="s">
        <v>236</v>
      </c>
      <c r="G66" t="s">
        <v>2103</v>
      </c>
      <c r="H66" t="s">
        <v>18</v>
      </c>
      <c r="I66" s="1" t="s">
        <v>79</v>
      </c>
      <c r="J66" t="s">
        <v>2243</v>
      </c>
      <c r="K66">
        <v>1</v>
      </c>
      <c r="L66">
        <v>3</v>
      </c>
      <c r="M66">
        <v>384720</v>
      </c>
      <c r="N66" t="s">
        <v>2252</v>
      </c>
      <c r="O66" s="7" t="s">
        <v>70</v>
      </c>
      <c r="P66">
        <v>17</v>
      </c>
      <c r="Q66" t="s">
        <v>2253</v>
      </c>
      <c r="R66" t="s">
        <v>68</v>
      </c>
      <c r="S66" t="s">
        <v>102</v>
      </c>
      <c r="V66" s="7"/>
    </row>
    <row r="67" spans="1:22" x14ac:dyDescent="0.3">
      <c r="A67" t="s">
        <v>243</v>
      </c>
      <c r="B67" t="s">
        <v>244</v>
      </c>
      <c r="C67" t="s">
        <v>2254</v>
      </c>
      <c r="D67" t="s">
        <v>2255</v>
      </c>
      <c r="E67" s="1" t="s">
        <v>2242</v>
      </c>
      <c r="F67" t="s">
        <v>236</v>
      </c>
      <c r="G67" t="s">
        <v>2103</v>
      </c>
      <c r="H67" t="s">
        <v>18</v>
      </c>
      <c r="I67" s="1" t="s">
        <v>79</v>
      </c>
      <c r="J67" t="s">
        <v>2243</v>
      </c>
      <c r="K67">
        <v>1</v>
      </c>
      <c r="L67">
        <v>4</v>
      </c>
      <c r="M67">
        <v>189320</v>
      </c>
      <c r="N67" t="s">
        <v>2256</v>
      </c>
      <c r="O67" s="7" t="s">
        <v>70</v>
      </c>
      <c r="P67">
        <v>26</v>
      </c>
      <c r="Q67" t="s">
        <v>2257</v>
      </c>
      <c r="R67" t="s">
        <v>68</v>
      </c>
      <c r="S67" t="s">
        <v>102</v>
      </c>
      <c r="V67" s="7"/>
    </row>
    <row r="68" spans="1:22" x14ac:dyDescent="0.3">
      <c r="A68" t="s">
        <v>245</v>
      </c>
      <c r="B68" t="s">
        <v>246</v>
      </c>
      <c r="C68" t="s">
        <v>2254</v>
      </c>
      <c r="D68" t="s">
        <v>2255</v>
      </c>
      <c r="E68" s="1" t="s">
        <v>2242</v>
      </c>
      <c r="F68" t="s">
        <v>236</v>
      </c>
      <c r="G68" t="s">
        <v>2103</v>
      </c>
      <c r="H68" t="s">
        <v>18</v>
      </c>
      <c r="I68" s="1" t="s">
        <v>79</v>
      </c>
      <c r="J68" t="s">
        <v>2243</v>
      </c>
      <c r="K68">
        <v>1</v>
      </c>
      <c r="L68">
        <v>5</v>
      </c>
      <c r="M68">
        <v>178573</v>
      </c>
      <c r="N68" t="s">
        <v>2258</v>
      </c>
      <c r="O68" s="7" t="s">
        <v>70</v>
      </c>
      <c r="P68">
        <v>28</v>
      </c>
      <c r="Q68" t="s">
        <v>2259</v>
      </c>
      <c r="R68" t="s">
        <v>68</v>
      </c>
      <c r="S68" t="s">
        <v>102</v>
      </c>
      <c r="V68" s="7"/>
    </row>
    <row r="69" spans="1:22" x14ac:dyDescent="0.3">
      <c r="A69" t="s">
        <v>247</v>
      </c>
      <c r="B69" t="s">
        <v>248</v>
      </c>
      <c r="C69" t="s">
        <v>2260</v>
      </c>
      <c r="D69" t="s">
        <v>2261</v>
      </c>
      <c r="E69" s="1" t="s">
        <v>2242</v>
      </c>
      <c r="F69" t="s">
        <v>236</v>
      </c>
      <c r="G69" t="s">
        <v>2103</v>
      </c>
      <c r="H69" t="s">
        <v>18</v>
      </c>
      <c r="I69" s="1" t="s">
        <v>79</v>
      </c>
      <c r="J69" t="s">
        <v>2243</v>
      </c>
      <c r="K69">
        <v>1</v>
      </c>
      <c r="L69">
        <v>6</v>
      </c>
      <c r="M69">
        <v>177453</v>
      </c>
      <c r="N69" t="s">
        <v>2262</v>
      </c>
      <c r="O69" s="7" t="s">
        <v>70</v>
      </c>
      <c r="P69">
        <v>15</v>
      </c>
      <c r="Q69" t="s">
        <v>2263</v>
      </c>
      <c r="R69" t="s">
        <v>68</v>
      </c>
      <c r="S69" t="s">
        <v>102</v>
      </c>
      <c r="V69" s="7"/>
    </row>
    <row r="70" spans="1:22" x14ac:dyDescent="0.3">
      <c r="A70" t="s">
        <v>250</v>
      </c>
      <c r="B70" t="s">
        <v>251</v>
      </c>
      <c r="C70" t="s">
        <v>2264</v>
      </c>
      <c r="D70" t="s">
        <v>2265</v>
      </c>
      <c r="E70" s="1" t="s">
        <v>2242</v>
      </c>
      <c r="F70" t="s">
        <v>236</v>
      </c>
      <c r="G70" t="s">
        <v>2103</v>
      </c>
      <c r="H70" t="s">
        <v>18</v>
      </c>
      <c r="I70" s="1" t="s">
        <v>79</v>
      </c>
      <c r="J70" t="s">
        <v>2243</v>
      </c>
      <c r="K70">
        <v>1</v>
      </c>
      <c r="L70">
        <v>7</v>
      </c>
      <c r="M70">
        <v>270053</v>
      </c>
      <c r="N70" t="s">
        <v>2266</v>
      </c>
      <c r="O70" s="7" t="s">
        <v>70</v>
      </c>
      <c r="P70">
        <v>24</v>
      </c>
      <c r="Q70" t="s">
        <v>2267</v>
      </c>
      <c r="R70" t="s">
        <v>68</v>
      </c>
      <c r="S70" t="s">
        <v>102</v>
      </c>
      <c r="V70" s="7"/>
    </row>
    <row r="71" spans="1:22" x14ac:dyDescent="0.3">
      <c r="A71" t="s">
        <v>253</v>
      </c>
      <c r="B71" t="s">
        <v>254</v>
      </c>
      <c r="C71" t="s">
        <v>2268</v>
      </c>
      <c r="D71" t="s">
        <v>2269</v>
      </c>
      <c r="E71" s="1" t="s">
        <v>2242</v>
      </c>
      <c r="F71" t="s">
        <v>236</v>
      </c>
      <c r="G71" t="s">
        <v>2103</v>
      </c>
      <c r="H71" t="s">
        <v>18</v>
      </c>
      <c r="I71" s="1" t="s">
        <v>79</v>
      </c>
      <c r="J71" t="s">
        <v>2243</v>
      </c>
      <c r="K71">
        <v>1</v>
      </c>
      <c r="L71">
        <v>8</v>
      </c>
      <c r="M71">
        <v>346986</v>
      </c>
      <c r="N71" t="s">
        <v>2270</v>
      </c>
      <c r="O71" s="7" t="s">
        <v>70</v>
      </c>
      <c r="P71">
        <v>23</v>
      </c>
      <c r="Q71" t="s">
        <v>2271</v>
      </c>
      <c r="R71" t="s">
        <v>68</v>
      </c>
      <c r="S71" t="s">
        <v>102</v>
      </c>
      <c r="V71" s="7"/>
    </row>
    <row r="72" spans="1:22" x14ac:dyDescent="0.3">
      <c r="A72" t="s">
        <v>256</v>
      </c>
      <c r="B72" t="s">
        <v>257</v>
      </c>
      <c r="C72" t="s">
        <v>2272</v>
      </c>
      <c r="D72" t="s">
        <v>2273</v>
      </c>
      <c r="E72" s="1" t="s">
        <v>2242</v>
      </c>
      <c r="F72" t="s">
        <v>236</v>
      </c>
      <c r="G72" t="s">
        <v>2103</v>
      </c>
      <c r="H72" t="s">
        <v>18</v>
      </c>
      <c r="I72" s="1" t="s">
        <v>79</v>
      </c>
      <c r="J72" t="s">
        <v>2243</v>
      </c>
      <c r="K72">
        <v>1</v>
      </c>
      <c r="L72">
        <v>9</v>
      </c>
      <c r="M72">
        <v>186906</v>
      </c>
      <c r="N72" t="s">
        <v>2274</v>
      </c>
      <c r="O72" s="7" t="s">
        <v>70</v>
      </c>
      <c r="P72">
        <v>20</v>
      </c>
      <c r="Q72" t="s">
        <v>2275</v>
      </c>
      <c r="R72" t="s">
        <v>68</v>
      </c>
      <c r="S72" t="s">
        <v>102</v>
      </c>
      <c r="V72" s="7"/>
    </row>
    <row r="73" spans="1:22" x14ac:dyDescent="0.3">
      <c r="A73" t="s">
        <v>258</v>
      </c>
      <c r="B73" t="s">
        <v>259</v>
      </c>
      <c r="C73" t="s">
        <v>2276</v>
      </c>
      <c r="D73" t="s">
        <v>2277</v>
      </c>
      <c r="E73" s="1" t="s">
        <v>2242</v>
      </c>
      <c r="F73" t="s">
        <v>236</v>
      </c>
      <c r="G73" t="s">
        <v>2103</v>
      </c>
      <c r="H73" t="s">
        <v>18</v>
      </c>
      <c r="I73" s="1" t="s">
        <v>79</v>
      </c>
      <c r="J73" t="s">
        <v>2243</v>
      </c>
      <c r="K73">
        <v>1</v>
      </c>
      <c r="L73">
        <v>10</v>
      </c>
      <c r="M73">
        <v>186306</v>
      </c>
      <c r="N73" t="s">
        <v>2278</v>
      </c>
      <c r="O73" s="7" t="s">
        <v>70</v>
      </c>
      <c r="P73">
        <v>14</v>
      </c>
      <c r="Q73" t="s">
        <v>2279</v>
      </c>
      <c r="R73" t="s">
        <v>68</v>
      </c>
      <c r="S73" t="s">
        <v>102</v>
      </c>
      <c r="V73" s="7"/>
    </row>
    <row r="74" spans="1:22" x14ac:dyDescent="0.3">
      <c r="A74" t="s">
        <v>261</v>
      </c>
      <c r="B74" t="s">
        <v>262</v>
      </c>
      <c r="C74" t="s">
        <v>2280</v>
      </c>
      <c r="D74" t="s">
        <v>2281</v>
      </c>
      <c r="E74" s="1" t="s">
        <v>2242</v>
      </c>
      <c r="F74" t="s">
        <v>236</v>
      </c>
      <c r="G74" t="s">
        <v>2103</v>
      </c>
      <c r="H74" t="s">
        <v>18</v>
      </c>
      <c r="I74" s="1" t="s">
        <v>79</v>
      </c>
      <c r="J74" t="s">
        <v>2243</v>
      </c>
      <c r="K74">
        <v>1</v>
      </c>
      <c r="L74">
        <v>11</v>
      </c>
      <c r="M74">
        <v>406400</v>
      </c>
      <c r="N74" t="s">
        <v>2282</v>
      </c>
      <c r="O74" s="7" t="s">
        <v>70</v>
      </c>
      <c r="P74">
        <v>16</v>
      </c>
      <c r="Q74" t="s">
        <v>2283</v>
      </c>
      <c r="R74" t="s">
        <v>68</v>
      </c>
      <c r="S74" t="s">
        <v>102</v>
      </c>
      <c r="V74" s="7"/>
    </row>
    <row r="75" spans="1:22" x14ac:dyDescent="0.3">
      <c r="A75" t="s">
        <v>264</v>
      </c>
      <c r="B75" t="s">
        <v>265</v>
      </c>
      <c r="C75" t="s">
        <v>2284</v>
      </c>
      <c r="D75" t="s">
        <v>2285</v>
      </c>
      <c r="E75" s="1" t="s">
        <v>2242</v>
      </c>
      <c r="F75" t="s">
        <v>236</v>
      </c>
      <c r="G75" t="s">
        <v>2103</v>
      </c>
      <c r="H75" t="s">
        <v>18</v>
      </c>
      <c r="I75" s="1" t="s">
        <v>79</v>
      </c>
      <c r="J75" t="s">
        <v>2243</v>
      </c>
      <c r="K75">
        <v>1</v>
      </c>
      <c r="L75">
        <v>12</v>
      </c>
      <c r="M75">
        <v>176640</v>
      </c>
      <c r="N75" t="s">
        <v>2286</v>
      </c>
      <c r="O75" s="7" t="s">
        <v>70</v>
      </c>
      <c r="P75">
        <v>14</v>
      </c>
      <c r="Q75" t="s">
        <v>2287</v>
      </c>
      <c r="R75" t="s">
        <v>68</v>
      </c>
      <c r="S75" t="s">
        <v>102</v>
      </c>
      <c r="V75" s="7"/>
    </row>
    <row r="76" spans="1:22" x14ac:dyDescent="0.3">
      <c r="A76" t="s">
        <v>267</v>
      </c>
      <c r="B76" t="s">
        <v>23</v>
      </c>
      <c r="C76" t="s">
        <v>2288</v>
      </c>
      <c r="D76" t="s">
        <v>2289</v>
      </c>
      <c r="E76" s="1" t="s">
        <v>2242</v>
      </c>
      <c r="F76" t="s">
        <v>236</v>
      </c>
      <c r="G76" t="s">
        <v>2103</v>
      </c>
      <c r="H76" t="s">
        <v>18</v>
      </c>
      <c r="I76" s="1" t="s">
        <v>79</v>
      </c>
      <c r="J76" t="s">
        <v>2243</v>
      </c>
      <c r="K76">
        <v>1</v>
      </c>
      <c r="L76">
        <v>13</v>
      </c>
      <c r="M76">
        <v>276013</v>
      </c>
      <c r="N76" t="s">
        <v>2290</v>
      </c>
      <c r="O76" s="7" t="s">
        <v>70</v>
      </c>
      <c r="P76">
        <v>27</v>
      </c>
      <c r="Q76" t="s">
        <v>2291</v>
      </c>
      <c r="R76" t="s">
        <v>68</v>
      </c>
      <c r="S76" t="s">
        <v>102</v>
      </c>
      <c r="V76" s="7"/>
    </row>
    <row r="77" spans="1:22" x14ac:dyDescent="0.3">
      <c r="A77" t="s">
        <v>269</v>
      </c>
      <c r="B77" t="s">
        <v>270</v>
      </c>
      <c r="C77" t="s">
        <v>2292</v>
      </c>
      <c r="D77" t="s">
        <v>2293</v>
      </c>
      <c r="E77" s="1" t="s">
        <v>2242</v>
      </c>
      <c r="F77" t="s">
        <v>236</v>
      </c>
      <c r="G77" t="s">
        <v>2103</v>
      </c>
      <c r="H77" t="s">
        <v>18</v>
      </c>
      <c r="I77" s="1" t="s">
        <v>79</v>
      </c>
      <c r="J77" t="s">
        <v>2243</v>
      </c>
      <c r="K77">
        <v>1</v>
      </c>
      <c r="L77">
        <v>14</v>
      </c>
      <c r="M77">
        <v>245520</v>
      </c>
      <c r="N77" t="s">
        <v>2294</v>
      </c>
      <c r="O77" s="7" t="s">
        <v>70</v>
      </c>
      <c r="P77">
        <v>11</v>
      </c>
      <c r="Q77" t="s">
        <v>2295</v>
      </c>
      <c r="R77" t="s">
        <v>68</v>
      </c>
      <c r="S77" t="s">
        <v>102</v>
      </c>
      <c r="V77" s="7"/>
    </row>
    <row r="78" spans="1:22" x14ac:dyDescent="0.3">
      <c r="A78" t="s">
        <v>271</v>
      </c>
      <c r="B78" t="s">
        <v>272</v>
      </c>
      <c r="C78" t="s">
        <v>2296</v>
      </c>
      <c r="D78" t="s">
        <v>2297</v>
      </c>
      <c r="E78" s="1" t="s">
        <v>2242</v>
      </c>
      <c r="F78" t="s">
        <v>236</v>
      </c>
      <c r="G78" t="s">
        <v>2103</v>
      </c>
      <c r="H78" t="s">
        <v>18</v>
      </c>
      <c r="I78" s="1" t="s">
        <v>79</v>
      </c>
      <c r="J78" t="s">
        <v>2243</v>
      </c>
      <c r="K78">
        <v>1</v>
      </c>
      <c r="L78">
        <v>15</v>
      </c>
      <c r="M78">
        <v>180066</v>
      </c>
      <c r="N78" t="s">
        <v>2298</v>
      </c>
      <c r="O78" s="7" t="s">
        <v>70</v>
      </c>
      <c r="P78">
        <v>18</v>
      </c>
      <c r="Q78" t="s">
        <v>2299</v>
      </c>
      <c r="R78" t="s">
        <v>68</v>
      </c>
      <c r="S78" t="s">
        <v>102</v>
      </c>
      <c r="V78" s="7"/>
    </row>
    <row r="79" spans="1:22" x14ac:dyDescent="0.3">
      <c r="A79" t="s">
        <v>273</v>
      </c>
      <c r="B79" t="s">
        <v>274</v>
      </c>
      <c r="C79" t="s">
        <v>2300</v>
      </c>
      <c r="D79" t="s">
        <v>2301</v>
      </c>
      <c r="E79" s="1" t="s">
        <v>2242</v>
      </c>
      <c r="F79" t="s">
        <v>236</v>
      </c>
      <c r="G79" t="s">
        <v>2103</v>
      </c>
      <c r="H79" t="s">
        <v>18</v>
      </c>
      <c r="I79" s="1" t="s">
        <v>79</v>
      </c>
      <c r="J79" t="s">
        <v>2243</v>
      </c>
      <c r="K79">
        <v>1</v>
      </c>
      <c r="L79">
        <v>16</v>
      </c>
      <c r="M79">
        <v>433866</v>
      </c>
      <c r="N79" t="s">
        <v>2302</v>
      </c>
      <c r="O79" s="7" t="s">
        <v>70</v>
      </c>
      <c r="P79">
        <v>11</v>
      </c>
      <c r="Q79" t="s">
        <v>2303</v>
      </c>
      <c r="R79" t="s">
        <v>68</v>
      </c>
      <c r="S79" t="s">
        <v>102</v>
      </c>
      <c r="V79" s="7"/>
    </row>
    <row r="80" spans="1:22" x14ac:dyDescent="0.3">
      <c r="A80" t="s">
        <v>276</v>
      </c>
      <c r="B80" t="s">
        <v>277</v>
      </c>
      <c r="C80" t="s">
        <v>2103</v>
      </c>
      <c r="D80" t="s">
        <v>18</v>
      </c>
      <c r="E80" s="1" t="s">
        <v>2242</v>
      </c>
      <c r="F80" t="s">
        <v>236</v>
      </c>
      <c r="G80" t="s">
        <v>2103</v>
      </c>
      <c r="H80" t="s">
        <v>18</v>
      </c>
      <c r="I80" s="1" t="s">
        <v>79</v>
      </c>
      <c r="J80" t="s">
        <v>2243</v>
      </c>
      <c r="K80">
        <v>1</v>
      </c>
      <c r="L80">
        <v>17</v>
      </c>
      <c r="M80">
        <v>4228786</v>
      </c>
      <c r="N80" t="s">
        <v>2304</v>
      </c>
      <c r="O80" s="7" t="s">
        <v>70</v>
      </c>
      <c r="P80">
        <v>10</v>
      </c>
      <c r="Q80" t="s">
        <v>2305</v>
      </c>
      <c r="R80" t="s">
        <v>68</v>
      </c>
      <c r="S80" t="s">
        <v>102</v>
      </c>
      <c r="V80" s="7"/>
    </row>
    <row r="81" spans="1:22" x14ac:dyDescent="0.3">
      <c r="A81" t="s">
        <v>278</v>
      </c>
      <c r="B81" t="s">
        <v>279</v>
      </c>
      <c r="C81" t="s">
        <v>2306</v>
      </c>
      <c r="D81" t="s">
        <v>2307</v>
      </c>
      <c r="E81" s="1" t="s">
        <v>2308</v>
      </c>
      <c r="F81" t="s">
        <v>280</v>
      </c>
      <c r="G81" t="s">
        <v>2103</v>
      </c>
      <c r="H81" t="s">
        <v>18</v>
      </c>
      <c r="I81" s="1">
        <v>42526</v>
      </c>
      <c r="J81" t="s">
        <v>2309</v>
      </c>
      <c r="K81">
        <v>1</v>
      </c>
      <c r="L81">
        <v>1</v>
      </c>
      <c r="M81">
        <v>265600</v>
      </c>
      <c r="N81" t="s">
        <v>2310</v>
      </c>
      <c r="O81" s="7" t="s">
        <v>70</v>
      </c>
      <c r="P81">
        <v>28</v>
      </c>
      <c r="Q81" t="s">
        <v>2311</v>
      </c>
      <c r="R81" t="s">
        <v>68</v>
      </c>
      <c r="S81" t="s">
        <v>102</v>
      </c>
      <c r="V81" s="7"/>
    </row>
    <row r="82" spans="1:22" x14ac:dyDescent="0.3">
      <c r="A82" t="s">
        <v>282</v>
      </c>
      <c r="B82" t="s">
        <v>283</v>
      </c>
      <c r="C82" t="s">
        <v>2103</v>
      </c>
      <c r="D82" t="s">
        <v>18</v>
      </c>
      <c r="E82" s="1" t="s">
        <v>2308</v>
      </c>
      <c r="F82" t="s">
        <v>280</v>
      </c>
      <c r="G82" t="s">
        <v>2103</v>
      </c>
      <c r="H82" t="s">
        <v>18</v>
      </c>
      <c r="I82" s="1">
        <v>42526</v>
      </c>
      <c r="J82" t="s">
        <v>2309</v>
      </c>
      <c r="K82">
        <v>1</v>
      </c>
      <c r="L82">
        <v>2</v>
      </c>
      <c r="M82">
        <v>250000</v>
      </c>
      <c r="N82" t="s">
        <v>2312</v>
      </c>
      <c r="O82" s="7" t="s">
        <v>70</v>
      </c>
      <c r="P82">
        <v>29</v>
      </c>
      <c r="Q82" t="s">
        <v>2313</v>
      </c>
      <c r="R82" t="s">
        <v>68</v>
      </c>
      <c r="S82" t="s">
        <v>102</v>
      </c>
      <c r="V82" s="7"/>
    </row>
    <row r="83" spans="1:22" x14ac:dyDescent="0.3">
      <c r="A83" t="s">
        <v>284</v>
      </c>
      <c r="B83" t="s">
        <v>285</v>
      </c>
      <c r="C83" t="s">
        <v>2314</v>
      </c>
      <c r="D83" t="s">
        <v>2315</v>
      </c>
      <c r="E83" s="1" t="s">
        <v>2308</v>
      </c>
      <c r="F83" t="s">
        <v>280</v>
      </c>
      <c r="G83" t="s">
        <v>2103</v>
      </c>
      <c r="H83" t="s">
        <v>18</v>
      </c>
      <c r="I83" s="1">
        <v>42526</v>
      </c>
      <c r="J83" t="s">
        <v>2309</v>
      </c>
      <c r="K83">
        <v>1</v>
      </c>
      <c r="L83">
        <v>3</v>
      </c>
      <c r="M83">
        <v>241013</v>
      </c>
      <c r="N83" t="s">
        <v>2316</v>
      </c>
      <c r="O83" s="7" t="s">
        <v>70</v>
      </c>
      <c r="P83">
        <v>42</v>
      </c>
      <c r="Q83" t="s">
        <v>2317</v>
      </c>
      <c r="R83" t="s">
        <v>68</v>
      </c>
      <c r="S83" t="s">
        <v>102</v>
      </c>
      <c r="V83" s="7"/>
    </row>
    <row r="84" spans="1:22" x14ac:dyDescent="0.3">
      <c r="A84" t="s">
        <v>287</v>
      </c>
      <c r="B84" t="s">
        <v>288</v>
      </c>
      <c r="C84" t="s">
        <v>2318</v>
      </c>
      <c r="D84" t="s">
        <v>2319</v>
      </c>
      <c r="E84" s="1" t="s">
        <v>2308</v>
      </c>
      <c r="F84" t="s">
        <v>280</v>
      </c>
      <c r="G84" t="s">
        <v>2103</v>
      </c>
      <c r="H84" t="s">
        <v>18</v>
      </c>
      <c r="I84" s="1">
        <v>42526</v>
      </c>
      <c r="J84" t="s">
        <v>2309</v>
      </c>
      <c r="K84">
        <v>1</v>
      </c>
      <c r="L84">
        <v>4</v>
      </c>
      <c r="M84">
        <v>220506</v>
      </c>
      <c r="N84" t="s">
        <v>2320</v>
      </c>
      <c r="O84" s="7" t="s">
        <v>70</v>
      </c>
      <c r="P84">
        <v>19</v>
      </c>
      <c r="Q84" t="s">
        <v>2321</v>
      </c>
      <c r="R84" t="s">
        <v>68</v>
      </c>
      <c r="S84" t="s">
        <v>102</v>
      </c>
      <c r="V84" s="7"/>
    </row>
    <row r="85" spans="1:22" x14ac:dyDescent="0.3">
      <c r="A85" t="s">
        <v>290</v>
      </c>
      <c r="B85" t="s">
        <v>291</v>
      </c>
      <c r="C85" t="s">
        <v>2322</v>
      </c>
      <c r="D85" t="s">
        <v>2323</v>
      </c>
      <c r="E85" s="1" t="s">
        <v>2308</v>
      </c>
      <c r="F85" t="s">
        <v>280</v>
      </c>
      <c r="G85" t="s">
        <v>2103</v>
      </c>
      <c r="H85" t="s">
        <v>18</v>
      </c>
      <c r="I85" s="1">
        <v>42526</v>
      </c>
      <c r="J85" t="s">
        <v>2309</v>
      </c>
      <c r="K85">
        <v>1</v>
      </c>
      <c r="L85">
        <v>5</v>
      </c>
      <c r="M85">
        <v>238506</v>
      </c>
      <c r="N85" t="s">
        <v>2324</v>
      </c>
      <c r="O85" s="7" t="s">
        <v>70</v>
      </c>
      <c r="P85">
        <v>21</v>
      </c>
      <c r="Q85" t="s">
        <v>2325</v>
      </c>
      <c r="R85" t="s">
        <v>68</v>
      </c>
      <c r="S85" t="s">
        <v>102</v>
      </c>
      <c r="V85" s="7"/>
    </row>
    <row r="86" spans="1:22" x14ac:dyDescent="0.3">
      <c r="A86" t="s">
        <v>293</v>
      </c>
      <c r="B86" t="s">
        <v>294</v>
      </c>
      <c r="C86" t="s">
        <v>2326</v>
      </c>
      <c r="D86" t="s">
        <v>2327</v>
      </c>
      <c r="E86" s="1" t="s">
        <v>2308</v>
      </c>
      <c r="F86" t="s">
        <v>280</v>
      </c>
      <c r="G86" t="s">
        <v>2103</v>
      </c>
      <c r="H86" t="s">
        <v>18</v>
      </c>
      <c r="I86" s="1">
        <v>42526</v>
      </c>
      <c r="J86" t="s">
        <v>2309</v>
      </c>
      <c r="K86">
        <v>1</v>
      </c>
      <c r="L86">
        <v>6</v>
      </c>
      <c r="M86">
        <v>239000</v>
      </c>
      <c r="N86" t="s">
        <v>2328</v>
      </c>
      <c r="O86" s="7" t="s">
        <v>70</v>
      </c>
      <c r="P86">
        <v>21</v>
      </c>
      <c r="Q86" t="s">
        <v>2329</v>
      </c>
      <c r="R86" t="s">
        <v>68</v>
      </c>
      <c r="S86" t="s">
        <v>102</v>
      </c>
      <c r="V86" s="7"/>
    </row>
    <row r="87" spans="1:22" x14ac:dyDescent="0.3">
      <c r="A87" t="s">
        <v>296</v>
      </c>
      <c r="B87" t="s">
        <v>297</v>
      </c>
      <c r="C87" t="s">
        <v>2330</v>
      </c>
      <c r="D87" t="s">
        <v>2331</v>
      </c>
      <c r="E87" s="1" t="s">
        <v>2308</v>
      </c>
      <c r="F87" t="s">
        <v>280</v>
      </c>
      <c r="G87" t="s">
        <v>2103</v>
      </c>
      <c r="H87" t="s">
        <v>18</v>
      </c>
      <c r="I87" s="1">
        <v>42526</v>
      </c>
      <c r="J87" t="s">
        <v>2309</v>
      </c>
      <c r="K87">
        <v>1</v>
      </c>
      <c r="L87">
        <v>7</v>
      </c>
      <c r="M87">
        <v>250013</v>
      </c>
      <c r="N87" t="s">
        <v>2332</v>
      </c>
      <c r="O87" s="7" t="s">
        <v>70</v>
      </c>
      <c r="P87">
        <v>33</v>
      </c>
      <c r="Q87" t="s">
        <v>2333</v>
      </c>
      <c r="R87" t="s">
        <v>68</v>
      </c>
      <c r="S87" t="s">
        <v>102</v>
      </c>
      <c r="V87" s="7"/>
    </row>
    <row r="88" spans="1:22" x14ac:dyDescent="0.3">
      <c r="A88" t="s">
        <v>299</v>
      </c>
      <c r="B88" t="s">
        <v>300</v>
      </c>
      <c r="C88" t="s">
        <v>2334</v>
      </c>
      <c r="D88" t="s">
        <v>2335</v>
      </c>
      <c r="E88" s="1" t="s">
        <v>2308</v>
      </c>
      <c r="F88" t="s">
        <v>280</v>
      </c>
      <c r="G88" t="s">
        <v>2103</v>
      </c>
      <c r="H88" t="s">
        <v>18</v>
      </c>
      <c r="I88" s="1">
        <v>42526</v>
      </c>
      <c r="J88" t="s">
        <v>2309</v>
      </c>
      <c r="K88">
        <v>1</v>
      </c>
      <c r="L88">
        <v>8</v>
      </c>
      <c r="M88">
        <v>379000</v>
      </c>
      <c r="N88" t="s">
        <v>2336</v>
      </c>
      <c r="O88" s="7" t="s">
        <v>70</v>
      </c>
      <c r="P88">
        <v>21</v>
      </c>
      <c r="Q88" t="s">
        <v>2337</v>
      </c>
      <c r="R88" t="s">
        <v>68</v>
      </c>
      <c r="S88" t="s">
        <v>102</v>
      </c>
      <c r="V88" s="7"/>
    </row>
    <row r="89" spans="1:22" x14ac:dyDescent="0.3">
      <c r="A89" t="s">
        <v>301</v>
      </c>
      <c r="B89" t="s">
        <v>302</v>
      </c>
      <c r="C89" t="s">
        <v>2338</v>
      </c>
      <c r="D89" t="s">
        <v>2339</v>
      </c>
      <c r="E89" s="1" t="s">
        <v>2308</v>
      </c>
      <c r="F89" t="s">
        <v>280</v>
      </c>
      <c r="G89" t="s">
        <v>2103</v>
      </c>
      <c r="H89" t="s">
        <v>18</v>
      </c>
      <c r="I89" s="1">
        <v>42526</v>
      </c>
      <c r="J89" t="s">
        <v>2309</v>
      </c>
      <c r="K89">
        <v>1</v>
      </c>
      <c r="L89">
        <v>9</v>
      </c>
      <c r="M89">
        <v>207013</v>
      </c>
      <c r="N89" t="s">
        <v>2340</v>
      </c>
      <c r="O89" s="7" t="s">
        <v>70</v>
      </c>
      <c r="P89">
        <v>15</v>
      </c>
      <c r="Q89" t="s">
        <v>2341</v>
      </c>
      <c r="R89" t="s">
        <v>68</v>
      </c>
      <c r="S89" t="s">
        <v>102</v>
      </c>
    </row>
    <row r="90" spans="1:22" x14ac:dyDescent="0.3">
      <c r="A90" t="s">
        <v>304</v>
      </c>
      <c r="B90" t="s">
        <v>305</v>
      </c>
      <c r="C90" t="s">
        <v>2342</v>
      </c>
      <c r="D90" t="s">
        <v>2343</v>
      </c>
      <c r="E90" s="1" t="s">
        <v>2308</v>
      </c>
      <c r="F90" t="s">
        <v>280</v>
      </c>
      <c r="G90" t="s">
        <v>2103</v>
      </c>
      <c r="H90" t="s">
        <v>18</v>
      </c>
      <c r="I90" s="1">
        <v>42526</v>
      </c>
      <c r="J90" t="s">
        <v>2309</v>
      </c>
      <c r="K90">
        <v>1</v>
      </c>
      <c r="L90">
        <v>10</v>
      </c>
      <c r="M90">
        <v>223506</v>
      </c>
      <c r="N90" t="s">
        <v>2344</v>
      </c>
      <c r="O90" s="7" t="s">
        <v>70</v>
      </c>
      <c r="P90">
        <v>18</v>
      </c>
      <c r="Q90" t="s">
        <v>2345</v>
      </c>
      <c r="R90" t="s">
        <v>68</v>
      </c>
      <c r="S90" t="s">
        <v>102</v>
      </c>
      <c r="V90" s="7"/>
    </row>
    <row r="91" spans="1:22" x14ac:dyDescent="0.3">
      <c r="A91" t="s">
        <v>307</v>
      </c>
      <c r="B91" t="s">
        <v>308</v>
      </c>
      <c r="C91" t="s">
        <v>2346</v>
      </c>
      <c r="D91" t="s">
        <v>2347</v>
      </c>
      <c r="E91" s="1" t="s">
        <v>2308</v>
      </c>
      <c r="F91" t="s">
        <v>280</v>
      </c>
      <c r="G91" t="s">
        <v>2103</v>
      </c>
      <c r="H91" t="s">
        <v>18</v>
      </c>
      <c r="I91" s="1">
        <v>42526</v>
      </c>
      <c r="J91" t="s">
        <v>2309</v>
      </c>
      <c r="K91">
        <v>1</v>
      </c>
      <c r="L91">
        <v>11</v>
      </c>
      <c r="M91">
        <v>283000</v>
      </c>
      <c r="N91" t="s">
        <v>2348</v>
      </c>
      <c r="O91" s="7" t="s">
        <v>70</v>
      </c>
      <c r="P91">
        <v>14</v>
      </c>
      <c r="Q91" t="s">
        <v>2349</v>
      </c>
      <c r="R91" t="s">
        <v>68</v>
      </c>
      <c r="S91" t="s">
        <v>102</v>
      </c>
      <c r="V91" s="7"/>
    </row>
    <row r="92" spans="1:22" x14ac:dyDescent="0.3">
      <c r="A92" t="s">
        <v>310</v>
      </c>
      <c r="B92" t="s">
        <v>311</v>
      </c>
      <c r="C92" t="s">
        <v>2350</v>
      </c>
      <c r="D92" t="s">
        <v>2351</v>
      </c>
      <c r="E92" s="1" t="s">
        <v>2308</v>
      </c>
      <c r="F92" t="s">
        <v>280</v>
      </c>
      <c r="G92" t="s">
        <v>2103</v>
      </c>
      <c r="H92" t="s">
        <v>18</v>
      </c>
      <c r="I92" s="1">
        <v>42526</v>
      </c>
      <c r="J92" t="s">
        <v>2309</v>
      </c>
      <c r="K92">
        <v>1</v>
      </c>
      <c r="L92">
        <v>12</v>
      </c>
      <c r="M92">
        <v>189013</v>
      </c>
      <c r="N92" t="s">
        <v>2352</v>
      </c>
      <c r="O92" s="7" t="s">
        <v>70</v>
      </c>
      <c r="P92">
        <v>19</v>
      </c>
      <c r="Q92" t="s">
        <v>2353</v>
      </c>
      <c r="R92" t="s">
        <v>68</v>
      </c>
      <c r="S92" t="s">
        <v>102</v>
      </c>
      <c r="V92" s="7"/>
    </row>
    <row r="93" spans="1:22" x14ac:dyDescent="0.3">
      <c r="A93" t="s">
        <v>313</v>
      </c>
      <c r="B93" t="s">
        <v>314</v>
      </c>
      <c r="C93" t="s">
        <v>2354</v>
      </c>
      <c r="D93" t="s">
        <v>2355</v>
      </c>
      <c r="E93" s="1" t="s">
        <v>2308</v>
      </c>
      <c r="F93" t="s">
        <v>280</v>
      </c>
      <c r="G93" t="s">
        <v>2103</v>
      </c>
      <c r="H93" t="s">
        <v>18</v>
      </c>
      <c r="I93" s="1">
        <v>42526</v>
      </c>
      <c r="J93" t="s">
        <v>2309</v>
      </c>
      <c r="K93">
        <v>1</v>
      </c>
      <c r="L93">
        <v>13</v>
      </c>
      <c r="M93">
        <v>238000</v>
      </c>
      <c r="N93" t="s">
        <v>2356</v>
      </c>
      <c r="O93" s="7" t="s">
        <v>70</v>
      </c>
      <c r="P93">
        <v>34</v>
      </c>
      <c r="Q93" t="s">
        <v>2357</v>
      </c>
      <c r="R93" t="s">
        <v>68</v>
      </c>
      <c r="S93" t="s">
        <v>102</v>
      </c>
      <c r="V93" s="7"/>
    </row>
    <row r="94" spans="1:22" x14ac:dyDescent="0.3">
      <c r="A94" t="s">
        <v>316</v>
      </c>
      <c r="B94" t="s">
        <v>317</v>
      </c>
      <c r="C94" t="s">
        <v>2358</v>
      </c>
      <c r="D94" t="s">
        <v>2359</v>
      </c>
      <c r="E94" s="1" t="s">
        <v>2308</v>
      </c>
      <c r="F94" t="s">
        <v>280</v>
      </c>
      <c r="G94" t="s">
        <v>2103</v>
      </c>
      <c r="H94" t="s">
        <v>18</v>
      </c>
      <c r="I94" s="1">
        <v>42526</v>
      </c>
      <c r="J94" t="s">
        <v>2309</v>
      </c>
      <c r="K94">
        <v>1</v>
      </c>
      <c r="L94">
        <v>14</v>
      </c>
      <c r="M94">
        <v>283013</v>
      </c>
      <c r="N94" t="s">
        <v>2360</v>
      </c>
      <c r="O94" s="7" t="s">
        <v>70</v>
      </c>
      <c r="P94">
        <v>14</v>
      </c>
      <c r="Q94" t="s">
        <v>2361</v>
      </c>
      <c r="R94" t="s">
        <v>68</v>
      </c>
      <c r="S94" t="s">
        <v>102</v>
      </c>
      <c r="V94" s="7"/>
    </row>
    <row r="95" spans="1:22" x14ac:dyDescent="0.3">
      <c r="A95" t="s">
        <v>319</v>
      </c>
      <c r="B95" t="s">
        <v>320</v>
      </c>
      <c r="C95" t="s">
        <v>2362</v>
      </c>
      <c r="D95" t="s">
        <v>2363</v>
      </c>
      <c r="E95" s="1" t="s">
        <v>2308</v>
      </c>
      <c r="F95" t="s">
        <v>280</v>
      </c>
      <c r="G95" t="s">
        <v>2103</v>
      </c>
      <c r="H95" t="s">
        <v>18</v>
      </c>
      <c r="I95" s="1">
        <v>42526</v>
      </c>
      <c r="J95" t="s">
        <v>2309</v>
      </c>
      <c r="K95">
        <v>1</v>
      </c>
      <c r="L95">
        <v>15</v>
      </c>
      <c r="M95">
        <v>294000</v>
      </c>
      <c r="N95" t="s">
        <v>2364</v>
      </c>
      <c r="O95" s="7" t="s">
        <v>70</v>
      </c>
      <c r="P95">
        <v>26</v>
      </c>
      <c r="Q95" t="s">
        <v>2365</v>
      </c>
      <c r="R95" t="s">
        <v>68</v>
      </c>
      <c r="S95" t="s">
        <v>102</v>
      </c>
    </row>
    <row r="96" spans="1:22" x14ac:dyDescent="0.3">
      <c r="A96" t="s">
        <v>321</v>
      </c>
      <c r="B96" t="s">
        <v>322</v>
      </c>
      <c r="C96" t="s">
        <v>2366</v>
      </c>
      <c r="D96" t="s">
        <v>2367</v>
      </c>
      <c r="E96" s="1" t="s">
        <v>2308</v>
      </c>
      <c r="F96" t="s">
        <v>280</v>
      </c>
      <c r="G96" t="s">
        <v>2103</v>
      </c>
      <c r="H96" t="s">
        <v>18</v>
      </c>
      <c r="I96" s="1">
        <v>42526</v>
      </c>
      <c r="J96" t="s">
        <v>2309</v>
      </c>
      <c r="K96">
        <v>1</v>
      </c>
      <c r="L96">
        <v>16</v>
      </c>
      <c r="M96">
        <v>292013</v>
      </c>
      <c r="N96" t="s">
        <v>2368</v>
      </c>
      <c r="O96" s="7" t="s">
        <v>70</v>
      </c>
      <c r="P96">
        <v>15</v>
      </c>
      <c r="Q96" t="s">
        <v>2369</v>
      </c>
      <c r="R96" t="s">
        <v>68</v>
      </c>
      <c r="S96" t="s">
        <v>102</v>
      </c>
      <c r="V96" s="7"/>
    </row>
    <row r="97" spans="1:22" x14ac:dyDescent="0.3">
      <c r="A97" t="s">
        <v>324</v>
      </c>
      <c r="B97" t="s">
        <v>325</v>
      </c>
      <c r="C97" t="s">
        <v>2103</v>
      </c>
      <c r="D97" t="s">
        <v>18</v>
      </c>
      <c r="E97" s="1" t="s">
        <v>2308</v>
      </c>
      <c r="F97" t="s">
        <v>280</v>
      </c>
      <c r="G97" t="s">
        <v>2103</v>
      </c>
      <c r="H97" t="s">
        <v>18</v>
      </c>
      <c r="I97" s="1">
        <v>42526</v>
      </c>
      <c r="J97" t="s">
        <v>2309</v>
      </c>
      <c r="K97">
        <v>1</v>
      </c>
      <c r="L97">
        <v>17</v>
      </c>
      <c r="M97">
        <v>203000</v>
      </c>
      <c r="N97" t="s">
        <v>2370</v>
      </c>
      <c r="O97" t="s">
        <v>70</v>
      </c>
      <c r="P97">
        <v>15</v>
      </c>
      <c r="Q97" t="s">
        <v>2371</v>
      </c>
      <c r="R97" t="s">
        <v>68</v>
      </c>
      <c r="S97" t="s">
        <v>102</v>
      </c>
      <c r="V97" s="7"/>
    </row>
    <row r="98" spans="1:22" x14ac:dyDescent="0.3">
      <c r="A98" t="s">
        <v>326</v>
      </c>
      <c r="B98" t="s">
        <v>327</v>
      </c>
      <c r="C98" t="s">
        <v>2103</v>
      </c>
      <c r="D98" t="s">
        <v>18</v>
      </c>
      <c r="E98" s="1" t="s">
        <v>2308</v>
      </c>
      <c r="F98" t="s">
        <v>280</v>
      </c>
      <c r="G98" t="s">
        <v>2103</v>
      </c>
      <c r="H98" t="s">
        <v>18</v>
      </c>
      <c r="I98" s="1">
        <v>42526</v>
      </c>
      <c r="J98" t="s">
        <v>2309</v>
      </c>
      <c r="K98">
        <v>1</v>
      </c>
      <c r="L98">
        <v>18</v>
      </c>
      <c r="M98">
        <v>159373</v>
      </c>
      <c r="N98" t="s">
        <v>2372</v>
      </c>
      <c r="O98" s="7" t="s">
        <v>70</v>
      </c>
      <c r="P98">
        <v>28</v>
      </c>
      <c r="Q98" t="s">
        <v>2373</v>
      </c>
      <c r="R98" t="s">
        <v>68</v>
      </c>
      <c r="S98" t="s">
        <v>102</v>
      </c>
      <c r="V98" s="7"/>
    </row>
    <row r="99" spans="1:22" x14ac:dyDescent="0.3">
      <c r="A99" t="s">
        <v>328</v>
      </c>
      <c r="B99" t="s">
        <v>277</v>
      </c>
      <c r="C99" t="s">
        <v>2103</v>
      </c>
      <c r="D99" t="s">
        <v>18</v>
      </c>
      <c r="E99" s="1" t="s">
        <v>2308</v>
      </c>
      <c r="F99" t="s">
        <v>280</v>
      </c>
      <c r="G99" t="s">
        <v>2103</v>
      </c>
      <c r="H99" t="s">
        <v>18</v>
      </c>
      <c r="I99" s="1">
        <v>42526</v>
      </c>
      <c r="J99" t="s">
        <v>2309</v>
      </c>
      <c r="K99">
        <v>2</v>
      </c>
      <c r="L99">
        <v>1</v>
      </c>
      <c r="M99">
        <v>4455240</v>
      </c>
      <c r="N99" t="s">
        <v>2374</v>
      </c>
      <c r="O99" s="7" t="s">
        <v>70</v>
      </c>
      <c r="P99">
        <v>14</v>
      </c>
      <c r="Q99" t="s">
        <v>2375</v>
      </c>
      <c r="R99" t="s">
        <v>68</v>
      </c>
      <c r="S99" t="s">
        <v>102</v>
      </c>
      <c r="V99" s="7"/>
    </row>
    <row r="100" spans="1:22" x14ac:dyDescent="0.3">
      <c r="A100" t="s">
        <v>329</v>
      </c>
      <c r="B100" t="s">
        <v>330</v>
      </c>
      <c r="C100" t="s">
        <v>2103</v>
      </c>
      <c r="D100" t="s">
        <v>18</v>
      </c>
      <c r="E100" s="1" t="s">
        <v>2376</v>
      </c>
      <c r="F100" t="s">
        <v>331</v>
      </c>
      <c r="G100" t="s">
        <v>2103</v>
      </c>
      <c r="H100" t="s">
        <v>18</v>
      </c>
      <c r="I100" s="1">
        <v>42412</v>
      </c>
      <c r="J100" t="s">
        <v>2377</v>
      </c>
      <c r="K100">
        <v>1</v>
      </c>
      <c r="L100">
        <v>1</v>
      </c>
      <c r="M100">
        <v>327813</v>
      </c>
      <c r="N100" t="s">
        <v>2378</v>
      </c>
      <c r="O100" t="s">
        <v>70</v>
      </c>
      <c r="P100">
        <v>19</v>
      </c>
      <c r="Q100" t="s">
        <v>2379</v>
      </c>
      <c r="R100" t="s">
        <v>68</v>
      </c>
      <c r="S100" t="s">
        <v>102</v>
      </c>
      <c r="V100" s="7"/>
    </row>
    <row r="101" spans="1:22" x14ac:dyDescent="0.3">
      <c r="A101" t="s">
        <v>332</v>
      </c>
      <c r="B101" t="s">
        <v>333</v>
      </c>
      <c r="C101" t="s">
        <v>2103</v>
      </c>
      <c r="D101" t="s">
        <v>18</v>
      </c>
      <c r="E101" s="1" t="s">
        <v>2376</v>
      </c>
      <c r="F101" t="s">
        <v>331</v>
      </c>
      <c r="G101" t="s">
        <v>2103</v>
      </c>
      <c r="H101" t="s">
        <v>18</v>
      </c>
      <c r="I101" s="1">
        <v>42412</v>
      </c>
      <c r="J101" t="s">
        <v>2377</v>
      </c>
      <c r="K101">
        <v>1</v>
      </c>
      <c r="L101">
        <v>2</v>
      </c>
      <c r="M101">
        <v>400506</v>
      </c>
      <c r="N101" t="s">
        <v>2380</v>
      </c>
      <c r="O101" s="7" t="s">
        <v>70</v>
      </c>
      <c r="P101">
        <v>17</v>
      </c>
      <c r="Q101" t="s">
        <v>2381</v>
      </c>
      <c r="R101" t="s">
        <v>68</v>
      </c>
      <c r="S101" t="s">
        <v>102</v>
      </c>
      <c r="V101" s="7"/>
    </row>
    <row r="102" spans="1:22" x14ac:dyDescent="0.3">
      <c r="A102" t="s">
        <v>334</v>
      </c>
      <c r="B102" t="s">
        <v>335</v>
      </c>
      <c r="C102" t="s">
        <v>2103</v>
      </c>
      <c r="D102" t="s">
        <v>18</v>
      </c>
      <c r="E102" s="1" t="s">
        <v>2376</v>
      </c>
      <c r="F102" t="s">
        <v>331</v>
      </c>
      <c r="G102" t="s">
        <v>2103</v>
      </c>
      <c r="H102" t="s">
        <v>18</v>
      </c>
      <c r="I102" s="1">
        <v>42412</v>
      </c>
      <c r="J102" t="s">
        <v>2377</v>
      </c>
      <c r="K102">
        <v>1</v>
      </c>
      <c r="L102">
        <v>3</v>
      </c>
      <c r="M102">
        <v>410240</v>
      </c>
      <c r="N102" t="s">
        <v>2382</v>
      </c>
      <c r="O102" s="7" t="s">
        <v>70</v>
      </c>
      <c r="P102">
        <v>15</v>
      </c>
      <c r="Q102" t="s">
        <v>2383</v>
      </c>
      <c r="R102" t="s">
        <v>68</v>
      </c>
      <c r="S102" t="s">
        <v>102</v>
      </c>
    </row>
    <row r="103" spans="1:22" x14ac:dyDescent="0.3">
      <c r="A103" t="s">
        <v>336</v>
      </c>
      <c r="B103" t="s">
        <v>337</v>
      </c>
      <c r="C103" t="s">
        <v>2103</v>
      </c>
      <c r="D103" t="s">
        <v>18</v>
      </c>
      <c r="E103" s="1" t="s">
        <v>2376</v>
      </c>
      <c r="F103" t="s">
        <v>331</v>
      </c>
      <c r="G103" t="s">
        <v>2103</v>
      </c>
      <c r="H103" t="s">
        <v>18</v>
      </c>
      <c r="I103" s="1">
        <v>42412</v>
      </c>
      <c r="J103" t="s">
        <v>2377</v>
      </c>
      <c r="K103">
        <v>1</v>
      </c>
      <c r="L103">
        <v>4</v>
      </c>
      <c r="M103">
        <v>260493</v>
      </c>
      <c r="N103" t="s">
        <v>2384</v>
      </c>
      <c r="O103" s="7" t="s">
        <v>70</v>
      </c>
      <c r="P103">
        <v>20</v>
      </c>
      <c r="Q103" t="s">
        <v>2385</v>
      </c>
      <c r="R103" t="s">
        <v>68</v>
      </c>
      <c r="S103" t="s">
        <v>102</v>
      </c>
    </row>
    <row r="104" spans="1:22" x14ac:dyDescent="0.3">
      <c r="A104" t="s">
        <v>338</v>
      </c>
      <c r="B104" t="s">
        <v>339</v>
      </c>
      <c r="C104" t="s">
        <v>2103</v>
      </c>
      <c r="D104" t="s">
        <v>18</v>
      </c>
      <c r="E104" s="1" t="s">
        <v>2376</v>
      </c>
      <c r="F104" t="s">
        <v>331</v>
      </c>
      <c r="G104" t="s">
        <v>2103</v>
      </c>
      <c r="H104" t="s">
        <v>18</v>
      </c>
      <c r="I104" s="1">
        <v>42412</v>
      </c>
      <c r="J104" t="s">
        <v>2377</v>
      </c>
      <c r="K104">
        <v>1</v>
      </c>
      <c r="L104">
        <v>5</v>
      </c>
      <c r="M104">
        <v>168773</v>
      </c>
      <c r="N104" t="s">
        <v>2386</v>
      </c>
      <c r="O104" s="7" t="s">
        <v>70</v>
      </c>
      <c r="P104">
        <v>13</v>
      </c>
      <c r="Q104" t="s">
        <v>2387</v>
      </c>
      <c r="R104" t="s">
        <v>68</v>
      </c>
      <c r="S104" t="s">
        <v>102</v>
      </c>
      <c r="V104" s="7"/>
    </row>
    <row r="105" spans="1:22" x14ac:dyDescent="0.3">
      <c r="A105" t="s">
        <v>340</v>
      </c>
      <c r="B105" t="s">
        <v>341</v>
      </c>
      <c r="C105" t="s">
        <v>2103</v>
      </c>
      <c r="D105" t="s">
        <v>18</v>
      </c>
      <c r="E105" s="1" t="s">
        <v>2376</v>
      </c>
      <c r="F105" t="s">
        <v>331</v>
      </c>
      <c r="G105" t="s">
        <v>2103</v>
      </c>
      <c r="H105" t="s">
        <v>18</v>
      </c>
      <c r="I105" s="1">
        <v>42412</v>
      </c>
      <c r="J105" t="s">
        <v>2377</v>
      </c>
      <c r="K105">
        <v>1</v>
      </c>
      <c r="L105">
        <v>6</v>
      </c>
      <c r="M105">
        <v>345146</v>
      </c>
      <c r="N105" t="s">
        <v>2388</v>
      </c>
      <c r="O105" s="7" t="s">
        <v>70</v>
      </c>
      <c r="P105">
        <v>17</v>
      </c>
      <c r="Q105" t="s">
        <v>2389</v>
      </c>
      <c r="R105" t="s">
        <v>68</v>
      </c>
      <c r="S105" t="s">
        <v>102</v>
      </c>
      <c r="V105" s="7"/>
    </row>
    <row r="106" spans="1:22" x14ac:dyDescent="0.3">
      <c r="A106" t="s">
        <v>342</v>
      </c>
      <c r="B106" t="s">
        <v>343</v>
      </c>
      <c r="C106" t="s">
        <v>2103</v>
      </c>
      <c r="D106" t="s">
        <v>18</v>
      </c>
      <c r="E106" s="1" t="s">
        <v>2376</v>
      </c>
      <c r="F106" t="s">
        <v>331</v>
      </c>
      <c r="G106" t="s">
        <v>2103</v>
      </c>
      <c r="H106" t="s">
        <v>18</v>
      </c>
      <c r="I106" s="1">
        <v>42412</v>
      </c>
      <c r="J106" t="s">
        <v>2377</v>
      </c>
      <c r="K106">
        <v>1</v>
      </c>
      <c r="L106">
        <v>7</v>
      </c>
      <c r="M106">
        <v>479026</v>
      </c>
      <c r="N106" t="s">
        <v>2390</v>
      </c>
      <c r="O106" s="7" t="s">
        <v>70</v>
      </c>
      <c r="P106">
        <v>14</v>
      </c>
      <c r="Q106" t="s">
        <v>2391</v>
      </c>
      <c r="R106" t="s">
        <v>68</v>
      </c>
      <c r="S106" t="s">
        <v>102</v>
      </c>
      <c r="V106" s="7"/>
    </row>
    <row r="107" spans="1:22" x14ac:dyDescent="0.3">
      <c r="A107" t="s">
        <v>344</v>
      </c>
      <c r="B107" t="s">
        <v>277</v>
      </c>
      <c r="C107" t="s">
        <v>2103</v>
      </c>
      <c r="D107" t="s">
        <v>18</v>
      </c>
      <c r="E107" s="1" t="s">
        <v>2376</v>
      </c>
      <c r="F107" t="s">
        <v>331</v>
      </c>
      <c r="G107" t="s">
        <v>2103</v>
      </c>
      <c r="H107" t="s">
        <v>18</v>
      </c>
      <c r="I107" s="1">
        <v>42412</v>
      </c>
      <c r="J107" t="s">
        <v>2377</v>
      </c>
      <c r="K107">
        <v>1</v>
      </c>
      <c r="L107">
        <v>8</v>
      </c>
      <c r="M107">
        <v>2391666</v>
      </c>
      <c r="O107" s="7" t="s">
        <v>70</v>
      </c>
      <c r="P107">
        <v>0</v>
      </c>
      <c r="Q107" t="s">
        <v>2392</v>
      </c>
      <c r="R107" t="s">
        <v>68</v>
      </c>
      <c r="S107" t="s">
        <v>102</v>
      </c>
      <c r="V107" s="7"/>
    </row>
    <row r="108" spans="1:22" x14ac:dyDescent="0.3">
      <c r="A108" t="s">
        <v>345</v>
      </c>
      <c r="B108" t="s">
        <v>346</v>
      </c>
      <c r="C108" t="s">
        <v>2103</v>
      </c>
      <c r="D108" t="s">
        <v>18</v>
      </c>
      <c r="E108" s="1" t="s">
        <v>2393</v>
      </c>
      <c r="F108" t="s">
        <v>347</v>
      </c>
      <c r="G108" t="s">
        <v>2103</v>
      </c>
      <c r="H108" t="s">
        <v>18</v>
      </c>
      <c r="I108" s="1" t="s">
        <v>4988</v>
      </c>
      <c r="J108" t="s">
        <v>2394</v>
      </c>
      <c r="K108">
        <v>1</v>
      </c>
      <c r="L108">
        <v>1</v>
      </c>
      <c r="M108">
        <v>291586</v>
      </c>
      <c r="N108" t="s">
        <v>2395</v>
      </c>
      <c r="O108" t="s">
        <v>70</v>
      </c>
      <c r="P108">
        <v>0</v>
      </c>
      <c r="Q108" t="s">
        <v>2396</v>
      </c>
      <c r="R108" t="s">
        <v>68</v>
      </c>
      <c r="S108" t="s">
        <v>102</v>
      </c>
      <c r="V108" s="7"/>
    </row>
    <row r="109" spans="1:22" x14ac:dyDescent="0.3">
      <c r="A109" t="s">
        <v>348</v>
      </c>
      <c r="B109" t="s">
        <v>349</v>
      </c>
      <c r="C109" t="s">
        <v>2103</v>
      </c>
      <c r="D109" t="s">
        <v>18</v>
      </c>
      <c r="E109" s="1" t="s">
        <v>2393</v>
      </c>
      <c r="F109" t="s">
        <v>347</v>
      </c>
      <c r="G109" t="s">
        <v>2103</v>
      </c>
      <c r="H109" t="s">
        <v>18</v>
      </c>
      <c r="I109" s="1" t="s">
        <v>4988</v>
      </c>
      <c r="J109" t="s">
        <v>2394</v>
      </c>
      <c r="K109">
        <v>1</v>
      </c>
      <c r="L109">
        <v>2</v>
      </c>
      <c r="M109">
        <v>410466</v>
      </c>
      <c r="N109" t="s">
        <v>2397</v>
      </c>
      <c r="O109" s="7" t="s">
        <v>70</v>
      </c>
      <c r="P109">
        <v>0</v>
      </c>
      <c r="Q109" t="s">
        <v>2398</v>
      </c>
      <c r="R109" t="s">
        <v>68</v>
      </c>
      <c r="S109" t="s">
        <v>102</v>
      </c>
      <c r="V109" s="7"/>
    </row>
    <row r="110" spans="1:22" x14ac:dyDescent="0.3">
      <c r="A110" t="s">
        <v>350</v>
      </c>
      <c r="B110" t="s">
        <v>351</v>
      </c>
      <c r="C110" t="s">
        <v>2103</v>
      </c>
      <c r="D110" t="s">
        <v>18</v>
      </c>
      <c r="E110" s="1" t="s">
        <v>2393</v>
      </c>
      <c r="F110" t="s">
        <v>347</v>
      </c>
      <c r="G110" t="s">
        <v>2103</v>
      </c>
      <c r="H110" t="s">
        <v>18</v>
      </c>
      <c r="I110" s="1" t="s">
        <v>4988</v>
      </c>
      <c r="J110" t="s">
        <v>2394</v>
      </c>
      <c r="K110">
        <v>1</v>
      </c>
      <c r="L110">
        <v>3</v>
      </c>
      <c r="M110">
        <v>467506</v>
      </c>
      <c r="N110" t="s">
        <v>2399</v>
      </c>
      <c r="O110" s="7" t="s">
        <v>70</v>
      </c>
      <c r="P110">
        <v>0</v>
      </c>
      <c r="Q110" t="s">
        <v>2400</v>
      </c>
      <c r="R110" t="s">
        <v>68</v>
      </c>
      <c r="S110" t="s">
        <v>102</v>
      </c>
    </row>
    <row r="111" spans="1:22" x14ac:dyDescent="0.3">
      <c r="A111" t="s">
        <v>352</v>
      </c>
      <c r="B111" t="s">
        <v>2401</v>
      </c>
      <c r="C111" t="s">
        <v>2103</v>
      </c>
      <c r="D111" t="s">
        <v>18</v>
      </c>
      <c r="E111" s="1" t="s">
        <v>2393</v>
      </c>
      <c r="F111" t="s">
        <v>347</v>
      </c>
      <c r="G111" t="s">
        <v>2103</v>
      </c>
      <c r="H111" t="s">
        <v>18</v>
      </c>
      <c r="I111" s="1" t="s">
        <v>4988</v>
      </c>
      <c r="J111" t="s">
        <v>2394</v>
      </c>
      <c r="K111">
        <v>1</v>
      </c>
      <c r="L111">
        <v>4</v>
      </c>
      <c r="M111">
        <v>585973</v>
      </c>
      <c r="N111" t="s">
        <v>2402</v>
      </c>
      <c r="O111" s="7" t="s">
        <v>70</v>
      </c>
      <c r="P111">
        <v>0</v>
      </c>
      <c r="Q111" t="s">
        <v>2403</v>
      </c>
      <c r="R111" t="s">
        <v>68</v>
      </c>
      <c r="S111" t="s">
        <v>102</v>
      </c>
      <c r="V111" s="7"/>
    </row>
    <row r="112" spans="1:22" x14ac:dyDescent="0.3">
      <c r="A112" t="s">
        <v>353</v>
      </c>
      <c r="B112" t="s">
        <v>354</v>
      </c>
      <c r="C112" t="s">
        <v>2103</v>
      </c>
      <c r="D112" t="s">
        <v>18</v>
      </c>
      <c r="E112" s="1" t="s">
        <v>2393</v>
      </c>
      <c r="F112" t="s">
        <v>347</v>
      </c>
      <c r="G112" t="s">
        <v>2103</v>
      </c>
      <c r="H112" t="s">
        <v>18</v>
      </c>
      <c r="I112" s="1" t="s">
        <v>4988</v>
      </c>
      <c r="J112" t="s">
        <v>2394</v>
      </c>
      <c r="K112">
        <v>1</v>
      </c>
      <c r="L112">
        <v>5</v>
      </c>
      <c r="M112">
        <v>81133</v>
      </c>
      <c r="N112" t="s">
        <v>2404</v>
      </c>
      <c r="O112" s="7" t="s">
        <v>70</v>
      </c>
      <c r="P112">
        <v>0</v>
      </c>
      <c r="Q112" t="s">
        <v>2405</v>
      </c>
      <c r="R112" t="s">
        <v>68</v>
      </c>
      <c r="S112" t="s">
        <v>102</v>
      </c>
      <c r="V112" s="7"/>
    </row>
    <row r="113" spans="1:22" x14ac:dyDescent="0.3">
      <c r="A113" t="s">
        <v>355</v>
      </c>
      <c r="B113" t="s">
        <v>356</v>
      </c>
      <c r="C113" t="s">
        <v>2103</v>
      </c>
      <c r="D113" t="s">
        <v>18</v>
      </c>
      <c r="E113" s="1" t="s">
        <v>2393</v>
      </c>
      <c r="F113" t="s">
        <v>347</v>
      </c>
      <c r="G113" t="s">
        <v>2103</v>
      </c>
      <c r="H113" t="s">
        <v>18</v>
      </c>
      <c r="I113" s="1" t="s">
        <v>4988</v>
      </c>
      <c r="J113" t="s">
        <v>2394</v>
      </c>
      <c r="K113">
        <v>1</v>
      </c>
      <c r="L113">
        <v>6</v>
      </c>
      <c r="M113">
        <v>594213</v>
      </c>
      <c r="N113" t="s">
        <v>2406</v>
      </c>
      <c r="O113" t="s">
        <v>70</v>
      </c>
      <c r="P113">
        <v>0</v>
      </c>
      <c r="Q113" t="s">
        <v>2407</v>
      </c>
      <c r="R113" t="s">
        <v>68</v>
      </c>
      <c r="S113" t="s">
        <v>102</v>
      </c>
      <c r="V113" s="7"/>
    </row>
    <row r="114" spans="1:22" x14ac:dyDescent="0.3">
      <c r="A114" t="s">
        <v>357</v>
      </c>
      <c r="B114" t="s">
        <v>358</v>
      </c>
      <c r="C114" t="s">
        <v>2103</v>
      </c>
      <c r="D114" t="s">
        <v>18</v>
      </c>
      <c r="E114" s="1" t="s">
        <v>2393</v>
      </c>
      <c r="F114" t="s">
        <v>347</v>
      </c>
      <c r="G114" t="s">
        <v>2103</v>
      </c>
      <c r="H114" t="s">
        <v>18</v>
      </c>
      <c r="I114" s="1" t="s">
        <v>4988</v>
      </c>
      <c r="J114" t="s">
        <v>2394</v>
      </c>
      <c r="K114">
        <v>1</v>
      </c>
      <c r="L114">
        <v>7</v>
      </c>
      <c r="M114">
        <v>262333</v>
      </c>
      <c r="N114" t="s">
        <v>2408</v>
      </c>
      <c r="O114" s="7" t="s">
        <v>70</v>
      </c>
      <c r="P114">
        <v>0</v>
      </c>
      <c r="Q114" t="s">
        <v>2409</v>
      </c>
      <c r="R114" t="s">
        <v>68</v>
      </c>
      <c r="S114" t="s">
        <v>102</v>
      </c>
      <c r="V114" s="7"/>
    </row>
    <row r="115" spans="1:22" x14ac:dyDescent="0.3">
      <c r="A115" t="s">
        <v>359</v>
      </c>
      <c r="B115" t="s">
        <v>360</v>
      </c>
      <c r="C115" t="s">
        <v>2103</v>
      </c>
      <c r="D115" t="s">
        <v>18</v>
      </c>
      <c r="E115" s="1" t="s">
        <v>2393</v>
      </c>
      <c r="F115" t="s">
        <v>347</v>
      </c>
      <c r="G115" t="s">
        <v>2103</v>
      </c>
      <c r="H115" t="s">
        <v>18</v>
      </c>
      <c r="I115" s="1" t="s">
        <v>4988</v>
      </c>
      <c r="J115" t="s">
        <v>2394</v>
      </c>
      <c r="K115">
        <v>1</v>
      </c>
      <c r="L115">
        <v>8</v>
      </c>
      <c r="M115">
        <v>27973</v>
      </c>
      <c r="N115" t="s">
        <v>2410</v>
      </c>
      <c r="O115" s="7" t="s">
        <v>70</v>
      </c>
      <c r="P115">
        <v>0</v>
      </c>
      <c r="Q115" t="s">
        <v>2411</v>
      </c>
      <c r="R115" t="s">
        <v>68</v>
      </c>
      <c r="S115" t="s">
        <v>102</v>
      </c>
      <c r="V115" s="7"/>
    </row>
    <row r="116" spans="1:22" x14ac:dyDescent="0.3">
      <c r="A116" t="s">
        <v>361</v>
      </c>
      <c r="B116" t="s">
        <v>362</v>
      </c>
      <c r="C116" t="s">
        <v>2103</v>
      </c>
      <c r="D116" t="s">
        <v>18</v>
      </c>
      <c r="E116" s="1" t="s">
        <v>2393</v>
      </c>
      <c r="F116" t="s">
        <v>347</v>
      </c>
      <c r="G116" t="s">
        <v>2103</v>
      </c>
      <c r="H116" t="s">
        <v>18</v>
      </c>
      <c r="I116" s="1" t="s">
        <v>4988</v>
      </c>
      <c r="J116" t="s">
        <v>2394</v>
      </c>
      <c r="K116">
        <v>1</v>
      </c>
      <c r="L116">
        <v>9</v>
      </c>
      <c r="M116">
        <v>224560</v>
      </c>
      <c r="N116" t="s">
        <v>2412</v>
      </c>
      <c r="O116" s="7" t="s">
        <v>70</v>
      </c>
      <c r="P116">
        <v>0</v>
      </c>
      <c r="Q116" t="s">
        <v>2413</v>
      </c>
      <c r="R116" t="s">
        <v>68</v>
      </c>
      <c r="S116" t="s">
        <v>102</v>
      </c>
      <c r="V116" s="7"/>
    </row>
    <row r="117" spans="1:22" x14ac:dyDescent="0.3">
      <c r="A117" t="s">
        <v>363</v>
      </c>
      <c r="B117" t="s">
        <v>364</v>
      </c>
      <c r="C117" t="s">
        <v>2103</v>
      </c>
      <c r="D117" t="s">
        <v>18</v>
      </c>
      <c r="E117" s="1" t="s">
        <v>2393</v>
      </c>
      <c r="F117" t="s">
        <v>347</v>
      </c>
      <c r="G117" t="s">
        <v>2103</v>
      </c>
      <c r="H117" s="14" t="s">
        <v>18</v>
      </c>
      <c r="I117" s="1" t="s">
        <v>4988</v>
      </c>
      <c r="J117" t="s">
        <v>2394</v>
      </c>
      <c r="K117">
        <v>1</v>
      </c>
      <c r="L117">
        <v>10</v>
      </c>
      <c r="M117">
        <v>405560</v>
      </c>
      <c r="N117" t="s">
        <v>2414</v>
      </c>
      <c r="O117" s="7" t="s">
        <v>70</v>
      </c>
      <c r="P117">
        <v>0</v>
      </c>
      <c r="Q117" t="s">
        <v>2415</v>
      </c>
      <c r="R117" t="s">
        <v>68</v>
      </c>
      <c r="S117" t="s">
        <v>102</v>
      </c>
      <c r="V117" s="7"/>
    </row>
    <row r="118" spans="1:22" x14ac:dyDescent="0.3">
      <c r="A118" t="s">
        <v>365</v>
      </c>
      <c r="B118" t="s">
        <v>366</v>
      </c>
      <c r="C118" t="s">
        <v>2103</v>
      </c>
      <c r="D118" t="s">
        <v>18</v>
      </c>
      <c r="E118" s="1" t="s">
        <v>2393</v>
      </c>
      <c r="F118" t="s">
        <v>347</v>
      </c>
      <c r="G118" t="s">
        <v>2103</v>
      </c>
      <c r="H118" t="s">
        <v>18</v>
      </c>
      <c r="I118" s="1" t="s">
        <v>4988</v>
      </c>
      <c r="J118" t="s">
        <v>2394</v>
      </c>
      <c r="K118">
        <v>1</v>
      </c>
      <c r="L118">
        <v>11</v>
      </c>
      <c r="M118">
        <v>214413</v>
      </c>
      <c r="N118" t="s">
        <v>2416</v>
      </c>
      <c r="O118" t="s">
        <v>70</v>
      </c>
      <c r="P118">
        <v>0</v>
      </c>
      <c r="Q118" t="s">
        <v>2417</v>
      </c>
      <c r="R118" t="s">
        <v>68</v>
      </c>
      <c r="S118" t="s">
        <v>102</v>
      </c>
      <c r="V118" s="7"/>
    </row>
    <row r="119" spans="1:22" x14ac:dyDescent="0.3">
      <c r="A119" t="s">
        <v>367</v>
      </c>
      <c r="B119" t="s">
        <v>368</v>
      </c>
      <c r="C119" t="s">
        <v>2103</v>
      </c>
      <c r="D119" t="s">
        <v>18</v>
      </c>
      <c r="E119" s="1" t="s">
        <v>2393</v>
      </c>
      <c r="F119" t="s">
        <v>347</v>
      </c>
      <c r="G119" t="s">
        <v>2103</v>
      </c>
      <c r="H119" t="s">
        <v>18</v>
      </c>
      <c r="I119" s="1" t="s">
        <v>4988</v>
      </c>
      <c r="J119" t="s">
        <v>2394</v>
      </c>
      <c r="K119">
        <v>1</v>
      </c>
      <c r="L119">
        <v>12</v>
      </c>
      <c r="M119">
        <v>421520</v>
      </c>
      <c r="N119" t="s">
        <v>2418</v>
      </c>
      <c r="O119" s="7" t="s">
        <v>70</v>
      </c>
      <c r="P119">
        <v>0</v>
      </c>
      <c r="Q119" t="s">
        <v>2419</v>
      </c>
      <c r="R119" t="s">
        <v>68</v>
      </c>
      <c r="S119" t="s">
        <v>102</v>
      </c>
      <c r="V119" s="7"/>
    </row>
    <row r="120" spans="1:22" x14ac:dyDescent="0.3">
      <c r="A120" t="s">
        <v>369</v>
      </c>
      <c r="B120" t="s">
        <v>2420</v>
      </c>
      <c r="C120" t="s">
        <v>2103</v>
      </c>
      <c r="D120" t="s">
        <v>18</v>
      </c>
      <c r="E120" s="1" t="s">
        <v>2393</v>
      </c>
      <c r="F120" t="s">
        <v>347</v>
      </c>
      <c r="G120" t="s">
        <v>2103</v>
      </c>
      <c r="H120" t="s">
        <v>18</v>
      </c>
      <c r="I120" s="1" t="s">
        <v>4988</v>
      </c>
      <c r="J120" t="s">
        <v>2394</v>
      </c>
      <c r="K120">
        <v>1</v>
      </c>
      <c r="L120">
        <v>13</v>
      </c>
      <c r="M120">
        <v>131120</v>
      </c>
      <c r="N120" t="s">
        <v>2421</v>
      </c>
      <c r="O120" s="7" t="s">
        <v>70</v>
      </c>
      <c r="P120">
        <v>0</v>
      </c>
      <c r="Q120" t="s">
        <v>2422</v>
      </c>
      <c r="R120" t="s">
        <v>68</v>
      </c>
      <c r="S120" t="s">
        <v>102</v>
      </c>
      <c r="V120" s="7"/>
    </row>
    <row r="121" spans="1:22" x14ac:dyDescent="0.3">
      <c r="A121" t="s">
        <v>370</v>
      </c>
      <c r="B121" t="s">
        <v>371</v>
      </c>
      <c r="C121" t="s">
        <v>2103</v>
      </c>
      <c r="D121" t="s">
        <v>18</v>
      </c>
      <c r="E121" s="1" t="s">
        <v>2393</v>
      </c>
      <c r="F121" t="s">
        <v>347</v>
      </c>
      <c r="G121" t="s">
        <v>2103</v>
      </c>
      <c r="H121" t="s">
        <v>18</v>
      </c>
      <c r="I121" s="1" t="s">
        <v>4988</v>
      </c>
      <c r="J121" t="s">
        <v>2394</v>
      </c>
      <c r="K121">
        <v>1</v>
      </c>
      <c r="L121">
        <v>14</v>
      </c>
      <c r="M121">
        <v>378733</v>
      </c>
      <c r="N121" t="s">
        <v>2423</v>
      </c>
      <c r="O121" s="7" t="s">
        <v>70</v>
      </c>
      <c r="P121">
        <v>0</v>
      </c>
      <c r="Q121" t="s">
        <v>2424</v>
      </c>
      <c r="R121" t="s">
        <v>68</v>
      </c>
      <c r="S121" t="s">
        <v>102</v>
      </c>
      <c r="V121" s="7"/>
    </row>
    <row r="122" spans="1:22" x14ac:dyDescent="0.3">
      <c r="A122" t="s">
        <v>372</v>
      </c>
      <c r="B122" t="s">
        <v>373</v>
      </c>
      <c r="C122" t="s">
        <v>2103</v>
      </c>
      <c r="D122" t="s">
        <v>18</v>
      </c>
      <c r="E122" s="1" t="s">
        <v>2393</v>
      </c>
      <c r="F122" t="s">
        <v>347</v>
      </c>
      <c r="G122" t="s">
        <v>2103</v>
      </c>
      <c r="H122" t="s">
        <v>18</v>
      </c>
      <c r="I122" s="1" t="s">
        <v>4988</v>
      </c>
      <c r="J122" t="s">
        <v>2394</v>
      </c>
      <c r="K122">
        <v>1</v>
      </c>
      <c r="L122">
        <v>15</v>
      </c>
      <c r="M122">
        <v>239293</v>
      </c>
      <c r="N122" t="s">
        <v>2425</v>
      </c>
      <c r="O122" s="7" t="s">
        <v>70</v>
      </c>
      <c r="P122">
        <v>0</v>
      </c>
      <c r="Q122" t="s">
        <v>2426</v>
      </c>
      <c r="R122" t="s">
        <v>68</v>
      </c>
      <c r="S122" t="s">
        <v>102</v>
      </c>
      <c r="V122" s="7"/>
    </row>
    <row r="123" spans="1:22" x14ac:dyDescent="0.3">
      <c r="A123" t="s">
        <v>374</v>
      </c>
      <c r="B123" t="s">
        <v>375</v>
      </c>
      <c r="C123" t="s">
        <v>2103</v>
      </c>
      <c r="D123" t="s">
        <v>18</v>
      </c>
      <c r="E123" s="1" t="s">
        <v>2427</v>
      </c>
      <c r="F123" t="s">
        <v>376</v>
      </c>
      <c r="G123" t="s">
        <v>2103</v>
      </c>
      <c r="H123" t="s">
        <v>18</v>
      </c>
      <c r="I123" s="1" t="s">
        <v>4989</v>
      </c>
      <c r="J123" t="s">
        <v>2428</v>
      </c>
      <c r="K123">
        <v>1</v>
      </c>
      <c r="L123">
        <v>1</v>
      </c>
      <c r="M123">
        <v>76733</v>
      </c>
      <c r="N123" t="s">
        <v>2429</v>
      </c>
      <c r="O123" s="7" t="s">
        <v>70</v>
      </c>
      <c r="P123">
        <v>0</v>
      </c>
      <c r="Q123" t="s">
        <v>2430</v>
      </c>
      <c r="R123" t="s">
        <v>68</v>
      </c>
      <c r="S123" t="s">
        <v>102</v>
      </c>
      <c r="V123" s="7"/>
    </row>
    <row r="124" spans="1:22" x14ac:dyDescent="0.3">
      <c r="A124" t="s">
        <v>377</v>
      </c>
      <c r="B124" t="s">
        <v>378</v>
      </c>
      <c r="C124" t="s">
        <v>2103</v>
      </c>
      <c r="D124" t="s">
        <v>18</v>
      </c>
      <c r="E124" s="1" t="s">
        <v>2427</v>
      </c>
      <c r="F124" t="s">
        <v>376</v>
      </c>
      <c r="G124" t="s">
        <v>2103</v>
      </c>
      <c r="H124" t="s">
        <v>18</v>
      </c>
      <c r="I124" s="1" t="s">
        <v>4989</v>
      </c>
      <c r="J124" t="s">
        <v>2428</v>
      </c>
      <c r="K124">
        <v>1</v>
      </c>
      <c r="L124">
        <v>2</v>
      </c>
      <c r="M124">
        <v>579933</v>
      </c>
      <c r="N124" t="s">
        <v>2431</v>
      </c>
      <c r="O124" s="7" t="s">
        <v>70</v>
      </c>
      <c r="P124">
        <v>0</v>
      </c>
      <c r="Q124" t="s">
        <v>2432</v>
      </c>
      <c r="R124" t="s">
        <v>68</v>
      </c>
      <c r="S124" t="s">
        <v>102</v>
      </c>
      <c r="V124" s="7"/>
    </row>
    <row r="125" spans="1:22" x14ac:dyDescent="0.3">
      <c r="A125" t="s">
        <v>379</v>
      </c>
      <c r="B125" t="s">
        <v>380</v>
      </c>
      <c r="C125" t="s">
        <v>2103</v>
      </c>
      <c r="D125" t="s">
        <v>18</v>
      </c>
      <c r="E125" s="1" t="s">
        <v>2427</v>
      </c>
      <c r="F125" t="s">
        <v>376</v>
      </c>
      <c r="G125" t="s">
        <v>2103</v>
      </c>
      <c r="H125" t="s">
        <v>18</v>
      </c>
      <c r="I125" s="1" t="s">
        <v>4989</v>
      </c>
      <c r="J125" t="s">
        <v>2428</v>
      </c>
      <c r="K125">
        <v>1</v>
      </c>
      <c r="L125">
        <v>3</v>
      </c>
      <c r="M125">
        <v>275026</v>
      </c>
      <c r="N125" t="s">
        <v>2433</v>
      </c>
      <c r="O125" s="7" t="s">
        <v>70</v>
      </c>
      <c r="P125">
        <v>0</v>
      </c>
      <c r="Q125" t="s">
        <v>2434</v>
      </c>
      <c r="R125" t="s">
        <v>68</v>
      </c>
      <c r="S125" t="s">
        <v>102</v>
      </c>
      <c r="V125" s="7"/>
    </row>
    <row r="126" spans="1:22" x14ac:dyDescent="0.3">
      <c r="A126" t="s">
        <v>381</v>
      </c>
      <c r="B126" t="s">
        <v>382</v>
      </c>
      <c r="C126" t="s">
        <v>2103</v>
      </c>
      <c r="D126" t="s">
        <v>18</v>
      </c>
      <c r="E126" s="1" t="s">
        <v>2427</v>
      </c>
      <c r="F126" t="s">
        <v>376</v>
      </c>
      <c r="G126" t="s">
        <v>2103</v>
      </c>
      <c r="H126" t="s">
        <v>18</v>
      </c>
      <c r="I126" s="1" t="s">
        <v>4989</v>
      </c>
      <c r="J126" t="s">
        <v>2428</v>
      </c>
      <c r="K126">
        <v>1</v>
      </c>
      <c r="L126">
        <v>4</v>
      </c>
      <c r="M126">
        <v>212546</v>
      </c>
      <c r="N126" t="s">
        <v>2435</v>
      </c>
      <c r="O126" s="7" t="s">
        <v>70</v>
      </c>
      <c r="P126">
        <v>0</v>
      </c>
      <c r="Q126" t="s">
        <v>2436</v>
      </c>
      <c r="R126" t="s">
        <v>68</v>
      </c>
      <c r="S126" t="s">
        <v>102</v>
      </c>
      <c r="V126" s="7"/>
    </row>
    <row r="127" spans="1:22" x14ac:dyDescent="0.3">
      <c r="A127" t="s">
        <v>383</v>
      </c>
      <c r="B127" t="s">
        <v>126</v>
      </c>
      <c r="C127" t="s">
        <v>2103</v>
      </c>
      <c r="D127" t="s">
        <v>18</v>
      </c>
      <c r="E127" s="1" t="s">
        <v>2427</v>
      </c>
      <c r="F127" t="s">
        <v>376</v>
      </c>
      <c r="G127" t="s">
        <v>2103</v>
      </c>
      <c r="H127" t="s">
        <v>18</v>
      </c>
      <c r="I127" s="1" t="s">
        <v>4989</v>
      </c>
      <c r="J127" t="s">
        <v>2428</v>
      </c>
      <c r="K127">
        <v>1</v>
      </c>
      <c r="L127">
        <v>5</v>
      </c>
      <c r="M127">
        <v>234946</v>
      </c>
      <c r="N127" t="s">
        <v>2437</v>
      </c>
      <c r="O127" s="7" t="s">
        <v>70</v>
      </c>
      <c r="P127">
        <v>0</v>
      </c>
      <c r="Q127" t="s">
        <v>2438</v>
      </c>
      <c r="R127" t="s">
        <v>68</v>
      </c>
      <c r="S127" t="s">
        <v>102</v>
      </c>
      <c r="V127" s="7"/>
    </row>
    <row r="128" spans="1:22" x14ac:dyDescent="0.3">
      <c r="A128" t="s">
        <v>384</v>
      </c>
      <c r="B128" t="s">
        <v>385</v>
      </c>
      <c r="C128" t="s">
        <v>2103</v>
      </c>
      <c r="D128" t="s">
        <v>18</v>
      </c>
      <c r="E128" s="1" t="s">
        <v>2427</v>
      </c>
      <c r="F128" t="s">
        <v>376</v>
      </c>
      <c r="G128" t="s">
        <v>2103</v>
      </c>
      <c r="H128" t="s">
        <v>18</v>
      </c>
      <c r="I128" s="1" t="s">
        <v>4989</v>
      </c>
      <c r="J128" t="s">
        <v>2428</v>
      </c>
      <c r="K128">
        <v>1</v>
      </c>
      <c r="L128">
        <v>6</v>
      </c>
      <c r="M128">
        <v>33440</v>
      </c>
      <c r="N128" t="s">
        <v>2439</v>
      </c>
      <c r="O128" s="7" t="s">
        <v>70</v>
      </c>
      <c r="P128">
        <v>0</v>
      </c>
      <c r="Q128" t="s">
        <v>2440</v>
      </c>
      <c r="R128" t="s">
        <v>68</v>
      </c>
      <c r="S128" t="s">
        <v>102</v>
      </c>
      <c r="V128" s="7"/>
    </row>
    <row r="129" spans="1:22" x14ac:dyDescent="0.3">
      <c r="A129" t="s">
        <v>386</v>
      </c>
      <c r="B129" t="s">
        <v>387</v>
      </c>
      <c r="C129" t="s">
        <v>2103</v>
      </c>
      <c r="D129" t="s">
        <v>18</v>
      </c>
      <c r="E129" s="1" t="s">
        <v>2427</v>
      </c>
      <c r="F129" t="s">
        <v>376</v>
      </c>
      <c r="G129" t="s">
        <v>2103</v>
      </c>
      <c r="H129" t="s">
        <v>18</v>
      </c>
      <c r="I129" s="1" t="s">
        <v>4989</v>
      </c>
      <c r="J129" t="s">
        <v>2428</v>
      </c>
      <c r="K129">
        <v>1</v>
      </c>
      <c r="L129">
        <v>7</v>
      </c>
      <c r="M129">
        <v>234453</v>
      </c>
      <c r="N129" t="s">
        <v>2441</v>
      </c>
      <c r="O129" s="7" t="s">
        <v>70</v>
      </c>
      <c r="P129">
        <v>0</v>
      </c>
      <c r="Q129" t="s">
        <v>2442</v>
      </c>
      <c r="R129" t="s">
        <v>68</v>
      </c>
      <c r="S129" t="s">
        <v>102</v>
      </c>
      <c r="V129" s="7"/>
    </row>
    <row r="130" spans="1:22" x14ac:dyDescent="0.3">
      <c r="A130" t="s">
        <v>388</v>
      </c>
      <c r="B130" t="s">
        <v>389</v>
      </c>
      <c r="C130" t="s">
        <v>2103</v>
      </c>
      <c r="D130" t="s">
        <v>18</v>
      </c>
      <c r="E130" s="1" t="s">
        <v>2427</v>
      </c>
      <c r="F130" t="s">
        <v>376</v>
      </c>
      <c r="G130" t="s">
        <v>2103</v>
      </c>
      <c r="H130" t="s">
        <v>18</v>
      </c>
      <c r="I130" s="1" t="s">
        <v>4989</v>
      </c>
      <c r="J130" t="s">
        <v>2428</v>
      </c>
      <c r="K130">
        <v>1</v>
      </c>
      <c r="L130">
        <v>8</v>
      </c>
      <c r="M130">
        <v>670586</v>
      </c>
      <c r="N130" t="s">
        <v>2443</v>
      </c>
      <c r="O130" s="7" t="s">
        <v>70</v>
      </c>
      <c r="P130">
        <v>0</v>
      </c>
      <c r="Q130" t="s">
        <v>2444</v>
      </c>
      <c r="R130" t="s">
        <v>68</v>
      </c>
      <c r="S130" t="s">
        <v>102</v>
      </c>
      <c r="V130" s="7"/>
    </row>
    <row r="131" spans="1:22" x14ac:dyDescent="0.3">
      <c r="A131" t="s">
        <v>390</v>
      </c>
      <c r="B131" t="s">
        <v>391</v>
      </c>
      <c r="C131" t="s">
        <v>2103</v>
      </c>
      <c r="D131" t="s">
        <v>18</v>
      </c>
      <c r="E131" s="1" t="s">
        <v>2427</v>
      </c>
      <c r="F131" t="s">
        <v>376</v>
      </c>
      <c r="G131" t="s">
        <v>2103</v>
      </c>
      <c r="H131" t="s">
        <v>18</v>
      </c>
      <c r="I131" s="1" t="s">
        <v>4989</v>
      </c>
      <c r="J131" t="s">
        <v>2428</v>
      </c>
      <c r="K131">
        <v>1</v>
      </c>
      <c r="L131">
        <v>9</v>
      </c>
      <c r="M131">
        <v>276960</v>
      </c>
      <c r="N131" t="s">
        <v>2445</v>
      </c>
      <c r="O131" s="7" t="s">
        <v>70</v>
      </c>
      <c r="P131">
        <v>0</v>
      </c>
      <c r="Q131" t="s">
        <v>2446</v>
      </c>
      <c r="R131" t="s">
        <v>68</v>
      </c>
      <c r="S131" t="s">
        <v>102</v>
      </c>
      <c r="V131" s="7"/>
    </row>
    <row r="132" spans="1:22" x14ac:dyDescent="0.3">
      <c r="A132" t="s">
        <v>392</v>
      </c>
      <c r="B132" t="s">
        <v>393</v>
      </c>
      <c r="C132" t="s">
        <v>2103</v>
      </c>
      <c r="D132" t="s">
        <v>18</v>
      </c>
      <c r="E132" s="1" t="s">
        <v>2427</v>
      </c>
      <c r="F132" t="s">
        <v>376</v>
      </c>
      <c r="G132" t="s">
        <v>2103</v>
      </c>
      <c r="H132" t="s">
        <v>18</v>
      </c>
      <c r="I132" s="1" t="s">
        <v>4989</v>
      </c>
      <c r="J132" t="s">
        <v>2428</v>
      </c>
      <c r="K132">
        <v>1</v>
      </c>
      <c r="L132">
        <v>10</v>
      </c>
      <c r="M132">
        <v>295360</v>
      </c>
      <c r="N132" t="s">
        <v>2447</v>
      </c>
      <c r="O132" s="7" t="s">
        <v>70</v>
      </c>
      <c r="P132">
        <v>0</v>
      </c>
      <c r="Q132" t="s">
        <v>2448</v>
      </c>
      <c r="R132" t="s">
        <v>68</v>
      </c>
      <c r="S132" t="s">
        <v>102</v>
      </c>
      <c r="V132" s="7"/>
    </row>
    <row r="133" spans="1:22" x14ac:dyDescent="0.3">
      <c r="A133" t="s">
        <v>394</v>
      </c>
      <c r="B133" t="s">
        <v>174</v>
      </c>
      <c r="C133" t="s">
        <v>2103</v>
      </c>
      <c r="D133" t="s">
        <v>18</v>
      </c>
      <c r="E133" s="1" t="s">
        <v>2449</v>
      </c>
      <c r="F133" t="s">
        <v>395</v>
      </c>
      <c r="G133" t="s">
        <v>2103</v>
      </c>
      <c r="H133" t="s">
        <v>18</v>
      </c>
      <c r="I133" s="1" t="s">
        <v>4988</v>
      </c>
      <c r="J133" t="s">
        <v>2450</v>
      </c>
      <c r="K133">
        <v>1</v>
      </c>
      <c r="L133">
        <v>1</v>
      </c>
      <c r="M133">
        <v>70053</v>
      </c>
      <c r="N133" t="s">
        <v>2451</v>
      </c>
      <c r="O133" s="7" t="s">
        <v>70</v>
      </c>
      <c r="P133">
        <v>0</v>
      </c>
      <c r="Q133" t="s">
        <v>2452</v>
      </c>
      <c r="R133" t="s">
        <v>68</v>
      </c>
      <c r="S133" t="s">
        <v>102</v>
      </c>
      <c r="V133" s="7"/>
    </row>
    <row r="134" spans="1:22" x14ac:dyDescent="0.3">
      <c r="A134" t="s">
        <v>396</v>
      </c>
      <c r="B134" t="s">
        <v>397</v>
      </c>
      <c r="C134" t="s">
        <v>2103</v>
      </c>
      <c r="D134" t="s">
        <v>18</v>
      </c>
      <c r="E134" s="1" t="s">
        <v>2449</v>
      </c>
      <c r="F134" t="s">
        <v>395</v>
      </c>
      <c r="G134" t="s">
        <v>2103</v>
      </c>
      <c r="H134" t="s">
        <v>18</v>
      </c>
      <c r="I134" s="1" t="s">
        <v>4988</v>
      </c>
      <c r="J134" t="s">
        <v>2450</v>
      </c>
      <c r="K134">
        <v>1</v>
      </c>
      <c r="L134">
        <v>2</v>
      </c>
      <c r="M134">
        <v>178840</v>
      </c>
      <c r="N134" t="s">
        <v>2453</v>
      </c>
      <c r="O134" s="7" t="s">
        <v>70</v>
      </c>
      <c r="P134">
        <v>0</v>
      </c>
      <c r="Q134" t="s">
        <v>2454</v>
      </c>
      <c r="R134" t="s">
        <v>68</v>
      </c>
      <c r="S134" t="s">
        <v>102</v>
      </c>
      <c r="V134" s="7"/>
    </row>
    <row r="135" spans="1:22" x14ac:dyDescent="0.3">
      <c r="A135" t="s">
        <v>398</v>
      </c>
      <c r="B135" t="s">
        <v>399</v>
      </c>
      <c r="C135" t="s">
        <v>2103</v>
      </c>
      <c r="D135" t="s">
        <v>18</v>
      </c>
      <c r="E135" s="1" t="s">
        <v>2449</v>
      </c>
      <c r="F135" t="s">
        <v>395</v>
      </c>
      <c r="G135" t="s">
        <v>2103</v>
      </c>
      <c r="H135" t="s">
        <v>18</v>
      </c>
      <c r="I135" s="1" t="s">
        <v>4988</v>
      </c>
      <c r="J135" t="s">
        <v>2450</v>
      </c>
      <c r="K135">
        <v>1</v>
      </c>
      <c r="L135">
        <v>3</v>
      </c>
      <c r="M135">
        <v>348506</v>
      </c>
      <c r="N135" t="s">
        <v>2455</v>
      </c>
      <c r="O135" s="7" t="s">
        <v>70</v>
      </c>
      <c r="P135">
        <v>0</v>
      </c>
      <c r="Q135" t="s">
        <v>2456</v>
      </c>
      <c r="R135" t="s">
        <v>68</v>
      </c>
      <c r="S135" t="s">
        <v>102</v>
      </c>
      <c r="V135" s="7"/>
    </row>
    <row r="136" spans="1:22" x14ac:dyDescent="0.3">
      <c r="A136" t="s">
        <v>400</v>
      </c>
      <c r="B136" t="s">
        <v>2457</v>
      </c>
      <c r="C136" t="s">
        <v>2103</v>
      </c>
      <c r="D136" t="s">
        <v>18</v>
      </c>
      <c r="E136" s="1" t="s">
        <v>2449</v>
      </c>
      <c r="F136" t="s">
        <v>395</v>
      </c>
      <c r="G136" t="s">
        <v>2103</v>
      </c>
      <c r="H136" t="s">
        <v>18</v>
      </c>
      <c r="I136" s="1" t="s">
        <v>4988</v>
      </c>
      <c r="J136" t="s">
        <v>2450</v>
      </c>
      <c r="K136">
        <v>1</v>
      </c>
      <c r="L136">
        <v>4</v>
      </c>
      <c r="M136">
        <v>249573</v>
      </c>
      <c r="N136" t="s">
        <v>2458</v>
      </c>
      <c r="O136" s="7" t="s">
        <v>70</v>
      </c>
      <c r="P136">
        <v>0</v>
      </c>
      <c r="Q136" t="s">
        <v>2459</v>
      </c>
      <c r="R136" t="s">
        <v>68</v>
      </c>
      <c r="S136" t="s">
        <v>102</v>
      </c>
      <c r="V136" s="7"/>
    </row>
    <row r="137" spans="1:22" x14ac:dyDescent="0.3">
      <c r="A137" t="s">
        <v>402</v>
      </c>
      <c r="B137" t="s">
        <v>110</v>
      </c>
      <c r="C137" t="s">
        <v>2103</v>
      </c>
      <c r="D137" t="s">
        <v>18</v>
      </c>
      <c r="E137" s="1" t="s">
        <v>2449</v>
      </c>
      <c r="F137" t="s">
        <v>395</v>
      </c>
      <c r="G137" t="s">
        <v>2103</v>
      </c>
      <c r="H137" t="s">
        <v>18</v>
      </c>
      <c r="I137" s="1" t="s">
        <v>4988</v>
      </c>
      <c r="J137" t="s">
        <v>2450</v>
      </c>
      <c r="K137">
        <v>1</v>
      </c>
      <c r="L137">
        <v>5</v>
      </c>
      <c r="M137">
        <v>230746</v>
      </c>
      <c r="N137" t="s">
        <v>2460</v>
      </c>
      <c r="O137" s="7" t="s">
        <v>70</v>
      </c>
      <c r="P137">
        <v>0</v>
      </c>
      <c r="Q137" t="s">
        <v>2461</v>
      </c>
      <c r="R137" t="s">
        <v>68</v>
      </c>
      <c r="S137" t="s">
        <v>102</v>
      </c>
      <c r="V137" s="7"/>
    </row>
    <row r="138" spans="1:22" x14ac:dyDescent="0.3">
      <c r="A138" t="s">
        <v>403</v>
      </c>
      <c r="B138" t="s">
        <v>404</v>
      </c>
      <c r="C138" t="s">
        <v>2103</v>
      </c>
      <c r="D138" t="s">
        <v>18</v>
      </c>
      <c r="E138" s="1" t="s">
        <v>2449</v>
      </c>
      <c r="F138" t="s">
        <v>395</v>
      </c>
      <c r="G138" t="s">
        <v>2103</v>
      </c>
      <c r="H138" t="s">
        <v>18</v>
      </c>
      <c r="I138" s="1" t="s">
        <v>4988</v>
      </c>
      <c r="J138" t="s">
        <v>2450</v>
      </c>
      <c r="K138">
        <v>1</v>
      </c>
      <c r="L138">
        <v>6</v>
      </c>
      <c r="M138">
        <v>308453</v>
      </c>
      <c r="N138" t="s">
        <v>2462</v>
      </c>
      <c r="O138" s="7" t="s">
        <v>70</v>
      </c>
      <c r="P138">
        <v>0</v>
      </c>
      <c r="Q138" t="s">
        <v>2463</v>
      </c>
      <c r="R138" t="s">
        <v>68</v>
      </c>
      <c r="S138" t="s">
        <v>102</v>
      </c>
      <c r="V138" s="7"/>
    </row>
    <row r="139" spans="1:22" x14ac:dyDescent="0.3">
      <c r="A139" t="s">
        <v>405</v>
      </c>
      <c r="B139" t="s">
        <v>406</v>
      </c>
      <c r="C139" t="s">
        <v>2103</v>
      </c>
      <c r="D139" t="s">
        <v>18</v>
      </c>
      <c r="E139" s="1" t="s">
        <v>2449</v>
      </c>
      <c r="F139" t="s">
        <v>395</v>
      </c>
      <c r="G139" t="s">
        <v>2103</v>
      </c>
      <c r="H139" t="s">
        <v>18</v>
      </c>
      <c r="I139" s="1" t="s">
        <v>4988</v>
      </c>
      <c r="J139" t="s">
        <v>2450</v>
      </c>
      <c r="K139">
        <v>1</v>
      </c>
      <c r="L139">
        <v>7</v>
      </c>
      <c r="M139">
        <v>229640</v>
      </c>
      <c r="N139" t="s">
        <v>2464</v>
      </c>
      <c r="O139" s="7" t="s">
        <v>70</v>
      </c>
      <c r="P139">
        <v>0</v>
      </c>
      <c r="Q139" t="s">
        <v>2465</v>
      </c>
      <c r="R139" t="s">
        <v>68</v>
      </c>
      <c r="S139" t="s">
        <v>102</v>
      </c>
    </row>
    <row r="140" spans="1:22" x14ac:dyDescent="0.3">
      <c r="A140" t="s">
        <v>407</v>
      </c>
      <c r="B140" t="s">
        <v>408</v>
      </c>
      <c r="C140" t="s">
        <v>2103</v>
      </c>
      <c r="D140" t="s">
        <v>18</v>
      </c>
      <c r="E140" s="1" t="s">
        <v>2449</v>
      </c>
      <c r="F140" t="s">
        <v>395</v>
      </c>
      <c r="G140" t="s">
        <v>2103</v>
      </c>
      <c r="H140" t="s">
        <v>18</v>
      </c>
      <c r="I140" s="1" t="s">
        <v>4988</v>
      </c>
      <c r="J140" t="s">
        <v>2450</v>
      </c>
      <c r="K140">
        <v>1</v>
      </c>
      <c r="L140">
        <v>8</v>
      </c>
      <c r="M140">
        <v>299320</v>
      </c>
      <c r="N140" t="s">
        <v>2466</v>
      </c>
      <c r="O140" s="7" t="s">
        <v>70</v>
      </c>
      <c r="P140">
        <v>0</v>
      </c>
      <c r="Q140" t="s">
        <v>2467</v>
      </c>
      <c r="R140" t="s">
        <v>68</v>
      </c>
      <c r="S140" t="s">
        <v>102</v>
      </c>
      <c r="V140" s="7"/>
    </row>
    <row r="141" spans="1:22" x14ac:dyDescent="0.3">
      <c r="A141" t="s">
        <v>409</v>
      </c>
      <c r="B141" t="s">
        <v>393</v>
      </c>
      <c r="C141" t="s">
        <v>2103</v>
      </c>
      <c r="D141" t="s">
        <v>18</v>
      </c>
      <c r="E141" s="1" t="s">
        <v>2449</v>
      </c>
      <c r="F141" t="s">
        <v>395</v>
      </c>
      <c r="G141" t="s">
        <v>2103</v>
      </c>
      <c r="H141" t="s">
        <v>18</v>
      </c>
      <c r="I141" s="1" t="s">
        <v>4988</v>
      </c>
      <c r="J141" t="s">
        <v>2450</v>
      </c>
      <c r="K141">
        <v>1</v>
      </c>
      <c r="L141">
        <v>9</v>
      </c>
      <c r="M141">
        <v>257706</v>
      </c>
      <c r="N141" t="s">
        <v>2468</v>
      </c>
      <c r="O141" s="7" t="s">
        <v>70</v>
      </c>
      <c r="P141">
        <v>0</v>
      </c>
      <c r="Q141" t="s">
        <v>2469</v>
      </c>
      <c r="R141" t="s">
        <v>68</v>
      </c>
      <c r="S141" t="s">
        <v>102</v>
      </c>
      <c r="V141" s="7"/>
    </row>
    <row r="142" spans="1:22" x14ac:dyDescent="0.3">
      <c r="A142" t="s">
        <v>410</v>
      </c>
      <c r="B142" t="s">
        <v>389</v>
      </c>
      <c r="C142" t="s">
        <v>2103</v>
      </c>
      <c r="D142" t="s">
        <v>18</v>
      </c>
      <c r="E142" s="1" t="s">
        <v>2449</v>
      </c>
      <c r="F142" t="s">
        <v>395</v>
      </c>
      <c r="G142" t="s">
        <v>2103</v>
      </c>
      <c r="H142" t="s">
        <v>18</v>
      </c>
      <c r="I142" s="1" t="s">
        <v>4988</v>
      </c>
      <c r="J142" t="s">
        <v>2450</v>
      </c>
      <c r="K142">
        <v>1</v>
      </c>
      <c r="L142">
        <v>10</v>
      </c>
      <c r="M142">
        <v>538720</v>
      </c>
      <c r="N142" t="s">
        <v>2470</v>
      </c>
      <c r="O142" s="7" t="s">
        <v>70</v>
      </c>
      <c r="P142">
        <v>0</v>
      </c>
      <c r="Q142" t="s">
        <v>2471</v>
      </c>
      <c r="R142" t="s">
        <v>68</v>
      </c>
      <c r="S142" t="s">
        <v>102</v>
      </c>
      <c r="V142" s="7"/>
    </row>
    <row r="143" spans="1:22" x14ac:dyDescent="0.3">
      <c r="A143" t="s">
        <v>411</v>
      </c>
      <c r="B143" t="s">
        <v>412</v>
      </c>
      <c r="C143" t="s">
        <v>2103</v>
      </c>
      <c r="D143" t="s">
        <v>18</v>
      </c>
      <c r="E143" s="1" t="s">
        <v>2449</v>
      </c>
      <c r="F143" t="s">
        <v>395</v>
      </c>
      <c r="G143" t="s">
        <v>2103</v>
      </c>
      <c r="H143" t="s">
        <v>18</v>
      </c>
      <c r="I143" s="1" t="s">
        <v>4988</v>
      </c>
      <c r="J143" t="s">
        <v>2450</v>
      </c>
      <c r="K143">
        <v>1</v>
      </c>
      <c r="L143">
        <v>11</v>
      </c>
      <c r="M143">
        <v>286040</v>
      </c>
      <c r="N143" t="s">
        <v>2472</v>
      </c>
      <c r="O143" s="7" t="s">
        <v>70</v>
      </c>
      <c r="P143">
        <v>0</v>
      </c>
      <c r="Q143" t="s">
        <v>2473</v>
      </c>
      <c r="R143" t="s">
        <v>68</v>
      </c>
      <c r="S143" t="s">
        <v>102</v>
      </c>
      <c r="V143" s="7"/>
    </row>
    <row r="144" spans="1:22" x14ac:dyDescent="0.3">
      <c r="A144" t="s">
        <v>413</v>
      </c>
      <c r="B144" t="s">
        <v>414</v>
      </c>
      <c r="C144" t="s">
        <v>2103</v>
      </c>
      <c r="D144" t="s">
        <v>18</v>
      </c>
      <c r="E144" s="1" t="s">
        <v>2449</v>
      </c>
      <c r="F144" t="s">
        <v>395</v>
      </c>
      <c r="G144" t="s">
        <v>2103</v>
      </c>
      <c r="H144" t="s">
        <v>18</v>
      </c>
      <c r="I144" s="1" t="s">
        <v>4988</v>
      </c>
      <c r="J144" t="s">
        <v>2450</v>
      </c>
      <c r="K144">
        <v>1</v>
      </c>
      <c r="L144">
        <v>12</v>
      </c>
      <c r="M144">
        <v>225266</v>
      </c>
      <c r="N144" t="s">
        <v>2474</v>
      </c>
      <c r="O144" s="7" t="s">
        <v>70</v>
      </c>
      <c r="P144">
        <v>0</v>
      </c>
      <c r="Q144" t="s">
        <v>2475</v>
      </c>
      <c r="R144" t="s">
        <v>68</v>
      </c>
      <c r="S144" t="s">
        <v>102</v>
      </c>
      <c r="V144" s="7"/>
    </row>
    <row r="145" spans="1:22" x14ac:dyDescent="0.3">
      <c r="A145" t="s">
        <v>415</v>
      </c>
      <c r="B145" t="s">
        <v>416</v>
      </c>
      <c r="C145" t="s">
        <v>2103</v>
      </c>
      <c r="D145" t="s">
        <v>18</v>
      </c>
      <c r="E145" t="s">
        <v>2476</v>
      </c>
      <c r="F145" t="s">
        <v>417</v>
      </c>
      <c r="G145" t="s">
        <v>2103</v>
      </c>
      <c r="H145" t="s">
        <v>18</v>
      </c>
      <c r="I145" s="1">
        <v>2107</v>
      </c>
      <c r="J145" t="s">
        <v>2477</v>
      </c>
      <c r="K145">
        <v>1</v>
      </c>
      <c r="L145">
        <v>1</v>
      </c>
      <c r="M145">
        <v>177500</v>
      </c>
      <c r="N145" t="s">
        <v>2478</v>
      </c>
      <c r="O145" s="7" t="s">
        <v>70</v>
      </c>
      <c r="P145">
        <v>26</v>
      </c>
      <c r="Q145" t="s">
        <v>2479</v>
      </c>
      <c r="R145" t="s">
        <v>68</v>
      </c>
      <c r="S145" t="s">
        <v>102</v>
      </c>
      <c r="V145" s="7"/>
    </row>
    <row r="146" spans="1:22" x14ac:dyDescent="0.3">
      <c r="A146" t="s">
        <v>418</v>
      </c>
      <c r="B146" t="s">
        <v>419</v>
      </c>
      <c r="C146" t="s">
        <v>2103</v>
      </c>
      <c r="D146" t="s">
        <v>18</v>
      </c>
      <c r="E146" t="s">
        <v>2476</v>
      </c>
      <c r="F146" t="s">
        <v>417</v>
      </c>
      <c r="G146" t="s">
        <v>2103</v>
      </c>
      <c r="H146" t="s">
        <v>18</v>
      </c>
      <c r="I146" s="1">
        <v>2107</v>
      </c>
      <c r="J146" t="s">
        <v>2477</v>
      </c>
      <c r="K146">
        <v>1</v>
      </c>
      <c r="L146">
        <v>2</v>
      </c>
      <c r="M146">
        <v>233812</v>
      </c>
      <c r="N146" t="s">
        <v>2480</v>
      </c>
      <c r="O146" s="7" t="s">
        <v>70</v>
      </c>
      <c r="P146">
        <v>27</v>
      </c>
      <c r="Q146" t="s">
        <v>2481</v>
      </c>
      <c r="R146" t="s">
        <v>68</v>
      </c>
      <c r="S146" t="s">
        <v>102</v>
      </c>
      <c r="V146" s="7"/>
    </row>
    <row r="147" spans="1:22" x14ac:dyDescent="0.3">
      <c r="A147" t="s">
        <v>420</v>
      </c>
      <c r="B147" t="s">
        <v>421</v>
      </c>
      <c r="C147" t="s">
        <v>2103</v>
      </c>
      <c r="D147" t="s">
        <v>18</v>
      </c>
      <c r="E147" t="s">
        <v>2476</v>
      </c>
      <c r="F147" t="s">
        <v>417</v>
      </c>
      <c r="G147" t="s">
        <v>2103</v>
      </c>
      <c r="H147" t="s">
        <v>18</v>
      </c>
      <c r="I147" s="1">
        <v>2107</v>
      </c>
      <c r="J147" t="s">
        <v>2477</v>
      </c>
      <c r="K147">
        <v>1</v>
      </c>
      <c r="L147">
        <v>3</v>
      </c>
      <c r="M147">
        <v>344049</v>
      </c>
      <c r="N147" t="s">
        <v>2482</v>
      </c>
      <c r="O147" s="7" t="s">
        <v>70</v>
      </c>
      <c r="P147">
        <v>28</v>
      </c>
      <c r="Q147" t="s">
        <v>2483</v>
      </c>
      <c r="R147" t="s">
        <v>68</v>
      </c>
      <c r="S147" t="s">
        <v>102</v>
      </c>
      <c r="V147" s="7"/>
    </row>
    <row r="148" spans="1:22" x14ac:dyDescent="0.3">
      <c r="A148" t="s">
        <v>422</v>
      </c>
      <c r="B148" t="s">
        <v>423</v>
      </c>
      <c r="C148" t="s">
        <v>2103</v>
      </c>
      <c r="D148" t="s">
        <v>18</v>
      </c>
      <c r="E148" t="s">
        <v>2476</v>
      </c>
      <c r="F148" t="s">
        <v>417</v>
      </c>
      <c r="G148" t="s">
        <v>2103</v>
      </c>
      <c r="H148" t="s">
        <v>18</v>
      </c>
      <c r="I148" s="1">
        <v>2107</v>
      </c>
      <c r="J148" t="s">
        <v>2477</v>
      </c>
      <c r="K148">
        <v>1</v>
      </c>
      <c r="L148">
        <v>4</v>
      </c>
      <c r="M148">
        <v>240763</v>
      </c>
      <c r="N148" t="s">
        <v>2484</v>
      </c>
      <c r="O148" s="7" t="s">
        <v>70</v>
      </c>
      <c r="P148">
        <v>18</v>
      </c>
      <c r="Q148" t="s">
        <v>2485</v>
      </c>
      <c r="R148" t="s">
        <v>68</v>
      </c>
      <c r="S148" t="s">
        <v>102</v>
      </c>
      <c r="V148" s="7"/>
    </row>
    <row r="149" spans="1:22" x14ac:dyDescent="0.3">
      <c r="A149" t="s">
        <v>424</v>
      </c>
      <c r="B149" t="s">
        <v>425</v>
      </c>
      <c r="C149" t="s">
        <v>2103</v>
      </c>
      <c r="D149" t="s">
        <v>18</v>
      </c>
      <c r="E149" t="s">
        <v>2476</v>
      </c>
      <c r="F149" t="s">
        <v>417</v>
      </c>
      <c r="G149" t="s">
        <v>2103</v>
      </c>
      <c r="H149" t="s">
        <v>18</v>
      </c>
      <c r="I149" s="1">
        <v>2107</v>
      </c>
      <c r="J149" t="s">
        <v>2477</v>
      </c>
      <c r="K149">
        <v>1</v>
      </c>
      <c r="L149">
        <v>5</v>
      </c>
      <c r="M149">
        <v>92178</v>
      </c>
      <c r="N149" t="s">
        <v>2486</v>
      </c>
      <c r="O149" s="7" t="s">
        <v>70</v>
      </c>
      <c r="P149">
        <v>17</v>
      </c>
      <c r="Q149" t="s">
        <v>2487</v>
      </c>
      <c r="R149" t="s">
        <v>68</v>
      </c>
      <c r="S149" t="s">
        <v>102</v>
      </c>
      <c r="V149" s="7"/>
    </row>
    <row r="150" spans="1:22" x14ac:dyDescent="0.3">
      <c r="A150" t="s">
        <v>426</v>
      </c>
      <c r="B150" t="s">
        <v>427</v>
      </c>
      <c r="C150" t="s">
        <v>2103</v>
      </c>
      <c r="D150" t="s">
        <v>18</v>
      </c>
      <c r="E150" t="s">
        <v>2476</v>
      </c>
      <c r="F150" t="s">
        <v>417</v>
      </c>
      <c r="G150" t="s">
        <v>2103</v>
      </c>
      <c r="H150" t="s">
        <v>18</v>
      </c>
      <c r="I150" s="1">
        <v>2107</v>
      </c>
      <c r="J150" t="s">
        <v>2477</v>
      </c>
      <c r="K150">
        <v>1</v>
      </c>
      <c r="L150">
        <v>6</v>
      </c>
      <c r="M150">
        <v>253789</v>
      </c>
      <c r="N150" t="s">
        <v>2488</v>
      </c>
      <c r="O150" s="7" t="s">
        <v>70</v>
      </c>
      <c r="P150">
        <v>20</v>
      </c>
      <c r="Q150" t="s">
        <v>2489</v>
      </c>
      <c r="R150" t="s">
        <v>68</v>
      </c>
      <c r="S150" t="s">
        <v>102</v>
      </c>
      <c r="V150" s="7"/>
    </row>
    <row r="151" spans="1:22" x14ac:dyDescent="0.3">
      <c r="A151" t="s">
        <v>428</v>
      </c>
      <c r="B151" t="s">
        <v>429</v>
      </c>
      <c r="C151" t="s">
        <v>2103</v>
      </c>
      <c r="D151" t="s">
        <v>18</v>
      </c>
      <c r="E151" t="s">
        <v>2476</v>
      </c>
      <c r="F151" t="s">
        <v>417</v>
      </c>
      <c r="G151" t="s">
        <v>2103</v>
      </c>
      <c r="H151" t="s">
        <v>18</v>
      </c>
      <c r="I151" s="1">
        <v>2107</v>
      </c>
      <c r="J151" t="s">
        <v>2477</v>
      </c>
      <c r="K151">
        <v>1</v>
      </c>
      <c r="L151">
        <v>7</v>
      </c>
      <c r="M151">
        <v>127230</v>
      </c>
      <c r="N151" t="s">
        <v>2490</v>
      </c>
      <c r="O151" s="7" t="s">
        <v>70</v>
      </c>
      <c r="P151">
        <v>24</v>
      </c>
      <c r="Q151" t="s">
        <v>2491</v>
      </c>
      <c r="R151" t="s">
        <v>68</v>
      </c>
      <c r="S151" t="s">
        <v>102</v>
      </c>
    </row>
    <row r="152" spans="1:22" x14ac:dyDescent="0.3">
      <c r="A152" t="s">
        <v>430</v>
      </c>
      <c r="B152" t="s">
        <v>431</v>
      </c>
      <c r="C152" t="s">
        <v>2103</v>
      </c>
      <c r="D152" t="s">
        <v>18</v>
      </c>
      <c r="E152" t="s">
        <v>2476</v>
      </c>
      <c r="F152" t="s">
        <v>417</v>
      </c>
      <c r="G152" t="s">
        <v>2103</v>
      </c>
      <c r="H152" t="s">
        <v>18</v>
      </c>
      <c r="I152" s="1">
        <v>2107</v>
      </c>
      <c r="J152" t="s">
        <v>2477</v>
      </c>
      <c r="K152">
        <v>1</v>
      </c>
      <c r="L152">
        <v>8</v>
      </c>
      <c r="M152">
        <v>256246</v>
      </c>
      <c r="N152" t="s">
        <v>2492</v>
      </c>
      <c r="O152" s="7" t="s">
        <v>70</v>
      </c>
      <c r="P152">
        <v>30</v>
      </c>
      <c r="Q152" t="s">
        <v>2493</v>
      </c>
      <c r="R152" t="s">
        <v>68</v>
      </c>
      <c r="S152" t="s">
        <v>102</v>
      </c>
    </row>
    <row r="153" spans="1:22" x14ac:dyDescent="0.3">
      <c r="A153" t="s">
        <v>432</v>
      </c>
      <c r="B153" t="s">
        <v>433</v>
      </c>
      <c r="C153" t="s">
        <v>2103</v>
      </c>
      <c r="D153" t="s">
        <v>18</v>
      </c>
      <c r="E153" t="s">
        <v>2476</v>
      </c>
      <c r="F153" t="s">
        <v>417</v>
      </c>
      <c r="G153" t="s">
        <v>2103</v>
      </c>
      <c r="H153" t="s">
        <v>18</v>
      </c>
      <c r="I153" s="1">
        <v>2107</v>
      </c>
      <c r="J153" t="s">
        <v>2477</v>
      </c>
      <c r="K153">
        <v>1</v>
      </c>
      <c r="L153">
        <v>9</v>
      </c>
      <c r="M153">
        <v>215828</v>
      </c>
      <c r="N153" t="s">
        <v>2494</v>
      </c>
      <c r="O153" s="7" t="s">
        <v>70</v>
      </c>
      <c r="P153">
        <v>16</v>
      </c>
      <c r="Q153" t="s">
        <v>2495</v>
      </c>
      <c r="R153" t="s">
        <v>68</v>
      </c>
      <c r="S153" t="s">
        <v>102</v>
      </c>
      <c r="V153" s="7"/>
    </row>
    <row r="154" spans="1:22" x14ac:dyDescent="0.3">
      <c r="A154" t="s">
        <v>434</v>
      </c>
      <c r="B154" t="s">
        <v>435</v>
      </c>
      <c r="C154" t="s">
        <v>2103</v>
      </c>
      <c r="D154" t="s">
        <v>18</v>
      </c>
      <c r="E154" t="s">
        <v>2476</v>
      </c>
      <c r="F154" t="s">
        <v>417</v>
      </c>
      <c r="G154" t="s">
        <v>2103</v>
      </c>
      <c r="H154" t="s">
        <v>18</v>
      </c>
      <c r="I154" s="1">
        <v>2107</v>
      </c>
      <c r="J154" t="s">
        <v>2477</v>
      </c>
      <c r="K154">
        <v>1</v>
      </c>
      <c r="L154">
        <v>10</v>
      </c>
      <c r="M154">
        <v>452854</v>
      </c>
      <c r="N154" t="s">
        <v>2496</v>
      </c>
      <c r="O154" t="s">
        <v>70</v>
      </c>
      <c r="P154">
        <v>22</v>
      </c>
      <c r="Q154" t="s">
        <v>2497</v>
      </c>
      <c r="R154" t="s">
        <v>68</v>
      </c>
      <c r="S154" t="s">
        <v>102</v>
      </c>
    </row>
    <row r="155" spans="1:22" x14ac:dyDescent="0.3">
      <c r="A155" t="s">
        <v>436</v>
      </c>
      <c r="B155" t="s">
        <v>437</v>
      </c>
      <c r="C155" t="s">
        <v>2103</v>
      </c>
      <c r="D155" t="s">
        <v>18</v>
      </c>
      <c r="E155" t="s">
        <v>2476</v>
      </c>
      <c r="F155" t="s">
        <v>417</v>
      </c>
      <c r="G155" t="s">
        <v>2103</v>
      </c>
      <c r="H155" t="s">
        <v>18</v>
      </c>
      <c r="I155" s="1">
        <v>2107</v>
      </c>
      <c r="J155" t="s">
        <v>2477</v>
      </c>
      <c r="K155">
        <v>1</v>
      </c>
      <c r="L155">
        <v>11</v>
      </c>
      <c r="M155">
        <v>2394251</v>
      </c>
      <c r="N155" t="s">
        <v>2498</v>
      </c>
      <c r="O155" s="7" t="s">
        <v>70</v>
      </c>
      <c r="P155">
        <v>15</v>
      </c>
      <c r="Q155" t="s">
        <v>2499</v>
      </c>
      <c r="R155" t="s">
        <v>68</v>
      </c>
      <c r="S155" t="s">
        <v>102</v>
      </c>
      <c r="V155" s="7"/>
    </row>
    <row r="156" spans="1:22" x14ac:dyDescent="0.3">
      <c r="A156" t="s">
        <v>438</v>
      </c>
      <c r="B156" t="s">
        <v>439</v>
      </c>
      <c r="C156" t="s">
        <v>2103</v>
      </c>
      <c r="D156" t="s">
        <v>18</v>
      </c>
      <c r="E156" s="1" t="s">
        <v>2500</v>
      </c>
      <c r="F156" t="s">
        <v>440</v>
      </c>
      <c r="G156" t="s">
        <v>2103</v>
      </c>
      <c r="H156" t="s">
        <v>18</v>
      </c>
      <c r="I156" s="1" t="s">
        <v>4990</v>
      </c>
      <c r="J156" t="s">
        <v>2501</v>
      </c>
      <c r="K156">
        <v>1</v>
      </c>
      <c r="L156">
        <v>1</v>
      </c>
      <c r="M156">
        <v>93999</v>
      </c>
      <c r="N156" t="s">
        <v>2502</v>
      </c>
      <c r="O156" s="7" t="s">
        <v>70</v>
      </c>
      <c r="P156">
        <v>15</v>
      </c>
      <c r="Q156" t="s">
        <v>2503</v>
      </c>
      <c r="R156" t="s">
        <v>68</v>
      </c>
      <c r="S156" t="s">
        <v>102</v>
      </c>
      <c r="V156" s="7"/>
    </row>
    <row r="157" spans="1:22" x14ac:dyDescent="0.3">
      <c r="A157" t="s">
        <v>441</v>
      </c>
      <c r="B157" t="s">
        <v>440</v>
      </c>
      <c r="C157" t="s">
        <v>2103</v>
      </c>
      <c r="D157" t="s">
        <v>18</v>
      </c>
      <c r="E157" s="1" t="s">
        <v>2500</v>
      </c>
      <c r="F157" t="s">
        <v>440</v>
      </c>
      <c r="G157" t="s">
        <v>2103</v>
      </c>
      <c r="H157" t="s">
        <v>18</v>
      </c>
      <c r="I157" s="1" t="s">
        <v>4990</v>
      </c>
      <c r="J157" t="s">
        <v>2501</v>
      </c>
      <c r="K157">
        <v>1</v>
      </c>
      <c r="L157">
        <v>2</v>
      </c>
      <c r="M157">
        <v>285991</v>
      </c>
      <c r="N157" t="s">
        <v>2504</v>
      </c>
      <c r="O157" s="7" t="s">
        <v>70</v>
      </c>
      <c r="P157">
        <v>19</v>
      </c>
      <c r="Q157" t="s">
        <v>2505</v>
      </c>
      <c r="R157" t="s">
        <v>68</v>
      </c>
      <c r="S157" t="s">
        <v>102</v>
      </c>
      <c r="V157" s="7"/>
    </row>
    <row r="158" spans="1:22" x14ac:dyDescent="0.3">
      <c r="A158" t="s">
        <v>442</v>
      </c>
      <c r="B158" t="s">
        <v>443</v>
      </c>
      <c r="C158" t="s">
        <v>2103</v>
      </c>
      <c r="D158" t="s">
        <v>18</v>
      </c>
      <c r="E158" s="1" t="s">
        <v>2500</v>
      </c>
      <c r="F158" t="s">
        <v>440</v>
      </c>
      <c r="G158" t="s">
        <v>2103</v>
      </c>
      <c r="H158" t="s">
        <v>18</v>
      </c>
      <c r="I158" s="1" t="s">
        <v>4990</v>
      </c>
      <c r="J158" t="s">
        <v>2501</v>
      </c>
      <c r="K158">
        <v>1</v>
      </c>
      <c r="L158">
        <v>3</v>
      </c>
      <c r="M158">
        <v>267284</v>
      </c>
      <c r="N158" t="s">
        <v>2506</v>
      </c>
      <c r="O158" t="s">
        <v>70</v>
      </c>
      <c r="P158">
        <v>15</v>
      </c>
      <c r="Q158" t="s">
        <v>2507</v>
      </c>
      <c r="R158" t="s">
        <v>68</v>
      </c>
      <c r="S158" t="s">
        <v>102</v>
      </c>
      <c r="V158" s="7"/>
    </row>
    <row r="159" spans="1:22" x14ac:dyDescent="0.3">
      <c r="A159" t="s">
        <v>444</v>
      </c>
      <c r="B159" t="s">
        <v>445</v>
      </c>
      <c r="C159" t="s">
        <v>2103</v>
      </c>
      <c r="D159" t="s">
        <v>18</v>
      </c>
      <c r="E159" s="1" t="s">
        <v>2500</v>
      </c>
      <c r="F159" t="s">
        <v>440</v>
      </c>
      <c r="G159" t="s">
        <v>2103</v>
      </c>
      <c r="H159" t="s">
        <v>18</v>
      </c>
      <c r="I159" s="1" t="s">
        <v>4990</v>
      </c>
      <c r="J159" t="s">
        <v>2501</v>
      </c>
      <c r="K159">
        <v>1</v>
      </c>
      <c r="L159">
        <v>4</v>
      </c>
      <c r="M159">
        <v>361010</v>
      </c>
      <c r="N159" t="s">
        <v>2508</v>
      </c>
      <c r="O159" t="s">
        <v>70</v>
      </c>
      <c r="P159">
        <v>14</v>
      </c>
      <c r="Q159" t="s">
        <v>2509</v>
      </c>
      <c r="R159" t="s">
        <v>68</v>
      </c>
      <c r="S159" t="s">
        <v>102</v>
      </c>
      <c r="V159" s="7"/>
    </row>
    <row r="160" spans="1:22" x14ac:dyDescent="0.3">
      <c r="A160" t="s">
        <v>446</v>
      </c>
      <c r="B160" s="14" t="s">
        <v>447</v>
      </c>
      <c r="C160" t="s">
        <v>2103</v>
      </c>
      <c r="D160" t="s">
        <v>18</v>
      </c>
      <c r="E160" s="1" t="s">
        <v>2500</v>
      </c>
      <c r="F160" t="s">
        <v>440</v>
      </c>
      <c r="G160" t="s">
        <v>2103</v>
      </c>
      <c r="H160" t="s">
        <v>18</v>
      </c>
      <c r="I160" s="1" t="s">
        <v>4990</v>
      </c>
      <c r="J160" t="s">
        <v>2501</v>
      </c>
      <c r="K160">
        <v>1</v>
      </c>
      <c r="L160">
        <v>6</v>
      </c>
      <c r="M160">
        <v>200481</v>
      </c>
      <c r="N160" t="s">
        <v>2510</v>
      </c>
      <c r="O160" s="7" t="s">
        <v>70</v>
      </c>
      <c r="P160">
        <v>13</v>
      </c>
      <c r="Q160" t="s">
        <v>2511</v>
      </c>
      <c r="R160" t="s">
        <v>68</v>
      </c>
      <c r="S160" t="s">
        <v>102</v>
      </c>
      <c r="V160" s="7"/>
    </row>
    <row r="161" spans="1:22" x14ac:dyDescent="0.3">
      <c r="A161" t="s">
        <v>448</v>
      </c>
      <c r="B161" t="s">
        <v>449</v>
      </c>
      <c r="C161" t="s">
        <v>2103</v>
      </c>
      <c r="D161" t="s">
        <v>18</v>
      </c>
      <c r="E161" s="1" t="s">
        <v>2500</v>
      </c>
      <c r="F161" t="s">
        <v>440</v>
      </c>
      <c r="G161" t="s">
        <v>2103</v>
      </c>
      <c r="H161" t="s">
        <v>18</v>
      </c>
      <c r="I161" s="1" t="s">
        <v>4990</v>
      </c>
      <c r="J161" t="s">
        <v>2501</v>
      </c>
      <c r="K161">
        <v>1</v>
      </c>
      <c r="L161">
        <v>5</v>
      </c>
      <c r="M161">
        <v>345995</v>
      </c>
      <c r="N161" t="s">
        <v>2512</v>
      </c>
      <c r="O161" s="7" t="s">
        <v>70</v>
      </c>
      <c r="P161">
        <v>14</v>
      </c>
      <c r="Q161" t="s">
        <v>2513</v>
      </c>
      <c r="R161" t="s">
        <v>68</v>
      </c>
      <c r="S161" t="s">
        <v>102</v>
      </c>
      <c r="V161" s="7"/>
    </row>
    <row r="162" spans="1:22" x14ac:dyDescent="0.3">
      <c r="A162" t="s">
        <v>450</v>
      </c>
      <c r="B162" t="s">
        <v>451</v>
      </c>
      <c r="C162" t="s">
        <v>2103</v>
      </c>
      <c r="D162" t="s">
        <v>18</v>
      </c>
      <c r="E162" s="1" t="s">
        <v>2500</v>
      </c>
      <c r="F162" t="s">
        <v>440</v>
      </c>
      <c r="G162" t="s">
        <v>2103</v>
      </c>
      <c r="H162" t="s">
        <v>18</v>
      </c>
      <c r="I162" s="1" t="s">
        <v>4990</v>
      </c>
      <c r="J162" t="s">
        <v>2501</v>
      </c>
      <c r="K162">
        <v>1</v>
      </c>
      <c r="L162">
        <v>7</v>
      </c>
      <c r="M162">
        <v>345501</v>
      </c>
      <c r="N162" t="s">
        <v>2514</v>
      </c>
      <c r="O162" s="7" t="s">
        <v>70</v>
      </c>
      <c r="P162">
        <v>13</v>
      </c>
      <c r="Q162" t="s">
        <v>2515</v>
      </c>
      <c r="R162" t="s">
        <v>68</v>
      </c>
      <c r="S162" t="s">
        <v>102</v>
      </c>
      <c r="V162" s="7"/>
    </row>
    <row r="163" spans="1:22" x14ac:dyDescent="0.3">
      <c r="A163" t="s">
        <v>452</v>
      </c>
      <c r="B163" t="s">
        <v>453</v>
      </c>
      <c r="C163" t="s">
        <v>2103</v>
      </c>
      <c r="D163" t="s">
        <v>18</v>
      </c>
      <c r="E163" s="1" t="s">
        <v>2500</v>
      </c>
      <c r="F163" t="s">
        <v>440</v>
      </c>
      <c r="G163" t="s">
        <v>2103</v>
      </c>
      <c r="H163" t="s">
        <v>18</v>
      </c>
      <c r="I163" s="1" t="s">
        <v>4990</v>
      </c>
      <c r="J163" t="s">
        <v>2501</v>
      </c>
      <c r="K163">
        <v>1</v>
      </c>
      <c r="L163">
        <v>8</v>
      </c>
      <c r="M163">
        <v>186754</v>
      </c>
      <c r="N163" t="s">
        <v>2516</v>
      </c>
      <c r="O163" s="7" t="s">
        <v>70</v>
      </c>
      <c r="P163">
        <v>13</v>
      </c>
      <c r="Q163" t="s">
        <v>2517</v>
      </c>
      <c r="R163" t="s">
        <v>68</v>
      </c>
      <c r="S163" t="s">
        <v>102</v>
      </c>
      <c r="V163" s="7"/>
    </row>
    <row r="164" spans="1:22" x14ac:dyDescent="0.3">
      <c r="A164" t="s">
        <v>454</v>
      </c>
      <c r="B164" t="s">
        <v>455</v>
      </c>
      <c r="C164" t="s">
        <v>2103</v>
      </c>
      <c r="D164" t="s">
        <v>18</v>
      </c>
      <c r="E164" s="1" t="s">
        <v>2500</v>
      </c>
      <c r="F164" t="s">
        <v>440</v>
      </c>
      <c r="G164" t="s">
        <v>2103</v>
      </c>
      <c r="H164" t="s">
        <v>18</v>
      </c>
      <c r="I164" s="1" t="s">
        <v>4990</v>
      </c>
      <c r="J164" t="s">
        <v>2501</v>
      </c>
      <c r="K164">
        <v>1</v>
      </c>
      <c r="L164">
        <v>9</v>
      </c>
      <c r="M164">
        <v>249014</v>
      </c>
      <c r="N164" t="s">
        <v>2518</v>
      </c>
      <c r="O164" s="7" t="s">
        <v>70</v>
      </c>
      <c r="P164">
        <v>12</v>
      </c>
      <c r="Q164" t="s">
        <v>2519</v>
      </c>
      <c r="R164" t="s">
        <v>68</v>
      </c>
      <c r="S164" t="s">
        <v>102</v>
      </c>
      <c r="V164" s="7"/>
    </row>
    <row r="165" spans="1:22" x14ac:dyDescent="0.3">
      <c r="A165" t="s">
        <v>456</v>
      </c>
      <c r="B165" t="s">
        <v>457</v>
      </c>
      <c r="C165" t="s">
        <v>2103</v>
      </c>
      <c r="D165" t="s">
        <v>18</v>
      </c>
      <c r="E165" s="1" t="s">
        <v>2500</v>
      </c>
      <c r="F165" t="s">
        <v>440</v>
      </c>
      <c r="G165" t="s">
        <v>2103</v>
      </c>
      <c r="H165" t="s">
        <v>18</v>
      </c>
      <c r="I165" s="1" t="s">
        <v>4990</v>
      </c>
      <c r="J165" t="s">
        <v>2501</v>
      </c>
      <c r="K165">
        <v>1</v>
      </c>
      <c r="L165">
        <v>10</v>
      </c>
      <c r="M165">
        <v>281019</v>
      </c>
      <c r="N165" t="s">
        <v>2520</v>
      </c>
      <c r="O165" s="7" t="s">
        <v>70</v>
      </c>
      <c r="P165">
        <v>14</v>
      </c>
      <c r="Q165" t="s">
        <v>2521</v>
      </c>
      <c r="R165" t="s">
        <v>68</v>
      </c>
      <c r="S165" t="s">
        <v>102</v>
      </c>
      <c r="V165" s="7"/>
    </row>
    <row r="166" spans="1:22" x14ac:dyDescent="0.3">
      <c r="A166" t="s">
        <v>458</v>
      </c>
      <c r="B166" t="s">
        <v>459</v>
      </c>
      <c r="C166" t="s">
        <v>2103</v>
      </c>
      <c r="D166" t="s">
        <v>18</v>
      </c>
      <c r="E166" s="1" t="s">
        <v>2500</v>
      </c>
      <c r="F166" t="s">
        <v>440</v>
      </c>
      <c r="G166" t="s">
        <v>2103</v>
      </c>
      <c r="H166" t="s">
        <v>18</v>
      </c>
      <c r="I166" s="1" t="s">
        <v>4990</v>
      </c>
      <c r="J166" t="s">
        <v>2501</v>
      </c>
      <c r="K166">
        <v>1</v>
      </c>
      <c r="L166">
        <v>11</v>
      </c>
      <c r="M166">
        <v>325096</v>
      </c>
      <c r="N166" t="s">
        <v>2522</v>
      </c>
      <c r="O166" s="7" t="s">
        <v>70</v>
      </c>
      <c r="P166">
        <v>13</v>
      </c>
      <c r="Q166" t="s">
        <v>2523</v>
      </c>
      <c r="R166" t="s">
        <v>68</v>
      </c>
      <c r="S166" t="s">
        <v>102</v>
      </c>
    </row>
    <row r="167" spans="1:22" x14ac:dyDescent="0.3">
      <c r="A167" t="s">
        <v>460</v>
      </c>
      <c r="B167" t="s">
        <v>461</v>
      </c>
      <c r="C167" t="s">
        <v>2524</v>
      </c>
      <c r="D167" t="s">
        <v>2525</v>
      </c>
      <c r="E167" s="1" t="s">
        <v>2526</v>
      </c>
      <c r="F167" t="s">
        <v>461</v>
      </c>
      <c r="G167" t="s">
        <v>2524</v>
      </c>
      <c r="H167" t="s">
        <v>2525</v>
      </c>
      <c r="I167" s="1" t="s">
        <v>4991</v>
      </c>
      <c r="J167" t="s">
        <v>2527</v>
      </c>
      <c r="K167">
        <v>1</v>
      </c>
      <c r="L167">
        <v>1</v>
      </c>
      <c r="M167">
        <v>159636</v>
      </c>
      <c r="N167" t="s">
        <v>2528</v>
      </c>
      <c r="O167" s="7" t="s">
        <v>70</v>
      </c>
      <c r="P167">
        <v>56</v>
      </c>
      <c r="Q167" t="s">
        <v>2529</v>
      </c>
      <c r="R167" t="s">
        <v>68</v>
      </c>
      <c r="S167" t="s">
        <v>462</v>
      </c>
    </row>
    <row r="168" spans="1:22" x14ac:dyDescent="0.3">
      <c r="A168" t="s">
        <v>465</v>
      </c>
      <c r="B168" t="s">
        <v>466</v>
      </c>
      <c r="C168" t="s">
        <v>2530</v>
      </c>
      <c r="D168" t="s">
        <v>2531</v>
      </c>
      <c r="E168" s="1" t="s">
        <v>2532</v>
      </c>
      <c r="F168" t="s">
        <v>467</v>
      </c>
      <c r="G168" t="s">
        <v>2530</v>
      </c>
      <c r="H168" t="s">
        <v>2531</v>
      </c>
      <c r="I168" s="1" t="s">
        <v>4992</v>
      </c>
      <c r="J168" t="s">
        <v>2533</v>
      </c>
      <c r="K168">
        <v>1</v>
      </c>
      <c r="L168">
        <v>1</v>
      </c>
      <c r="M168">
        <v>194400</v>
      </c>
      <c r="N168" t="s">
        <v>2534</v>
      </c>
      <c r="O168" s="7" t="s">
        <v>70</v>
      </c>
      <c r="P168">
        <v>42</v>
      </c>
      <c r="Q168" t="s">
        <v>2535</v>
      </c>
      <c r="R168" t="s">
        <v>68</v>
      </c>
      <c r="S168" t="s">
        <v>462</v>
      </c>
      <c r="V168" s="7"/>
    </row>
    <row r="169" spans="1:22" x14ac:dyDescent="0.3">
      <c r="A169" t="s">
        <v>470</v>
      </c>
      <c r="B169" t="s">
        <v>471</v>
      </c>
      <c r="C169" t="s">
        <v>2536</v>
      </c>
      <c r="D169" t="s">
        <v>2537</v>
      </c>
      <c r="E169" s="1" t="s">
        <v>2538</v>
      </c>
      <c r="F169" t="s">
        <v>472</v>
      </c>
      <c r="G169" t="s">
        <v>2536</v>
      </c>
      <c r="H169" t="s">
        <v>2537</v>
      </c>
      <c r="I169" s="1">
        <v>45392</v>
      </c>
      <c r="J169" t="s">
        <v>2539</v>
      </c>
      <c r="K169">
        <v>1</v>
      </c>
      <c r="L169">
        <v>1</v>
      </c>
      <c r="M169">
        <v>183618</v>
      </c>
      <c r="N169" t="s">
        <v>2540</v>
      </c>
      <c r="O169" t="s">
        <v>70</v>
      </c>
      <c r="P169">
        <v>35</v>
      </c>
      <c r="Q169" t="s">
        <v>2541</v>
      </c>
      <c r="R169" t="s">
        <v>68</v>
      </c>
      <c r="S169" t="s">
        <v>462</v>
      </c>
    </row>
    <row r="170" spans="1:22" x14ac:dyDescent="0.3">
      <c r="A170" t="s">
        <v>474</v>
      </c>
      <c r="B170" t="s">
        <v>475</v>
      </c>
      <c r="C170" t="s">
        <v>2542</v>
      </c>
      <c r="D170" t="s">
        <v>2543</v>
      </c>
      <c r="E170" s="1" t="s">
        <v>2544</v>
      </c>
      <c r="F170" t="s">
        <v>476</v>
      </c>
      <c r="G170" t="s">
        <v>2545</v>
      </c>
      <c r="H170" t="s">
        <v>2546</v>
      </c>
      <c r="I170" s="1" t="s">
        <v>4993</v>
      </c>
      <c r="J170" t="s">
        <v>2547</v>
      </c>
      <c r="K170">
        <v>1</v>
      </c>
      <c r="L170">
        <v>1</v>
      </c>
      <c r="M170">
        <v>218057</v>
      </c>
      <c r="N170" t="s">
        <v>2548</v>
      </c>
      <c r="O170" s="7" t="s">
        <v>70</v>
      </c>
      <c r="P170">
        <v>48</v>
      </c>
      <c r="Q170" t="s">
        <v>2549</v>
      </c>
      <c r="R170" t="s">
        <v>68</v>
      </c>
      <c r="S170" t="s">
        <v>462</v>
      </c>
      <c r="V170" s="7"/>
    </row>
    <row r="171" spans="1:22" x14ac:dyDescent="0.3">
      <c r="A171" t="s">
        <v>478</v>
      </c>
      <c r="B171" s="14" t="s">
        <v>479</v>
      </c>
      <c r="C171" t="s">
        <v>2550</v>
      </c>
      <c r="D171" t="s">
        <v>2551</v>
      </c>
      <c r="E171" s="1" t="s">
        <v>2552</v>
      </c>
      <c r="F171" t="s">
        <v>480</v>
      </c>
      <c r="G171" t="s">
        <v>2553</v>
      </c>
      <c r="H171" t="s">
        <v>464</v>
      </c>
      <c r="I171" s="1">
        <v>45452</v>
      </c>
      <c r="J171" t="s">
        <v>2554</v>
      </c>
      <c r="K171">
        <v>1</v>
      </c>
      <c r="L171">
        <v>16</v>
      </c>
      <c r="M171">
        <v>277617</v>
      </c>
      <c r="N171" t="s">
        <v>2555</v>
      </c>
      <c r="O171" s="7" t="s">
        <v>70</v>
      </c>
      <c r="P171">
        <v>27</v>
      </c>
      <c r="Q171" t="s">
        <v>2556</v>
      </c>
      <c r="R171" t="s">
        <v>68</v>
      </c>
      <c r="S171" t="s">
        <v>462</v>
      </c>
    </row>
    <row r="172" spans="1:22" x14ac:dyDescent="0.3">
      <c r="A172" t="s">
        <v>481</v>
      </c>
      <c r="B172" t="s">
        <v>482</v>
      </c>
      <c r="C172" t="s">
        <v>2557</v>
      </c>
      <c r="D172" t="s">
        <v>2558</v>
      </c>
      <c r="E172" s="1" t="s">
        <v>2559</v>
      </c>
      <c r="F172" t="s">
        <v>483</v>
      </c>
      <c r="G172" t="s">
        <v>2560</v>
      </c>
      <c r="H172" t="s">
        <v>2561</v>
      </c>
      <c r="I172" s="1" t="s">
        <v>4994</v>
      </c>
      <c r="J172" t="s">
        <v>2562</v>
      </c>
      <c r="K172">
        <v>1</v>
      </c>
      <c r="L172">
        <v>1</v>
      </c>
      <c r="M172">
        <v>173333</v>
      </c>
      <c r="N172" t="s">
        <v>2563</v>
      </c>
      <c r="O172" s="7" t="s">
        <v>70</v>
      </c>
      <c r="P172">
        <v>39</v>
      </c>
      <c r="Q172" t="s">
        <v>2564</v>
      </c>
      <c r="R172" t="s">
        <v>68</v>
      </c>
      <c r="S172" t="s">
        <v>462</v>
      </c>
      <c r="V172" s="7"/>
    </row>
    <row r="173" spans="1:22" x14ac:dyDescent="0.3">
      <c r="A173" t="s">
        <v>485</v>
      </c>
      <c r="B173" t="s">
        <v>486</v>
      </c>
      <c r="C173" t="s">
        <v>2565</v>
      </c>
      <c r="D173" t="s">
        <v>2566</v>
      </c>
      <c r="E173" s="1" t="s">
        <v>2559</v>
      </c>
      <c r="F173" t="s">
        <v>483</v>
      </c>
      <c r="G173" t="s">
        <v>2560</v>
      </c>
      <c r="H173" t="s">
        <v>2561</v>
      </c>
      <c r="I173" s="1" t="s">
        <v>4994</v>
      </c>
      <c r="J173" t="s">
        <v>2562</v>
      </c>
      <c r="K173">
        <v>1</v>
      </c>
      <c r="L173">
        <v>2</v>
      </c>
      <c r="M173">
        <v>167619</v>
      </c>
      <c r="N173" t="s">
        <v>2567</v>
      </c>
      <c r="O173" s="7" t="s">
        <v>70</v>
      </c>
      <c r="P173">
        <v>27</v>
      </c>
      <c r="Q173" t="s">
        <v>2568</v>
      </c>
      <c r="R173" t="s">
        <v>68</v>
      </c>
      <c r="S173" t="s">
        <v>462</v>
      </c>
    </row>
    <row r="174" spans="1:22" x14ac:dyDescent="0.3">
      <c r="A174" t="s">
        <v>488</v>
      </c>
      <c r="B174" t="s">
        <v>489</v>
      </c>
      <c r="C174" t="s">
        <v>2569</v>
      </c>
      <c r="D174" t="s">
        <v>2570</v>
      </c>
      <c r="E174" s="1" t="s">
        <v>2571</v>
      </c>
      <c r="F174" t="s">
        <v>490</v>
      </c>
      <c r="G174" t="s">
        <v>2569</v>
      </c>
      <c r="H174" t="s">
        <v>2570</v>
      </c>
      <c r="I174" s="1" t="s">
        <v>4995</v>
      </c>
      <c r="J174" t="s">
        <v>2572</v>
      </c>
      <c r="K174">
        <v>1</v>
      </c>
      <c r="L174">
        <v>1</v>
      </c>
      <c r="M174">
        <v>185298</v>
      </c>
      <c r="N174" t="s">
        <v>2573</v>
      </c>
      <c r="O174" s="7" t="s">
        <v>70</v>
      </c>
      <c r="P174">
        <v>24</v>
      </c>
      <c r="Q174" t="s">
        <v>2574</v>
      </c>
      <c r="R174" t="s">
        <v>68</v>
      </c>
      <c r="S174" t="s">
        <v>462</v>
      </c>
      <c r="V174" s="7"/>
    </row>
    <row r="175" spans="1:22" x14ac:dyDescent="0.3">
      <c r="A175" t="s">
        <v>492</v>
      </c>
      <c r="B175" t="s">
        <v>493</v>
      </c>
      <c r="C175" t="s">
        <v>2575</v>
      </c>
      <c r="D175" t="s">
        <v>2576</v>
      </c>
      <c r="E175" s="1" t="s">
        <v>2577</v>
      </c>
      <c r="F175" t="s">
        <v>494</v>
      </c>
      <c r="G175" t="s">
        <v>2578</v>
      </c>
      <c r="H175" t="s">
        <v>2579</v>
      </c>
      <c r="I175" s="1">
        <v>45633</v>
      </c>
      <c r="J175" t="s">
        <v>2580</v>
      </c>
      <c r="K175">
        <v>1</v>
      </c>
      <c r="L175">
        <v>1</v>
      </c>
      <c r="M175">
        <v>221743</v>
      </c>
      <c r="N175" t="s">
        <v>2581</v>
      </c>
      <c r="O175" t="s">
        <v>70</v>
      </c>
      <c r="P175">
        <v>26</v>
      </c>
      <c r="Q175" t="s">
        <v>2582</v>
      </c>
      <c r="R175" t="s">
        <v>68</v>
      </c>
      <c r="S175" t="s">
        <v>462</v>
      </c>
      <c r="V175" s="7"/>
    </row>
    <row r="176" spans="1:22" x14ac:dyDescent="0.3">
      <c r="A176" t="s">
        <v>496</v>
      </c>
      <c r="B176" t="s">
        <v>497</v>
      </c>
      <c r="C176" t="s">
        <v>2583</v>
      </c>
      <c r="D176" t="s">
        <v>2584</v>
      </c>
      <c r="E176" s="1" t="s">
        <v>2585</v>
      </c>
      <c r="F176" t="s">
        <v>497</v>
      </c>
      <c r="G176" t="s">
        <v>2583</v>
      </c>
      <c r="H176" t="s">
        <v>2584</v>
      </c>
      <c r="I176" s="1">
        <v>45570</v>
      </c>
      <c r="J176" t="s">
        <v>2586</v>
      </c>
      <c r="K176">
        <v>1</v>
      </c>
      <c r="L176">
        <v>1</v>
      </c>
      <c r="M176">
        <v>162701</v>
      </c>
      <c r="N176" t="s">
        <v>2587</v>
      </c>
      <c r="O176" t="s">
        <v>70</v>
      </c>
      <c r="P176">
        <v>41</v>
      </c>
      <c r="Q176" t="s">
        <v>2588</v>
      </c>
      <c r="R176" t="s">
        <v>68</v>
      </c>
      <c r="S176" t="s">
        <v>462</v>
      </c>
      <c r="V176" s="7"/>
    </row>
    <row r="177" spans="1:22" x14ac:dyDescent="0.3">
      <c r="A177" t="s">
        <v>498</v>
      </c>
      <c r="B177" t="s">
        <v>499</v>
      </c>
      <c r="C177" t="s">
        <v>2589</v>
      </c>
      <c r="D177" t="s">
        <v>501</v>
      </c>
      <c r="E177" s="1" t="s">
        <v>2590</v>
      </c>
      <c r="F177" t="s">
        <v>500</v>
      </c>
      <c r="G177" t="s">
        <v>2553</v>
      </c>
      <c r="H177" t="s">
        <v>464</v>
      </c>
      <c r="I177" s="1" t="s">
        <v>4996</v>
      </c>
      <c r="J177" t="s">
        <v>2591</v>
      </c>
      <c r="K177">
        <v>1</v>
      </c>
      <c r="L177">
        <v>11</v>
      </c>
      <c r="M177">
        <v>228686</v>
      </c>
      <c r="N177" t="s">
        <v>2592</v>
      </c>
      <c r="O177" s="7" t="s">
        <v>70</v>
      </c>
      <c r="P177">
        <v>16</v>
      </c>
      <c r="Q177" t="s">
        <v>2593</v>
      </c>
      <c r="R177" t="s">
        <v>68</v>
      </c>
      <c r="S177" t="s">
        <v>462</v>
      </c>
      <c r="V177" s="7"/>
    </row>
    <row r="178" spans="1:22" x14ac:dyDescent="0.3">
      <c r="A178" t="s">
        <v>502</v>
      </c>
      <c r="B178" t="s">
        <v>503</v>
      </c>
      <c r="C178" t="s">
        <v>2594</v>
      </c>
      <c r="D178" t="s">
        <v>2595</v>
      </c>
      <c r="E178" s="1" t="s">
        <v>2596</v>
      </c>
      <c r="F178" t="s">
        <v>504</v>
      </c>
      <c r="G178" t="s">
        <v>2597</v>
      </c>
      <c r="H178" t="s">
        <v>2598</v>
      </c>
      <c r="I178" s="1" t="s">
        <v>4997</v>
      </c>
      <c r="J178" t="s">
        <v>2599</v>
      </c>
      <c r="K178">
        <v>1</v>
      </c>
      <c r="L178">
        <v>1</v>
      </c>
      <c r="M178">
        <v>213870</v>
      </c>
      <c r="N178" t="s">
        <v>2600</v>
      </c>
      <c r="O178" s="7" t="s">
        <v>70</v>
      </c>
      <c r="P178">
        <v>31</v>
      </c>
      <c r="Q178" t="s">
        <v>2601</v>
      </c>
      <c r="R178" t="s">
        <v>68</v>
      </c>
      <c r="S178" t="s">
        <v>462</v>
      </c>
      <c r="V178" s="7"/>
    </row>
    <row r="179" spans="1:22" x14ac:dyDescent="0.3">
      <c r="A179" t="s">
        <v>506</v>
      </c>
      <c r="B179" t="s">
        <v>507</v>
      </c>
      <c r="C179" t="s">
        <v>2602</v>
      </c>
      <c r="D179" t="s">
        <v>2603</v>
      </c>
      <c r="E179" s="1" t="s">
        <v>2604</v>
      </c>
      <c r="F179" t="s">
        <v>508</v>
      </c>
      <c r="G179" t="s">
        <v>2605</v>
      </c>
      <c r="H179" t="s">
        <v>2606</v>
      </c>
      <c r="I179" s="1">
        <v>44780</v>
      </c>
      <c r="J179" t="s">
        <v>2607</v>
      </c>
      <c r="K179">
        <v>1</v>
      </c>
      <c r="L179">
        <v>1</v>
      </c>
      <c r="M179">
        <v>178304</v>
      </c>
      <c r="N179" t="s">
        <v>2608</v>
      </c>
      <c r="O179" s="7" t="s">
        <v>70</v>
      </c>
      <c r="P179">
        <v>75</v>
      </c>
      <c r="Q179" t="s">
        <v>2609</v>
      </c>
      <c r="R179" t="s">
        <v>68</v>
      </c>
      <c r="S179" t="s">
        <v>462</v>
      </c>
      <c r="V179" s="7"/>
    </row>
    <row r="180" spans="1:22" x14ac:dyDescent="0.3">
      <c r="A180" t="s">
        <v>510</v>
      </c>
      <c r="B180" t="s">
        <v>511</v>
      </c>
      <c r="C180" t="s">
        <v>2610</v>
      </c>
      <c r="D180" t="s">
        <v>2611</v>
      </c>
      <c r="E180" s="1" t="s">
        <v>2612</v>
      </c>
      <c r="F180" t="s">
        <v>511</v>
      </c>
      <c r="G180" t="s">
        <v>2613</v>
      </c>
      <c r="H180" t="s">
        <v>2614</v>
      </c>
      <c r="I180" s="1" t="s">
        <v>4998</v>
      </c>
      <c r="J180" t="s">
        <v>2615</v>
      </c>
      <c r="K180">
        <v>1</v>
      </c>
      <c r="L180">
        <v>1</v>
      </c>
      <c r="M180">
        <v>245466</v>
      </c>
      <c r="N180" t="s">
        <v>2616</v>
      </c>
      <c r="O180" s="7" t="s">
        <v>70</v>
      </c>
      <c r="P180">
        <v>69</v>
      </c>
      <c r="Q180" t="s">
        <v>2617</v>
      </c>
      <c r="R180" t="s">
        <v>68</v>
      </c>
      <c r="S180" t="s">
        <v>462</v>
      </c>
      <c r="V180" s="7"/>
    </row>
    <row r="181" spans="1:22" x14ac:dyDescent="0.3">
      <c r="A181" t="s">
        <v>512</v>
      </c>
      <c r="B181" t="s">
        <v>513</v>
      </c>
      <c r="C181" t="s">
        <v>2618</v>
      </c>
      <c r="D181" t="s">
        <v>2619</v>
      </c>
      <c r="E181" s="1" t="s">
        <v>2620</v>
      </c>
      <c r="F181" t="s">
        <v>514</v>
      </c>
      <c r="G181" t="s">
        <v>2589</v>
      </c>
      <c r="H181" t="s">
        <v>501</v>
      </c>
      <c r="I181" s="1" t="s">
        <v>77</v>
      </c>
      <c r="J181" t="s">
        <v>2621</v>
      </c>
      <c r="K181">
        <v>1</v>
      </c>
      <c r="L181">
        <v>1</v>
      </c>
      <c r="M181">
        <v>204105</v>
      </c>
      <c r="N181" t="s">
        <v>2622</v>
      </c>
      <c r="O181" s="7" t="s">
        <v>70</v>
      </c>
      <c r="P181">
        <v>68</v>
      </c>
      <c r="Q181" t="s">
        <v>2623</v>
      </c>
      <c r="R181" t="s">
        <v>68</v>
      </c>
      <c r="S181" t="s">
        <v>462</v>
      </c>
      <c r="V181" s="7"/>
    </row>
    <row r="182" spans="1:22" x14ac:dyDescent="0.3">
      <c r="A182" t="s">
        <v>515</v>
      </c>
      <c r="B182" t="s">
        <v>516</v>
      </c>
      <c r="C182" t="s">
        <v>2624</v>
      </c>
      <c r="D182" t="s">
        <v>2625</v>
      </c>
      <c r="E182" s="1" t="s">
        <v>2626</v>
      </c>
      <c r="F182" t="s">
        <v>517</v>
      </c>
      <c r="G182" t="s">
        <v>2627</v>
      </c>
      <c r="H182" t="s">
        <v>719</v>
      </c>
      <c r="I182" s="1">
        <v>38358</v>
      </c>
      <c r="J182" t="s">
        <v>2628</v>
      </c>
      <c r="K182">
        <v>1</v>
      </c>
      <c r="L182">
        <v>1</v>
      </c>
      <c r="M182">
        <v>192230</v>
      </c>
      <c r="N182" t="s">
        <v>2629</v>
      </c>
      <c r="O182" s="7" t="s">
        <v>70</v>
      </c>
      <c r="P182">
        <v>22</v>
      </c>
      <c r="Q182" t="s">
        <v>2630</v>
      </c>
      <c r="R182" t="s">
        <v>68</v>
      </c>
      <c r="S182" t="s">
        <v>462</v>
      </c>
      <c r="V182" s="7"/>
    </row>
    <row r="183" spans="1:22" x14ac:dyDescent="0.3">
      <c r="A183" t="s">
        <v>519</v>
      </c>
      <c r="B183" t="s">
        <v>520</v>
      </c>
      <c r="C183" t="s">
        <v>2589</v>
      </c>
      <c r="D183" t="s">
        <v>501</v>
      </c>
      <c r="E183" s="1" t="s">
        <v>2631</v>
      </c>
      <c r="F183" t="s">
        <v>521</v>
      </c>
      <c r="G183" t="s">
        <v>2589</v>
      </c>
      <c r="H183" t="s">
        <v>501</v>
      </c>
      <c r="I183" s="1">
        <v>35804</v>
      </c>
      <c r="J183" t="s">
        <v>2632</v>
      </c>
      <c r="K183">
        <v>1</v>
      </c>
      <c r="L183">
        <v>3</v>
      </c>
      <c r="M183">
        <v>372160</v>
      </c>
      <c r="N183" t="s">
        <v>2633</v>
      </c>
      <c r="O183" s="7" t="s">
        <v>70</v>
      </c>
      <c r="P183">
        <v>0</v>
      </c>
      <c r="Q183" t="s">
        <v>2634</v>
      </c>
      <c r="R183" t="s">
        <v>68</v>
      </c>
      <c r="S183" t="s">
        <v>462</v>
      </c>
      <c r="V183" s="7"/>
    </row>
    <row r="184" spans="1:22" x14ac:dyDescent="0.3">
      <c r="A184" t="s">
        <v>522</v>
      </c>
      <c r="B184" t="s">
        <v>523</v>
      </c>
      <c r="C184" t="s">
        <v>2589</v>
      </c>
      <c r="D184" t="s">
        <v>501</v>
      </c>
      <c r="E184" t="s">
        <v>2635</v>
      </c>
      <c r="F184" t="s">
        <v>2636</v>
      </c>
      <c r="G184" t="s">
        <v>2589</v>
      </c>
      <c r="H184" t="s">
        <v>501</v>
      </c>
      <c r="I184" s="1" t="s">
        <v>73</v>
      </c>
      <c r="J184" t="s">
        <v>2637</v>
      </c>
      <c r="K184">
        <v>1</v>
      </c>
      <c r="L184">
        <v>2</v>
      </c>
      <c r="M184">
        <v>350813</v>
      </c>
      <c r="N184" t="s">
        <v>2638</v>
      </c>
      <c r="O184" s="7" t="s">
        <v>70</v>
      </c>
      <c r="P184">
        <v>1</v>
      </c>
      <c r="Q184" t="s">
        <v>2639</v>
      </c>
      <c r="R184" t="s">
        <v>68</v>
      </c>
      <c r="S184" t="s">
        <v>462</v>
      </c>
      <c r="V184" s="7"/>
    </row>
    <row r="185" spans="1:22" x14ac:dyDescent="0.3">
      <c r="A185" t="s">
        <v>525</v>
      </c>
      <c r="B185" t="s">
        <v>526</v>
      </c>
      <c r="C185" t="s">
        <v>2640</v>
      </c>
      <c r="D185" t="s">
        <v>2641</v>
      </c>
      <c r="E185" s="1" t="s">
        <v>2642</v>
      </c>
      <c r="F185" t="s">
        <v>527</v>
      </c>
      <c r="G185" t="s">
        <v>2583</v>
      </c>
      <c r="H185" t="s">
        <v>2584</v>
      </c>
      <c r="I185" s="1" t="s">
        <v>4999</v>
      </c>
      <c r="J185" t="s">
        <v>2643</v>
      </c>
      <c r="K185">
        <v>1</v>
      </c>
      <c r="L185">
        <v>2</v>
      </c>
      <c r="M185">
        <v>227462</v>
      </c>
      <c r="N185" t="s">
        <v>2644</v>
      </c>
      <c r="O185" s="7" t="s">
        <v>70</v>
      </c>
      <c r="P185">
        <v>26</v>
      </c>
      <c r="Q185" t="s">
        <v>2645</v>
      </c>
      <c r="R185" t="s">
        <v>68</v>
      </c>
      <c r="S185" t="s">
        <v>462</v>
      </c>
      <c r="V185" s="7"/>
    </row>
    <row r="186" spans="1:22" x14ac:dyDescent="0.3">
      <c r="A186" t="s">
        <v>529</v>
      </c>
      <c r="B186" t="s">
        <v>530</v>
      </c>
      <c r="C186" t="s">
        <v>2646</v>
      </c>
      <c r="D186" t="s">
        <v>2647</v>
      </c>
      <c r="E186" s="1" t="s">
        <v>2648</v>
      </c>
      <c r="F186" t="s">
        <v>531</v>
      </c>
      <c r="G186" t="s">
        <v>2589</v>
      </c>
      <c r="H186" t="s">
        <v>501</v>
      </c>
      <c r="I186" s="1">
        <v>40544</v>
      </c>
      <c r="J186" t="s">
        <v>2649</v>
      </c>
      <c r="K186">
        <v>1</v>
      </c>
      <c r="L186">
        <v>4</v>
      </c>
      <c r="M186">
        <v>181693</v>
      </c>
      <c r="N186" t="s">
        <v>2650</v>
      </c>
      <c r="O186" s="7" t="s">
        <v>70</v>
      </c>
      <c r="P186">
        <v>0</v>
      </c>
      <c r="Q186" t="s">
        <v>2651</v>
      </c>
      <c r="R186" t="s">
        <v>68</v>
      </c>
      <c r="S186" t="s">
        <v>462</v>
      </c>
      <c r="V186" s="7"/>
    </row>
    <row r="187" spans="1:22" x14ac:dyDescent="0.3">
      <c r="A187" t="s">
        <v>532</v>
      </c>
      <c r="B187" t="s">
        <v>533</v>
      </c>
      <c r="C187" t="s">
        <v>2589</v>
      </c>
      <c r="D187" t="s">
        <v>501</v>
      </c>
      <c r="E187" t="s">
        <v>2652</v>
      </c>
      <c r="F187" t="s">
        <v>534</v>
      </c>
      <c r="G187" t="s">
        <v>2589</v>
      </c>
      <c r="H187" t="s">
        <v>501</v>
      </c>
      <c r="I187" s="1" t="s">
        <v>74</v>
      </c>
      <c r="J187" t="s">
        <v>2653</v>
      </c>
      <c r="K187">
        <v>1</v>
      </c>
      <c r="L187">
        <v>1</v>
      </c>
      <c r="M187">
        <v>176746</v>
      </c>
      <c r="N187" t="s">
        <v>2654</v>
      </c>
      <c r="O187" s="7" t="s">
        <v>70</v>
      </c>
      <c r="P187">
        <v>12</v>
      </c>
      <c r="Q187" t="s">
        <v>2655</v>
      </c>
      <c r="R187" t="s">
        <v>68</v>
      </c>
      <c r="S187" t="s">
        <v>462</v>
      </c>
      <c r="V187" s="7"/>
    </row>
    <row r="188" spans="1:22" x14ac:dyDescent="0.3">
      <c r="A188" t="s">
        <v>535</v>
      </c>
      <c r="B188" t="s">
        <v>536</v>
      </c>
      <c r="C188" t="s">
        <v>2656</v>
      </c>
      <c r="D188" t="s">
        <v>2657</v>
      </c>
      <c r="E188" s="1" t="s">
        <v>2658</v>
      </c>
      <c r="F188" t="s">
        <v>536</v>
      </c>
      <c r="G188" t="s">
        <v>2656</v>
      </c>
      <c r="H188" t="s">
        <v>2657</v>
      </c>
      <c r="I188" s="1">
        <v>45416</v>
      </c>
      <c r="J188" t="s">
        <v>2659</v>
      </c>
      <c r="K188">
        <v>1</v>
      </c>
      <c r="L188">
        <v>1</v>
      </c>
      <c r="M188">
        <v>196080</v>
      </c>
      <c r="N188" t="s">
        <v>2660</v>
      </c>
      <c r="O188" s="7" t="s">
        <v>70</v>
      </c>
      <c r="P188">
        <v>27</v>
      </c>
      <c r="Q188" t="s">
        <v>2661</v>
      </c>
      <c r="R188" t="s">
        <v>68</v>
      </c>
      <c r="S188" t="s">
        <v>462</v>
      </c>
      <c r="V188" s="7"/>
    </row>
    <row r="189" spans="1:22" x14ac:dyDescent="0.3">
      <c r="A189" t="s">
        <v>538</v>
      </c>
      <c r="B189" t="s">
        <v>539</v>
      </c>
      <c r="C189" t="s">
        <v>2662</v>
      </c>
      <c r="D189" t="s">
        <v>2663</v>
      </c>
      <c r="E189" s="1" t="s">
        <v>2664</v>
      </c>
      <c r="F189" t="s">
        <v>540</v>
      </c>
      <c r="G189" t="s">
        <v>2589</v>
      </c>
      <c r="H189" t="s">
        <v>501</v>
      </c>
      <c r="I189" s="1">
        <v>38874</v>
      </c>
      <c r="J189" t="s">
        <v>2665</v>
      </c>
      <c r="K189">
        <v>1</v>
      </c>
      <c r="L189">
        <v>1</v>
      </c>
      <c r="M189">
        <v>199194</v>
      </c>
      <c r="N189" t="s">
        <v>2666</v>
      </c>
      <c r="O189" s="7" t="s">
        <v>70</v>
      </c>
      <c r="P189">
        <v>73</v>
      </c>
      <c r="Q189" t="s">
        <v>2667</v>
      </c>
      <c r="R189" t="s">
        <v>68</v>
      </c>
      <c r="S189" t="s">
        <v>462</v>
      </c>
      <c r="V189" s="7"/>
    </row>
    <row r="190" spans="1:22" x14ac:dyDescent="0.3">
      <c r="A190" t="s">
        <v>541</v>
      </c>
      <c r="B190" t="s">
        <v>542</v>
      </c>
      <c r="C190" t="s">
        <v>2589</v>
      </c>
      <c r="D190" t="s">
        <v>501</v>
      </c>
      <c r="E190" s="1" t="s">
        <v>2668</v>
      </c>
      <c r="F190" t="s">
        <v>542</v>
      </c>
      <c r="G190" t="s">
        <v>2589</v>
      </c>
      <c r="H190" t="s">
        <v>501</v>
      </c>
      <c r="I190" s="1" t="s">
        <v>5000</v>
      </c>
      <c r="J190" t="s">
        <v>2669</v>
      </c>
      <c r="K190">
        <v>1</v>
      </c>
      <c r="L190">
        <v>1</v>
      </c>
      <c r="M190">
        <v>209032</v>
      </c>
      <c r="N190" t="s">
        <v>2670</v>
      </c>
      <c r="O190" s="7" t="s">
        <v>70</v>
      </c>
      <c r="P190">
        <v>0</v>
      </c>
      <c r="Q190" t="s">
        <v>2671</v>
      </c>
      <c r="R190" t="s">
        <v>68</v>
      </c>
      <c r="S190" t="s">
        <v>462</v>
      </c>
      <c r="V190" s="7"/>
    </row>
    <row r="191" spans="1:22" x14ac:dyDescent="0.3">
      <c r="A191" t="s">
        <v>543</v>
      </c>
      <c r="B191" t="s">
        <v>544</v>
      </c>
      <c r="C191" t="s">
        <v>2589</v>
      </c>
      <c r="D191" t="s">
        <v>501</v>
      </c>
      <c r="E191" s="1" t="s">
        <v>2631</v>
      </c>
      <c r="F191" t="s">
        <v>521</v>
      </c>
      <c r="G191" t="s">
        <v>2589</v>
      </c>
      <c r="H191" t="s">
        <v>501</v>
      </c>
      <c r="I191" s="1">
        <v>35804</v>
      </c>
      <c r="J191" t="s">
        <v>2632</v>
      </c>
      <c r="K191">
        <v>1</v>
      </c>
      <c r="L191">
        <v>5</v>
      </c>
      <c r="M191">
        <v>274000</v>
      </c>
      <c r="N191" t="s">
        <v>2672</v>
      </c>
      <c r="O191" s="7" t="s">
        <v>70</v>
      </c>
      <c r="P191">
        <v>0</v>
      </c>
      <c r="Q191" t="s">
        <v>2673</v>
      </c>
      <c r="R191" t="s">
        <v>68</v>
      </c>
      <c r="S191" t="s">
        <v>462</v>
      </c>
      <c r="V191" s="7"/>
    </row>
    <row r="192" spans="1:22" x14ac:dyDescent="0.3">
      <c r="A192" t="s">
        <v>545</v>
      </c>
      <c r="B192" t="s">
        <v>546</v>
      </c>
      <c r="C192" t="s">
        <v>2674</v>
      </c>
      <c r="D192" t="s">
        <v>2675</v>
      </c>
      <c r="E192" s="1" t="s">
        <v>2642</v>
      </c>
      <c r="F192" t="s">
        <v>527</v>
      </c>
      <c r="G192" t="s">
        <v>2583</v>
      </c>
      <c r="H192" t="s">
        <v>2584</v>
      </c>
      <c r="I192" s="1" t="s">
        <v>4999</v>
      </c>
      <c r="J192" t="s">
        <v>2643</v>
      </c>
      <c r="K192">
        <v>1</v>
      </c>
      <c r="L192">
        <v>3</v>
      </c>
      <c r="M192">
        <v>193548</v>
      </c>
      <c r="N192" t="s">
        <v>2676</v>
      </c>
      <c r="O192" s="7" t="s">
        <v>70</v>
      </c>
      <c r="P192">
        <v>17</v>
      </c>
      <c r="Q192" t="s">
        <v>2677</v>
      </c>
      <c r="R192" t="s">
        <v>68</v>
      </c>
      <c r="S192" t="s">
        <v>462</v>
      </c>
      <c r="V192" s="7"/>
    </row>
    <row r="193" spans="1:22" x14ac:dyDescent="0.3">
      <c r="A193" t="s">
        <v>548</v>
      </c>
      <c r="B193" t="s">
        <v>549</v>
      </c>
      <c r="C193" t="s">
        <v>2589</v>
      </c>
      <c r="D193" t="s">
        <v>501</v>
      </c>
      <c r="E193" s="1" t="s">
        <v>2678</v>
      </c>
      <c r="F193" t="s">
        <v>550</v>
      </c>
      <c r="G193" t="s">
        <v>2589</v>
      </c>
      <c r="H193" t="s">
        <v>501</v>
      </c>
      <c r="I193" s="1" t="s">
        <v>5001</v>
      </c>
      <c r="J193" t="s">
        <v>2679</v>
      </c>
      <c r="K193">
        <v>1</v>
      </c>
      <c r="L193">
        <v>1</v>
      </c>
      <c r="M193">
        <v>156189</v>
      </c>
      <c r="N193" t="s">
        <v>2680</v>
      </c>
      <c r="O193" s="7" t="s">
        <v>70</v>
      </c>
      <c r="P193">
        <v>0</v>
      </c>
      <c r="Q193" t="s">
        <v>2681</v>
      </c>
      <c r="R193" t="s">
        <v>68</v>
      </c>
      <c r="S193" t="s">
        <v>462</v>
      </c>
      <c r="V193" s="7"/>
    </row>
    <row r="194" spans="1:22" x14ac:dyDescent="0.3">
      <c r="A194" t="s">
        <v>551</v>
      </c>
      <c r="B194" t="s">
        <v>552</v>
      </c>
      <c r="C194" t="s">
        <v>2589</v>
      </c>
      <c r="D194" t="s">
        <v>501</v>
      </c>
      <c r="E194" t="s">
        <v>2682</v>
      </c>
      <c r="F194" t="s">
        <v>553</v>
      </c>
      <c r="G194" t="s">
        <v>2589</v>
      </c>
      <c r="H194" t="s">
        <v>501</v>
      </c>
      <c r="I194" s="1" t="s">
        <v>5002</v>
      </c>
      <c r="J194" t="s">
        <v>2683</v>
      </c>
      <c r="K194">
        <v>1</v>
      </c>
      <c r="L194">
        <v>2</v>
      </c>
      <c r="M194">
        <v>260519</v>
      </c>
      <c r="N194" t="s">
        <v>2684</v>
      </c>
      <c r="O194" s="7" t="s">
        <v>70</v>
      </c>
      <c r="P194">
        <v>0</v>
      </c>
      <c r="Q194" t="s">
        <v>2685</v>
      </c>
      <c r="R194" t="s">
        <v>68</v>
      </c>
      <c r="S194" t="s">
        <v>462</v>
      </c>
    </row>
    <row r="195" spans="1:22" x14ac:dyDescent="0.3">
      <c r="A195" t="s">
        <v>554</v>
      </c>
      <c r="B195" t="s">
        <v>555</v>
      </c>
      <c r="C195" t="s">
        <v>2589</v>
      </c>
      <c r="D195" t="s">
        <v>501</v>
      </c>
      <c r="E195" s="1" t="s">
        <v>2631</v>
      </c>
      <c r="F195" t="s">
        <v>521</v>
      </c>
      <c r="G195" t="s">
        <v>2589</v>
      </c>
      <c r="H195" t="s">
        <v>501</v>
      </c>
      <c r="I195" s="1">
        <v>35804</v>
      </c>
      <c r="J195" t="s">
        <v>2632</v>
      </c>
      <c r="K195">
        <v>1</v>
      </c>
      <c r="L195">
        <v>9</v>
      </c>
      <c r="M195">
        <v>333840</v>
      </c>
      <c r="N195" t="s">
        <v>2686</v>
      </c>
      <c r="O195" s="7" t="s">
        <v>70</v>
      </c>
      <c r="P195">
        <v>0</v>
      </c>
      <c r="Q195" t="s">
        <v>2687</v>
      </c>
      <c r="R195" t="s">
        <v>68</v>
      </c>
      <c r="S195" t="s">
        <v>462</v>
      </c>
      <c r="V195" s="7"/>
    </row>
    <row r="196" spans="1:22" x14ac:dyDescent="0.3">
      <c r="A196" t="s">
        <v>556</v>
      </c>
      <c r="B196" t="s">
        <v>557</v>
      </c>
      <c r="C196" t="s">
        <v>2589</v>
      </c>
      <c r="D196" t="s">
        <v>501</v>
      </c>
      <c r="E196" t="s">
        <v>2635</v>
      </c>
      <c r="F196" t="s">
        <v>2636</v>
      </c>
      <c r="G196" t="s">
        <v>2589</v>
      </c>
      <c r="H196" t="s">
        <v>501</v>
      </c>
      <c r="I196" s="1" t="s">
        <v>73</v>
      </c>
      <c r="J196" t="s">
        <v>2637</v>
      </c>
      <c r="K196">
        <v>1</v>
      </c>
      <c r="L196">
        <v>11</v>
      </c>
      <c r="M196">
        <v>300080</v>
      </c>
      <c r="N196" t="s">
        <v>2688</v>
      </c>
      <c r="O196" s="7" t="s">
        <v>70</v>
      </c>
      <c r="P196">
        <v>0</v>
      </c>
      <c r="Q196" t="s">
        <v>2689</v>
      </c>
      <c r="R196" t="s">
        <v>68</v>
      </c>
      <c r="S196" t="s">
        <v>462</v>
      </c>
      <c r="V196" s="7"/>
    </row>
    <row r="197" spans="1:22" x14ac:dyDescent="0.3">
      <c r="A197" t="s">
        <v>558</v>
      </c>
      <c r="B197" t="s">
        <v>559</v>
      </c>
      <c r="C197" t="s">
        <v>2589</v>
      </c>
      <c r="D197" t="s">
        <v>501</v>
      </c>
      <c r="E197" s="1" t="s">
        <v>2631</v>
      </c>
      <c r="F197" t="s">
        <v>521</v>
      </c>
      <c r="G197" t="s">
        <v>2589</v>
      </c>
      <c r="H197" t="s">
        <v>501</v>
      </c>
      <c r="I197" s="1">
        <v>35804</v>
      </c>
      <c r="J197" t="s">
        <v>2632</v>
      </c>
      <c r="K197">
        <v>1</v>
      </c>
      <c r="L197">
        <v>2</v>
      </c>
      <c r="M197">
        <v>319573</v>
      </c>
      <c r="N197" t="s">
        <v>2690</v>
      </c>
      <c r="O197" s="7" t="s">
        <v>70</v>
      </c>
      <c r="P197">
        <v>0</v>
      </c>
      <c r="Q197" t="s">
        <v>2691</v>
      </c>
      <c r="R197" t="s">
        <v>68</v>
      </c>
      <c r="S197" t="s">
        <v>462</v>
      </c>
    </row>
    <row r="198" spans="1:22" x14ac:dyDescent="0.3">
      <c r="A198" t="s">
        <v>560</v>
      </c>
      <c r="B198" t="s">
        <v>561</v>
      </c>
      <c r="C198" t="s">
        <v>2589</v>
      </c>
      <c r="D198" t="s">
        <v>501</v>
      </c>
      <c r="E198" s="1" t="s">
        <v>2692</v>
      </c>
      <c r="F198" t="s">
        <v>562</v>
      </c>
      <c r="G198" t="s">
        <v>2589</v>
      </c>
      <c r="H198" t="s">
        <v>501</v>
      </c>
      <c r="I198" s="1" t="s">
        <v>5003</v>
      </c>
      <c r="J198" t="s">
        <v>2693</v>
      </c>
      <c r="K198">
        <v>1</v>
      </c>
      <c r="L198">
        <v>1</v>
      </c>
      <c r="M198">
        <v>330243</v>
      </c>
      <c r="N198" t="s">
        <v>2694</v>
      </c>
      <c r="O198" s="7" t="s">
        <v>70</v>
      </c>
      <c r="P198">
        <v>18</v>
      </c>
      <c r="Q198" t="s">
        <v>2695</v>
      </c>
      <c r="R198" t="s">
        <v>68</v>
      </c>
      <c r="S198" t="s">
        <v>462</v>
      </c>
      <c r="V198" s="7"/>
    </row>
    <row r="199" spans="1:22" x14ac:dyDescent="0.3">
      <c r="A199" t="s">
        <v>564</v>
      </c>
      <c r="B199" t="s">
        <v>565</v>
      </c>
      <c r="C199" t="s">
        <v>2589</v>
      </c>
      <c r="D199" t="s">
        <v>501</v>
      </c>
      <c r="E199" s="1" t="s">
        <v>2696</v>
      </c>
      <c r="F199" t="s">
        <v>566</v>
      </c>
      <c r="G199" t="s">
        <v>2589</v>
      </c>
      <c r="H199" t="s">
        <v>501</v>
      </c>
      <c r="I199" s="1">
        <v>43258</v>
      </c>
      <c r="J199" t="s">
        <v>2697</v>
      </c>
      <c r="K199">
        <v>1</v>
      </c>
      <c r="L199">
        <v>1</v>
      </c>
      <c r="M199">
        <v>328706</v>
      </c>
      <c r="N199" t="s">
        <v>2698</v>
      </c>
      <c r="O199" s="7" t="s">
        <v>70</v>
      </c>
      <c r="P199">
        <v>4</v>
      </c>
      <c r="Q199" t="s">
        <v>2699</v>
      </c>
      <c r="R199" t="s">
        <v>68</v>
      </c>
      <c r="S199" t="s">
        <v>462</v>
      </c>
    </row>
    <row r="200" spans="1:22" x14ac:dyDescent="0.3">
      <c r="A200" t="s">
        <v>568</v>
      </c>
      <c r="B200" t="s">
        <v>569</v>
      </c>
      <c r="C200" t="s">
        <v>2536</v>
      </c>
      <c r="D200" t="s">
        <v>2537</v>
      </c>
      <c r="E200" s="1" t="s">
        <v>2700</v>
      </c>
      <c r="F200" t="s">
        <v>569</v>
      </c>
      <c r="G200" t="s">
        <v>2536</v>
      </c>
      <c r="H200" t="s">
        <v>2537</v>
      </c>
      <c r="I200" s="1" t="s">
        <v>5004</v>
      </c>
      <c r="J200" t="s">
        <v>2701</v>
      </c>
      <c r="K200">
        <v>1</v>
      </c>
      <c r="L200">
        <v>1</v>
      </c>
      <c r="M200">
        <v>171356</v>
      </c>
      <c r="N200" t="s">
        <v>2702</v>
      </c>
      <c r="O200" s="7" t="s">
        <v>70</v>
      </c>
      <c r="P200">
        <v>40</v>
      </c>
      <c r="Q200" t="s">
        <v>2703</v>
      </c>
      <c r="R200" t="s">
        <v>68</v>
      </c>
      <c r="S200" t="s">
        <v>462</v>
      </c>
      <c r="V200" s="7"/>
    </row>
    <row r="201" spans="1:22" x14ac:dyDescent="0.3">
      <c r="A201" t="s">
        <v>571</v>
      </c>
      <c r="B201" t="s">
        <v>572</v>
      </c>
      <c r="C201" t="s">
        <v>2704</v>
      </c>
      <c r="D201" t="s">
        <v>2705</v>
      </c>
      <c r="E201" s="1" t="s">
        <v>2706</v>
      </c>
      <c r="F201" t="s">
        <v>573</v>
      </c>
      <c r="G201" t="s">
        <v>2589</v>
      </c>
      <c r="H201" t="s">
        <v>501</v>
      </c>
      <c r="I201" s="1" t="s">
        <v>5005</v>
      </c>
      <c r="J201" t="s">
        <v>2707</v>
      </c>
      <c r="K201">
        <v>1</v>
      </c>
      <c r="L201">
        <v>3</v>
      </c>
      <c r="M201">
        <v>233296</v>
      </c>
      <c r="N201" t="s">
        <v>2708</v>
      </c>
      <c r="O201" s="7" t="s">
        <v>70</v>
      </c>
      <c r="P201">
        <v>0</v>
      </c>
      <c r="Q201" t="s">
        <v>2709</v>
      </c>
      <c r="R201" t="s">
        <v>68</v>
      </c>
      <c r="S201" t="s">
        <v>462</v>
      </c>
      <c r="V201" s="7"/>
    </row>
    <row r="202" spans="1:22" x14ac:dyDescent="0.3">
      <c r="A202" t="s">
        <v>574</v>
      </c>
      <c r="B202" t="s">
        <v>575</v>
      </c>
      <c r="C202" t="s">
        <v>2710</v>
      </c>
      <c r="D202" t="s">
        <v>2711</v>
      </c>
      <c r="E202" s="1" t="s">
        <v>2648</v>
      </c>
      <c r="F202" t="s">
        <v>531</v>
      </c>
      <c r="G202" t="s">
        <v>2589</v>
      </c>
      <c r="H202" t="s">
        <v>501</v>
      </c>
      <c r="I202" s="1">
        <v>40544</v>
      </c>
      <c r="J202" t="s">
        <v>2649</v>
      </c>
      <c r="K202">
        <v>1</v>
      </c>
      <c r="L202">
        <v>1</v>
      </c>
      <c r="M202">
        <v>234780</v>
      </c>
      <c r="N202" t="s">
        <v>2712</v>
      </c>
      <c r="O202" s="7" t="s">
        <v>70</v>
      </c>
      <c r="P202">
        <v>0</v>
      </c>
      <c r="Q202" t="s">
        <v>2713</v>
      </c>
      <c r="R202" t="s">
        <v>68</v>
      </c>
      <c r="S202" t="s">
        <v>462</v>
      </c>
      <c r="V202" s="7"/>
    </row>
    <row r="203" spans="1:22" x14ac:dyDescent="0.3">
      <c r="A203" t="s">
        <v>577</v>
      </c>
      <c r="B203" t="s">
        <v>578</v>
      </c>
      <c r="C203" t="s">
        <v>2714</v>
      </c>
      <c r="D203" t="s">
        <v>2715</v>
      </c>
      <c r="E203" s="1" t="s">
        <v>2716</v>
      </c>
      <c r="F203" t="s">
        <v>573</v>
      </c>
      <c r="G203" t="s">
        <v>2589</v>
      </c>
      <c r="H203" t="s">
        <v>501</v>
      </c>
      <c r="I203" s="1" t="s">
        <v>5005</v>
      </c>
      <c r="J203" t="s">
        <v>2717</v>
      </c>
      <c r="K203">
        <v>1</v>
      </c>
      <c r="L203">
        <v>1</v>
      </c>
      <c r="M203">
        <v>245643</v>
      </c>
      <c r="N203" t="s">
        <v>2718</v>
      </c>
      <c r="O203" s="7" t="s">
        <v>70</v>
      </c>
      <c r="P203">
        <v>43</v>
      </c>
      <c r="Q203" t="s">
        <v>2719</v>
      </c>
      <c r="R203" t="s">
        <v>68</v>
      </c>
      <c r="S203" t="s">
        <v>462</v>
      </c>
      <c r="V203" s="7"/>
    </row>
    <row r="204" spans="1:22" x14ac:dyDescent="0.3">
      <c r="A204" t="s">
        <v>579</v>
      </c>
      <c r="B204" t="s">
        <v>580</v>
      </c>
      <c r="C204" t="s">
        <v>2720</v>
      </c>
      <c r="D204" t="s">
        <v>2721</v>
      </c>
      <c r="E204" s="1" t="s">
        <v>2722</v>
      </c>
      <c r="F204" t="s">
        <v>581</v>
      </c>
      <c r="G204" t="s">
        <v>2589</v>
      </c>
      <c r="H204" t="s">
        <v>501</v>
      </c>
      <c r="I204" s="1">
        <v>40122</v>
      </c>
      <c r="J204" t="s">
        <v>2723</v>
      </c>
      <c r="K204">
        <v>1</v>
      </c>
      <c r="L204">
        <v>4</v>
      </c>
      <c r="M204">
        <v>326714</v>
      </c>
      <c r="N204" t="s">
        <v>2724</v>
      </c>
      <c r="O204" s="7" t="s">
        <v>70</v>
      </c>
      <c r="P204">
        <v>0</v>
      </c>
      <c r="Q204" t="s">
        <v>2725</v>
      </c>
      <c r="R204" t="s">
        <v>68</v>
      </c>
      <c r="S204" t="s">
        <v>462</v>
      </c>
      <c r="V204" s="7"/>
    </row>
    <row r="205" spans="1:22" x14ac:dyDescent="0.3">
      <c r="A205" t="s">
        <v>583</v>
      </c>
      <c r="B205" t="s">
        <v>584</v>
      </c>
      <c r="C205" t="s">
        <v>2726</v>
      </c>
      <c r="D205" t="s">
        <v>2727</v>
      </c>
      <c r="E205" s="1" t="s">
        <v>2648</v>
      </c>
      <c r="F205" t="s">
        <v>531</v>
      </c>
      <c r="G205" t="s">
        <v>2589</v>
      </c>
      <c r="H205" t="s">
        <v>501</v>
      </c>
      <c r="I205" s="1">
        <v>40544</v>
      </c>
      <c r="J205" t="s">
        <v>2649</v>
      </c>
      <c r="K205">
        <v>1</v>
      </c>
      <c r="L205">
        <v>8</v>
      </c>
      <c r="M205">
        <v>186866</v>
      </c>
      <c r="N205" t="s">
        <v>2728</v>
      </c>
      <c r="O205" s="7" t="s">
        <v>70</v>
      </c>
      <c r="P205">
        <v>0</v>
      </c>
      <c r="Q205" t="s">
        <v>2729</v>
      </c>
      <c r="R205" t="s">
        <v>68</v>
      </c>
      <c r="S205" t="s">
        <v>462</v>
      </c>
      <c r="V205" s="7"/>
    </row>
    <row r="206" spans="1:22" x14ac:dyDescent="0.3">
      <c r="A206" t="s">
        <v>586</v>
      </c>
      <c r="B206" t="s">
        <v>587</v>
      </c>
      <c r="C206" t="s">
        <v>2730</v>
      </c>
      <c r="D206" t="s">
        <v>2731</v>
      </c>
      <c r="E206" s="1" t="s">
        <v>2732</v>
      </c>
      <c r="F206" t="s">
        <v>587</v>
      </c>
      <c r="G206" t="s">
        <v>2730</v>
      </c>
      <c r="H206" t="s">
        <v>2731</v>
      </c>
      <c r="I206" s="1" t="s">
        <v>5006</v>
      </c>
      <c r="J206" t="s">
        <v>2733</v>
      </c>
      <c r="K206">
        <v>1</v>
      </c>
      <c r="L206">
        <v>1</v>
      </c>
      <c r="M206">
        <v>164506</v>
      </c>
      <c r="N206" t="s">
        <v>2734</v>
      </c>
      <c r="O206" s="7" t="s">
        <v>70</v>
      </c>
      <c r="P206">
        <v>30</v>
      </c>
      <c r="Q206" t="s">
        <v>2735</v>
      </c>
      <c r="R206" t="s">
        <v>68</v>
      </c>
      <c r="S206" t="s">
        <v>462</v>
      </c>
      <c r="V206" s="7"/>
    </row>
    <row r="207" spans="1:22" x14ac:dyDescent="0.3">
      <c r="A207" t="s">
        <v>588</v>
      </c>
      <c r="B207" t="s">
        <v>589</v>
      </c>
      <c r="C207" t="s">
        <v>2589</v>
      </c>
      <c r="D207" t="s">
        <v>501</v>
      </c>
      <c r="E207" s="1" t="s">
        <v>2736</v>
      </c>
      <c r="F207" t="s">
        <v>590</v>
      </c>
      <c r="G207" t="s">
        <v>2589</v>
      </c>
      <c r="H207" t="s">
        <v>501</v>
      </c>
      <c r="I207" s="1" t="s">
        <v>5007</v>
      </c>
      <c r="J207" t="s">
        <v>2737</v>
      </c>
      <c r="K207">
        <v>1</v>
      </c>
      <c r="L207">
        <v>1</v>
      </c>
      <c r="M207">
        <v>183433</v>
      </c>
      <c r="N207" t="s">
        <v>2738</v>
      </c>
      <c r="O207" s="7" t="s">
        <v>70</v>
      </c>
      <c r="P207">
        <v>1</v>
      </c>
      <c r="Q207" t="s">
        <v>2739</v>
      </c>
      <c r="R207" t="s">
        <v>68</v>
      </c>
      <c r="S207" t="s">
        <v>462</v>
      </c>
      <c r="V207" s="7"/>
    </row>
    <row r="208" spans="1:22" x14ac:dyDescent="0.3">
      <c r="A208" t="s">
        <v>591</v>
      </c>
      <c r="B208" t="s">
        <v>592</v>
      </c>
      <c r="C208" t="s">
        <v>2740</v>
      </c>
      <c r="D208" t="s">
        <v>2741</v>
      </c>
      <c r="E208" s="1" t="s">
        <v>2742</v>
      </c>
      <c r="F208" t="s">
        <v>592</v>
      </c>
      <c r="G208" t="s">
        <v>2743</v>
      </c>
      <c r="H208" t="s">
        <v>2744</v>
      </c>
      <c r="I208" s="1" t="s">
        <v>5008</v>
      </c>
      <c r="J208" t="s">
        <v>2745</v>
      </c>
      <c r="K208">
        <v>1</v>
      </c>
      <c r="L208">
        <v>1</v>
      </c>
      <c r="M208">
        <v>180261</v>
      </c>
      <c r="N208" t="s">
        <v>2746</v>
      </c>
      <c r="O208" s="7" t="s">
        <v>70</v>
      </c>
      <c r="P208">
        <v>53</v>
      </c>
      <c r="Q208" t="s">
        <v>2747</v>
      </c>
      <c r="R208" t="s">
        <v>68</v>
      </c>
      <c r="S208" t="s">
        <v>462</v>
      </c>
      <c r="V208" s="7"/>
    </row>
    <row r="209" spans="1:22" x14ac:dyDescent="0.3">
      <c r="A209" t="s">
        <v>595</v>
      </c>
      <c r="B209" t="s">
        <v>596</v>
      </c>
      <c r="C209" t="s">
        <v>2748</v>
      </c>
      <c r="D209" t="s">
        <v>2749</v>
      </c>
      <c r="E209" s="1" t="s">
        <v>2750</v>
      </c>
      <c r="F209" t="s">
        <v>597</v>
      </c>
      <c r="G209" t="s">
        <v>2748</v>
      </c>
      <c r="H209" t="s">
        <v>2749</v>
      </c>
      <c r="I209" s="1">
        <v>42956</v>
      </c>
      <c r="J209" t="s">
        <v>2751</v>
      </c>
      <c r="K209">
        <v>1</v>
      </c>
      <c r="L209">
        <v>1</v>
      </c>
      <c r="M209">
        <v>190952</v>
      </c>
      <c r="N209" t="s">
        <v>2752</v>
      </c>
      <c r="O209" t="s">
        <v>70</v>
      </c>
      <c r="P209">
        <v>37</v>
      </c>
      <c r="Q209" t="s">
        <v>2753</v>
      </c>
      <c r="R209" t="s">
        <v>68</v>
      </c>
      <c r="S209" t="s">
        <v>462</v>
      </c>
      <c r="V209" s="7"/>
    </row>
    <row r="210" spans="1:22" x14ac:dyDescent="0.3">
      <c r="A210" t="s">
        <v>599</v>
      </c>
      <c r="B210" t="s">
        <v>600</v>
      </c>
      <c r="C210" t="s">
        <v>2754</v>
      </c>
      <c r="D210" t="s">
        <v>2755</v>
      </c>
      <c r="E210" s="1" t="s">
        <v>2756</v>
      </c>
      <c r="F210" t="s">
        <v>600</v>
      </c>
      <c r="G210" t="s">
        <v>2754</v>
      </c>
      <c r="H210" t="s">
        <v>2755</v>
      </c>
      <c r="I210" s="1" t="s">
        <v>5009</v>
      </c>
      <c r="J210" t="s">
        <v>2757</v>
      </c>
      <c r="K210">
        <v>1</v>
      </c>
      <c r="L210">
        <v>1</v>
      </c>
      <c r="M210">
        <v>165600</v>
      </c>
      <c r="N210" t="s">
        <v>2758</v>
      </c>
      <c r="O210" s="7" t="s">
        <v>70</v>
      </c>
      <c r="P210">
        <v>0</v>
      </c>
      <c r="Q210" t="s">
        <v>2759</v>
      </c>
      <c r="R210" t="s">
        <v>68</v>
      </c>
      <c r="S210" t="s">
        <v>462</v>
      </c>
      <c r="V210" s="7"/>
    </row>
    <row r="211" spans="1:22" x14ac:dyDescent="0.3">
      <c r="A211" t="s">
        <v>601</v>
      </c>
      <c r="B211" t="s">
        <v>602</v>
      </c>
      <c r="C211" t="s">
        <v>2760</v>
      </c>
      <c r="D211" t="s">
        <v>2761</v>
      </c>
      <c r="E211" s="1" t="s">
        <v>2762</v>
      </c>
      <c r="F211" t="s">
        <v>602</v>
      </c>
      <c r="G211" t="s">
        <v>2760</v>
      </c>
      <c r="H211" t="s">
        <v>2761</v>
      </c>
      <c r="I211" s="1" t="s">
        <v>5010</v>
      </c>
      <c r="J211" t="s">
        <v>2763</v>
      </c>
      <c r="K211">
        <v>1</v>
      </c>
      <c r="L211">
        <v>1</v>
      </c>
      <c r="M211">
        <v>182011</v>
      </c>
      <c r="N211" t="s">
        <v>2764</v>
      </c>
      <c r="O211" s="7" t="s">
        <v>70</v>
      </c>
      <c r="P211">
        <v>0</v>
      </c>
      <c r="Q211" t="s">
        <v>2765</v>
      </c>
      <c r="R211" t="s">
        <v>68</v>
      </c>
      <c r="S211" t="s">
        <v>462</v>
      </c>
      <c r="V211" s="7"/>
    </row>
    <row r="212" spans="1:22" x14ac:dyDescent="0.3">
      <c r="A212" t="s">
        <v>603</v>
      </c>
      <c r="B212" t="s">
        <v>604</v>
      </c>
      <c r="C212" t="s">
        <v>2662</v>
      </c>
      <c r="D212" t="s">
        <v>2663</v>
      </c>
      <c r="E212" s="1" t="s">
        <v>2716</v>
      </c>
      <c r="F212" t="s">
        <v>573</v>
      </c>
      <c r="G212" t="s">
        <v>2589</v>
      </c>
      <c r="H212" t="s">
        <v>501</v>
      </c>
      <c r="I212" s="1" t="s">
        <v>5005</v>
      </c>
      <c r="J212" t="s">
        <v>2717</v>
      </c>
      <c r="K212">
        <v>1</v>
      </c>
      <c r="L212">
        <v>13</v>
      </c>
      <c r="M212">
        <v>412483</v>
      </c>
      <c r="N212" t="s">
        <v>2766</v>
      </c>
      <c r="O212" s="7" t="s">
        <v>70</v>
      </c>
      <c r="P212">
        <v>37</v>
      </c>
      <c r="Q212" t="s">
        <v>2767</v>
      </c>
      <c r="R212" t="s">
        <v>68</v>
      </c>
      <c r="S212" t="s">
        <v>462</v>
      </c>
    </row>
    <row r="213" spans="1:22" x14ac:dyDescent="0.3">
      <c r="A213" t="s">
        <v>605</v>
      </c>
      <c r="B213" t="s">
        <v>606</v>
      </c>
      <c r="C213" t="s">
        <v>2768</v>
      </c>
      <c r="D213" t="s">
        <v>2769</v>
      </c>
      <c r="E213" s="1" t="s">
        <v>2770</v>
      </c>
      <c r="F213" t="s">
        <v>607</v>
      </c>
      <c r="G213" t="s">
        <v>2589</v>
      </c>
      <c r="H213" t="s">
        <v>501</v>
      </c>
      <c r="I213" s="1">
        <v>40179</v>
      </c>
      <c r="J213" t="s">
        <v>2771</v>
      </c>
      <c r="K213">
        <v>1</v>
      </c>
      <c r="L213">
        <v>1</v>
      </c>
      <c r="M213">
        <v>206853</v>
      </c>
      <c r="N213" t="s">
        <v>2772</v>
      </c>
      <c r="O213" s="7" t="s">
        <v>70</v>
      </c>
      <c r="P213">
        <v>0</v>
      </c>
      <c r="Q213" t="s">
        <v>2773</v>
      </c>
      <c r="R213" t="s">
        <v>68</v>
      </c>
      <c r="S213" t="s">
        <v>462</v>
      </c>
      <c r="V213" s="7"/>
    </row>
    <row r="214" spans="1:22" x14ac:dyDescent="0.3">
      <c r="A214" t="s">
        <v>608</v>
      </c>
      <c r="B214" t="s">
        <v>609</v>
      </c>
      <c r="C214" t="s">
        <v>2774</v>
      </c>
      <c r="D214" t="s">
        <v>2775</v>
      </c>
      <c r="E214" s="1" t="s">
        <v>2776</v>
      </c>
      <c r="F214" t="s">
        <v>609</v>
      </c>
      <c r="G214" t="s">
        <v>2777</v>
      </c>
      <c r="H214" t="s">
        <v>2778</v>
      </c>
      <c r="I214" s="1">
        <v>43529</v>
      </c>
      <c r="J214" t="s">
        <v>2779</v>
      </c>
      <c r="K214">
        <v>1</v>
      </c>
      <c r="L214">
        <v>1</v>
      </c>
      <c r="M214">
        <v>171560</v>
      </c>
      <c r="N214" t="s">
        <v>2780</v>
      </c>
      <c r="O214" s="7" t="s">
        <v>70</v>
      </c>
      <c r="P214">
        <v>17</v>
      </c>
      <c r="Q214" t="s">
        <v>2781</v>
      </c>
      <c r="R214" t="s">
        <v>68</v>
      </c>
      <c r="S214" t="s">
        <v>462</v>
      </c>
    </row>
    <row r="215" spans="1:22" x14ac:dyDescent="0.3">
      <c r="A215" t="s">
        <v>610</v>
      </c>
      <c r="B215" t="s">
        <v>611</v>
      </c>
      <c r="C215" t="s">
        <v>2782</v>
      </c>
      <c r="D215" t="s">
        <v>2783</v>
      </c>
      <c r="E215" s="1" t="s">
        <v>2784</v>
      </c>
      <c r="F215" t="s">
        <v>612</v>
      </c>
      <c r="G215" t="s">
        <v>2589</v>
      </c>
      <c r="H215" t="s">
        <v>501</v>
      </c>
      <c r="I215" s="1">
        <v>45294</v>
      </c>
      <c r="J215" t="s">
        <v>2785</v>
      </c>
      <c r="K215">
        <v>1</v>
      </c>
      <c r="L215">
        <v>1</v>
      </c>
      <c r="M215">
        <v>415840</v>
      </c>
      <c r="N215" t="s">
        <v>2786</v>
      </c>
      <c r="O215" s="7" t="s">
        <v>70</v>
      </c>
      <c r="P215">
        <v>15</v>
      </c>
      <c r="Q215" t="s">
        <v>2787</v>
      </c>
      <c r="R215" t="s">
        <v>68</v>
      </c>
      <c r="S215" t="s">
        <v>462</v>
      </c>
      <c r="V215" s="7"/>
    </row>
    <row r="216" spans="1:22" x14ac:dyDescent="0.3">
      <c r="A216" t="s">
        <v>613</v>
      </c>
      <c r="B216" t="s">
        <v>614</v>
      </c>
      <c r="C216" t="s">
        <v>2589</v>
      </c>
      <c r="D216" t="s">
        <v>501</v>
      </c>
      <c r="E216" t="s">
        <v>2635</v>
      </c>
      <c r="F216" t="s">
        <v>2636</v>
      </c>
      <c r="G216" t="s">
        <v>2589</v>
      </c>
      <c r="H216" t="s">
        <v>501</v>
      </c>
      <c r="I216" s="1" t="s">
        <v>73</v>
      </c>
      <c r="J216" t="s">
        <v>2637</v>
      </c>
      <c r="K216">
        <v>1</v>
      </c>
      <c r="L216">
        <v>7</v>
      </c>
      <c r="M216">
        <v>262866</v>
      </c>
      <c r="N216" t="s">
        <v>2788</v>
      </c>
      <c r="O216" t="s">
        <v>70</v>
      </c>
      <c r="P216">
        <v>0</v>
      </c>
      <c r="Q216" t="s">
        <v>2789</v>
      </c>
      <c r="R216" t="s">
        <v>68</v>
      </c>
      <c r="S216" t="s">
        <v>462</v>
      </c>
      <c r="V216" s="7"/>
    </row>
    <row r="217" spans="1:22" x14ac:dyDescent="0.3">
      <c r="A217" t="s">
        <v>615</v>
      </c>
      <c r="B217" t="s">
        <v>616</v>
      </c>
      <c r="C217" t="s">
        <v>2790</v>
      </c>
      <c r="D217" t="s">
        <v>2791</v>
      </c>
      <c r="E217" s="1" t="s">
        <v>2792</v>
      </c>
      <c r="F217" t="s">
        <v>617</v>
      </c>
      <c r="G217" t="s">
        <v>2589</v>
      </c>
      <c r="H217" t="s">
        <v>501</v>
      </c>
      <c r="I217" s="1" t="s">
        <v>5011</v>
      </c>
      <c r="J217" t="s">
        <v>2793</v>
      </c>
      <c r="K217">
        <v>1</v>
      </c>
      <c r="L217">
        <v>1</v>
      </c>
      <c r="M217">
        <v>377330</v>
      </c>
      <c r="N217" t="s">
        <v>2794</v>
      </c>
      <c r="O217" s="7" t="s">
        <v>70</v>
      </c>
      <c r="P217">
        <v>14</v>
      </c>
      <c r="Q217" t="s">
        <v>2795</v>
      </c>
      <c r="R217" t="s">
        <v>68</v>
      </c>
      <c r="S217" t="s">
        <v>462</v>
      </c>
      <c r="V217" s="7"/>
    </row>
    <row r="218" spans="1:22" x14ac:dyDescent="0.3">
      <c r="A218" t="s">
        <v>619</v>
      </c>
      <c r="B218" t="s">
        <v>620</v>
      </c>
      <c r="C218" t="s">
        <v>2796</v>
      </c>
      <c r="D218" t="s">
        <v>2797</v>
      </c>
      <c r="E218" s="1" t="s">
        <v>2798</v>
      </c>
      <c r="F218" t="s">
        <v>621</v>
      </c>
      <c r="G218" t="s">
        <v>2589</v>
      </c>
      <c r="H218" t="s">
        <v>501</v>
      </c>
      <c r="I218" s="1">
        <v>39814</v>
      </c>
      <c r="J218" t="s">
        <v>2799</v>
      </c>
      <c r="K218">
        <v>1</v>
      </c>
      <c r="L218">
        <v>1</v>
      </c>
      <c r="M218">
        <v>212350</v>
      </c>
      <c r="N218" t="s">
        <v>2800</v>
      </c>
      <c r="O218" s="7" t="s">
        <v>70</v>
      </c>
      <c r="P218">
        <v>0</v>
      </c>
      <c r="Q218" t="s">
        <v>2801</v>
      </c>
      <c r="R218" t="s">
        <v>68</v>
      </c>
      <c r="S218" t="s">
        <v>462</v>
      </c>
      <c r="V218" s="7"/>
    </row>
    <row r="219" spans="1:22" x14ac:dyDescent="0.3">
      <c r="A219" t="s">
        <v>622</v>
      </c>
      <c r="B219" t="s">
        <v>623</v>
      </c>
      <c r="C219" t="s">
        <v>2802</v>
      </c>
      <c r="D219" t="s">
        <v>2803</v>
      </c>
      <c r="E219" s="1" t="s">
        <v>2804</v>
      </c>
      <c r="F219" t="s">
        <v>624</v>
      </c>
      <c r="G219" t="s">
        <v>2802</v>
      </c>
      <c r="H219" t="s">
        <v>2803</v>
      </c>
      <c r="I219" s="1" t="s">
        <v>5012</v>
      </c>
      <c r="J219" t="s">
        <v>2805</v>
      </c>
      <c r="K219">
        <v>1</v>
      </c>
      <c r="L219">
        <v>1</v>
      </c>
      <c r="M219">
        <v>163680</v>
      </c>
      <c r="N219" t="s">
        <v>2806</v>
      </c>
      <c r="O219" s="7" t="s">
        <v>70</v>
      </c>
      <c r="P219">
        <v>6</v>
      </c>
      <c r="Q219" t="s">
        <v>2807</v>
      </c>
      <c r="R219" t="s">
        <v>68</v>
      </c>
      <c r="S219" t="s">
        <v>462</v>
      </c>
      <c r="V219" s="7"/>
    </row>
    <row r="220" spans="1:22" x14ac:dyDescent="0.3">
      <c r="A220" t="s">
        <v>626</v>
      </c>
      <c r="B220" t="s">
        <v>627</v>
      </c>
      <c r="C220" t="s">
        <v>2808</v>
      </c>
      <c r="D220" t="s">
        <v>2809</v>
      </c>
      <c r="E220" s="1" t="s">
        <v>2810</v>
      </c>
      <c r="F220" t="s">
        <v>628</v>
      </c>
      <c r="G220" t="s">
        <v>2808</v>
      </c>
      <c r="H220" t="s">
        <v>2809</v>
      </c>
      <c r="I220" s="1" t="s">
        <v>5013</v>
      </c>
      <c r="J220" t="s">
        <v>2811</v>
      </c>
      <c r="K220">
        <v>1</v>
      </c>
      <c r="L220">
        <v>1</v>
      </c>
      <c r="M220">
        <v>188571</v>
      </c>
      <c r="N220" t="s">
        <v>2812</v>
      </c>
      <c r="O220" s="7" t="s">
        <v>70</v>
      </c>
      <c r="P220">
        <v>0</v>
      </c>
      <c r="Q220" t="s">
        <v>2813</v>
      </c>
      <c r="R220" t="s">
        <v>68</v>
      </c>
      <c r="S220" t="s">
        <v>462</v>
      </c>
      <c r="V220" s="7"/>
    </row>
    <row r="221" spans="1:22" x14ac:dyDescent="0.3">
      <c r="A221" t="s">
        <v>629</v>
      </c>
      <c r="B221" t="s">
        <v>630</v>
      </c>
      <c r="C221" t="s">
        <v>2814</v>
      </c>
      <c r="D221" t="s">
        <v>2815</v>
      </c>
      <c r="E221" s="1" t="s">
        <v>2816</v>
      </c>
      <c r="F221" t="s">
        <v>631</v>
      </c>
      <c r="G221" t="s">
        <v>2817</v>
      </c>
      <c r="H221" t="s">
        <v>2818</v>
      </c>
      <c r="I221" s="1" t="s">
        <v>5014</v>
      </c>
      <c r="J221" t="s">
        <v>2819</v>
      </c>
      <c r="K221">
        <v>1</v>
      </c>
      <c r="L221">
        <v>1</v>
      </c>
      <c r="M221">
        <v>183774</v>
      </c>
      <c r="N221" t="s">
        <v>2820</v>
      </c>
      <c r="O221" s="7" t="s">
        <v>70</v>
      </c>
      <c r="P221">
        <v>28</v>
      </c>
      <c r="Q221" t="s">
        <v>2821</v>
      </c>
      <c r="R221" t="s">
        <v>68</v>
      </c>
      <c r="S221" t="s">
        <v>462</v>
      </c>
      <c r="V221" s="7"/>
    </row>
    <row r="222" spans="1:22" x14ac:dyDescent="0.3">
      <c r="A222" t="s">
        <v>633</v>
      </c>
      <c r="B222" t="s">
        <v>634</v>
      </c>
      <c r="C222" t="s">
        <v>2589</v>
      </c>
      <c r="D222" t="s">
        <v>501</v>
      </c>
      <c r="E222" s="1" t="s">
        <v>2822</v>
      </c>
      <c r="F222" t="s">
        <v>635</v>
      </c>
      <c r="G222" t="s">
        <v>2589</v>
      </c>
      <c r="H222" t="s">
        <v>501</v>
      </c>
      <c r="I222" s="1">
        <v>38718</v>
      </c>
      <c r="J222" t="s">
        <v>2823</v>
      </c>
      <c r="K222">
        <v>1</v>
      </c>
      <c r="L222">
        <v>11</v>
      </c>
      <c r="M222">
        <v>282453</v>
      </c>
      <c r="N222" t="s">
        <v>2824</v>
      </c>
      <c r="O222" s="7" t="s">
        <v>70</v>
      </c>
      <c r="P222">
        <v>23</v>
      </c>
      <c r="Q222" t="s">
        <v>2825</v>
      </c>
      <c r="R222" t="s">
        <v>68</v>
      </c>
      <c r="S222" t="s">
        <v>462</v>
      </c>
    </row>
    <row r="223" spans="1:22" x14ac:dyDescent="0.3">
      <c r="A223" t="s">
        <v>636</v>
      </c>
      <c r="B223" t="s">
        <v>637</v>
      </c>
      <c r="C223" t="s">
        <v>2826</v>
      </c>
      <c r="D223" t="s">
        <v>2827</v>
      </c>
      <c r="E223" s="1" t="s">
        <v>2828</v>
      </c>
      <c r="F223" t="s">
        <v>638</v>
      </c>
      <c r="G223" t="s">
        <v>2829</v>
      </c>
      <c r="H223" t="s">
        <v>2830</v>
      </c>
      <c r="I223" s="1">
        <v>43625</v>
      </c>
      <c r="J223" t="s">
        <v>2831</v>
      </c>
      <c r="K223">
        <v>1</v>
      </c>
      <c r="L223">
        <v>16</v>
      </c>
      <c r="M223">
        <v>210967</v>
      </c>
      <c r="N223" t="s">
        <v>2832</v>
      </c>
      <c r="O223" s="7" t="s">
        <v>80</v>
      </c>
      <c r="P223">
        <v>44</v>
      </c>
      <c r="Q223" t="s">
        <v>2833</v>
      </c>
      <c r="R223" t="s">
        <v>68</v>
      </c>
      <c r="S223" t="s">
        <v>639</v>
      </c>
    </row>
    <row r="224" spans="1:22" x14ac:dyDescent="0.3">
      <c r="A224" t="s">
        <v>642</v>
      </c>
      <c r="B224" t="s">
        <v>643</v>
      </c>
      <c r="C224" t="s">
        <v>2834</v>
      </c>
      <c r="D224" t="s">
        <v>2835</v>
      </c>
      <c r="E224" s="1" t="s">
        <v>2836</v>
      </c>
      <c r="F224" t="s">
        <v>643</v>
      </c>
      <c r="G224" t="s">
        <v>2837</v>
      </c>
      <c r="H224" t="s">
        <v>653</v>
      </c>
      <c r="I224" s="1" t="s">
        <v>5015</v>
      </c>
      <c r="J224" t="s">
        <v>2838</v>
      </c>
      <c r="K224">
        <v>1</v>
      </c>
      <c r="L224">
        <v>1</v>
      </c>
      <c r="M224">
        <v>202745</v>
      </c>
      <c r="N224" t="s">
        <v>2839</v>
      </c>
      <c r="O224" s="7" t="s">
        <v>70</v>
      </c>
      <c r="P224">
        <v>0</v>
      </c>
      <c r="Q224" t="s">
        <v>2840</v>
      </c>
      <c r="R224" t="s">
        <v>68</v>
      </c>
      <c r="S224" t="s">
        <v>639</v>
      </c>
    </row>
    <row r="225" spans="1:22" x14ac:dyDescent="0.3">
      <c r="A225" t="s">
        <v>645</v>
      </c>
      <c r="B225" t="s">
        <v>646</v>
      </c>
      <c r="C225" t="s">
        <v>2841</v>
      </c>
      <c r="D225" t="s">
        <v>2842</v>
      </c>
      <c r="E225" s="1" t="s">
        <v>2843</v>
      </c>
      <c r="F225" t="s">
        <v>647</v>
      </c>
      <c r="G225" t="s">
        <v>2844</v>
      </c>
      <c r="H225" t="s">
        <v>2845</v>
      </c>
      <c r="I225" s="1" t="s">
        <v>5016</v>
      </c>
      <c r="J225" t="s">
        <v>2846</v>
      </c>
      <c r="K225">
        <v>1</v>
      </c>
      <c r="L225">
        <v>1</v>
      </c>
      <c r="M225">
        <v>187506</v>
      </c>
      <c r="N225" t="s">
        <v>2847</v>
      </c>
      <c r="O225" s="7" t="s">
        <v>70</v>
      </c>
      <c r="P225">
        <v>17</v>
      </c>
      <c r="Q225" t="s">
        <v>2848</v>
      </c>
      <c r="R225" t="s">
        <v>68</v>
      </c>
      <c r="S225" t="s">
        <v>639</v>
      </c>
      <c r="V225" s="7"/>
    </row>
    <row r="226" spans="1:22" x14ac:dyDescent="0.3">
      <c r="A226" t="s">
        <v>649</v>
      </c>
      <c r="B226" t="s">
        <v>650</v>
      </c>
      <c r="C226" t="s">
        <v>2849</v>
      </c>
      <c r="D226" t="s">
        <v>2850</v>
      </c>
      <c r="E226" s="1" t="s">
        <v>2851</v>
      </c>
      <c r="F226" t="s">
        <v>650</v>
      </c>
      <c r="G226" t="s">
        <v>2837</v>
      </c>
      <c r="H226" t="s">
        <v>653</v>
      </c>
      <c r="I226" s="1" t="s">
        <v>5017</v>
      </c>
      <c r="J226" t="s">
        <v>2852</v>
      </c>
      <c r="K226">
        <v>1</v>
      </c>
      <c r="L226">
        <v>1</v>
      </c>
      <c r="M226">
        <v>170322</v>
      </c>
      <c r="N226" t="s">
        <v>2853</v>
      </c>
      <c r="O226" s="7" t="s">
        <v>70</v>
      </c>
      <c r="P226">
        <v>0</v>
      </c>
      <c r="Q226" t="s">
        <v>2854</v>
      </c>
      <c r="R226" t="s">
        <v>68</v>
      </c>
      <c r="S226" t="s">
        <v>639</v>
      </c>
      <c r="V226" s="7"/>
    </row>
    <row r="227" spans="1:22" x14ac:dyDescent="0.3">
      <c r="A227" t="s">
        <v>651</v>
      </c>
      <c r="B227" t="s">
        <v>652</v>
      </c>
      <c r="C227" t="s">
        <v>2837</v>
      </c>
      <c r="D227" t="s">
        <v>653</v>
      </c>
      <c r="E227" s="1" t="s">
        <v>2855</v>
      </c>
      <c r="F227" t="s">
        <v>652</v>
      </c>
      <c r="G227" t="s">
        <v>2837</v>
      </c>
      <c r="H227" t="s">
        <v>653</v>
      </c>
      <c r="I227" s="1" t="s">
        <v>5018</v>
      </c>
      <c r="J227" t="s">
        <v>2856</v>
      </c>
      <c r="K227">
        <v>1</v>
      </c>
      <c r="L227">
        <v>1</v>
      </c>
      <c r="M227">
        <v>195531</v>
      </c>
      <c r="N227" t="s">
        <v>2857</v>
      </c>
      <c r="O227" s="7" t="s">
        <v>70</v>
      </c>
      <c r="P227">
        <v>35</v>
      </c>
      <c r="Q227" t="s">
        <v>2858</v>
      </c>
      <c r="R227" t="s">
        <v>68</v>
      </c>
      <c r="S227" t="s">
        <v>639</v>
      </c>
      <c r="V227" s="7"/>
    </row>
    <row r="228" spans="1:22" x14ac:dyDescent="0.3">
      <c r="A228" t="s">
        <v>654</v>
      </c>
      <c r="B228" t="s">
        <v>655</v>
      </c>
      <c r="C228" t="s">
        <v>2859</v>
      </c>
      <c r="D228" t="s">
        <v>2860</v>
      </c>
      <c r="E228" s="1" t="s">
        <v>2861</v>
      </c>
      <c r="F228" t="s">
        <v>655</v>
      </c>
      <c r="G228" t="s">
        <v>2837</v>
      </c>
      <c r="H228" t="s">
        <v>653</v>
      </c>
      <c r="I228" s="1" t="s">
        <v>5019</v>
      </c>
      <c r="J228" t="s">
        <v>2862</v>
      </c>
      <c r="K228">
        <v>1</v>
      </c>
      <c r="L228">
        <v>1</v>
      </c>
      <c r="M228">
        <v>213211</v>
      </c>
      <c r="N228" t="s">
        <v>2863</v>
      </c>
      <c r="O228" s="7" t="s">
        <v>70</v>
      </c>
      <c r="P228">
        <v>0</v>
      </c>
      <c r="Q228" t="s">
        <v>2864</v>
      </c>
      <c r="R228" t="s">
        <v>68</v>
      </c>
      <c r="S228" t="s">
        <v>639</v>
      </c>
      <c r="V228" s="7"/>
    </row>
    <row r="229" spans="1:22" x14ac:dyDescent="0.3">
      <c r="A229" t="s">
        <v>657</v>
      </c>
      <c r="B229" t="s">
        <v>658</v>
      </c>
      <c r="C229" t="s">
        <v>2865</v>
      </c>
      <c r="D229" t="s">
        <v>2866</v>
      </c>
      <c r="E229" s="1" t="s">
        <v>2867</v>
      </c>
      <c r="F229" t="s">
        <v>659</v>
      </c>
      <c r="G229" t="s">
        <v>2865</v>
      </c>
      <c r="H229" t="s">
        <v>2866</v>
      </c>
      <c r="I229" s="1" t="s">
        <v>5020</v>
      </c>
      <c r="J229" t="s">
        <v>2868</v>
      </c>
      <c r="K229">
        <v>1</v>
      </c>
      <c r="L229">
        <v>1</v>
      </c>
      <c r="M229">
        <v>159560</v>
      </c>
      <c r="N229" t="s">
        <v>2869</v>
      </c>
      <c r="O229" s="7" t="s">
        <v>70</v>
      </c>
      <c r="P229">
        <v>0</v>
      </c>
      <c r="Q229" t="s">
        <v>2870</v>
      </c>
      <c r="R229" t="s">
        <v>68</v>
      </c>
      <c r="S229" t="s">
        <v>639</v>
      </c>
      <c r="V229" s="7"/>
    </row>
    <row r="230" spans="1:22" x14ac:dyDescent="0.3">
      <c r="A230" t="s">
        <v>661</v>
      </c>
      <c r="B230" t="s">
        <v>662</v>
      </c>
      <c r="C230" t="s">
        <v>2871</v>
      </c>
      <c r="D230" t="s">
        <v>2872</v>
      </c>
      <c r="E230" s="1" t="s">
        <v>2873</v>
      </c>
      <c r="F230" t="s">
        <v>662</v>
      </c>
      <c r="G230" t="s">
        <v>2871</v>
      </c>
      <c r="H230" t="s">
        <v>2872</v>
      </c>
      <c r="I230" s="1" t="s">
        <v>5021</v>
      </c>
      <c r="J230" t="s">
        <v>2874</v>
      </c>
      <c r="K230">
        <v>1</v>
      </c>
      <c r="L230">
        <v>1</v>
      </c>
      <c r="M230">
        <v>166992</v>
      </c>
      <c r="N230" t="s">
        <v>2875</v>
      </c>
      <c r="O230" s="7" t="s">
        <v>70</v>
      </c>
      <c r="P230">
        <v>9</v>
      </c>
      <c r="Q230" t="s">
        <v>2876</v>
      </c>
      <c r="R230" t="s">
        <v>68</v>
      </c>
      <c r="S230" t="s">
        <v>639</v>
      </c>
      <c r="V230" s="7"/>
    </row>
    <row r="231" spans="1:22" x14ac:dyDescent="0.3">
      <c r="A231" t="s">
        <v>663</v>
      </c>
      <c r="B231" t="s">
        <v>664</v>
      </c>
      <c r="C231" t="s">
        <v>2877</v>
      </c>
      <c r="D231" t="s">
        <v>2878</v>
      </c>
      <c r="E231" s="1" t="s">
        <v>2879</v>
      </c>
      <c r="F231" t="s">
        <v>664</v>
      </c>
      <c r="G231" t="s">
        <v>2877</v>
      </c>
      <c r="H231" t="s">
        <v>2878</v>
      </c>
      <c r="I231" s="1">
        <v>43628</v>
      </c>
      <c r="J231" t="s">
        <v>2880</v>
      </c>
      <c r="K231">
        <v>1</v>
      </c>
      <c r="L231">
        <v>1</v>
      </c>
      <c r="M231">
        <v>204514</v>
      </c>
      <c r="N231" t="s">
        <v>2881</v>
      </c>
      <c r="O231" s="7" t="s">
        <v>70</v>
      </c>
      <c r="P231">
        <v>49</v>
      </c>
      <c r="Q231" t="s">
        <v>2882</v>
      </c>
      <c r="R231" t="s">
        <v>68</v>
      </c>
      <c r="S231" t="s">
        <v>639</v>
      </c>
      <c r="V231" s="7"/>
    </row>
    <row r="232" spans="1:22" x14ac:dyDescent="0.3">
      <c r="A232" t="s">
        <v>666</v>
      </c>
      <c r="B232" t="s">
        <v>5022</v>
      </c>
      <c r="C232" t="s">
        <v>2883</v>
      </c>
      <c r="D232" t="s">
        <v>2884</v>
      </c>
      <c r="E232" s="1" t="s">
        <v>2885</v>
      </c>
      <c r="F232" t="s">
        <v>667</v>
      </c>
      <c r="G232" t="s">
        <v>2837</v>
      </c>
      <c r="H232" t="s">
        <v>653</v>
      </c>
      <c r="I232" s="1">
        <v>42193</v>
      </c>
      <c r="J232" t="s">
        <v>2886</v>
      </c>
      <c r="K232">
        <v>1</v>
      </c>
      <c r="L232">
        <v>1</v>
      </c>
      <c r="M232">
        <v>192213</v>
      </c>
      <c r="N232" t="s">
        <v>2887</v>
      </c>
      <c r="O232" s="7" t="s">
        <v>70</v>
      </c>
      <c r="P232">
        <v>0</v>
      </c>
      <c r="Q232" t="s">
        <v>2888</v>
      </c>
      <c r="R232" t="s">
        <v>68</v>
      </c>
      <c r="S232" t="s">
        <v>639</v>
      </c>
      <c r="V232" s="7"/>
    </row>
    <row r="233" spans="1:22" x14ac:dyDescent="0.3">
      <c r="A233" t="s">
        <v>668</v>
      </c>
      <c r="B233" t="s">
        <v>669</v>
      </c>
      <c r="C233" t="s">
        <v>2889</v>
      </c>
      <c r="D233" t="s">
        <v>2890</v>
      </c>
      <c r="E233" s="1" t="s">
        <v>2891</v>
      </c>
      <c r="F233" t="s">
        <v>17</v>
      </c>
      <c r="G233" t="s">
        <v>2889</v>
      </c>
      <c r="H233" t="s">
        <v>2890</v>
      </c>
      <c r="I233" s="1" t="s">
        <v>5023</v>
      </c>
      <c r="J233" t="s">
        <v>2892</v>
      </c>
      <c r="K233">
        <v>1</v>
      </c>
      <c r="L233">
        <v>1</v>
      </c>
      <c r="M233">
        <v>191387</v>
      </c>
      <c r="N233" t="s">
        <v>2893</v>
      </c>
      <c r="O233" t="s">
        <v>70</v>
      </c>
      <c r="P233">
        <v>0</v>
      </c>
      <c r="Q233" t="s">
        <v>2894</v>
      </c>
      <c r="R233" t="s">
        <v>68</v>
      </c>
      <c r="S233" t="s">
        <v>639</v>
      </c>
      <c r="V233" s="7"/>
    </row>
    <row r="234" spans="1:22" x14ac:dyDescent="0.3">
      <c r="A234" t="s">
        <v>671</v>
      </c>
      <c r="B234" t="s">
        <v>672</v>
      </c>
      <c r="C234" t="s">
        <v>2837</v>
      </c>
      <c r="D234" t="s">
        <v>653</v>
      </c>
      <c r="E234" s="1" t="s">
        <v>2895</v>
      </c>
      <c r="F234" t="s">
        <v>673</v>
      </c>
      <c r="G234" t="s">
        <v>2837</v>
      </c>
      <c r="H234" t="s">
        <v>653</v>
      </c>
      <c r="I234" s="1">
        <v>40972</v>
      </c>
      <c r="J234" t="s">
        <v>2896</v>
      </c>
      <c r="K234">
        <v>1</v>
      </c>
      <c r="L234">
        <v>2</v>
      </c>
      <c r="M234">
        <v>219818</v>
      </c>
      <c r="N234" t="s">
        <v>2897</v>
      </c>
      <c r="O234" t="s">
        <v>70</v>
      </c>
      <c r="P234">
        <v>26</v>
      </c>
      <c r="Q234" t="s">
        <v>2898</v>
      </c>
      <c r="R234" t="s">
        <v>68</v>
      </c>
      <c r="S234" t="s">
        <v>639</v>
      </c>
    </row>
    <row r="235" spans="1:22" x14ac:dyDescent="0.3">
      <c r="A235" t="s">
        <v>675</v>
      </c>
      <c r="B235" t="s">
        <v>676</v>
      </c>
      <c r="C235" t="s">
        <v>2899</v>
      </c>
      <c r="D235" t="s">
        <v>2900</v>
      </c>
      <c r="E235" s="1" t="s">
        <v>2901</v>
      </c>
      <c r="F235" t="s">
        <v>677</v>
      </c>
      <c r="G235" t="s">
        <v>2902</v>
      </c>
      <c r="H235" t="s">
        <v>2903</v>
      </c>
      <c r="I235" s="1">
        <v>42920</v>
      </c>
      <c r="J235" t="s">
        <v>2904</v>
      </c>
      <c r="K235">
        <v>1</v>
      </c>
      <c r="L235">
        <v>8</v>
      </c>
      <c r="M235">
        <v>284160</v>
      </c>
      <c r="N235" t="s">
        <v>2905</v>
      </c>
      <c r="O235" s="7" t="s">
        <v>70</v>
      </c>
      <c r="P235">
        <v>0</v>
      </c>
      <c r="Q235" t="s">
        <v>2906</v>
      </c>
      <c r="R235" t="s">
        <v>68</v>
      </c>
      <c r="S235" t="s">
        <v>639</v>
      </c>
    </row>
    <row r="236" spans="1:22" x14ac:dyDescent="0.3">
      <c r="A236" t="s">
        <v>680</v>
      </c>
      <c r="B236" t="s">
        <v>681</v>
      </c>
      <c r="C236" t="s">
        <v>2907</v>
      </c>
      <c r="D236" t="s">
        <v>2908</v>
      </c>
      <c r="E236" s="1" t="s">
        <v>2909</v>
      </c>
      <c r="F236" t="s">
        <v>682</v>
      </c>
      <c r="G236" t="s">
        <v>2837</v>
      </c>
      <c r="H236" t="s">
        <v>653</v>
      </c>
      <c r="I236" s="1" t="s">
        <v>88</v>
      </c>
      <c r="J236" t="s">
        <v>2910</v>
      </c>
      <c r="K236">
        <v>1</v>
      </c>
      <c r="L236">
        <v>10</v>
      </c>
      <c r="M236">
        <v>194772</v>
      </c>
      <c r="N236" t="s">
        <v>2911</v>
      </c>
      <c r="O236" s="7" t="s">
        <v>70</v>
      </c>
      <c r="P236">
        <v>0</v>
      </c>
      <c r="Q236" t="s">
        <v>2912</v>
      </c>
      <c r="R236" t="s">
        <v>68</v>
      </c>
      <c r="S236" t="s">
        <v>639</v>
      </c>
      <c r="V236" s="7"/>
    </row>
    <row r="237" spans="1:22" x14ac:dyDescent="0.3">
      <c r="A237" t="s">
        <v>683</v>
      </c>
      <c r="B237" t="s">
        <v>684</v>
      </c>
      <c r="C237" t="s">
        <v>2913</v>
      </c>
      <c r="D237" t="s">
        <v>2914</v>
      </c>
      <c r="E237" s="1" t="s">
        <v>2915</v>
      </c>
      <c r="F237" t="s">
        <v>685</v>
      </c>
      <c r="G237" t="s">
        <v>2913</v>
      </c>
      <c r="H237" t="s">
        <v>2914</v>
      </c>
      <c r="I237" s="1">
        <v>41275</v>
      </c>
      <c r="J237" t="s">
        <v>2916</v>
      </c>
      <c r="K237">
        <v>1</v>
      </c>
      <c r="L237">
        <v>1</v>
      </c>
      <c r="M237">
        <v>171038</v>
      </c>
      <c r="N237" t="s">
        <v>2917</v>
      </c>
      <c r="O237" s="7" t="s">
        <v>70</v>
      </c>
      <c r="P237">
        <v>22</v>
      </c>
      <c r="Q237" t="s">
        <v>2918</v>
      </c>
      <c r="R237" t="s">
        <v>68</v>
      </c>
      <c r="S237" t="s">
        <v>639</v>
      </c>
      <c r="V237" s="7"/>
    </row>
    <row r="238" spans="1:22" x14ac:dyDescent="0.3">
      <c r="A238" t="s">
        <v>688</v>
      </c>
      <c r="B238" t="s">
        <v>689</v>
      </c>
      <c r="C238" t="s">
        <v>2919</v>
      </c>
      <c r="D238" t="s">
        <v>2920</v>
      </c>
      <c r="E238" s="1" t="s">
        <v>2921</v>
      </c>
      <c r="F238" t="s">
        <v>690</v>
      </c>
      <c r="G238" t="s">
        <v>2919</v>
      </c>
      <c r="H238" t="s">
        <v>2920</v>
      </c>
      <c r="I238" s="1">
        <v>40544</v>
      </c>
      <c r="J238" t="s">
        <v>2922</v>
      </c>
      <c r="K238">
        <v>1</v>
      </c>
      <c r="L238">
        <v>2</v>
      </c>
      <c r="M238">
        <v>264892</v>
      </c>
      <c r="N238" t="s">
        <v>2923</v>
      </c>
      <c r="O238" s="7" t="s">
        <v>70</v>
      </c>
      <c r="P238">
        <v>0</v>
      </c>
      <c r="Q238" t="s">
        <v>2924</v>
      </c>
      <c r="R238" t="s">
        <v>68</v>
      </c>
      <c r="S238" t="s">
        <v>639</v>
      </c>
      <c r="V238" s="7"/>
    </row>
    <row r="239" spans="1:22" x14ac:dyDescent="0.3">
      <c r="A239" t="s">
        <v>692</v>
      </c>
      <c r="B239" t="s">
        <v>693</v>
      </c>
      <c r="C239" t="s">
        <v>2925</v>
      </c>
      <c r="D239" t="s">
        <v>2926</v>
      </c>
      <c r="E239" s="1" t="s">
        <v>2927</v>
      </c>
      <c r="F239" t="s">
        <v>694</v>
      </c>
      <c r="G239" t="s">
        <v>2928</v>
      </c>
      <c r="H239" t="s">
        <v>2929</v>
      </c>
      <c r="I239" s="1" t="s">
        <v>5024</v>
      </c>
      <c r="J239" t="s">
        <v>2930</v>
      </c>
      <c r="K239">
        <v>1</v>
      </c>
      <c r="L239">
        <v>1</v>
      </c>
      <c r="M239">
        <v>169303</v>
      </c>
      <c r="N239" t="s">
        <v>2931</v>
      </c>
      <c r="O239" s="7" t="s">
        <v>70</v>
      </c>
      <c r="P239">
        <v>52</v>
      </c>
      <c r="Q239" t="s">
        <v>2932</v>
      </c>
      <c r="R239" t="s">
        <v>68</v>
      </c>
      <c r="S239" t="s">
        <v>639</v>
      </c>
      <c r="V239" s="7"/>
    </row>
    <row r="240" spans="1:22" x14ac:dyDescent="0.3">
      <c r="A240" t="s">
        <v>695</v>
      </c>
      <c r="B240" t="s">
        <v>696</v>
      </c>
      <c r="C240" t="s">
        <v>2933</v>
      </c>
      <c r="D240" t="s">
        <v>2934</v>
      </c>
      <c r="E240" s="1" t="s">
        <v>2935</v>
      </c>
      <c r="F240" t="s">
        <v>697</v>
      </c>
      <c r="G240" t="s">
        <v>2933</v>
      </c>
      <c r="H240" t="s">
        <v>2934</v>
      </c>
      <c r="I240" s="1">
        <v>41095</v>
      </c>
      <c r="J240" t="s">
        <v>2936</v>
      </c>
      <c r="K240">
        <v>1</v>
      </c>
      <c r="L240">
        <v>1</v>
      </c>
      <c r="M240">
        <v>367500</v>
      </c>
      <c r="N240" t="s">
        <v>2937</v>
      </c>
      <c r="O240" s="7" t="s">
        <v>70</v>
      </c>
      <c r="P240">
        <v>0</v>
      </c>
      <c r="Q240" t="s">
        <v>2938</v>
      </c>
      <c r="R240" t="s">
        <v>68</v>
      </c>
      <c r="S240" t="s">
        <v>639</v>
      </c>
      <c r="V240" s="7"/>
    </row>
    <row r="241" spans="1:22" x14ac:dyDescent="0.3">
      <c r="A241" t="s">
        <v>700</v>
      </c>
      <c r="B241" t="s">
        <v>701</v>
      </c>
      <c r="C241" t="s">
        <v>2939</v>
      </c>
      <c r="D241" t="s">
        <v>2940</v>
      </c>
      <c r="E241" s="1" t="s">
        <v>2941</v>
      </c>
      <c r="F241" t="s">
        <v>702</v>
      </c>
      <c r="G241" t="s">
        <v>69</v>
      </c>
      <c r="H241" t="s">
        <v>13</v>
      </c>
      <c r="I241" s="1" t="s">
        <v>5025</v>
      </c>
      <c r="J241" t="s">
        <v>2942</v>
      </c>
      <c r="K241">
        <v>1</v>
      </c>
      <c r="L241">
        <v>3</v>
      </c>
      <c r="M241">
        <v>431386</v>
      </c>
      <c r="N241" t="s">
        <v>2943</v>
      </c>
      <c r="O241" s="7" t="s">
        <v>70</v>
      </c>
      <c r="P241">
        <v>28</v>
      </c>
      <c r="Q241" t="s">
        <v>2944</v>
      </c>
      <c r="R241" t="s">
        <v>68</v>
      </c>
      <c r="S241" t="s">
        <v>639</v>
      </c>
      <c r="V241" s="7"/>
    </row>
    <row r="242" spans="1:22" x14ac:dyDescent="0.3">
      <c r="A242" t="s">
        <v>704</v>
      </c>
      <c r="B242" t="s">
        <v>705</v>
      </c>
      <c r="C242" t="s">
        <v>2945</v>
      </c>
      <c r="D242" t="s">
        <v>2946</v>
      </c>
      <c r="E242" s="1" t="s">
        <v>2947</v>
      </c>
      <c r="F242" t="s">
        <v>705</v>
      </c>
      <c r="G242" t="s">
        <v>2945</v>
      </c>
      <c r="H242" t="s">
        <v>2946</v>
      </c>
      <c r="I242" s="1">
        <v>40544</v>
      </c>
      <c r="J242" t="s">
        <v>2948</v>
      </c>
      <c r="K242">
        <v>1</v>
      </c>
      <c r="L242">
        <v>2</v>
      </c>
      <c r="M242">
        <v>186456</v>
      </c>
      <c r="N242" t="s">
        <v>2949</v>
      </c>
      <c r="O242" t="s">
        <v>70</v>
      </c>
      <c r="P242">
        <v>0</v>
      </c>
      <c r="Q242" t="s">
        <v>2950</v>
      </c>
      <c r="R242" t="s">
        <v>68</v>
      </c>
      <c r="S242" t="s">
        <v>639</v>
      </c>
      <c r="V242" s="7"/>
    </row>
    <row r="243" spans="1:22" x14ac:dyDescent="0.3">
      <c r="A243" t="s">
        <v>707</v>
      </c>
      <c r="B243" t="s">
        <v>708</v>
      </c>
      <c r="C243" t="s">
        <v>2889</v>
      </c>
      <c r="D243" t="s">
        <v>2890</v>
      </c>
      <c r="E243" s="1" t="s">
        <v>2951</v>
      </c>
      <c r="F243" t="s">
        <v>709</v>
      </c>
      <c r="G243" t="s">
        <v>2837</v>
      </c>
      <c r="H243" t="s">
        <v>653</v>
      </c>
      <c r="I243" s="1">
        <v>39814</v>
      </c>
      <c r="J243" t="s">
        <v>2952</v>
      </c>
      <c r="K243">
        <v>1</v>
      </c>
      <c r="L243">
        <v>1</v>
      </c>
      <c r="M243">
        <v>224469</v>
      </c>
      <c r="N243" t="s">
        <v>2953</v>
      </c>
      <c r="O243" s="7" t="s">
        <v>70</v>
      </c>
      <c r="P243">
        <v>18</v>
      </c>
      <c r="Q243" t="s">
        <v>2954</v>
      </c>
      <c r="R243" t="s">
        <v>68</v>
      </c>
      <c r="S243" t="s">
        <v>639</v>
      </c>
      <c r="V243" s="7"/>
    </row>
    <row r="244" spans="1:22" x14ac:dyDescent="0.3">
      <c r="A244" t="s">
        <v>710</v>
      </c>
      <c r="B244" t="s">
        <v>711</v>
      </c>
      <c r="C244" t="s">
        <v>2837</v>
      </c>
      <c r="D244" t="s">
        <v>653</v>
      </c>
      <c r="E244" s="1" t="s">
        <v>2955</v>
      </c>
      <c r="F244" t="s">
        <v>712</v>
      </c>
      <c r="G244" t="s">
        <v>2837</v>
      </c>
      <c r="H244" t="s">
        <v>653</v>
      </c>
      <c r="I244" s="1">
        <v>37622</v>
      </c>
      <c r="J244" t="s">
        <v>2956</v>
      </c>
      <c r="K244">
        <v>1</v>
      </c>
      <c r="L244">
        <v>1</v>
      </c>
      <c r="M244">
        <v>222120</v>
      </c>
      <c r="N244" t="s">
        <v>2957</v>
      </c>
      <c r="O244" s="7" t="s">
        <v>70</v>
      </c>
      <c r="P244">
        <v>0</v>
      </c>
      <c r="Q244" t="s">
        <v>2958</v>
      </c>
      <c r="R244" t="s">
        <v>68</v>
      </c>
      <c r="S244" t="s">
        <v>639</v>
      </c>
      <c r="V244" s="7"/>
    </row>
    <row r="245" spans="1:22" x14ac:dyDescent="0.3">
      <c r="A245" t="s">
        <v>714</v>
      </c>
      <c r="B245" t="s">
        <v>715</v>
      </c>
      <c r="C245" t="s">
        <v>2837</v>
      </c>
      <c r="D245" t="s">
        <v>653</v>
      </c>
      <c r="E245" s="1" t="s">
        <v>2959</v>
      </c>
      <c r="F245" t="s">
        <v>716</v>
      </c>
      <c r="G245" t="s">
        <v>2837</v>
      </c>
      <c r="H245" t="s">
        <v>653</v>
      </c>
      <c r="I245" s="1">
        <v>38353</v>
      </c>
      <c r="J245" t="s">
        <v>2960</v>
      </c>
      <c r="K245">
        <v>1</v>
      </c>
      <c r="L245">
        <v>4</v>
      </c>
      <c r="M245">
        <v>200333</v>
      </c>
      <c r="N245" t="s">
        <v>2961</v>
      </c>
      <c r="O245" s="7" t="s">
        <v>70</v>
      </c>
      <c r="P245">
        <v>0</v>
      </c>
      <c r="Q245" t="s">
        <v>2962</v>
      </c>
      <c r="R245" t="s">
        <v>68</v>
      </c>
      <c r="S245" t="s">
        <v>639</v>
      </c>
      <c r="V245" s="7"/>
    </row>
    <row r="246" spans="1:22" x14ac:dyDescent="0.3">
      <c r="A246" t="s">
        <v>717</v>
      </c>
      <c r="B246" t="s">
        <v>718</v>
      </c>
      <c r="C246" t="s">
        <v>2963</v>
      </c>
      <c r="D246" t="s">
        <v>2964</v>
      </c>
      <c r="E246" s="1" t="s">
        <v>2965</v>
      </c>
      <c r="F246" t="s">
        <v>719</v>
      </c>
      <c r="G246" t="s">
        <v>2837</v>
      </c>
      <c r="H246" t="s">
        <v>653</v>
      </c>
      <c r="I246" s="1" t="s">
        <v>5026</v>
      </c>
      <c r="J246" t="s">
        <v>2966</v>
      </c>
      <c r="K246">
        <v>1</v>
      </c>
      <c r="L246">
        <v>1</v>
      </c>
      <c r="M246">
        <v>491333</v>
      </c>
      <c r="N246" t="s">
        <v>2967</v>
      </c>
      <c r="O246" s="7" t="s">
        <v>70</v>
      </c>
      <c r="P246">
        <v>0</v>
      </c>
      <c r="Q246" t="s">
        <v>2968</v>
      </c>
      <c r="R246" t="s">
        <v>68</v>
      </c>
      <c r="S246" t="s">
        <v>639</v>
      </c>
    </row>
    <row r="247" spans="1:22" x14ac:dyDescent="0.3">
      <c r="A247" t="s">
        <v>721</v>
      </c>
      <c r="B247" t="s">
        <v>722</v>
      </c>
      <c r="C247" t="s">
        <v>2889</v>
      </c>
      <c r="D247" t="s">
        <v>2890</v>
      </c>
      <c r="E247" s="1" t="s">
        <v>2895</v>
      </c>
      <c r="F247" t="s">
        <v>673</v>
      </c>
      <c r="G247" t="s">
        <v>2837</v>
      </c>
      <c r="H247" t="s">
        <v>653</v>
      </c>
      <c r="I247" s="1">
        <v>40972</v>
      </c>
      <c r="J247" t="s">
        <v>2896</v>
      </c>
      <c r="K247">
        <v>1</v>
      </c>
      <c r="L247">
        <v>4</v>
      </c>
      <c r="M247">
        <v>217090</v>
      </c>
      <c r="N247" t="s">
        <v>2969</v>
      </c>
      <c r="O247" s="7" t="s">
        <v>70</v>
      </c>
      <c r="P247">
        <v>7</v>
      </c>
      <c r="Q247" t="s">
        <v>2970</v>
      </c>
      <c r="R247" t="s">
        <v>68</v>
      </c>
      <c r="S247" t="s">
        <v>639</v>
      </c>
      <c r="V247" s="7"/>
    </row>
    <row r="248" spans="1:22" x14ac:dyDescent="0.3">
      <c r="A248" t="s">
        <v>723</v>
      </c>
      <c r="B248" t="s">
        <v>724</v>
      </c>
      <c r="C248" t="s">
        <v>2837</v>
      </c>
      <c r="D248" t="s">
        <v>653</v>
      </c>
      <c r="E248" s="1" t="s">
        <v>2971</v>
      </c>
      <c r="F248" t="s">
        <v>725</v>
      </c>
      <c r="G248" t="s">
        <v>2837</v>
      </c>
      <c r="H248" t="s">
        <v>653</v>
      </c>
      <c r="I248" s="1">
        <v>37257</v>
      </c>
      <c r="J248" t="s">
        <v>2972</v>
      </c>
      <c r="K248">
        <v>1</v>
      </c>
      <c r="L248">
        <v>6</v>
      </c>
      <c r="M248">
        <v>376573</v>
      </c>
      <c r="N248" t="s">
        <v>2973</v>
      </c>
      <c r="O248" s="7" t="s">
        <v>70</v>
      </c>
      <c r="P248">
        <v>0</v>
      </c>
      <c r="Q248" t="s">
        <v>2974</v>
      </c>
      <c r="R248" t="s">
        <v>68</v>
      </c>
      <c r="S248" t="s">
        <v>639</v>
      </c>
      <c r="V248" s="7"/>
    </row>
    <row r="249" spans="1:22" x14ac:dyDescent="0.3">
      <c r="A249" t="s">
        <v>726</v>
      </c>
      <c r="B249" t="s">
        <v>727</v>
      </c>
      <c r="C249" t="s">
        <v>2975</v>
      </c>
      <c r="D249" t="s">
        <v>2976</v>
      </c>
      <c r="E249" s="1" t="s">
        <v>2977</v>
      </c>
      <c r="F249" t="s">
        <v>728</v>
      </c>
      <c r="G249" t="s">
        <v>2975</v>
      </c>
      <c r="H249" t="s">
        <v>2976</v>
      </c>
      <c r="I249" s="1">
        <v>43806</v>
      </c>
      <c r="J249" t="s">
        <v>2978</v>
      </c>
      <c r="K249">
        <v>1</v>
      </c>
      <c r="L249">
        <v>1</v>
      </c>
      <c r="M249">
        <v>191398</v>
      </c>
      <c r="N249" t="s">
        <v>2979</v>
      </c>
      <c r="O249" s="7" t="s">
        <v>80</v>
      </c>
      <c r="P249">
        <v>40</v>
      </c>
      <c r="Q249" t="s">
        <v>2980</v>
      </c>
      <c r="R249" t="s">
        <v>68</v>
      </c>
      <c r="S249" t="s">
        <v>639</v>
      </c>
      <c r="V249" s="7"/>
    </row>
    <row r="250" spans="1:22" x14ac:dyDescent="0.3">
      <c r="A250" t="s">
        <v>730</v>
      </c>
      <c r="B250" t="s">
        <v>693</v>
      </c>
      <c r="C250" t="s">
        <v>2925</v>
      </c>
      <c r="D250" t="s">
        <v>2926</v>
      </c>
      <c r="E250" s="1" t="s">
        <v>2981</v>
      </c>
      <c r="F250" t="s">
        <v>731</v>
      </c>
      <c r="G250" t="s">
        <v>2829</v>
      </c>
      <c r="H250" t="s">
        <v>2830</v>
      </c>
      <c r="I250" s="1">
        <v>43806</v>
      </c>
      <c r="J250" t="s">
        <v>2982</v>
      </c>
      <c r="K250">
        <v>1</v>
      </c>
      <c r="L250">
        <v>8</v>
      </c>
      <c r="M250">
        <v>169466</v>
      </c>
      <c r="N250" t="s">
        <v>2983</v>
      </c>
      <c r="O250" s="7" t="s">
        <v>70</v>
      </c>
      <c r="P250">
        <v>60</v>
      </c>
      <c r="Q250" t="s">
        <v>2932</v>
      </c>
      <c r="R250" t="s">
        <v>68</v>
      </c>
      <c r="S250" t="s">
        <v>639</v>
      </c>
      <c r="V250" s="7"/>
    </row>
    <row r="251" spans="1:22" x14ac:dyDescent="0.3">
      <c r="A251" t="s">
        <v>732</v>
      </c>
      <c r="B251" t="s">
        <v>733</v>
      </c>
      <c r="C251" t="s">
        <v>2975</v>
      </c>
      <c r="D251" t="s">
        <v>2976</v>
      </c>
      <c r="E251" s="1" t="s">
        <v>2984</v>
      </c>
      <c r="F251" t="s">
        <v>734</v>
      </c>
      <c r="G251" t="s">
        <v>2975</v>
      </c>
      <c r="H251" t="s">
        <v>2976</v>
      </c>
      <c r="I251" s="1" t="s">
        <v>5027</v>
      </c>
      <c r="J251" t="s">
        <v>2985</v>
      </c>
      <c r="K251">
        <v>1</v>
      </c>
      <c r="L251">
        <v>1</v>
      </c>
      <c r="M251">
        <v>203225</v>
      </c>
      <c r="N251" t="s">
        <v>2986</v>
      </c>
      <c r="O251" s="7" t="s">
        <v>80</v>
      </c>
      <c r="P251">
        <v>26</v>
      </c>
      <c r="Q251" t="s">
        <v>2987</v>
      </c>
      <c r="R251" t="s">
        <v>68</v>
      </c>
      <c r="S251" t="s">
        <v>639</v>
      </c>
    </row>
    <row r="252" spans="1:22" x14ac:dyDescent="0.3">
      <c r="A252" t="s">
        <v>735</v>
      </c>
      <c r="B252" t="s">
        <v>736</v>
      </c>
      <c r="C252" t="s">
        <v>2988</v>
      </c>
      <c r="D252" t="s">
        <v>2989</v>
      </c>
      <c r="E252" s="1" t="s">
        <v>2990</v>
      </c>
      <c r="F252" t="s">
        <v>737</v>
      </c>
      <c r="G252" t="s">
        <v>2991</v>
      </c>
      <c r="H252" t="s">
        <v>745</v>
      </c>
      <c r="I252" s="1" t="s">
        <v>5028</v>
      </c>
      <c r="J252" t="s">
        <v>2992</v>
      </c>
      <c r="K252">
        <v>1</v>
      </c>
      <c r="L252">
        <v>1</v>
      </c>
      <c r="M252">
        <v>266493</v>
      </c>
      <c r="N252" t="s">
        <v>2993</v>
      </c>
      <c r="O252" t="s">
        <v>70</v>
      </c>
      <c r="P252">
        <v>66</v>
      </c>
      <c r="Q252" t="s">
        <v>2994</v>
      </c>
      <c r="R252" t="s">
        <v>68</v>
      </c>
      <c r="S252" t="s">
        <v>738</v>
      </c>
      <c r="V252" s="7"/>
    </row>
    <row r="253" spans="1:22" x14ac:dyDescent="0.3">
      <c r="A253" t="s">
        <v>740</v>
      </c>
      <c r="B253" t="s">
        <v>741</v>
      </c>
      <c r="C253" t="s">
        <v>2995</v>
      </c>
      <c r="D253" t="s">
        <v>2996</v>
      </c>
      <c r="E253" s="1" t="s">
        <v>2990</v>
      </c>
      <c r="F253" t="s">
        <v>737</v>
      </c>
      <c r="G253" t="s">
        <v>2991</v>
      </c>
      <c r="H253" t="s">
        <v>745</v>
      </c>
      <c r="I253" s="1" t="s">
        <v>5028</v>
      </c>
      <c r="J253" t="s">
        <v>2992</v>
      </c>
      <c r="K253">
        <v>1</v>
      </c>
      <c r="L253">
        <v>13</v>
      </c>
      <c r="M253">
        <v>254346</v>
      </c>
      <c r="N253" t="s">
        <v>2997</v>
      </c>
      <c r="O253" s="7" t="s">
        <v>70</v>
      </c>
      <c r="P253">
        <v>48</v>
      </c>
      <c r="Q253" t="s">
        <v>2998</v>
      </c>
      <c r="R253" t="s">
        <v>68</v>
      </c>
      <c r="S253" t="s">
        <v>738</v>
      </c>
      <c r="V253" s="7"/>
    </row>
    <row r="254" spans="1:22" x14ac:dyDescent="0.3">
      <c r="A254" t="s">
        <v>743</v>
      </c>
      <c r="B254" t="s">
        <v>744</v>
      </c>
      <c r="C254" t="s">
        <v>2991</v>
      </c>
      <c r="D254" t="s">
        <v>745</v>
      </c>
      <c r="E254" s="1" t="s">
        <v>2990</v>
      </c>
      <c r="F254" t="s">
        <v>737</v>
      </c>
      <c r="G254" t="s">
        <v>2991</v>
      </c>
      <c r="H254" t="s">
        <v>745</v>
      </c>
      <c r="I254" s="1" t="s">
        <v>5028</v>
      </c>
      <c r="J254" t="s">
        <v>2992</v>
      </c>
      <c r="K254">
        <v>1</v>
      </c>
      <c r="L254">
        <v>2</v>
      </c>
      <c r="M254">
        <v>282746</v>
      </c>
      <c r="N254" t="s">
        <v>2999</v>
      </c>
      <c r="O254" s="7" t="s">
        <v>70</v>
      </c>
      <c r="P254">
        <v>49</v>
      </c>
      <c r="Q254" t="s">
        <v>3000</v>
      </c>
      <c r="R254" t="s">
        <v>68</v>
      </c>
      <c r="S254" t="s">
        <v>738</v>
      </c>
      <c r="V254" s="7"/>
    </row>
    <row r="255" spans="1:22" x14ac:dyDescent="0.3">
      <c r="A255" t="s">
        <v>746</v>
      </c>
      <c r="B255" t="s">
        <v>747</v>
      </c>
      <c r="C255" t="s">
        <v>2988</v>
      </c>
      <c r="D255" t="s">
        <v>2989</v>
      </c>
      <c r="E255" s="1" t="s">
        <v>2990</v>
      </c>
      <c r="F255" t="s">
        <v>737</v>
      </c>
      <c r="G255" t="s">
        <v>2991</v>
      </c>
      <c r="H255" t="s">
        <v>745</v>
      </c>
      <c r="I255" s="1" t="s">
        <v>5028</v>
      </c>
      <c r="J255" t="s">
        <v>2992</v>
      </c>
      <c r="K255">
        <v>1</v>
      </c>
      <c r="L255">
        <v>4</v>
      </c>
      <c r="M255">
        <v>276066</v>
      </c>
      <c r="N255" t="s">
        <v>3001</v>
      </c>
      <c r="O255" s="7" t="s">
        <v>70</v>
      </c>
      <c r="P255">
        <v>59</v>
      </c>
      <c r="Q255" t="s">
        <v>3002</v>
      </c>
      <c r="R255" t="s">
        <v>68</v>
      </c>
      <c r="S255" t="s">
        <v>738</v>
      </c>
      <c r="V255" s="7"/>
    </row>
    <row r="256" spans="1:22" x14ac:dyDescent="0.3">
      <c r="A256" t="s">
        <v>748</v>
      </c>
      <c r="B256" t="s">
        <v>749</v>
      </c>
      <c r="C256" t="s">
        <v>3003</v>
      </c>
      <c r="D256" t="s">
        <v>3004</v>
      </c>
      <c r="E256" s="1" t="s">
        <v>2990</v>
      </c>
      <c r="F256" t="s">
        <v>737</v>
      </c>
      <c r="G256" t="s">
        <v>2991</v>
      </c>
      <c r="H256" t="s">
        <v>745</v>
      </c>
      <c r="I256" s="1" t="s">
        <v>5028</v>
      </c>
      <c r="J256" t="s">
        <v>2992</v>
      </c>
      <c r="K256">
        <v>1</v>
      </c>
      <c r="L256">
        <v>3</v>
      </c>
      <c r="M256">
        <v>245560</v>
      </c>
      <c r="N256" t="s">
        <v>3005</v>
      </c>
      <c r="O256" s="7" t="s">
        <v>70</v>
      </c>
      <c r="P256">
        <v>53</v>
      </c>
      <c r="Q256" t="s">
        <v>3006</v>
      </c>
      <c r="R256" t="s">
        <v>68</v>
      </c>
      <c r="S256" t="s">
        <v>738</v>
      </c>
      <c r="V256" s="7"/>
    </row>
    <row r="257" spans="1:22" x14ac:dyDescent="0.3">
      <c r="A257" t="s">
        <v>751</v>
      </c>
      <c r="B257" t="s">
        <v>752</v>
      </c>
      <c r="C257" t="s">
        <v>2991</v>
      </c>
      <c r="D257" t="s">
        <v>745</v>
      </c>
      <c r="E257" s="1" t="s">
        <v>2990</v>
      </c>
      <c r="F257" t="s">
        <v>737</v>
      </c>
      <c r="G257" t="s">
        <v>2991</v>
      </c>
      <c r="H257" t="s">
        <v>745</v>
      </c>
      <c r="I257" s="1" t="s">
        <v>5028</v>
      </c>
      <c r="J257" t="s">
        <v>2992</v>
      </c>
      <c r="K257">
        <v>1</v>
      </c>
      <c r="L257">
        <v>5</v>
      </c>
      <c r="M257">
        <v>333040</v>
      </c>
      <c r="N257" t="s">
        <v>3007</v>
      </c>
      <c r="O257" s="7" t="s">
        <v>70</v>
      </c>
      <c r="P257">
        <v>45</v>
      </c>
      <c r="Q257" t="s">
        <v>3008</v>
      </c>
      <c r="R257" t="s">
        <v>68</v>
      </c>
      <c r="S257" t="s">
        <v>738</v>
      </c>
      <c r="V257" s="7"/>
    </row>
    <row r="258" spans="1:22" x14ac:dyDescent="0.3">
      <c r="A258" t="s">
        <v>753</v>
      </c>
      <c r="B258" t="s">
        <v>15</v>
      </c>
      <c r="C258" t="s">
        <v>2991</v>
      </c>
      <c r="D258" t="s">
        <v>745</v>
      </c>
      <c r="E258" s="1" t="s">
        <v>2990</v>
      </c>
      <c r="F258" t="s">
        <v>737</v>
      </c>
      <c r="G258" t="s">
        <v>2991</v>
      </c>
      <c r="H258" t="s">
        <v>745</v>
      </c>
      <c r="I258" s="1" t="s">
        <v>5028</v>
      </c>
      <c r="J258" t="s">
        <v>2992</v>
      </c>
      <c r="K258">
        <v>1</v>
      </c>
      <c r="L258">
        <v>6</v>
      </c>
      <c r="M258">
        <v>241760</v>
      </c>
      <c r="N258" t="s">
        <v>3009</v>
      </c>
      <c r="O258" s="7" t="s">
        <v>70</v>
      </c>
      <c r="P258">
        <v>46</v>
      </c>
      <c r="Q258" t="s">
        <v>3010</v>
      </c>
      <c r="R258" t="s">
        <v>68</v>
      </c>
      <c r="S258" t="s">
        <v>738</v>
      </c>
    </row>
    <row r="259" spans="1:22" x14ac:dyDescent="0.3">
      <c r="A259" t="s">
        <v>754</v>
      </c>
      <c r="B259" t="s">
        <v>755</v>
      </c>
      <c r="C259" t="s">
        <v>3011</v>
      </c>
      <c r="D259" t="s">
        <v>3012</v>
      </c>
      <c r="E259" s="1" t="s">
        <v>2990</v>
      </c>
      <c r="F259" t="s">
        <v>737</v>
      </c>
      <c r="G259" t="s">
        <v>2991</v>
      </c>
      <c r="H259" t="s">
        <v>745</v>
      </c>
      <c r="I259" s="1" t="s">
        <v>5028</v>
      </c>
      <c r="J259" t="s">
        <v>2992</v>
      </c>
      <c r="K259">
        <v>1</v>
      </c>
      <c r="L259">
        <v>7</v>
      </c>
      <c r="M259">
        <v>207373</v>
      </c>
      <c r="N259" t="s">
        <v>3013</v>
      </c>
      <c r="O259" s="7" t="s">
        <v>70</v>
      </c>
      <c r="P259">
        <v>51</v>
      </c>
      <c r="Q259" t="s">
        <v>3014</v>
      </c>
      <c r="R259" t="s">
        <v>68</v>
      </c>
      <c r="S259" t="s">
        <v>738</v>
      </c>
      <c r="V259" s="7"/>
    </row>
    <row r="260" spans="1:22" x14ac:dyDescent="0.3">
      <c r="A260" t="s">
        <v>756</v>
      </c>
      <c r="B260" t="s">
        <v>757</v>
      </c>
      <c r="C260" t="s">
        <v>2991</v>
      </c>
      <c r="D260" t="s">
        <v>745</v>
      </c>
      <c r="E260" s="1" t="s">
        <v>2990</v>
      </c>
      <c r="F260" t="s">
        <v>737</v>
      </c>
      <c r="G260" t="s">
        <v>2991</v>
      </c>
      <c r="H260" t="s">
        <v>745</v>
      </c>
      <c r="I260" s="1" t="s">
        <v>5028</v>
      </c>
      <c r="J260" t="s">
        <v>2992</v>
      </c>
      <c r="K260">
        <v>1</v>
      </c>
      <c r="L260">
        <v>8</v>
      </c>
      <c r="M260">
        <v>120453</v>
      </c>
      <c r="N260" t="s">
        <v>3015</v>
      </c>
      <c r="O260" s="7" t="s">
        <v>70</v>
      </c>
      <c r="P260">
        <v>43</v>
      </c>
      <c r="Q260" t="s">
        <v>3016</v>
      </c>
      <c r="R260" t="s">
        <v>68</v>
      </c>
      <c r="S260" t="s">
        <v>738</v>
      </c>
      <c r="V260" s="7"/>
    </row>
    <row r="261" spans="1:22" x14ac:dyDescent="0.3">
      <c r="A261" t="s">
        <v>758</v>
      </c>
      <c r="B261" t="s">
        <v>759</v>
      </c>
      <c r="C261" t="s">
        <v>3017</v>
      </c>
      <c r="D261" t="s">
        <v>3018</v>
      </c>
      <c r="E261" s="1" t="s">
        <v>2990</v>
      </c>
      <c r="F261" t="s">
        <v>737</v>
      </c>
      <c r="G261" t="s">
        <v>2991</v>
      </c>
      <c r="H261" t="s">
        <v>745</v>
      </c>
      <c r="I261" s="1" t="s">
        <v>5028</v>
      </c>
      <c r="J261" t="s">
        <v>2992</v>
      </c>
      <c r="K261">
        <v>1</v>
      </c>
      <c r="L261">
        <v>9</v>
      </c>
      <c r="M261">
        <v>249466</v>
      </c>
      <c r="N261" t="s">
        <v>3019</v>
      </c>
      <c r="O261" s="7" t="s">
        <v>70</v>
      </c>
      <c r="P261">
        <v>43</v>
      </c>
      <c r="Q261" t="s">
        <v>3020</v>
      </c>
      <c r="R261" t="s">
        <v>68</v>
      </c>
      <c r="S261" t="s">
        <v>738</v>
      </c>
      <c r="V261" s="7"/>
    </row>
    <row r="262" spans="1:22" x14ac:dyDescent="0.3">
      <c r="A262" t="s">
        <v>761</v>
      </c>
      <c r="B262" t="s">
        <v>762</v>
      </c>
      <c r="C262" t="s">
        <v>2991</v>
      </c>
      <c r="D262" t="s">
        <v>745</v>
      </c>
      <c r="E262" s="1" t="s">
        <v>2990</v>
      </c>
      <c r="F262" t="s">
        <v>737</v>
      </c>
      <c r="G262" t="s">
        <v>2991</v>
      </c>
      <c r="H262" t="s">
        <v>745</v>
      </c>
      <c r="I262" s="1" t="s">
        <v>5028</v>
      </c>
      <c r="J262" t="s">
        <v>2992</v>
      </c>
      <c r="K262">
        <v>1</v>
      </c>
      <c r="L262">
        <v>10</v>
      </c>
      <c r="M262">
        <v>250253</v>
      </c>
      <c r="N262" t="s">
        <v>3021</v>
      </c>
      <c r="O262" s="7" t="s">
        <v>70</v>
      </c>
      <c r="P262">
        <v>42</v>
      </c>
      <c r="Q262" t="s">
        <v>3022</v>
      </c>
      <c r="R262" t="s">
        <v>68</v>
      </c>
      <c r="S262" t="s">
        <v>738</v>
      </c>
      <c r="V262" s="7"/>
    </row>
    <row r="263" spans="1:22" x14ac:dyDescent="0.3">
      <c r="A263" t="s">
        <v>763</v>
      </c>
      <c r="B263" t="s">
        <v>764</v>
      </c>
      <c r="C263" t="s">
        <v>2991</v>
      </c>
      <c r="D263" t="s">
        <v>745</v>
      </c>
      <c r="E263" s="1" t="s">
        <v>2990</v>
      </c>
      <c r="F263" t="s">
        <v>737</v>
      </c>
      <c r="G263" t="s">
        <v>2991</v>
      </c>
      <c r="H263" t="s">
        <v>745</v>
      </c>
      <c r="I263" s="1" t="s">
        <v>5028</v>
      </c>
      <c r="J263" t="s">
        <v>2992</v>
      </c>
      <c r="K263">
        <v>1</v>
      </c>
      <c r="L263">
        <v>11</v>
      </c>
      <c r="M263">
        <v>28226</v>
      </c>
      <c r="N263" t="s">
        <v>3023</v>
      </c>
      <c r="O263" s="7" t="s">
        <v>70</v>
      </c>
      <c r="P263">
        <v>6</v>
      </c>
      <c r="Q263" t="s">
        <v>3024</v>
      </c>
      <c r="R263" t="s">
        <v>68</v>
      </c>
      <c r="S263" t="s">
        <v>738</v>
      </c>
    </row>
    <row r="264" spans="1:22" x14ac:dyDescent="0.3">
      <c r="A264" t="s">
        <v>765</v>
      </c>
      <c r="B264" t="s">
        <v>766</v>
      </c>
      <c r="C264" t="s">
        <v>3025</v>
      </c>
      <c r="D264" t="s">
        <v>3026</v>
      </c>
      <c r="E264" s="1" t="s">
        <v>2990</v>
      </c>
      <c r="F264" t="s">
        <v>737</v>
      </c>
      <c r="G264" t="s">
        <v>2991</v>
      </c>
      <c r="H264" t="s">
        <v>745</v>
      </c>
      <c r="I264" s="1" t="s">
        <v>5028</v>
      </c>
      <c r="J264" t="s">
        <v>2992</v>
      </c>
      <c r="K264">
        <v>1</v>
      </c>
      <c r="L264">
        <v>12</v>
      </c>
      <c r="M264">
        <v>201533</v>
      </c>
      <c r="N264" t="s">
        <v>3027</v>
      </c>
      <c r="O264" s="7" t="s">
        <v>70</v>
      </c>
      <c r="P264">
        <v>47</v>
      </c>
      <c r="Q264" t="s">
        <v>3028</v>
      </c>
      <c r="R264" t="s">
        <v>68</v>
      </c>
      <c r="S264" t="s">
        <v>738</v>
      </c>
      <c r="V264" s="7"/>
    </row>
    <row r="265" spans="1:22" x14ac:dyDescent="0.3">
      <c r="A265" t="s">
        <v>768</v>
      </c>
      <c r="B265" t="s">
        <v>769</v>
      </c>
      <c r="C265" t="s">
        <v>2991</v>
      </c>
      <c r="D265" t="s">
        <v>745</v>
      </c>
      <c r="E265" s="1" t="s">
        <v>3029</v>
      </c>
      <c r="F265" t="s">
        <v>745</v>
      </c>
      <c r="G265" t="s">
        <v>2991</v>
      </c>
      <c r="H265" t="s">
        <v>745</v>
      </c>
      <c r="I265" s="1">
        <v>39392</v>
      </c>
      <c r="J265" t="s">
        <v>3030</v>
      </c>
      <c r="K265">
        <v>1</v>
      </c>
      <c r="L265">
        <v>3</v>
      </c>
      <c r="M265">
        <v>242266</v>
      </c>
      <c r="N265" t="s">
        <v>3031</v>
      </c>
      <c r="O265" t="s">
        <v>70</v>
      </c>
      <c r="P265">
        <v>64</v>
      </c>
      <c r="Q265" t="s">
        <v>3032</v>
      </c>
      <c r="R265" t="s">
        <v>68</v>
      </c>
      <c r="S265" t="s">
        <v>738</v>
      </c>
      <c r="V265" s="7"/>
    </row>
    <row r="266" spans="1:22" x14ac:dyDescent="0.3">
      <c r="A266" t="s">
        <v>771</v>
      </c>
      <c r="B266" t="s">
        <v>19</v>
      </c>
      <c r="C266" t="s">
        <v>2991</v>
      </c>
      <c r="D266" t="s">
        <v>745</v>
      </c>
      <c r="E266" s="1" t="s">
        <v>3033</v>
      </c>
      <c r="F266" t="s">
        <v>772</v>
      </c>
      <c r="G266" t="s">
        <v>2991</v>
      </c>
      <c r="H266" t="s">
        <v>745</v>
      </c>
      <c r="I266" s="1" t="s">
        <v>5029</v>
      </c>
      <c r="J266" t="s">
        <v>3034</v>
      </c>
      <c r="K266">
        <v>1</v>
      </c>
      <c r="L266">
        <v>1</v>
      </c>
      <c r="M266">
        <v>234959</v>
      </c>
      <c r="N266" t="s">
        <v>3035</v>
      </c>
      <c r="O266" s="7" t="s">
        <v>70</v>
      </c>
      <c r="P266">
        <v>0</v>
      </c>
      <c r="Q266" t="s">
        <v>3036</v>
      </c>
      <c r="R266" t="s">
        <v>68</v>
      </c>
      <c r="S266" t="s">
        <v>738</v>
      </c>
    </row>
    <row r="267" spans="1:22" x14ac:dyDescent="0.3">
      <c r="A267" t="s">
        <v>774</v>
      </c>
      <c r="B267" t="s">
        <v>775</v>
      </c>
      <c r="C267" t="s">
        <v>3037</v>
      </c>
      <c r="D267" t="s">
        <v>3038</v>
      </c>
      <c r="E267" s="1" t="s">
        <v>3039</v>
      </c>
      <c r="F267" t="s">
        <v>776</v>
      </c>
      <c r="G267" t="s">
        <v>3040</v>
      </c>
      <c r="H267" t="s">
        <v>3041</v>
      </c>
      <c r="I267" s="1">
        <v>38718</v>
      </c>
      <c r="J267" t="s">
        <v>3042</v>
      </c>
      <c r="K267">
        <v>1</v>
      </c>
      <c r="L267">
        <v>1</v>
      </c>
      <c r="M267">
        <v>262773</v>
      </c>
      <c r="N267" t="s">
        <v>3043</v>
      </c>
      <c r="O267" s="7" t="s">
        <v>70</v>
      </c>
      <c r="P267">
        <v>1</v>
      </c>
      <c r="Q267" t="s">
        <v>3044</v>
      </c>
      <c r="R267" t="s">
        <v>68</v>
      </c>
      <c r="S267" t="s">
        <v>738</v>
      </c>
      <c r="V267" s="7"/>
    </row>
    <row r="268" spans="1:22" x14ac:dyDescent="0.3">
      <c r="A268" t="s">
        <v>778</v>
      </c>
      <c r="B268" t="s">
        <v>779</v>
      </c>
      <c r="C268" t="s">
        <v>2991</v>
      </c>
      <c r="D268" t="s">
        <v>745</v>
      </c>
      <c r="E268" s="1" t="s">
        <v>3045</v>
      </c>
      <c r="F268" t="s">
        <v>780</v>
      </c>
      <c r="G268" t="s">
        <v>2991</v>
      </c>
      <c r="H268" t="s">
        <v>745</v>
      </c>
      <c r="I268" s="1" t="s">
        <v>81</v>
      </c>
      <c r="J268" t="s">
        <v>3046</v>
      </c>
      <c r="K268">
        <v>1</v>
      </c>
      <c r="L268">
        <v>1</v>
      </c>
      <c r="M268">
        <v>345303</v>
      </c>
      <c r="N268" t="s">
        <v>3047</v>
      </c>
      <c r="O268" s="7" t="s">
        <v>70</v>
      </c>
      <c r="P268">
        <v>0</v>
      </c>
      <c r="Q268" t="s">
        <v>3048</v>
      </c>
      <c r="R268" t="s">
        <v>68</v>
      </c>
      <c r="S268" t="s">
        <v>738</v>
      </c>
      <c r="V268" s="7"/>
    </row>
    <row r="269" spans="1:22" x14ac:dyDescent="0.3">
      <c r="A269" t="s">
        <v>782</v>
      </c>
      <c r="B269" t="s">
        <v>783</v>
      </c>
      <c r="C269" t="s">
        <v>2991</v>
      </c>
      <c r="D269" t="s">
        <v>745</v>
      </c>
      <c r="E269" s="1" t="s">
        <v>3049</v>
      </c>
      <c r="F269" t="s">
        <v>783</v>
      </c>
      <c r="G269" t="s">
        <v>2991</v>
      </c>
      <c r="H269" t="s">
        <v>745</v>
      </c>
      <c r="I269" s="1">
        <v>40700</v>
      </c>
      <c r="J269" t="s">
        <v>3050</v>
      </c>
      <c r="K269">
        <v>1</v>
      </c>
      <c r="L269">
        <v>1</v>
      </c>
      <c r="M269">
        <v>250825</v>
      </c>
      <c r="N269" t="s">
        <v>3051</v>
      </c>
      <c r="O269" s="7" t="s">
        <v>70</v>
      </c>
      <c r="P269">
        <v>0</v>
      </c>
      <c r="Q269" t="s">
        <v>3052</v>
      </c>
      <c r="R269" t="s">
        <v>68</v>
      </c>
      <c r="S269" t="s">
        <v>738</v>
      </c>
      <c r="V269" s="7"/>
    </row>
    <row r="270" spans="1:22" x14ac:dyDescent="0.3">
      <c r="A270" t="s">
        <v>784</v>
      </c>
      <c r="B270" t="s">
        <v>785</v>
      </c>
      <c r="C270" t="s">
        <v>2991</v>
      </c>
      <c r="D270" t="s">
        <v>745</v>
      </c>
      <c r="E270" s="1" t="s">
        <v>3053</v>
      </c>
      <c r="F270" t="s">
        <v>786</v>
      </c>
      <c r="G270" t="s">
        <v>2991</v>
      </c>
      <c r="H270" t="s">
        <v>745</v>
      </c>
      <c r="I270" s="1" t="s">
        <v>5030</v>
      </c>
      <c r="J270" t="s">
        <v>3054</v>
      </c>
      <c r="K270">
        <v>1</v>
      </c>
      <c r="L270">
        <v>6</v>
      </c>
      <c r="M270">
        <v>270720</v>
      </c>
      <c r="N270" t="s">
        <v>3055</v>
      </c>
      <c r="O270" t="s">
        <v>70</v>
      </c>
      <c r="P270">
        <v>0</v>
      </c>
      <c r="Q270" t="s">
        <v>3056</v>
      </c>
      <c r="R270" t="s">
        <v>68</v>
      </c>
      <c r="S270" t="s">
        <v>738</v>
      </c>
    </row>
    <row r="271" spans="1:22" x14ac:dyDescent="0.3">
      <c r="A271" t="s">
        <v>787</v>
      </c>
      <c r="B271" t="s">
        <v>788</v>
      </c>
      <c r="C271" t="s">
        <v>2991</v>
      </c>
      <c r="D271" t="s">
        <v>745</v>
      </c>
      <c r="E271" s="1" t="s">
        <v>3033</v>
      </c>
      <c r="F271" t="s">
        <v>772</v>
      </c>
      <c r="G271" t="s">
        <v>2991</v>
      </c>
      <c r="H271" t="s">
        <v>745</v>
      </c>
      <c r="I271" s="1" t="s">
        <v>5029</v>
      </c>
      <c r="J271" t="s">
        <v>3034</v>
      </c>
      <c r="K271">
        <v>1</v>
      </c>
      <c r="L271">
        <v>6</v>
      </c>
      <c r="M271">
        <v>200826</v>
      </c>
      <c r="N271" t="s">
        <v>3057</v>
      </c>
      <c r="O271" s="7" t="s">
        <v>70</v>
      </c>
      <c r="P271">
        <v>0</v>
      </c>
      <c r="Q271" t="s">
        <v>3058</v>
      </c>
      <c r="R271" t="s">
        <v>68</v>
      </c>
      <c r="S271" t="s">
        <v>738</v>
      </c>
    </row>
    <row r="272" spans="1:22" x14ac:dyDescent="0.3">
      <c r="A272" t="s">
        <v>789</v>
      </c>
      <c r="B272" t="s">
        <v>790</v>
      </c>
      <c r="C272" t="s">
        <v>2991</v>
      </c>
      <c r="D272" t="s">
        <v>745</v>
      </c>
      <c r="E272" s="1" t="s">
        <v>3053</v>
      </c>
      <c r="F272" t="s">
        <v>786</v>
      </c>
      <c r="G272" t="s">
        <v>2991</v>
      </c>
      <c r="H272" t="s">
        <v>745</v>
      </c>
      <c r="I272" s="1" t="s">
        <v>5030</v>
      </c>
      <c r="J272" t="s">
        <v>3054</v>
      </c>
      <c r="K272">
        <v>1</v>
      </c>
      <c r="L272">
        <v>9</v>
      </c>
      <c r="M272">
        <v>254493</v>
      </c>
      <c r="N272" t="s">
        <v>3059</v>
      </c>
      <c r="O272" s="7" t="s">
        <v>70</v>
      </c>
      <c r="P272">
        <v>0</v>
      </c>
      <c r="Q272" t="s">
        <v>3060</v>
      </c>
      <c r="R272" t="s">
        <v>68</v>
      </c>
      <c r="S272" t="s">
        <v>738</v>
      </c>
      <c r="V272" s="7"/>
    </row>
    <row r="273" spans="1:22" x14ac:dyDescent="0.3">
      <c r="A273" t="s">
        <v>791</v>
      </c>
      <c r="B273" t="s">
        <v>792</v>
      </c>
      <c r="C273" t="s">
        <v>2991</v>
      </c>
      <c r="D273" t="s">
        <v>745</v>
      </c>
      <c r="E273" s="1" t="s">
        <v>3061</v>
      </c>
      <c r="F273" t="s">
        <v>780</v>
      </c>
      <c r="G273" t="s">
        <v>2991</v>
      </c>
      <c r="H273" t="s">
        <v>745</v>
      </c>
      <c r="I273" s="1" t="s">
        <v>81</v>
      </c>
      <c r="J273" t="s">
        <v>3062</v>
      </c>
      <c r="K273">
        <v>1</v>
      </c>
      <c r="L273">
        <v>5</v>
      </c>
      <c r="M273">
        <v>297316</v>
      </c>
      <c r="N273" t="s">
        <v>3063</v>
      </c>
      <c r="O273" s="7" t="s">
        <v>70</v>
      </c>
      <c r="P273">
        <v>41</v>
      </c>
      <c r="Q273" t="s">
        <v>3064</v>
      </c>
      <c r="R273" t="s">
        <v>68</v>
      </c>
      <c r="S273" t="s">
        <v>738</v>
      </c>
      <c r="V273" s="7"/>
    </row>
    <row r="274" spans="1:22" x14ac:dyDescent="0.3">
      <c r="A274" t="s">
        <v>793</v>
      </c>
      <c r="B274" t="s">
        <v>794</v>
      </c>
      <c r="C274" t="s">
        <v>2991</v>
      </c>
      <c r="D274" t="s">
        <v>745</v>
      </c>
      <c r="E274" s="1" t="s">
        <v>3061</v>
      </c>
      <c r="F274" t="s">
        <v>780</v>
      </c>
      <c r="G274" t="s">
        <v>2991</v>
      </c>
      <c r="H274" t="s">
        <v>745</v>
      </c>
      <c r="I274" s="1" t="s">
        <v>81</v>
      </c>
      <c r="J274" t="s">
        <v>3062</v>
      </c>
      <c r="K274">
        <v>1</v>
      </c>
      <c r="L274">
        <v>7</v>
      </c>
      <c r="M274">
        <v>398193</v>
      </c>
      <c r="N274" t="s">
        <v>3065</v>
      </c>
      <c r="O274" s="7" t="s">
        <v>70</v>
      </c>
      <c r="P274">
        <v>37</v>
      </c>
      <c r="Q274" t="s">
        <v>3066</v>
      </c>
      <c r="R274" t="s">
        <v>68</v>
      </c>
      <c r="S274" t="s">
        <v>738</v>
      </c>
      <c r="V274" s="7"/>
    </row>
    <row r="275" spans="1:22" x14ac:dyDescent="0.3">
      <c r="A275" t="s">
        <v>795</v>
      </c>
      <c r="B275" t="s">
        <v>796</v>
      </c>
      <c r="C275" t="s">
        <v>2991</v>
      </c>
      <c r="D275" t="s">
        <v>745</v>
      </c>
      <c r="E275" s="1" t="s">
        <v>3033</v>
      </c>
      <c r="F275" t="s">
        <v>772</v>
      </c>
      <c r="G275" t="s">
        <v>2991</v>
      </c>
      <c r="H275" t="s">
        <v>745</v>
      </c>
      <c r="I275" s="1" t="s">
        <v>5029</v>
      </c>
      <c r="J275" t="s">
        <v>3034</v>
      </c>
      <c r="K275">
        <v>1</v>
      </c>
      <c r="L275">
        <v>9</v>
      </c>
      <c r="M275">
        <v>236546</v>
      </c>
      <c r="N275" t="s">
        <v>3067</v>
      </c>
      <c r="O275" s="7" t="s">
        <v>70</v>
      </c>
      <c r="P275">
        <v>0</v>
      </c>
      <c r="Q275" t="s">
        <v>3068</v>
      </c>
      <c r="R275" t="s">
        <v>68</v>
      </c>
      <c r="S275" t="s">
        <v>738</v>
      </c>
      <c r="V275" s="7"/>
    </row>
    <row r="276" spans="1:22" x14ac:dyDescent="0.3">
      <c r="A276" t="s">
        <v>797</v>
      </c>
      <c r="B276" t="s">
        <v>798</v>
      </c>
      <c r="C276" t="s">
        <v>2991</v>
      </c>
      <c r="D276" t="s">
        <v>745</v>
      </c>
      <c r="E276" s="1" t="s">
        <v>3045</v>
      </c>
      <c r="F276" t="s">
        <v>780</v>
      </c>
      <c r="G276" t="s">
        <v>2991</v>
      </c>
      <c r="H276" t="s">
        <v>745</v>
      </c>
      <c r="I276" s="1" t="s">
        <v>81</v>
      </c>
      <c r="J276" t="s">
        <v>3046</v>
      </c>
      <c r="K276">
        <v>1</v>
      </c>
      <c r="L276">
        <v>4</v>
      </c>
      <c r="M276">
        <v>334224</v>
      </c>
      <c r="N276" t="s">
        <v>3069</v>
      </c>
      <c r="O276" t="s">
        <v>70</v>
      </c>
      <c r="P276">
        <v>0</v>
      </c>
      <c r="Q276" t="s">
        <v>3070</v>
      </c>
      <c r="R276" t="s">
        <v>68</v>
      </c>
      <c r="S276" t="s">
        <v>738</v>
      </c>
      <c r="V276" s="7"/>
    </row>
    <row r="277" spans="1:22" x14ac:dyDescent="0.3">
      <c r="A277" t="s">
        <v>799</v>
      </c>
      <c r="B277" t="s">
        <v>800</v>
      </c>
      <c r="C277" t="s">
        <v>2991</v>
      </c>
      <c r="D277" t="s">
        <v>745</v>
      </c>
      <c r="E277" s="1" t="s">
        <v>3033</v>
      </c>
      <c r="F277" t="s">
        <v>772</v>
      </c>
      <c r="G277" t="s">
        <v>2991</v>
      </c>
      <c r="H277" t="s">
        <v>745</v>
      </c>
      <c r="I277" s="1" t="s">
        <v>5029</v>
      </c>
      <c r="J277" t="s">
        <v>3034</v>
      </c>
      <c r="K277">
        <v>1</v>
      </c>
      <c r="L277">
        <v>10</v>
      </c>
      <c r="M277">
        <v>298573</v>
      </c>
      <c r="N277" t="s">
        <v>3071</v>
      </c>
      <c r="O277" s="7" t="s">
        <v>70</v>
      </c>
      <c r="P277">
        <v>0</v>
      </c>
      <c r="Q277" t="s">
        <v>3072</v>
      </c>
      <c r="R277" t="s">
        <v>68</v>
      </c>
      <c r="S277" t="s">
        <v>738</v>
      </c>
      <c r="V277" s="7"/>
    </row>
    <row r="278" spans="1:22" x14ac:dyDescent="0.3">
      <c r="A278" t="s">
        <v>801</v>
      </c>
      <c r="B278" t="s">
        <v>802</v>
      </c>
      <c r="C278" t="s">
        <v>2991</v>
      </c>
      <c r="D278" t="s">
        <v>745</v>
      </c>
      <c r="E278" s="1" t="s">
        <v>3073</v>
      </c>
      <c r="F278" t="s">
        <v>745</v>
      </c>
      <c r="G278" t="s">
        <v>2991</v>
      </c>
      <c r="H278" t="s">
        <v>745</v>
      </c>
      <c r="I278" s="1">
        <v>39392</v>
      </c>
      <c r="J278" t="s">
        <v>3074</v>
      </c>
      <c r="K278">
        <v>1</v>
      </c>
      <c r="L278">
        <v>11</v>
      </c>
      <c r="M278">
        <v>265173</v>
      </c>
      <c r="N278" t="s">
        <v>3075</v>
      </c>
      <c r="O278" s="7" t="s">
        <v>70</v>
      </c>
      <c r="P278">
        <v>0</v>
      </c>
      <c r="Q278" t="s">
        <v>3076</v>
      </c>
      <c r="R278" t="s">
        <v>68</v>
      </c>
      <c r="S278" t="s">
        <v>738</v>
      </c>
      <c r="V278" s="7"/>
    </row>
    <row r="279" spans="1:22" x14ac:dyDescent="0.3">
      <c r="A279" t="s">
        <v>803</v>
      </c>
      <c r="B279" t="s">
        <v>804</v>
      </c>
      <c r="C279" t="s">
        <v>2991</v>
      </c>
      <c r="D279" t="s">
        <v>745</v>
      </c>
      <c r="E279" s="1" t="s">
        <v>3029</v>
      </c>
      <c r="F279" t="s">
        <v>745</v>
      </c>
      <c r="G279" t="s">
        <v>2991</v>
      </c>
      <c r="H279" t="s">
        <v>745</v>
      </c>
      <c r="I279" s="1">
        <v>39392</v>
      </c>
      <c r="J279" t="s">
        <v>3030</v>
      </c>
      <c r="K279">
        <v>1</v>
      </c>
      <c r="L279">
        <v>5</v>
      </c>
      <c r="M279">
        <v>262266</v>
      </c>
      <c r="N279" t="s">
        <v>3077</v>
      </c>
      <c r="O279" s="7" t="s">
        <v>70</v>
      </c>
      <c r="P279">
        <v>45</v>
      </c>
      <c r="Q279" t="s">
        <v>3078</v>
      </c>
      <c r="R279" t="s">
        <v>68</v>
      </c>
      <c r="S279" t="s">
        <v>738</v>
      </c>
      <c r="V279" s="7"/>
    </row>
    <row r="280" spans="1:22" x14ac:dyDescent="0.3">
      <c r="A280" t="s">
        <v>805</v>
      </c>
      <c r="B280" t="s">
        <v>806</v>
      </c>
      <c r="C280" t="s">
        <v>2991</v>
      </c>
      <c r="D280" t="s">
        <v>745</v>
      </c>
      <c r="E280" s="1" t="s">
        <v>3029</v>
      </c>
      <c r="F280" t="s">
        <v>745</v>
      </c>
      <c r="G280" t="s">
        <v>2991</v>
      </c>
      <c r="H280" t="s">
        <v>745</v>
      </c>
      <c r="I280" s="1">
        <v>39392</v>
      </c>
      <c r="J280" t="s">
        <v>3030</v>
      </c>
      <c r="K280">
        <v>1</v>
      </c>
      <c r="L280">
        <v>8</v>
      </c>
      <c r="M280">
        <v>243426</v>
      </c>
      <c r="N280" t="s">
        <v>3079</v>
      </c>
      <c r="O280" s="7" t="s">
        <v>70</v>
      </c>
      <c r="P280">
        <v>42</v>
      </c>
      <c r="Q280" t="s">
        <v>3080</v>
      </c>
      <c r="R280" t="s">
        <v>68</v>
      </c>
      <c r="S280" t="s">
        <v>738</v>
      </c>
    </row>
    <row r="281" spans="1:22" x14ac:dyDescent="0.3">
      <c r="A281" t="s">
        <v>807</v>
      </c>
      <c r="B281" t="s">
        <v>808</v>
      </c>
      <c r="C281" t="s">
        <v>2991</v>
      </c>
      <c r="D281" t="s">
        <v>745</v>
      </c>
      <c r="E281" s="1" t="s">
        <v>3029</v>
      </c>
      <c r="F281" t="s">
        <v>745</v>
      </c>
      <c r="G281" t="s">
        <v>2991</v>
      </c>
      <c r="H281" t="s">
        <v>745</v>
      </c>
      <c r="I281" s="1">
        <v>39392</v>
      </c>
      <c r="J281" t="s">
        <v>3030</v>
      </c>
      <c r="K281">
        <v>1</v>
      </c>
      <c r="L281">
        <v>2</v>
      </c>
      <c r="M281">
        <v>295946</v>
      </c>
      <c r="N281" t="s">
        <v>3081</v>
      </c>
      <c r="O281" t="s">
        <v>70</v>
      </c>
      <c r="P281">
        <v>43</v>
      </c>
      <c r="Q281" t="s">
        <v>3082</v>
      </c>
      <c r="R281" t="s">
        <v>68</v>
      </c>
      <c r="S281" t="s">
        <v>738</v>
      </c>
      <c r="V281" s="7"/>
    </row>
    <row r="282" spans="1:22" x14ac:dyDescent="0.3">
      <c r="A282" t="s">
        <v>809</v>
      </c>
      <c r="B282" t="s">
        <v>810</v>
      </c>
      <c r="C282" t="s">
        <v>2991</v>
      </c>
      <c r="D282" t="s">
        <v>745</v>
      </c>
      <c r="E282" s="1" t="s">
        <v>3083</v>
      </c>
      <c r="F282" t="s">
        <v>811</v>
      </c>
      <c r="G282" t="s">
        <v>2991</v>
      </c>
      <c r="H282" t="s">
        <v>745</v>
      </c>
      <c r="I282" s="1">
        <v>44840</v>
      </c>
      <c r="J282" t="s">
        <v>3084</v>
      </c>
      <c r="K282">
        <v>1</v>
      </c>
      <c r="L282">
        <v>2</v>
      </c>
      <c r="M282">
        <v>246414</v>
      </c>
      <c r="N282" t="s">
        <v>3085</v>
      </c>
      <c r="O282" s="7" t="s">
        <v>70</v>
      </c>
      <c r="P282">
        <v>16</v>
      </c>
      <c r="Q282" t="s">
        <v>3086</v>
      </c>
      <c r="R282" t="s">
        <v>68</v>
      </c>
      <c r="S282" t="s">
        <v>738</v>
      </c>
      <c r="V282" s="7"/>
    </row>
    <row r="283" spans="1:22" x14ac:dyDescent="0.3">
      <c r="A283" t="s">
        <v>812</v>
      </c>
      <c r="B283" t="s">
        <v>813</v>
      </c>
      <c r="C283" t="s">
        <v>2991</v>
      </c>
      <c r="D283" t="s">
        <v>745</v>
      </c>
      <c r="E283" s="1" t="s">
        <v>3045</v>
      </c>
      <c r="F283" t="s">
        <v>780</v>
      </c>
      <c r="G283" t="s">
        <v>2991</v>
      </c>
      <c r="H283" t="s">
        <v>745</v>
      </c>
      <c r="I283" s="1" t="s">
        <v>81</v>
      </c>
      <c r="J283" t="s">
        <v>3046</v>
      </c>
      <c r="K283">
        <v>1</v>
      </c>
      <c r="L283">
        <v>3</v>
      </c>
      <c r="M283">
        <v>311490</v>
      </c>
      <c r="N283" t="s">
        <v>3087</v>
      </c>
      <c r="O283" s="7" t="s">
        <v>70</v>
      </c>
      <c r="P283">
        <v>0</v>
      </c>
      <c r="Q283" t="s">
        <v>3088</v>
      </c>
      <c r="R283" t="s">
        <v>68</v>
      </c>
      <c r="S283" t="s">
        <v>738</v>
      </c>
    </row>
    <row r="284" spans="1:22" x14ac:dyDescent="0.3">
      <c r="A284" t="s">
        <v>814</v>
      </c>
      <c r="B284" t="s">
        <v>786</v>
      </c>
      <c r="C284" t="s">
        <v>2991</v>
      </c>
      <c r="D284" t="s">
        <v>745</v>
      </c>
      <c r="E284" s="1" t="s">
        <v>3053</v>
      </c>
      <c r="F284" t="s">
        <v>786</v>
      </c>
      <c r="G284" t="s">
        <v>2991</v>
      </c>
      <c r="H284" t="s">
        <v>745</v>
      </c>
      <c r="I284" s="1" t="s">
        <v>5030</v>
      </c>
      <c r="J284" t="s">
        <v>3054</v>
      </c>
      <c r="K284">
        <v>1</v>
      </c>
      <c r="L284">
        <v>11</v>
      </c>
      <c r="M284">
        <v>292360</v>
      </c>
      <c r="N284" t="s">
        <v>3089</v>
      </c>
      <c r="O284" s="7" t="s">
        <v>70</v>
      </c>
      <c r="P284">
        <v>0</v>
      </c>
      <c r="Q284" t="s">
        <v>3090</v>
      </c>
      <c r="R284" t="s">
        <v>68</v>
      </c>
      <c r="S284" t="s">
        <v>738</v>
      </c>
      <c r="V284" s="7"/>
    </row>
    <row r="285" spans="1:22" x14ac:dyDescent="0.3">
      <c r="A285" t="s">
        <v>815</v>
      </c>
      <c r="B285" t="s">
        <v>816</v>
      </c>
      <c r="C285" t="s">
        <v>2991</v>
      </c>
      <c r="D285" t="s">
        <v>745</v>
      </c>
      <c r="E285" s="1" t="s">
        <v>3053</v>
      </c>
      <c r="F285" t="s">
        <v>786</v>
      </c>
      <c r="G285" t="s">
        <v>2991</v>
      </c>
      <c r="H285" t="s">
        <v>745</v>
      </c>
      <c r="I285" s="1" t="s">
        <v>5030</v>
      </c>
      <c r="J285" t="s">
        <v>3054</v>
      </c>
      <c r="K285">
        <v>1</v>
      </c>
      <c r="L285">
        <v>10</v>
      </c>
      <c r="M285">
        <v>271247</v>
      </c>
      <c r="N285" t="s">
        <v>3091</v>
      </c>
      <c r="O285" s="7" t="s">
        <v>70</v>
      </c>
      <c r="P285">
        <v>0</v>
      </c>
      <c r="Q285" t="s">
        <v>3092</v>
      </c>
      <c r="R285" t="s">
        <v>68</v>
      </c>
      <c r="S285" t="s">
        <v>738</v>
      </c>
      <c r="V285" s="7"/>
    </row>
    <row r="286" spans="1:22" x14ac:dyDescent="0.3">
      <c r="A286" t="s">
        <v>817</v>
      </c>
      <c r="B286" t="s">
        <v>818</v>
      </c>
      <c r="C286" t="s">
        <v>2991</v>
      </c>
      <c r="D286" t="s">
        <v>745</v>
      </c>
      <c r="E286" s="1" t="s">
        <v>3029</v>
      </c>
      <c r="F286" t="s">
        <v>745</v>
      </c>
      <c r="G286" t="s">
        <v>2991</v>
      </c>
      <c r="H286" t="s">
        <v>745</v>
      </c>
      <c r="I286" s="1">
        <v>39392</v>
      </c>
      <c r="J286" t="s">
        <v>3030</v>
      </c>
      <c r="K286">
        <v>1</v>
      </c>
      <c r="L286">
        <v>4</v>
      </c>
      <c r="M286">
        <v>216893</v>
      </c>
      <c r="N286" t="s">
        <v>3093</v>
      </c>
      <c r="O286" s="7" t="s">
        <v>70</v>
      </c>
      <c r="P286">
        <v>41</v>
      </c>
      <c r="Q286" t="s">
        <v>3094</v>
      </c>
      <c r="R286" t="s">
        <v>68</v>
      </c>
      <c r="S286" t="s">
        <v>738</v>
      </c>
    </row>
    <row r="287" spans="1:22" x14ac:dyDescent="0.3">
      <c r="A287" t="s">
        <v>819</v>
      </c>
      <c r="B287" t="s">
        <v>820</v>
      </c>
      <c r="C287" t="s">
        <v>2991</v>
      </c>
      <c r="D287" t="s">
        <v>745</v>
      </c>
      <c r="E287" s="1" t="s">
        <v>3061</v>
      </c>
      <c r="F287" t="s">
        <v>780</v>
      </c>
      <c r="G287" t="s">
        <v>2991</v>
      </c>
      <c r="H287" t="s">
        <v>745</v>
      </c>
      <c r="I287" s="1" t="s">
        <v>81</v>
      </c>
      <c r="J287" t="s">
        <v>3062</v>
      </c>
      <c r="K287">
        <v>1</v>
      </c>
      <c r="L287">
        <v>2</v>
      </c>
      <c r="M287">
        <v>255961</v>
      </c>
      <c r="N287" t="s">
        <v>3095</v>
      </c>
      <c r="O287" s="7" t="s">
        <v>70</v>
      </c>
      <c r="P287">
        <v>35</v>
      </c>
      <c r="Q287" t="s">
        <v>3096</v>
      </c>
      <c r="R287" t="s">
        <v>68</v>
      </c>
      <c r="S287" t="s">
        <v>738</v>
      </c>
      <c r="V287" s="7"/>
    </row>
    <row r="288" spans="1:22" x14ac:dyDescent="0.3">
      <c r="A288" t="s">
        <v>821</v>
      </c>
      <c r="B288" t="s">
        <v>822</v>
      </c>
      <c r="C288" t="s">
        <v>2991</v>
      </c>
      <c r="D288" t="s">
        <v>745</v>
      </c>
      <c r="E288" s="1" t="s">
        <v>3029</v>
      </c>
      <c r="F288" t="s">
        <v>745</v>
      </c>
      <c r="G288" t="s">
        <v>2991</v>
      </c>
      <c r="H288" t="s">
        <v>745</v>
      </c>
      <c r="I288" s="1">
        <v>39392</v>
      </c>
      <c r="J288" t="s">
        <v>3030</v>
      </c>
      <c r="K288">
        <v>1</v>
      </c>
      <c r="L288">
        <v>7</v>
      </c>
      <c r="M288">
        <v>176253</v>
      </c>
      <c r="N288" t="s">
        <v>3097</v>
      </c>
      <c r="O288" s="7" t="s">
        <v>70</v>
      </c>
      <c r="P288">
        <v>42</v>
      </c>
      <c r="Q288" t="s">
        <v>3098</v>
      </c>
      <c r="R288" t="s">
        <v>68</v>
      </c>
      <c r="S288" t="s">
        <v>738</v>
      </c>
      <c r="V288" s="7"/>
    </row>
    <row r="289" spans="1:22" x14ac:dyDescent="0.3">
      <c r="A289" t="s">
        <v>823</v>
      </c>
      <c r="B289" t="s">
        <v>824</v>
      </c>
      <c r="C289" t="s">
        <v>2991</v>
      </c>
      <c r="D289" t="s">
        <v>745</v>
      </c>
      <c r="E289" s="1" t="s">
        <v>3099</v>
      </c>
      <c r="F289" t="s">
        <v>786</v>
      </c>
      <c r="G289" t="s">
        <v>2991</v>
      </c>
      <c r="H289" t="s">
        <v>745</v>
      </c>
      <c r="I289" s="1" t="s">
        <v>5030</v>
      </c>
      <c r="J289" t="s">
        <v>3100</v>
      </c>
      <c r="K289">
        <v>1</v>
      </c>
      <c r="L289">
        <v>1</v>
      </c>
      <c r="M289">
        <v>219080</v>
      </c>
      <c r="N289" t="s">
        <v>3101</v>
      </c>
      <c r="O289" s="7" t="s">
        <v>70</v>
      </c>
      <c r="P289">
        <v>32</v>
      </c>
      <c r="Q289" t="s">
        <v>3102</v>
      </c>
      <c r="R289" t="s">
        <v>68</v>
      </c>
      <c r="S289" t="s">
        <v>738</v>
      </c>
      <c r="V289" s="7"/>
    </row>
    <row r="290" spans="1:22" x14ac:dyDescent="0.3">
      <c r="A290" t="s">
        <v>825</v>
      </c>
      <c r="B290" t="s">
        <v>826</v>
      </c>
      <c r="C290" t="s">
        <v>2991</v>
      </c>
      <c r="D290" t="s">
        <v>745</v>
      </c>
      <c r="E290" s="1" t="s">
        <v>3029</v>
      </c>
      <c r="F290" t="s">
        <v>745</v>
      </c>
      <c r="G290" t="s">
        <v>2991</v>
      </c>
      <c r="H290" t="s">
        <v>745</v>
      </c>
      <c r="I290" s="1">
        <v>39392</v>
      </c>
      <c r="J290" t="s">
        <v>3030</v>
      </c>
      <c r="K290">
        <v>1</v>
      </c>
      <c r="L290">
        <v>12</v>
      </c>
      <c r="M290">
        <v>220933</v>
      </c>
      <c r="N290" t="s">
        <v>3103</v>
      </c>
      <c r="O290" s="7" t="s">
        <v>70</v>
      </c>
      <c r="P290">
        <v>39</v>
      </c>
      <c r="Q290" t="s">
        <v>3104</v>
      </c>
      <c r="R290" t="s">
        <v>68</v>
      </c>
      <c r="S290" t="s">
        <v>738</v>
      </c>
      <c r="V290" s="7"/>
    </row>
    <row r="291" spans="1:22" x14ac:dyDescent="0.3">
      <c r="A291" t="s">
        <v>827</v>
      </c>
      <c r="B291" t="s">
        <v>828</v>
      </c>
      <c r="C291" t="s">
        <v>2991</v>
      </c>
      <c r="D291" t="s">
        <v>745</v>
      </c>
      <c r="E291" s="1" t="s">
        <v>3099</v>
      </c>
      <c r="F291" t="s">
        <v>786</v>
      </c>
      <c r="G291" t="s">
        <v>2991</v>
      </c>
      <c r="H291" t="s">
        <v>745</v>
      </c>
      <c r="I291" s="1" t="s">
        <v>5030</v>
      </c>
      <c r="J291" t="s">
        <v>3100</v>
      </c>
      <c r="K291">
        <v>1</v>
      </c>
      <c r="L291">
        <v>5</v>
      </c>
      <c r="M291">
        <v>219040</v>
      </c>
      <c r="N291" t="s">
        <v>3105</v>
      </c>
      <c r="O291" t="s">
        <v>70</v>
      </c>
      <c r="P291">
        <v>34</v>
      </c>
      <c r="Q291" t="s">
        <v>3106</v>
      </c>
      <c r="R291" t="s">
        <v>68</v>
      </c>
      <c r="S291" t="s">
        <v>738</v>
      </c>
      <c r="V291" s="7"/>
    </row>
    <row r="292" spans="1:22" x14ac:dyDescent="0.3">
      <c r="A292" t="s">
        <v>829</v>
      </c>
      <c r="B292" t="s">
        <v>830</v>
      </c>
      <c r="C292" t="s">
        <v>2991</v>
      </c>
      <c r="D292" t="s">
        <v>745</v>
      </c>
      <c r="E292" s="1" t="s">
        <v>3045</v>
      </c>
      <c r="F292" t="s">
        <v>780</v>
      </c>
      <c r="G292" t="s">
        <v>2991</v>
      </c>
      <c r="H292" t="s">
        <v>745</v>
      </c>
      <c r="I292" s="1" t="s">
        <v>81</v>
      </c>
      <c r="J292" t="s">
        <v>3046</v>
      </c>
      <c r="K292">
        <v>1</v>
      </c>
      <c r="L292">
        <v>9</v>
      </c>
      <c r="M292">
        <v>303823</v>
      </c>
      <c r="N292" t="s">
        <v>3107</v>
      </c>
      <c r="O292" s="7" t="s">
        <v>70</v>
      </c>
      <c r="P292">
        <v>0</v>
      </c>
      <c r="Q292" t="s">
        <v>3108</v>
      </c>
      <c r="R292" t="s">
        <v>68</v>
      </c>
      <c r="S292" t="s">
        <v>738</v>
      </c>
      <c r="V292" s="7"/>
    </row>
    <row r="293" spans="1:22" x14ac:dyDescent="0.3">
      <c r="A293" t="s">
        <v>831</v>
      </c>
      <c r="B293" t="s">
        <v>832</v>
      </c>
      <c r="C293" t="s">
        <v>2991</v>
      </c>
      <c r="D293" t="s">
        <v>745</v>
      </c>
      <c r="E293" s="1" t="s">
        <v>3099</v>
      </c>
      <c r="F293" t="s">
        <v>786</v>
      </c>
      <c r="G293" t="s">
        <v>2991</v>
      </c>
      <c r="H293" t="s">
        <v>745</v>
      </c>
      <c r="I293" s="1" t="s">
        <v>5030</v>
      </c>
      <c r="J293" t="s">
        <v>3100</v>
      </c>
      <c r="K293">
        <v>1</v>
      </c>
      <c r="L293">
        <v>3</v>
      </c>
      <c r="M293">
        <v>241240</v>
      </c>
      <c r="N293" t="s">
        <v>3109</v>
      </c>
      <c r="O293" s="7" t="s">
        <v>70</v>
      </c>
      <c r="P293">
        <v>35</v>
      </c>
      <c r="Q293" t="s">
        <v>3110</v>
      </c>
      <c r="R293" t="s">
        <v>68</v>
      </c>
      <c r="S293" t="s">
        <v>738</v>
      </c>
      <c r="V293" s="7"/>
    </row>
    <row r="294" spans="1:22" x14ac:dyDescent="0.3">
      <c r="A294" t="s">
        <v>833</v>
      </c>
      <c r="B294" t="s">
        <v>11</v>
      </c>
      <c r="C294" t="s">
        <v>2991</v>
      </c>
      <c r="D294" t="s">
        <v>745</v>
      </c>
      <c r="E294" s="1" t="s">
        <v>3061</v>
      </c>
      <c r="F294" t="s">
        <v>780</v>
      </c>
      <c r="G294" t="s">
        <v>2991</v>
      </c>
      <c r="H294" t="s">
        <v>745</v>
      </c>
      <c r="I294" s="1" t="s">
        <v>81</v>
      </c>
      <c r="J294" t="s">
        <v>3062</v>
      </c>
      <c r="K294">
        <v>1</v>
      </c>
      <c r="L294">
        <v>8</v>
      </c>
      <c r="M294">
        <v>270859</v>
      </c>
      <c r="N294" t="s">
        <v>3111</v>
      </c>
      <c r="O294" s="7" t="s">
        <v>70</v>
      </c>
      <c r="P294">
        <v>32</v>
      </c>
      <c r="Q294" t="s">
        <v>3112</v>
      </c>
      <c r="R294" t="s">
        <v>68</v>
      </c>
      <c r="S294" t="s">
        <v>738</v>
      </c>
      <c r="V294" s="7"/>
    </row>
    <row r="295" spans="1:22" x14ac:dyDescent="0.3">
      <c r="A295" t="s">
        <v>834</v>
      </c>
      <c r="B295" t="s">
        <v>835</v>
      </c>
      <c r="C295" t="s">
        <v>3113</v>
      </c>
      <c r="D295" t="s">
        <v>3114</v>
      </c>
      <c r="E295" s="1" t="s">
        <v>3115</v>
      </c>
      <c r="F295" t="s">
        <v>836</v>
      </c>
      <c r="G295" t="s">
        <v>3113</v>
      </c>
      <c r="H295" t="s">
        <v>3114</v>
      </c>
      <c r="I295" s="1" t="s">
        <v>78</v>
      </c>
      <c r="J295" t="s">
        <v>3116</v>
      </c>
      <c r="K295">
        <v>1</v>
      </c>
      <c r="L295">
        <v>2</v>
      </c>
      <c r="M295">
        <v>206117</v>
      </c>
      <c r="N295" t="s">
        <v>3117</v>
      </c>
      <c r="O295" s="7" t="s">
        <v>70</v>
      </c>
      <c r="P295">
        <v>38</v>
      </c>
      <c r="Q295" t="s">
        <v>3118</v>
      </c>
      <c r="R295" t="s">
        <v>68</v>
      </c>
      <c r="S295" t="s">
        <v>738</v>
      </c>
      <c r="V295" s="7"/>
    </row>
    <row r="296" spans="1:22" x14ac:dyDescent="0.3">
      <c r="A296" t="s">
        <v>837</v>
      </c>
      <c r="B296" t="s">
        <v>838</v>
      </c>
      <c r="C296" t="s">
        <v>2991</v>
      </c>
      <c r="D296" t="s">
        <v>745</v>
      </c>
      <c r="E296" s="1" t="s">
        <v>3099</v>
      </c>
      <c r="F296" t="s">
        <v>786</v>
      </c>
      <c r="G296" t="s">
        <v>2991</v>
      </c>
      <c r="H296" t="s">
        <v>745</v>
      </c>
      <c r="I296" s="1" t="s">
        <v>5030</v>
      </c>
      <c r="J296" t="s">
        <v>3100</v>
      </c>
      <c r="K296">
        <v>1</v>
      </c>
      <c r="L296">
        <v>12</v>
      </c>
      <c r="M296">
        <v>1059733</v>
      </c>
      <c r="N296" t="s">
        <v>3119</v>
      </c>
      <c r="O296" s="7" t="s">
        <v>70</v>
      </c>
      <c r="P296">
        <v>34</v>
      </c>
      <c r="Q296" t="s">
        <v>3120</v>
      </c>
      <c r="R296" t="s">
        <v>68</v>
      </c>
      <c r="S296" t="s">
        <v>738</v>
      </c>
      <c r="V296" s="7"/>
    </row>
    <row r="297" spans="1:22" x14ac:dyDescent="0.3">
      <c r="A297" t="s">
        <v>839</v>
      </c>
      <c r="B297" t="s">
        <v>840</v>
      </c>
      <c r="C297" t="s">
        <v>3121</v>
      </c>
      <c r="D297" t="s">
        <v>842</v>
      </c>
      <c r="E297" t="s">
        <v>3122</v>
      </c>
      <c r="F297" t="s">
        <v>841</v>
      </c>
      <c r="G297" t="s">
        <v>3121</v>
      </c>
      <c r="H297" t="s">
        <v>842</v>
      </c>
      <c r="I297" s="1">
        <v>1893</v>
      </c>
      <c r="J297" t="s">
        <v>3123</v>
      </c>
      <c r="K297">
        <v>1</v>
      </c>
      <c r="L297">
        <v>1</v>
      </c>
      <c r="M297">
        <v>322760</v>
      </c>
      <c r="N297" t="s">
        <v>3124</v>
      </c>
      <c r="O297" s="7" t="s">
        <v>70</v>
      </c>
      <c r="P297">
        <v>43</v>
      </c>
      <c r="Q297" t="s">
        <v>3125</v>
      </c>
      <c r="R297" t="s">
        <v>68</v>
      </c>
      <c r="S297" t="s">
        <v>843</v>
      </c>
      <c r="V297" s="7"/>
    </row>
    <row r="298" spans="1:22" x14ac:dyDescent="0.3">
      <c r="A298" t="s">
        <v>846</v>
      </c>
      <c r="B298" t="s">
        <v>847</v>
      </c>
      <c r="C298" t="s">
        <v>3121</v>
      </c>
      <c r="D298" t="s">
        <v>842</v>
      </c>
      <c r="E298" t="s">
        <v>3122</v>
      </c>
      <c r="F298" t="s">
        <v>841</v>
      </c>
      <c r="G298" t="s">
        <v>3121</v>
      </c>
      <c r="H298" t="s">
        <v>842</v>
      </c>
      <c r="I298" s="1">
        <v>1893</v>
      </c>
      <c r="J298" t="s">
        <v>3123</v>
      </c>
      <c r="K298">
        <v>1</v>
      </c>
      <c r="L298">
        <v>2</v>
      </c>
      <c r="M298">
        <v>241440</v>
      </c>
      <c r="N298" t="s">
        <v>3126</v>
      </c>
      <c r="O298" s="7" t="s">
        <v>70</v>
      </c>
      <c r="P298">
        <v>68</v>
      </c>
      <c r="Q298" t="s">
        <v>3127</v>
      </c>
      <c r="R298" t="s">
        <v>68</v>
      </c>
      <c r="S298" t="s">
        <v>843</v>
      </c>
      <c r="V298" s="7"/>
    </row>
    <row r="299" spans="1:22" x14ac:dyDescent="0.3">
      <c r="A299" t="s">
        <v>848</v>
      </c>
      <c r="B299" t="s">
        <v>22</v>
      </c>
      <c r="C299" t="s">
        <v>3121</v>
      </c>
      <c r="D299" t="s">
        <v>842</v>
      </c>
      <c r="E299" t="s">
        <v>3122</v>
      </c>
      <c r="F299" t="s">
        <v>841</v>
      </c>
      <c r="G299" t="s">
        <v>3121</v>
      </c>
      <c r="H299" t="s">
        <v>842</v>
      </c>
      <c r="I299" s="1">
        <v>1893</v>
      </c>
      <c r="J299" t="s">
        <v>3123</v>
      </c>
      <c r="K299">
        <v>1</v>
      </c>
      <c r="L299">
        <v>3</v>
      </c>
      <c r="M299">
        <v>235374</v>
      </c>
      <c r="N299" t="s">
        <v>3128</v>
      </c>
      <c r="O299" s="7" t="s">
        <v>70</v>
      </c>
      <c r="P299">
        <v>42</v>
      </c>
      <c r="Q299" t="s">
        <v>3129</v>
      </c>
      <c r="R299" t="s">
        <v>68</v>
      </c>
      <c r="S299" t="s">
        <v>843</v>
      </c>
      <c r="V299" s="7"/>
    </row>
    <row r="300" spans="1:22" x14ac:dyDescent="0.3">
      <c r="A300" t="s">
        <v>849</v>
      </c>
      <c r="B300" t="s">
        <v>850</v>
      </c>
      <c r="C300" t="s">
        <v>3121</v>
      </c>
      <c r="D300" t="s">
        <v>842</v>
      </c>
      <c r="E300" t="s">
        <v>3122</v>
      </c>
      <c r="F300" t="s">
        <v>841</v>
      </c>
      <c r="G300" t="s">
        <v>3121</v>
      </c>
      <c r="H300" t="s">
        <v>842</v>
      </c>
      <c r="I300" s="1">
        <v>1893</v>
      </c>
      <c r="J300" t="s">
        <v>3123</v>
      </c>
      <c r="K300">
        <v>1</v>
      </c>
      <c r="L300">
        <v>4</v>
      </c>
      <c r="M300">
        <v>106213</v>
      </c>
      <c r="N300" t="s">
        <v>3130</v>
      </c>
      <c r="O300" s="7" t="s">
        <v>70</v>
      </c>
      <c r="P300">
        <v>37</v>
      </c>
      <c r="Q300" t="s">
        <v>3131</v>
      </c>
      <c r="R300" t="s">
        <v>68</v>
      </c>
      <c r="S300" t="s">
        <v>843</v>
      </c>
      <c r="V300" s="7"/>
    </row>
    <row r="301" spans="1:22" x14ac:dyDescent="0.3">
      <c r="A301" t="s">
        <v>851</v>
      </c>
      <c r="B301" t="s">
        <v>852</v>
      </c>
      <c r="C301" t="s">
        <v>3121</v>
      </c>
      <c r="D301" t="s">
        <v>842</v>
      </c>
      <c r="E301" t="s">
        <v>3122</v>
      </c>
      <c r="F301" t="s">
        <v>841</v>
      </c>
      <c r="G301" t="s">
        <v>3121</v>
      </c>
      <c r="H301" t="s">
        <v>842</v>
      </c>
      <c r="I301" s="1">
        <v>1893</v>
      </c>
      <c r="J301" t="s">
        <v>3123</v>
      </c>
      <c r="K301">
        <v>1</v>
      </c>
      <c r="L301">
        <v>5</v>
      </c>
      <c r="M301">
        <v>343253</v>
      </c>
      <c r="N301" t="s">
        <v>3132</v>
      </c>
      <c r="O301" s="7" t="s">
        <v>70</v>
      </c>
      <c r="P301">
        <v>59</v>
      </c>
      <c r="Q301" t="s">
        <v>3133</v>
      </c>
      <c r="R301" t="s">
        <v>68</v>
      </c>
      <c r="S301" t="s">
        <v>843</v>
      </c>
      <c r="V301" s="7"/>
    </row>
    <row r="302" spans="1:22" x14ac:dyDescent="0.3">
      <c r="A302" t="s">
        <v>853</v>
      </c>
      <c r="B302" t="s">
        <v>854</v>
      </c>
      <c r="C302" t="s">
        <v>3121</v>
      </c>
      <c r="D302" t="s">
        <v>842</v>
      </c>
      <c r="E302" t="s">
        <v>3122</v>
      </c>
      <c r="F302" t="s">
        <v>841</v>
      </c>
      <c r="G302" t="s">
        <v>3121</v>
      </c>
      <c r="H302" t="s">
        <v>842</v>
      </c>
      <c r="I302" s="1">
        <v>1893</v>
      </c>
      <c r="J302" t="s">
        <v>3123</v>
      </c>
      <c r="K302">
        <v>1</v>
      </c>
      <c r="L302">
        <v>6</v>
      </c>
      <c r="M302">
        <v>244093</v>
      </c>
      <c r="N302" t="s">
        <v>3134</v>
      </c>
      <c r="O302" s="7" t="s">
        <v>70</v>
      </c>
      <c r="P302">
        <v>35</v>
      </c>
      <c r="Q302" t="s">
        <v>3135</v>
      </c>
      <c r="R302" t="s">
        <v>68</v>
      </c>
      <c r="S302" t="s">
        <v>843</v>
      </c>
      <c r="V302" s="7"/>
    </row>
    <row r="303" spans="1:22" x14ac:dyDescent="0.3">
      <c r="A303" t="s">
        <v>855</v>
      </c>
      <c r="B303" t="s">
        <v>856</v>
      </c>
      <c r="C303" t="s">
        <v>3121</v>
      </c>
      <c r="D303" t="s">
        <v>842</v>
      </c>
      <c r="E303" t="s">
        <v>3122</v>
      </c>
      <c r="F303" t="s">
        <v>841</v>
      </c>
      <c r="G303" t="s">
        <v>3121</v>
      </c>
      <c r="H303" t="s">
        <v>842</v>
      </c>
      <c r="I303" s="1">
        <v>1893</v>
      </c>
      <c r="J303" t="s">
        <v>3123</v>
      </c>
      <c r="K303">
        <v>1</v>
      </c>
      <c r="L303">
        <v>7</v>
      </c>
      <c r="M303">
        <v>75586</v>
      </c>
      <c r="N303" t="s">
        <v>3136</v>
      </c>
      <c r="O303" s="7" t="s">
        <v>70</v>
      </c>
      <c r="P303">
        <v>31</v>
      </c>
      <c r="Q303" t="s">
        <v>3137</v>
      </c>
      <c r="R303" t="s">
        <v>68</v>
      </c>
      <c r="S303" t="s">
        <v>843</v>
      </c>
      <c r="V303" s="7"/>
    </row>
    <row r="304" spans="1:22" x14ac:dyDescent="0.3">
      <c r="A304" t="s">
        <v>857</v>
      </c>
      <c r="B304" t="s">
        <v>858</v>
      </c>
      <c r="C304" t="s">
        <v>3121</v>
      </c>
      <c r="D304" t="s">
        <v>842</v>
      </c>
      <c r="E304" t="s">
        <v>3122</v>
      </c>
      <c r="F304" t="s">
        <v>841</v>
      </c>
      <c r="G304" t="s">
        <v>3121</v>
      </c>
      <c r="H304" t="s">
        <v>842</v>
      </c>
      <c r="I304" s="1">
        <v>1893</v>
      </c>
      <c r="J304" t="s">
        <v>3123</v>
      </c>
      <c r="K304">
        <v>1</v>
      </c>
      <c r="L304">
        <v>8</v>
      </c>
      <c r="M304">
        <v>271720</v>
      </c>
      <c r="N304" t="s">
        <v>3138</v>
      </c>
      <c r="O304" s="7" t="s">
        <v>70</v>
      </c>
      <c r="P304">
        <v>33</v>
      </c>
      <c r="Q304" t="s">
        <v>3139</v>
      </c>
      <c r="R304" t="s">
        <v>68</v>
      </c>
      <c r="S304" t="s">
        <v>843</v>
      </c>
      <c r="V304" s="7"/>
    </row>
    <row r="305" spans="1:22" x14ac:dyDescent="0.3">
      <c r="A305" t="s">
        <v>859</v>
      </c>
      <c r="B305" t="s">
        <v>860</v>
      </c>
      <c r="C305" t="s">
        <v>3121</v>
      </c>
      <c r="D305" t="s">
        <v>842</v>
      </c>
      <c r="E305" t="s">
        <v>3122</v>
      </c>
      <c r="F305" t="s">
        <v>841</v>
      </c>
      <c r="G305" t="s">
        <v>3121</v>
      </c>
      <c r="H305" t="s">
        <v>842</v>
      </c>
      <c r="I305" s="1">
        <v>1893</v>
      </c>
      <c r="J305" t="s">
        <v>3123</v>
      </c>
      <c r="K305">
        <v>1</v>
      </c>
      <c r="L305">
        <v>9</v>
      </c>
      <c r="M305">
        <v>141413</v>
      </c>
      <c r="N305" t="s">
        <v>3140</v>
      </c>
      <c r="O305" t="s">
        <v>70</v>
      </c>
      <c r="P305">
        <v>33</v>
      </c>
      <c r="Q305" t="s">
        <v>3141</v>
      </c>
      <c r="R305" t="s">
        <v>68</v>
      </c>
      <c r="S305" t="s">
        <v>843</v>
      </c>
      <c r="V305" s="7"/>
    </row>
    <row r="306" spans="1:22" x14ac:dyDescent="0.3">
      <c r="A306" t="s">
        <v>861</v>
      </c>
      <c r="B306" t="s">
        <v>862</v>
      </c>
      <c r="C306" t="s">
        <v>3121</v>
      </c>
      <c r="D306" t="s">
        <v>842</v>
      </c>
      <c r="E306" t="s">
        <v>3122</v>
      </c>
      <c r="F306" t="s">
        <v>841</v>
      </c>
      <c r="G306" t="s">
        <v>3121</v>
      </c>
      <c r="H306" t="s">
        <v>842</v>
      </c>
      <c r="I306" s="1">
        <v>1893</v>
      </c>
      <c r="J306" t="s">
        <v>3123</v>
      </c>
      <c r="K306">
        <v>1</v>
      </c>
      <c r="L306">
        <v>10</v>
      </c>
      <c r="M306">
        <v>83600</v>
      </c>
      <c r="N306" t="s">
        <v>3142</v>
      </c>
      <c r="O306" s="7" t="s">
        <v>70</v>
      </c>
      <c r="P306">
        <v>30</v>
      </c>
      <c r="Q306" t="s">
        <v>3143</v>
      </c>
      <c r="R306" t="s">
        <v>68</v>
      </c>
      <c r="S306" t="s">
        <v>843</v>
      </c>
      <c r="V306" s="7"/>
    </row>
    <row r="307" spans="1:22" x14ac:dyDescent="0.3">
      <c r="A307" t="s">
        <v>863</v>
      </c>
      <c r="B307" t="s">
        <v>864</v>
      </c>
      <c r="C307" t="s">
        <v>3121</v>
      </c>
      <c r="D307" t="s">
        <v>842</v>
      </c>
      <c r="E307" t="s">
        <v>3122</v>
      </c>
      <c r="F307" t="s">
        <v>841</v>
      </c>
      <c r="G307" t="s">
        <v>3121</v>
      </c>
      <c r="H307" t="s">
        <v>842</v>
      </c>
      <c r="I307" s="1">
        <v>1893</v>
      </c>
      <c r="J307" t="s">
        <v>3123</v>
      </c>
      <c r="K307">
        <v>1</v>
      </c>
      <c r="L307">
        <v>11</v>
      </c>
      <c r="M307">
        <v>189293</v>
      </c>
      <c r="N307" t="s">
        <v>3144</v>
      </c>
      <c r="O307" s="7" t="s">
        <v>70</v>
      </c>
      <c r="P307">
        <v>32</v>
      </c>
      <c r="Q307" t="s">
        <v>3145</v>
      </c>
      <c r="R307" t="s">
        <v>68</v>
      </c>
      <c r="S307" t="s">
        <v>843</v>
      </c>
      <c r="V307" s="7"/>
    </row>
    <row r="308" spans="1:22" x14ac:dyDescent="0.3">
      <c r="A308" t="s">
        <v>865</v>
      </c>
      <c r="B308" t="s">
        <v>866</v>
      </c>
      <c r="C308" t="s">
        <v>3121</v>
      </c>
      <c r="D308" t="s">
        <v>842</v>
      </c>
      <c r="E308" t="s">
        <v>3122</v>
      </c>
      <c r="F308" t="s">
        <v>841</v>
      </c>
      <c r="G308" t="s">
        <v>3121</v>
      </c>
      <c r="H308" t="s">
        <v>842</v>
      </c>
      <c r="I308" s="1">
        <v>1893</v>
      </c>
      <c r="J308" t="s">
        <v>3123</v>
      </c>
      <c r="K308">
        <v>2</v>
      </c>
      <c r="L308">
        <v>1</v>
      </c>
      <c r="M308">
        <v>151826</v>
      </c>
      <c r="N308" t="s">
        <v>3146</v>
      </c>
      <c r="O308" s="7" t="s">
        <v>70</v>
      </c>
      <c r="P308">
        <v>58</v>
      </c>
      <c r="Q308" t="s">
        <v>3147</v>
      </c>
      <c r="R308" t="s">
        <v>68</v>
      </c>
      <c r="S308" t="s">
        <v>843</v>
      </c>
      <c r="V308" s="7"/>
    </row>
    <row r="309" spans="1:22" x14ac:dyDescent="0.3">
      <c r="A309" t="s">
        <v>867</v>
      </c>
      <c r="B309" t="s">
        <v>868</v>
      </c>
      <c r="C309" t="s">
        <v>3121</v>
      </c>
      <c r="D309" t="s">
        <v>842</v>
      </c>
      <c r="E309" t="s">
        <v>3122</v>
      </c>
      <c r="F309" t="s">
        <v>841</v>
      </c>
      <c r="G309" t="s">
        <v>3121</v>
      </c>
      <c r="H309" t="s">
        <v>842</v>
      </c>
      <c r="I309" s="1">
        <v>1893</v>
      </c>
      <c r="J309" t="s">
        <v>3123</v>
      </c>
      <c r="K309">
        <v>2</v>
      </c>
      <c r="L309">
        <v>2</v>
      </c>
      <c r="M309">
        <v>262746</v>
      </c>
      <c r="N309" t="s">
        <v>3148</v>
      </c>
      <c r="O309" s="7" t="s">
        <v>70</v>
      </c>
      <c r="P309">
        <v>32</v>
      </c>
      <c r="Q309" t="s">
        <v>3149</v>
      </c>
      <c r="R309" t="s">
        <v>68</v>
      </c>
      <c r="S309" t="s">
        <v>843</v>
      </c>
    </row>
    <row r="310" spans="1:22" x14ac:dyDescent="0.3">
      <c r="A310" t="s">
        <v>869</v>
      </c>
      <c r="B310" t="s">
        <v>870</v>
      </c>
      <c r="C310" t="s">
        <v>3121</v>
      </c>
      <c r="D310" t="s">
        <v>842</v>
      </c>
      <c r="E310" t="s">
        <v>3122</v>
      </c>
      <c r="F310" t="s">
        <v>841</v>
      </c>
      <c r="G310" t="s">
        <v>3121</v>
      </c>
      <c r="H310" t="s">
        <v>842</v>
      </c>
      <c r="I310" s="1">
        <v>1893</v>
      </c>
      <c r="J310" t="s">
        <v>3123</v>
      </c>
      <c r="K310">
        <v>2</v>
      </c>
      <c r="L310">
        <v>3</v>
      </c>
      <c r="M310">
        <v>238120</v>
      </c>
      <c r="N310" t="s">
        <v>3150</v>
      </c>
      <c r="O310" s="7" t="s">
        <v>70</v>
      </c>
      <c r="P310">
        <v>32</v>
      </c>
      <c r="Q310" t="s">
        <v>3151</v>
      </c>
      <c r="R310" t="s">
        <v>68</v>
      </c>
      <c r="S310" t="s">
        <v>843</v>
      </c>
      <c r="V310" s="7"/>
    </row>
    <row r="311" spans="1:22" x14ac:dyDescent="0.3">
      <c r="A311" t="s">
        <v>871</v>
      </c>
      <c r="B311" t="s">
        <v>872</v>
      </c>
      <c r="C311" t="s">
        <v>3121</v>
      </c>
      <c r="D311" t="s">
        <v>842</v>
      </c>
      <c r="E311" t="s">
        <v>3122</v>
      </c>
      <c r="F311" t="s">
        <v>841</v>
      </c>
      <c r="G311" t="s">
        <v>3121</v>
      </c>
      <c r="H311" t="s">
        <v>842</v>
      </c>
      <c r="I311" s="1">
        <v>1893</v>
      </c>
      <c r="J311" t="s">
        <v>3123</v>
      </c>
      <c r="K311">
        <v>2</v>
      </c>
      <c r="L311">
        <v>4</v>
      </c>
      <c r="M311">
        <v>113773</v>
      </c>
      <c r="N311" t="s">
        <v>3152</v>
      </c>
      <c r="O311" s="7" t="s">
        <v>70</v>
      </c>
      <c r="P311">
        <v>33</v>
      </c>
      <c r="Q311" t="s">
        <v>3153</v>
      </c>
      <c r="R311" t="s">
        <v>68</v>
      </c>
      <c r="S311" t="s">
        <v>843</v>
      </c>
      <c r="V311" s="7"/>
    </row>
    <row r="312" spans="1:22" x14ac:dyDescent="0.3">
      <c r="A312" t="s">
        <v>873</v>
      </c>
      <c r="B312" t="s">
        <v>874</v>
      </c>
      <c r="C312" t="s">
        <v>3121</v>
      </c>
      <c r="D312" t="s">
        <v>842</v>
      </c>
      <c r="E312" t="s">
        <v>3122</v>
      </c>
      <c r="F312" t="s">
        <v>841</v>
      </c>
      <c r="G312" t="s">
        <v>3121</v>
      </c>
      <c r="H312" t="s">
        <v>842</v>
      </c>
      <c r="I312" s="1">
        <v>1893</v>
      </c>
      <c r="J312" t="s">
        <v>3123</v>
      </c>
      <c r="K312">
        <v>2</v>
      </c>
      <c r="L312">
        <v>5</v>
      </c>
      <c r="M312">
        <v>307586</v>
      </c>
      <c r="N312" t="s">
        <v>3154</v>
      </c>
      <c r="O312" s="7" t="s">
        <v>70</v>
      </c>
      <c r="P312">
        <v>31</v>
      </c>
      <c r="Q312" t="s">
        <v>3155</v>
      </c>
      <c r="R312" t="s">
        <v>68</v>
      </c>
      <c r="S312" t="s">
        <v>843</v>
      </c>
      <c r="V312" s="7"/>
    </row>
    <row r="313" spans="1:22" x14ac:dyDescent="0.3">
      <c r="A313" t="s">
        <v>875</v>
      </c>
      <c r="B313" t="s">
        <v>876</v>
      </c>
      <c r="C313" t="s">
        <v>3121</v>
      </c>
      <c r="D313" t="s">
        <v>842</v>
      </c>
      <c r="E313" t="s">
        <v>3122</v>
      </c>
      <c r="F313" t="s">
        <v>841</v>
      </c>
      <c r="G313" t="s">
        <v>3121</v>
      </c>
      <c r="H313" t="s">
        <v>842</v>
      </c>
      <c r="I313" s="1">
        <v>1893</v>
      </c>
      <c r="J313" t="s">
        <v>3123</v>
      </c>
      <c r="K313">
        <v>2</v>
      </c>
      <c r="L313">
        <v>6</v>
      </c>
      <c r="M313">
        <v>197693</v>
      </c>
      <c r="N313" t="s">
        <v>3156</v>
      </c>
      <c r="O313" s="7" t="s">
        <v>70</v>
      </c>
      <c r="P313">
        <v>27</v>
      </c>
      <c r="Q313" t="s">
        <v>3157</v>
      </c>
      <c r="R313" t="s">
        <v>68</v>
      </c>
      <c r="S313" t="s">
        <v>843</v>
      </c>
      <c r="V313" s="7"/>
    </row>
    <row r="314" spans="1:22" x14ac:dyDescent="0.3">
      <c r="A314" t="s">
        <v>877</v>
      </c>
      <c r="B314" t="s">
        <v>878</v>
      </c>
      <c r="C314" t="s">
        <v>3121</v>
      </c>
      <c r="D314" t="s">
        <v>842</v>
      </c>
      <c r="E314" t="s">
        <v>3122</v>
      </c>
      <c r="F314" t="s">
        <v>841</v>
      </c>
      <c r="G314" t="s">
        <v>3121</v>
      </c>
      <c r="H314" t="s">
        <v>842</v>
      </c>
      <c r="I314" s="1">
        <v>1893</v>
      </c>
      <c r="J314" t="s">
        <v>3123</v>
      </c>
      <c r="K314">
        <v>2</v>
      </c>
      <c r="L314">
        <v>7</v>
      </c>
      <c r="M314">
        <v>81640</v>
      </c>
      <c r="N314" t="s">
        <v>3158</v>
      </c>
      <c r="O314" s="7" t="s">
        <v>70</v>
      </c>
      <c r="P314">
        <v>27</v>
      </c>
      <c r="Q314" t="s">
        <v>3159</v>
      </c>
      <c r="R314" t="s">
        <v>68</v>
      </c>
      <c r="S314" t="s">
        <v>843</v>
      </c>
      <c r="V314" s="7"/>
    </row>
    <row r="315" spans="1:22" x14ac:dyDescent="0.3">
      <c r="A315" t="s">
        <v>879</v>
      </c>
      <c r="B315" t="s">
        <v>880</v>
      </c>
      <c r="C315" t="s">
        <v>3121</v>
      </c>
      <c r="D315" t="s">
        <v>842</v>
      </c>
      <c r="E315" t="s">
        <v>3122</v>
      </c>
      <c r="F315" t="s">
        <v>841</v>
      </c>
      <c r="G315" t="s">
        <v>3121</v>
      </c>
      <c r="H315" t="s">
        <v>842</v>
      </c>
      <c r="I315" s="1">
        <v>1893</v>
      </c>
      <c r="J315" t="s">
        <v>3123</v>
      </c>
      <c r="K315">
        <v>2</v>
      </c>
      <c r="L315">
        <v>8</v>
      </c>
      <c r="M315">
        <v>228760</v>
      </c>
      <c r="N315" t="s">
        <v>3160</v>
      </c>
      <c r="O315" s="7" t="s">
        <v>70</v>
      </c>
      <c r="P315">
        <v>36</v>
      </c>
      <c r="Q315" t="s">
        <v>3161</v>
      </c>
      <c r="R315" t="s">
        <v>68</v>
      </c>
      <c r="S315" t="s">
        <v>843</v>
      </c>
    </row>
    <row r="316" spans="1:22" x14ac:dyDescent="0.3">
      <c r="A316" t="s">
        <v>881</v>
      </c>
      <c r="B316" t="s">
        <v>882</v>
      </c>
      <c r="C316" t="s">
        <v>3121</v>
      </c>
      <c r="D316" t="s">
        <v>842</v>
      </c>
      <c r="E316" t="s">
        <v>3122</v>
      </c>
      <c r="F316" t="s">
        <v>841</v>
      </c>
      <c r="G316" t="s">
        <v>3121</v>
      </c>
      <c r="H316" t="s">
        <v>842</v>
      </c>
      <c r="I316" s="1">
        <v>1893</v>
      </c>
      <c r="J316" t="s">
        <v>3123</v>
      </c>
      <c r="K316">
        <v>2</v>
      </c>
      <c r="L316">
        <v>9</v>
      </c>
      <c r="M316">
        <v>219666</v>
      </c>
      <c r="N316" t="s">
        <v>3162</v>
      </c>
      <c r="O316" s="7" t="s">
        <v>70</v>
      </c>
      <c r="P316">
        <v>31</v>
      </c>
      <c r="Q316" t="s">
        <v>3163</v>
      </c>
      <c r="R316" t="s">
        <v>68</v>
      </c>
      <c r="S316" t="s">
        <v>843</v>
      </c>
      <c r="V316" s="7"/>
    </row>
    <row r="317" spans="1:22" x14ac:dyDescent="0.3">
      <c r="A317" t="s">
        <v>883</v>
      </c>
      <c r="B317" t="s">
        <v>884</v>
      </c>
      <c r="C317" t="s">
        <v>3121</v>
      </c>
      <c r="D317" t="s">
        <v>842</v>
      </c>
      <c r="E317" t="s">
        <v>3122</v>
      </c>
      <c r="F317" t="s">
        <v>841</v>
      </c>
      <c r="G317" t="s">
        <v>3121</v>
      </c>
      <c r="H317" t="s">
        <v>842</v>
      </c>
      <c r="I317" s="1">
        <v>1893</v>
      </c>
      <c r="J317" t="s">
        <v>3123</v>
      </c>
      <c r="K317">
        <v>2</v>
      </c>
      <c r="L317">
        <v>10</v>
      </c>
      <c r="M317">
        <v>104533</v>
      </c>
      <c r="N317" t="s">
        <v>3164</v>
      </c>
      <c r="O317" s="7" t="s">
        <v>70</v>
      </c>
      <c r="P317">
        <v>29</v>
      </c>
      <c r="Q317" t="s">
        <v>3165</v>
      </c>
      <c r="R317" t="s">
        <v>68</v>
      </c>
      <c r="S317" t="s">
        <v>843</v>
      </c>
      <c r="V317" s="7"/>
    </row>
    <row r="318" spans="1:22" x14ac:dyDescent="0.3">
      <c r="A318" t="s">
        <v>885</v>
      </c>
      <c r="B318" t="s">
        <v>886</v>
      </c>
      <c r="C318" t="s">
        <v>3121</v>
      </c>
      <c r="D318" t="s">
        <v>842</v>
      </c>
      <c r="E318" t="s">
        <v>3122</v>
      </c>
      <c r="F318" t="s">
        <v>841</v>
      </c>
      <c r="G318" t="s">
        <v>3121</v>
      </c>
      <c r="H318" t="s">
        <v>842</v>
      </c>
      <c r="I318" s="1">
        <v>1893</v>
      </c>
      <c r="J318" t="s">
        <v>3123</v>
      </c>
      <c r="K318">
        <v>2</v>
      </c>
      <c r="L318">
        <v>11</v>
      </c>
      <c r="M318">
        <v>247026</v>
      </c>
      <c r="N318" t="s">
        <v>3166</v>
      </c>
      <c r="O318" s="7" t="s">
        <v>70</v>
      </c>
      <c r="P318">
        <v>61</v>
      </c>
      <c r="Q318" t="s">
        <v>3167</v>
      </c>
      <c r="R318" t="s">
        <v>68</v>
      </c>
      <c r="S318" t="s">
        <v>843</v>
      </c>
      <c r="V318" s="7"/>
    </row>
    <row r="319" spans="1:22" x14ac:dyDescent="0.3">
      <c r="A319" t="s">
        <v>887</v>
      </c>
      <c r="B319" t="s">
        <v>847</v>
      </c>
      <c r="C319" t="s">
        <v>3121</v>
      </c>
      <c r="D319" t="s">
        <v>842</v>
      </c>
      <c r="E319" s="1" t="s">
        <v>3168</v>
      </c>
      <c r="F319" t="s">
        <v>888</v>
      </c>
      <c r="G319" t="s">
        <v>3121</v>
      </c>
      <c r="H319" t="s">
        <v>842</v>
      </c>
      <c r="I319" s="1" t="s">
        <v>5031</v>
      </c>
      <c r="J319" t="s">
        <v>3169</v>
      </c>
      <c r="K319">
        <v>1</v>
      </c>
      <c r="L319">
        <v>2</v>
      </c>
      <c r="M319">
        <v>243960</v>
      </c>
      <c r="N319" t="s">
        <v>3126</v>
      </c>
      <c r="O319" s="7" t="s">
        <v>70</v>
      </c>
      <c r="P319">
        <v>76</v>
      </c>
      <c r="Q319" t="s">
        <v>3127</v>
      </c>
      <c r="R319" t="s">
        <v>68</v>
      </c>
      <c r="S319" t="s">
        <v>889</v>
      </c>
      <c r="V319" s="7"/>
    </row>
    <row r="320" spans="1:22" x14ac:dyDescent="0.3">
      <c r="A320" t="s">
        <v>891</v>
      </c>
      <c r="B320" t="s">
        <v>892</v>
      </c>
      <c r="C320" t="s">
        <v>3170</v>
      </c>
      <c r="D320" t="s">
        <v>3171</v>
      </c>
      <c r="E320" s="1" t="s">
        <v>3172</v>
      </c>
      <c r="F320" t="s">
        <v>893</v>
      </c>
      <c r="G320" t="s">
        <v>3170</v>
      </c>
      <c r="H320" t="s">
        <v>3171</v>
      </c>
      <c r="I320" s="1" t="s">
        <v>5032</v>
      </c>
      <c r="J320" t="s">
        <v>3173</v>
      </c>
      <c r="K320">
        <v>1</v>
      </c>
      <c r="L320">
        <v>1</v>
      </c>
      <c r="M320">
        <v>222354</v>
      </c>
      <c r="N320" t="s">
        <v>3174</v>
      </c>
      <c r="O320" s="7" t="s">
        <v>70</v>
      </c>
      <c r="P320">
        <v>65</v>
      </c>
      <c r="Q320" t="s">
        <v>3175</v>
      </c>
      <c r="R320" t="s">
        <v>68</v>
      </c>
      <c r="S320" t="s">
        <v>889</v>
      </c>
      <c r="V320" s="7"/>
    </row>
    <row r="321" spans="1:22" x14ac:dyDescent="0.3">
      <c r="A321" t="s">
        <v>895</v>
      </c>
      <c r="B321" t="s">
        <v>896</v>
      </c>
      <c r="C321" t="s">
        <v>3176</v>
      </c>
      <c r="D321" t="s">
        <v>3177</v>
      </c>
      <c r="E321" s="1" t="s">
        <v>3178</v>
      </c>
      <c r="F321" t="s">
        <v>897</v>
      </c>
      <c r="G321" t="s">
        <v>3179</v>
      </c>
      <c r="H321" t="s">
        <v>3180</v>
      </c>
      <c r="I321" s="1" t="s">
        <v>4999</v>
      </c>
      <c r="J321" t="s">
        <v>3181</v>
      </c>
      <c r="K321">
        <v>1</v>
      </c>
      <c r="L321">
        <v>16</v>
      </c>
      <c r="M321">
        <v>335740</v>
      </c>
      <c r="N321" t="s">
        <v>3182</v>
      </c>
      <c r="O321" s="7" t="s">
        <v>70</v>
      </c>
      <c r="P321">
        <v>51</v>
      </c>
      <c r="Q321" t="s">
        <v>3183</v>
      </c>
      <c r="R321" t="s">
        <v>68</v>
      </c>
      <c r="S321" t="s">
        <v>889</v>
      </c>
      <c r="V321" s="7"/>
    </row>
    <row r="322" spans="1:22" x14ac:dyDescent="0.3">
      <c r="A322" t="s">
        <v>900</v>
      </c>
      <c r="B322" t="s">
        <v>901</v>
      </c>
      <c r="C322" t="s">
        <v>3184</v>
      </c>
      <c r="D322" t="s">
        <v>3185</v>
      </c>
      <c r="E322" s="1" t="s">
        <v>3186</v>
      </c>
      <c r="F322" t="s">
        <v>902</v>
      </c>
      <c r="G322" t="s">
        <v>3121</v>
      </c>
      <c r="H322" t="s">
        <v>842</v>
      </c>
      <c r="I322" s="1">
        <v>41521</v>
      </c>
      <c r="J322" t="s">
        <v>3187</v>
      </c>
      <c r="K322">
        <v>1</v>
      </c>
      <c r="L322">
        <v>17</v>
      </c>
      <c r="M322">
        <v>356674</v>
      </c>
      <c r="N322" t="s">
        <v>3188</v>
      </c>
      <c r="O322" s="7" t="s">
        <v>70</v>
      </c>
      <c r="P322">
        <v>57</v>
      </c>
      <c r="Q322" t="s">
        <v>3189</v>
      </c>
      <c r="R322" t="s">
        <v>68</v>
      </c>
      <c r="S322" t="s">
        <v>889</v>
      </c>
      <c r="V322" s="7"/>
    </row>
    <row r="323" spans="1:22" x14ac:dyDescent="0.3">
      <c r="A323" t="s">
        <v>905</v>
      </c>
      <c r="B323" t="s">
        <v>886</v>
      </c>
      <c r="C323" t="s">
        <v>3121</v>
      </c>
      <c r="D323" t="s">
        <v>842</v>
      </c>
      <c r="E323" s="1" t="s">
        <v>3168</v>
      </c>
      <c r="F323" t="s">
        <v>888</v>
      </c>
      <c r="G323" t="s">
        <v>3121</v>
      </c>
      <c r="H323" t="s">
        <v>842</v>
      </c>
      <c r="I323" s="1" t="s">
        <v>5031</v>
      </c>
      <c r="J323" t="s">
        <v>3169</v>
      </c>
      <c r="K323">
        <v>1</v>
      </c>
      <c r="L323">
        <v>22</v>
      </c>
      <c r="M323">
        <v>247026</v>
      </c>
      <c r="N323" t="s">
        <v>3166</v>
      </c>
      <c r="O323" s="7" t="s">
        <v>70</v>
      </c>
      <c r="P323">
        <v>68</v>
      </c>
      <c r="Q323" t="s">
        <v>3167</v>
      </c>
      <c r="R323" t="s">
        <v>68</v>
      </c>
      <c r="S323" t="s">
        <v>889</v>
      </c>
      <c r="V323" s="7"/>
    </row>
    <row r="324" spans="1:22" x14ac:dyDescent="0.3">
      <c r="A324" t="s">
        <v>906</v>
      </c>
      <c r="B324" t="s">
        <v>907</v>
      </c>
      <c r="C324" t="s">
        <v>3121</v>
      </c>
      <c r="D324" t="s">
        <v>842</v>
      </c>
      <c r="E324" s="1" t="s">
        <v>3190</v>
      </c>
      <c r="F324" t="s">
        <v>3191</v>
      </c>
      <c r="G324" t="s">
        <v>3121</v>
      </c>
      <c r="H324" t="s">
        <v>842</v>
      </c>
      <c r="I324" s="1" t="s">
        <v>5033</v>
      </c>
      <c r="J324" t="s">
        <v>3192</v>
      </c>
      <c r="K324">
        <v>1</v>
      </c>
      <c r="L324">
        <v>14</v>
      </c>
      <c r="M324">
        <v>64840</v>
      </c>
      <c r="N324" t="s">
        <v>3193</v>
      </c>
      <c r="O324" s="7" t="s">
        <v>70</v>
      </c>
      <c r="P324">
        <v>45</v>
      </c>
      <c r="Q324" t="s">
        <v>3194</v>
      </c>
      <c r="R324" t="s">
        <v>68</v>
      </c>
      <c r="S324" t="s">
        <v>889</v>
      </c>
    </row>
    <row r="325" spans="1:22" x14ac:dyDescent="0.3">
      <c r="A325" t="s">
        <v>909</v>
      </c>
      <c r="B325" t="s">
        <v>910</v>
      </c>
      <c r="C325" t="s">
        <v>3121</v>
      </c>
      <c r="D325" t="s">
        <v>842</v>
      </c>
      <c r="E325" s="1" t="s">
        <v>3195</v>
      </c>
      <c r="F325" t="s">
        <v>911</v>
      </c>
      <c r="G325" t="s">
        <v>69</v>
      </c>
      <c r="H325" t="s">
        <v>13</v>
      </c>
      <c r="I325" s="1">
        <v>41640</v>
      </c>
      <c r="J325" t="s">
        <v>3196</v>
      </c>
      <c r="K325">
        <v>1</v>
      </c>
      <c r="L325">
        <v>7</v>
      </c>
      <c r="M325">
        <v>181280</v>
      </c>
      <c r="N325" t="s">
        <v>3197</v>
      </c>
      <c r="O325" s="7" t="s">
        <v>70</v>
      </c>
      <c r="P325">
        <v>53</v>
      </c>
      <c r="Q325" t="s">
        <v>3198</v>
      </c>
      <c r="R325" t="s">
        <v>68</v>
      </c>
      <c r="S325" t="s">
        <v>889</v>
      </c>
      <c r="V325" s="7"/>
    </row>
    <row r="326" spans="1:22" x14ac:dyDescent="0.3">
      <c r="A326" t="s">
        <v>913</v>
      </c>
      <c r="B326" t="s">
        <v>914</v>
      </c>
      <c r="C326" t="s">
        <v>3199</v>
      </c>
      <c r="D326" t="s">
        <v>3200</v>
      </c>
      <c r="E326" s="1" t="s">
        <v>3186</v>
      </c>
      <c r="F326" t="s">
        <v>902</v>
      </c>
      <c r="G326" t="s">
        <v>3121</v>
      </c>
      <c r="H326" t="s">
        <v>842</v>
      </c>
      <c r="I326" s="1">
        <v>41521</v>
      </c>
      <c r="J326" t="s">
        <v>3187</v>
      </c>
      <c r="K326">
        <v>1</v>
      </c>
      <c r="L326">
        <v>4</v>
      </c>
      <c r="M326">
        <v>221021</v>
      </c>
      <c r="N326" t="s">
        <v>3201</v>
      </c>
      <c r="O326" s="7" t="s">
        <v>70</v>
      </c>
      <c r="P326">
        <v>51</v>
      </c>
      <c r="Q326" t="s">
        <v>3202</v>
      </c>
      <c r="R326" t="s">
        <v>68</v>
      </c>
      <c r="S326" t="s">
        <v>889</v>
      </c>
      <c r="V326" s="7"/>
    </row>
    <row r="327" spans="1:22" x14ac:dyDescent="0.3">
      <c r="A327" t="s">
        <v>916</v>
      </c>
      <c r="B327" t="s">
        <v>852</v>
      </c>
      <c r="C327" t="s">
        <v>3121</v>
      </c>
      <c r="D327" t="s">
        <v>842</v>
      </c>
      <c r="E327" s="1" t="s">
        <v>3168</v>
      </c>
      <c r="F327" t="s">
        <v>888</v>
      </c>
      <c r="G327" t="s">
        <v>3121</v>
      </c>
      <c r="H327" t="s">
        <v>842</v>
      </c>
      <c r="I327" s="1" t="s">
        <v>5031</v>
      </c>
      <c r="J327" t="s">
        <v>3169</v>
      </c>
      <c r="K327">
        <v>1</v>
      </c>
      <c r="L327">
        <v>5</v>
      </c>
      <c r="M327">
        <v>343253</v>
      </c>
      <c r="N327" t="s">
        <v>3132</v>
      </c>
      <c r="O327" s="7" t="s">
        <v>70</v>
      </c>
      <c r="P327">
        <v>67</v>
      </c>
      <c r="Q327" t="s">
        <v>3133</v>
      </c>
      <c r="R327" t="s">
        <v>68</v>
      </c>
      <c r="S327" t="s">
        <v>889</v>
      </c>
      <c r="V327" s="7"/>
    </row>
    <row r="328" spans="1:22" x14ac:dyDescent="0.3">
      <c r="A328" t="s">
        <v>917</v>
      </c>
      <c r="B328" t="s">
        <v>918</v>
      </c>
      <c r="C328" t="s">
        <v>3203</v>
      </c>
      <c r="D328" t="s">
        <v>3204</v>
      </c>
      <c r="E328" s="1" t="s">
        <v>3205</v>
      </c>
      <c r="F328" t="s">
        <v>919</v>
      </c>
      <c r="G328" t="s">
        <v>3121</v>
      </c>
      <c r="H328" t="s">
        <v>842</v>
      </c>
      <c r="I328" s="1">
        <v>42586</v>
      </c>
      <c r="J328" t="s">
        <v>3206</v>
      </c>
      <c r="K328">
        <v>1</v>
      </c>
      <c r="L328">
        <v>2</v>
      </c>
      <c r="M328">
        <v>235733</v>
      </c>
      <c r="N328" t="s">
        <v>3207</v>
      </c>
      <c r="O328" s="7" t="s">
        <v>70</v>
      </c>
      <c r="P328">
        <v>48</v>
      </c>
      <c r="Q328" t="s">
        <v>3208</v>
      </c>
      <c r="R328" t="s">
        <v>68</v>
      </c>
      <c r="S328" t="s">
        <v>889</v>
      </c>
      <c r="V328" s="7"/>
    </row>
    <row r="329" spans="1:22" x14ac:dyDescent="0.3">
      <c r="A329" t="s">
        <v>920</v>
      </c>
      <c r="B329" t="s">
        <v>921</v>
      </c>
      <c r="C329" t="s">
        <v>3209</v>
      </c>
      <c r="D329" t="s">
        <v>3210</v>
      </c>
      <c r="E329" s="1" t="s">
        <v>3211</v>
      </c>
      <c r="F329" t="s">
        <v>922</v>
      </c>
      <c r="G329" t="s">
        <v>3209</v>
      </c>
      <c r="H329" t="s">
        <v>3210</v>
      </c>
      <c r="I329" s="1" t="s">
        <v>5034</v>
      </c>
      <c r="J329" t="s">
        <v>3212</v>
      </c>
      <c r="K329">
        <v>1</v>
      </c>
      <c r="L329">
        <v>1</v>
      </c>
      <c r="M329">
        <v>361740</v>
      </c>
      <c r="N329" t="s">
        <v>3213</v>
      </c>
      <c r="O329" t="s">
        <v>70</v>
      </c>
      <c r="P329">
        <v>50</v>
      </c>
      <c r="Q329" t="s">
        <v>3214</v>
      </c>
      <c r="R329" t="s">
        <v>68</v>
      </c>
      <c r="S329" t="s">
        <v>889</v>
      </c>
      <c r="V329" s="7"/>
    </row>
    <row r="330" spans="1:22" x14ac:dyDescent="0.3">
      <c r="A330" t="s">
        <v>923</v>
      </c>
      <c r="B330" t="s">
        <v>924</v>
      </c>
      <c r="C330" t="s">
        <v>3199</v>
      </c>
      <c r="D330" t="s">
        <v>3200</v>
      </c>
      <c r="E330" s="1" t="s">
        <v>3186</v>
      </c>
      <c r="F330" t="s">
        <v>902</v>
      </c>
      <c r="G330" t="s">
        <v>3121</v>
      </c>
      <c r="H330" t="s">
        <v>842</v>
      </c>
      <c r="I330" s="1">
        <v>41521</v>
      </c>
      <c r="J330" t="s">
        <v>3187</v>
      </c>
      <c r="K330">
        <v>1</v>
      </c>
      <c r="L330">
        <v>2</v>
      </c>
      <c r="M330">
        <v>249316</v>
      </c>
      <c r="N330" t="s">
        <v>3215</v>
      </c>
      <c r="O330" s="7" t="s">
        <v>70</v>
      </c>
      <c r="P330">
        <v>46</v>
      </c>
      <c r="Q330" t="s">
        <v>3216</v>
      </c>
      <c r="R330" t="s">
        <v>68</v>
      </c>
      <c r="S330" t="s">
        <v>889</v>
      </c>
      <c r="V330" s="7"/>
    </row>
    <row r="331" spans="1:22" x14ac:dyDescent="0.3">
      <c r="A331" t="s">
        <v>925</v>
      </c>
      <c r="B331" t="s">
        <v>926</v>
      </c>
      <c r="C331" t="s">
        <v>3121</v>
      </c>
      <c r="D331" t="s">
        <v>842</v>
      </c>
      <c r="E331" s="1" t="s">
        <v>3168</v>
      </c>
      <c r="F331" t="s">
        <v>888</v>
      </c>
      <c r="G331" t="s">
        <v>3121</v>
      </c>
      <c r="H331" t="s">
        <v>842</v>
      </c>
      <c r="I331" s="1" t="s">
        <v>5031</v>
      </c>
      <c r="J331" t="s">
        <v>3169</v>
      </c>
      <c r="K331">
        <v>1</v>
      </c>
      <c r="L331">
        <v>12</v>
      </c>
      <c r="M331">
        <v>151826</v>
      </c>
      <c r="N331" t="s">
        <v>3146</v>
      </c>
      <c r="O331" s="7" t="s">
        <v>70</v>
      </c>
      <c r="P331">
        <v>63</v>
      </c>
      <c r="Q331" t="s">
        <v>3147</v>
      </c>
      <c r="R331" t="s">
        <v>68</v>
      </c>
      <c r="S331" t="s">
        <v>889</v>
      </c>
    </row>
    <row r="332" spans="1:22" x14ac:dyDescent="0.3">
      <c r="A332" t="s">
        <v>927</v>
      </c>
      <c r="B332" t="s">
        <v>928</v>
      </c>
      <c r="C332" t="s">
        <v>3121</v>
      </c>
      <c r="D332" t="s">
        <v>842</v>
      </c>
      <c r="E332" s="1" t="s">
        <v>3205</v>
      </c>
      <c r="F332" t="s">
        <v>919</v>
      </c>
      <c r="G332" t="s">
        <v>3121</v>
      </c>
      <c r="H332" t="s">
        <v>842</v>
      </c>
      <c r="I332" s="1">
        <v>42586</v>
      </c>
      <c r="J332" t="s">
        <v>3206</v>
      </c>
      <c r="K332">
        <v>1</v>
      </c>
      <c r="L332">
        <v>1</v>
      </c>
      <c r="M332">
        <v>217440</v>
      </c>
      <c r="N332" t="s">
        <v>3217</v>
      </c>
      <c r="O332" s="7" t="s">
        <v>70</v>
      </c>
      <c r="P332">
        <v>46</v>
      </c>
      <c r="Q332" t="s">
        <v>3218</v>
      </c>
      <c r="R332" t="s">
        <v>68</v>
      </c>
      <c r="S332" t="s">
        <v>889</v>
      </c>
      <c r="V332" s="7"/>
    </row>
    <row r="333" spans="1:22" x14ac:dyDescent="0.3">
      <c r="A333" t="s">
        <v>929</v>
      </c>
      <c r="B333" t="s">
        <v>930</v>
      </c>
      <c r="C333" t="s">
        <v>3121</v>
      </c>
      <c r="D333" t="s">
        <v>842</v>
      </c>
      <c r="E333" t="s">
        <v>3219</v>
      </c>
      <c r="F333" t="s">
        <v>931</v>
      </c>
      <c r="G333" t="s">
        <v>3121</v>
      </c>
      <c r="H333" t="s">
        <v>842</v>
      </c>
      <c r="I333" s="1" t="s">
        <v>75</v>
      </c>
      <c r="J333" t="s">
        <v>3220</v>
      </c>
      <c r="K333">
        <v>1</v>
      </c>
      <c r="L333">
        <v>7</v>
      </c>
      <c r="M333">
        <v>302746</v>
      </c>
      <c r="N333" t="s">
        <v>3221</v>
      </c>
      <c r="O333" s="7" t="s">
        <v>70</v>
      </c>
      <c r="P333">
        <v>46</v>
      </c>
      <c r="Q333" t="s">
        <v>3222</v>
      </c>
      <c r="R333" t="s">
        <v>68</v>
      </c>
      <c r="S333" t="s">
        <v>889</v>
      </c>
      <c r="V333" s="7"/>
    </row>
    <row r="334" spans="1:22" x14ac:dyDescent="0.3">
      <c r="A334" t="s">
        <v>932</v>
      </c>
      <c r="B334" t="s">
        <v>933</v>
      </c>
      <c r="C334" t="s">
        <v>3199</v>
      </c>
      <c r="D334" t="s">
        <v>3200</v>
      </c>
      <c r="E334" s="1" t="s">
        <v>3186</v>
      </c>
      <c r="F334" t="s">
        <v>902</v>
      </c>
      <c r="G334" t="s">
        <v>3121</v>
      </c>
      <c r="H334" t="s">
        <v>842</v>
      </c>
      <c r="I334" s="1">
        <v>41521</v>
      </c>
      <c r="J334" t="s">
        <v>3187</v>
      </c>
      <c r="K334">
        <v>1</v>
      </c>
      <c r="L334">
        <v>15</v>
      </c>
      <c r="M334">
        <v>189766</v>
      </c>
      <c r="N334" t="s">
        <v>3223</v>
      </c>
      <c r="O334" s="7" t="s">
        <v>70</v>
      </c>
      <c r="P334">
        <v>45</v>
      </c>
      <c r="Q334" t="s">
        <v>3224</v>
      </c>
      <c r="R334" t="s">
        <v>68</v>
      </c>
      <c r="S334" t="s">
        <v>889</v>
      </c>
      <c r="V334" s="7"/>
    </row>
    <row r="335" spans="1:22" x14ac:dyDescent="0.3">
      <c r="A335" t="s">
        <v>934</v>
      </c>
      <c r="B335" t="s">
        <v>22</v>
      </c>
      <c r="C335" t="s">
        <v>3121</v>
      </c>
      <c r="D335" t="s">
        <v>842</v>
      </c>
      <c r="E335" s="1" t="s">
        <v>3168</v>
      </c>
      <c r="F335" t="s">
        <v>888</v>
      </c>
      <c r="G335" t="s">
        <v>3121</v>
      </c>
      <c r="H335" t="s">
        <v>842</v>
      </c>
      <c r="I335" s="1" t="s">
        <v>5031</v>
      </c>
      <c r="J335" t="s">
        <v>3169</v>
      </c>
      <c r="K335">
        <v>1</v>
      </c>
      <c r="L335">
        <v>3</v>
      </c>
      <c r="M335">
        <v>235386</v>
      </c>
      <c r="N335" t="s">
        <v>3128</v>
      </c>
      <c r="O335" s="7" t="s">
        <v>70</v>
      </c>
      <c r="P335">
        <v>51</v>
      </c>
      <c r="Q335" t="s">
        <v>3129</v>
      </c>
      <c r="R335" t="s">
        <v>68</v>
      </c>
      <c r="S335" t="s">
        <v>889</v>
      </c>
      <c r="V335" s="7"/>
    </row>
    <row r="336" spans="1:22" x14ac:dyDescent="0.3">
      <c r="A336" t="s">
        <v>935</v>
      </c>
      <c r="B336" t="s">
        <v>936</v>
      </c>
      <c r="C336" t="s">
        <v>3121</v>
      </c>
      <c r="D336" t="s">
        <v>842</v>
      </c>
      <c r="E336" s="1" t="s">
        <v>3190</v>
      </c>
      <c r="F336" t="s">
        <v>3191</v>
      </c>
      <c r="G336" t="s">
        <v>3121</v>
      </c>
      <c r="H336" t="s">
        <v>842</v>
      </c>
      <c r="I336" s="1" t="s">
        <v>5033</v>
      </c>
      <c r="J336" t="s">
        <v>3192</v>
      </c>
      <c r="K336">
        <v>1</v>
      </c>
      <c r="L336">
        <v>9</v>
      </c>
      <c r="M336">
        <v>214903</v>
      </c>
      <c r="N336" t="s">
        <v>3225</v>
      </c>
      <c r="O336" s="7" t="s">
        <v>70</v>
      </c>
      <c r="P336">
        <v>41</v>
      </c>
      <c r="Q336" t="s">
        <v>3226</v>
      </c>
      <c r="R336" t="s">
        <v>68</v>
      </c>
      <c r="S336" t="s">
        <v>889</v>
      </c>
      <c r="V336" s="7"/>
    </row>
    <row r="337" spans="1:22" x14ac:dyDescent="0.3">
      <c r="A337" t="s">
        <v>937</v>
      </c>
      <c r="B337" t="s">
        <v>938</v>
      </c>
      <c r="C337" t="s">
        <v>3121</v>
      </c>
      <c r="D337" t="s">
        <v>842</v>
      </c>
      <c r="E337" s="1" t="s">
        <v>3227</v>
      </c>
      <c r="F337" t="s">
        <v>939</v>
      </c>
      <c r="G337" t="s">
        <v>3121</v>
      </c>
      <c r="H337" t="s">
        <v>842</v>
      </c>
      <c r="I337" s="1">
        <v>38362</v>
      </c>
      <c r="J337" t="s">
        <v>3228</v>
      </c>
      <c r="K337">
        <v>1</v>
      </c>
      <c r="L337">
        <v>7</v>
      </c>
      <c r="M337">
        <v>117200</v>
      </c>
      <c r="N337" t="s">
        <v>3229</v>
      </c>
      <c r="O337" s="7" t="s">
        <v>70</v>
      </c>
      <c r="P337">
        <v>41</v>
      </c>
      <c r="Q337" t="s">
        <v>3230</v>
      </c>
      <c r="R337" t="s">
        <v>68</v>
      </c>
      <c r="S337" t="s">
        <v>889</v>
      </c>
      <c r="V337" s="7"/>
    </row>
    <row r="338" spans="1:22" x14ac:dyDescent="0.3">
      <c r="A338" t="s">
        <v>941</v>
      </c>
      <c r="B338" t="s">
        <v>942</v>
      </c>
      <c r="C338" t="s">
        <v>3199</v>
      </c>
      <c r="D338" t="s">
        <v>3200</v>
      </c>
      <c r="E338" s="1" t="s">
        <v>3186</v>
      </c>
      <c r="F338" t="s">
        <v>902</v>
      </c>
      <c r="G338" t="s">
        <v>3121</v>
      </c>
      <c r="H338" t="s">
        <v>842</v>
      </c>
      <c r="I338" s="1">
        <v>41521</v>
      </c>
      <c r="J338" t="s">
        <v>3187</v>
      </c>
      <c r="K338">
        <v>1</v>
      </c>
      <c r="L338">
        <v>1</v>
      </c>
      <c r="M338">
        <v>82582</v>
      </c>
      <c r="N338" t="s">
        <v>3231</v>
      </c>
      <c r="O338" s="7" t="s">
        <v>70</v>
      </c>
      <c r="P338">
        <v>41</v>
      </c>
      <c r="Q338" t="s">
        <v>3232</v>
      </c>
      <c r="R338" t="s">
        <v>68</v>
      </c>
      <c r="S338" t="s">
        <v>889</v>
      </c>
      <c r="V338" s="7"/>
    </row>
    <row r="339" spans="1:22" x14ac:dyDescent="0.3">
      <c r="A339" t="s">
        <v>943</v>
      </c>
      <c r="B339" t="s">
        <v>944</v>
      </c>
      <c r="C339" t="s">
        <v>3121</v>
      </c>
      <c r="D339" t="s">
        <v>842</v>
      </c>
      <c r="E339" s="1" t="s">
        <v>3168</v>
      </c>
      <c r="F339" t="s">
        <v>888</v>
      </c>
      <c r="G339" t="s">
        <v>3121</v>
      </c>
      <c r="H339" t="s">
        <v>842</v>
      </c>
      <c r="I339" s="1" t="s">
        <v>5031</v>
      </c>
      <c r="J339" t="s">
        <v>3169</v>
      </c>
      <c r="K339">
        <v>1</v>
      </c>
      <c r="L339">
        <v>4</v>
      </c>
      <c r="M339">
        <v>106213</v>
      </c>
      <c r="N339" t="s">
        <v>3130</v>
      </c>
      <c r="O339" s="7" t="s">
        <v>70</v>
      </c>
      <c r="P339">
        <v>43</v>
      </c>
      <c r="Q339" t="s">
        <v>3131</v>
      </c>
      <c r="R339" t="s">
        <v>68</v>
      </c>
      <c r="S339" t="s">
        <v>889</v>
      </c>
    </row>
    <row r="340" spans="1:22" x14ac:dyDescent="0.3">
      <c r="A340" t="s">
        <v>945</v>
      </c>
      <c r="B340" t="s">
        <v>3233</v>
      </c>
      <c r="C340" t="s">
        <v>3234</v>
      </c>
      <c r="D340" t="s">
        <v>3235</v>
      </c>
      <c r="E340" s="1" t="s">
        <v>3236</v>
      </c>
      <c r="F340" t="s">
        <v>946</v>
      </c>
      <c r="G340" t="s">
        <v>69</v>
      </c>
      <c r="H340" t="s">
        <v>13</v>
      </c>
      <c r="I340" s="1" t="s">
        <v>5035</v>
      </c>
      <c r="J340" t="s">
        <v>3237</v>
      </c>
      <c r="K340">
        <v>1</v>
      </c>
      <c r="L340">
        <v>1</v>
      </c>
      <c r="M340">
        <v>261306</v>
      </c>
      <c r="N340" t="s">
        <v>3238</v>
      </c>
      <c r="O340" s="7" t="s">
        <v>70</v>
      </c>
      <c r="P340">
        <v>42</v>
      </c>
      <c r="Q340" t="s">
        <v>3239</v>
      </c>
      <c r="R340" t="s">
        <v>68</v>
      </c>
      <c r="S340" t="s">
        <v>889</v>
      </c>
      <c r="V340" s="7"/>
    </row>
    <row r="341" spans="1:22" x14ac:dyDescent="0.3">
      <c r="A341" t="s">
        <v>948</v>
      </c>
      <c r="B341" t="s">
        <v>949</v>
      </c>
      <c r="C341" t="s">
        <v>3121</v>
      </c>
      <c r="D341" t="s">
        <v>842</v>
      </c>
      <c r="E341" s="1" t="s">
        <v>3190</v>
      </c>
      <c r="F341" t="s">
        <v>3191</v>
      </c>
      <c r="G341" t="s">
        <v>3121</v>
      </c>
      <c r="H341" t="s">
        <v>842</v>
      </c>
      <c r="I341" s="1" t="s">
        <v>5033</v>
      </c>
      <c r="J341" t="s">
        <v>3192</v>
      </c>
      <c r="K341">
        <v>1</v>
      </c>
      <c r="L341">
        <v>15</v>
      </c>
      <c r="M341">
        <v>402346</v>
      </c>
      <c r="N341" t="s">
        <v>3240</v>
      </c>
      <c r="O341" s="7" t="s">
        <v>70</v>
      </c>
      <c r="P341">
        <v>41</v>
      </c>
      <c r="Q341" t="s">
        <v>3241</v>
      </c>
      <c r="R341" t="s">
        <v>68</v>
      </c>
      <c r="S341" t="s">
        <v>889</v>
      </c>
      <c r="V341" s="7"/>
    </row>
    <row r="342" spans="1:22" x14ac:dyDescent="0.3">
      <c r="A342" t="s">
        <v>950</v>
      </c>
      <c r="B342" t="s">
        <v>951</v>
      </c>
      <c r="C342" t="s">
        <v>3199</v>
      </c>
      <c r="D342" t="s">
        <v>3200</v>
      </c>
      <c r="E342" s="1" t="s">
        <v>3186</v>
      </c>
      <c r="F342" t="s">
        <v>902</v>
      </c>
      <c r="G342" t="s">
        <v>3121</v>
      </c>
      <c r="H342" t="s">
        <v>842</v>
      </c>
      <c r="I342" s="1">
        <v>41521</v>
      </c>
      <c r="J342" t="s">
        <v>3187</v>
      </c>
      <c r="K342">
        <v>1</v>
      </c>
      <c r="L342">
        <v>12</v>
      </c>
      <c r="M342">
        <v>338094</v>
      </c>
      <c r="N342" t="s">
        <v>3242</v>
      </c>
      <c r="O342" s="7" t="s">
        <v>70</v>
      </c>
      <c r="P342">
        <v>43</v>
      </c>
      <c r="Q342" t="s">
        <v>3243</v>
      </c>
      <c r="R342" t="s">
        <v>68</v>
      </c>
      <c r="S342" t="s">
        <v>889</v>
      </c>
    </row>
    <row r="343" spans="1:22" x14ac:dyDescent="0.3">
      <c r="A343" t="s">
        <v>952</v>
      </c>
      <c r="B343" t="s">
        <v>3244</v>
      </c>
      <c r="C343" t="s">
        <v>3121</v>
      </c>
      <c r="D343" t="s">
        <v>842</v>
      </c>
      <c r="E343" s="1" t="s">
        <v>3245</v>
      </c>
      <c r="F343" t="s">
        <v>954</v>
      </c>
      <c r="G343" t="s">
        <v>3121</v>
      </c>
      <c r="H343" t="s">
        <v>842</v>
      </c>
      <c r="I343" s="1">
        <v>43680</v>
      </c>
      <c r="J343" t="s">
        <v>3246</v>
      </c>
      <c r="K343">
        <v>1</v>
      </c>
      <c r="L343">
        <v>10</v>
      </c>
      <c r="M343">
        <v>59743</v>
      </c>
      <c r="N343" t="s">
        <v>3247</v>
      </c>
      <c r="O343" s="7" t="s">
        <v>70</v>
      </c>
      <c r="P343">
        <v>34</v>
      </c>
      <c r="Q343" t="s">
        <v>3248</v>
      </c>
      <c r="R343" t="s">
        <v>68</v>
      </c>
      <c r="S343" t="s">
        <v>889</v>
      </c>
      <c r="V343" s="7"/>
    </row>
    <row r="344" spans="1:22" x14ac:dyDescent="0.3">
      <c r="A344" t="s">
        <v>955</v>
      </c>
      <c r="B344" t="s">
        <v>956</v>
      </c>
      <c r="C344" t="s">
        <v>3121</v>
      </c>
      <c r="D344" t="s">
        <v>842</v>
      </c>
      <c r="E344" t="s">
        <v>3219</v>
      </c>
      <c r="F344" t="s">
        <v>931</v>
      </c>
      <c r="G344" t="s">
        <v>3121</v>
      </c>
      <c r="H344" t="s">
        <v>842</v>
      </c>
      <c r="I344" s="1" t="s">
        <v>75</v>
      </c>
      <c r="J344" t="s">
        <v>3220</v>
      </c>
      <c r="K344">
        <v>1</v>
      </c>
      <c r="L344">
        <v>2</v>
      </c>
      <c r="M344">
        <v>323373</v>
      </c>
      <c r="N344" t="s">
        <v>3249</v>
      </c>
      <c r="O344" s="7" t="s">
        <v>70</v>
      </c>
      <c r="P344">
        <v>40</v>
      </c>
      <c r="Q344" t="s">
        <v>3250</v>
      </c>
      <c r="R344" t="s">
        <v>68</v>
      </c>
      <c r="S344" t="s">
        <v>889</v>
      </c>
    </row>
    <row r="345" spans="1:22" x14ac:dyDescent="0.3">
      <c r="A345" t="s">
        <v>957</v>
      </c>
      <c r="B345" t="s">
        <v>958</v>
      </c>
      <c r="C345" t="s">
        <v>3121</v>
      </c>
      <c r="D345" t="s">
        <v>842</v>
      </c>
      <c r="E345" s="1" t="s">
        <v>3227</v>
      </c>
      <c r="F345" t="s">
        <v>939</v>
      </c>
      <c r="G345" t="s">
        <v>3121</v>
      </c>
      <c r="H345" t="s">
        <v>842</v>
      </c>
      <c r="I345" s="1">
        <v>38362</v>
      </c>
      <c r="J345" t="s">
        <v>3228</v>
      </c>
      <c r="K345">
        <v>1</v>
      </c>
      <c r="L345">
        <v>13</v>
      </c>
      <c r="M345">
        <v>124533</v>
      </c>
      <c r="N345" t="s">
        <v>3251</v>
      </c>
      <c r="O345" s="7" t="s">
        <v>70</v>
      </c>
      <c r="P345">
        <v>33</v>
      </c>
      <c r="Q345" t="s">
        <v>3252</v>
      </c>
      <c r="R345" t="s">
        <v>68</v>
      </c>
      <c r="S345" t="s">
        <v>889</v>
      </c>
      <c r="V345" s="7"/>
    </row>
    <row r="346" spans="1:22" x14ac:dyDescent="0.3">
      <c r="A346" t="s">
        <v>959</v>
      </c>
      <c r="B346" t="s">
        <v>960</v>
      </c>
      <c r="C346" t="s">
        <v>3121</v>
      </c>
      <c r="D346" t="s">
        <v>842</v>
      </c>
      <c r="E346" s="1" t="s">
        <v>3253</v>
      </c>
      <c r="F346" t="s">
        <v>961</v>
      </c>
      <c r="G346" t="s">
        <v>3121</v>
      </c>
      <c r="H346" t="s">
        <v>842</v>
      </c>
      <c r="I346" s="1" t="s">
        <v>5036</v>
      </c>
      <c r="J346" t="s">
        <v>3254</v>
      </c>
      <c r="K346">
        <v>1</v>
      </c>
      <c r="L346">
        <v>4</v>
      </c>
      <c r="M346">
        <v>331981</v>
      </c>
      <c r="N346" t="s">
        <v>3255</v>
      </c>
      <c r="O346" s="7" t="s">
        <v>70</v>
      </c>
      <c r="P346">
        <v>36</v>
      </c>
      <c r="Q346" t="s">
        <v>3256</v>
      </c>
      <c r="R346" t="s">
        <v>68</v>
      </c>
      <c r="S346" t="s">
        <v>889</v>
      </c>
      <c r="V346" s="7"/>
    </row>
    <row r="347" spans="1:22" x14ac:dyDescent="0.3">
      <c r="A347" t="s">
        <v>963</v>
      </c>
      <c r="B347" t="s">
        <v>964</v>
      </c>
      <c r="C347" t="s">
        <v>3121</v>
      </c>
      <c r="D347" t="s">
        <v>842</v>
      </c>
      <c r="E347" s="1" t="s">
        <v>3257</v>
      </c>
      <c r="F347" t="s">
        <v>965</v>
      </c>
      <c r="G347" t="s">
        <v>3121</v>
      </c>
      <c r="H347" t="s">
        <v>842</v>
      </c>
      <c r="I347" s="1">
        <v>39150</v>
      </c>
      <c r="J347" t="s">
        <v>3258</v>
      </c>
      <c r="K347">
        <v>1</v>
      </c>
      <c r="L347">
        <v>7</v>
      </c>
      <c r="M347">
        <v>141506</v>
      </c>
      <c r="N347" t="s">
        <v>3259</v>
      </c>
      <c r="O347" s="7" t="s">
        <v>70</v>
      </c>
      <c r="P347">
        <v>30</v>
      </c>
      <c r="Q347" t="s">
        <v>3260</v>
      </c>
      <c r="R347" t="s">
        <v>68</v>
      </c>
      <c r="S347" t="s">
        <v>889</v>
      </c>
      <c r="V347" s="7"/>
    </row>
    <row r="348" spans="1:22" x14ac:dyDescent="0.3">
      <c r="A348" t="s">
        <v>966</v>
      </c>
      <c r="B348" t="s">
        <v>967</v>
      </c>
      <c r="C348" t="s">
        <v>3261</v>
      </c>
      <c r="D348" t="s">
        <v>3262</v>
      </c>
      <c r="E348" s="1" t="s">
        <v>3205</v>
      </c>
      <c r="F348" t="s">
        <v>919</v>
      </c>
      <c r="G348" t="s">
        <v>3121</v>
      </c>
      <c r="H348" t="s">
        <v>842</v>
      </c>
      <c r="I348" s="1">
        <v>42586</v>
      </c>
      <c r="J348" t="s">
        <v>3206</v>
      </c>
      <c r="K348">
        <v>1</v>
      </c>
      <c r="L348">
        <v>3</v>
      </c>
      <c r="M348">
        <v>289120</v>
      </c>
      <c r="N348" t="s">
        <v>3263</v>
      </c>
      <c r="O348" s="7" t="s">
        <v>70</v>
      </c>
      <c r="P348">
        <v>36</v>
      </c>
      <c r="Q348" t="s">
        <v>3264</v>
      </c>
      <c r="R348" t="s">
        <v>68</v>
      </c>
      <c r="S348" t="s">
        <v>889</v>
      </c>
      <c r="V348" s="7"/>
    </row>
    <row r="349" spans="1:22" x14ac:dyDescent="0.3">
      <c r="A349" t="s">
        <v>969</v>
      </c>
      <c r="B349" t="s">
        <v>970</v>
      </c>
      <c r="C349" t="s">
        <v>3121</v>
      </c>
      <c r="D349" t="s">
        <v>842</v>
      </c>
      <c r="E349" s="1" t="s">
        <v>3190</v>
      </c>
      <c r="F349" t="s">
        <v>3191</v>
      </c>
      <c r="G349" t="s">
        <v>3121</v>
      </c>
      <c r="H349" t="s">
        <v>842</v>
      </c>
      <c r="I349" s="1" t="s">
        <v>5033</v>
      </c>
      <c r="J349" t="s">
        <v>3192</v>
      </c>
      <c r="K349">
        <v>1</v>
      </c>
      <c r="L349">
        <v>3</v>
      </c>
      <c r="M349">
        <v>115346</v>
      </c>
      <c r="N349" t="s">
        <v>3265</v>
      </c>
      <c r="O349" s="7" t="s">
        <v>70</v>
      </c>
      <c r="P349">
        <v>31</v>
      </c>
      <c r="Q349" t="s">
        <v>3266</v>
      </c>
      <c r="R349" t="s">
        <v>68</v>
      </c>
      <c r="S349" t="s">
        <v>889</v>
      </c>
      <c r="V349" s="7"/>
    </row>
    <row r="350" spans="1:22" x14ac:dyDescent="0.3">
      <c r="A350" t="s">
        <v>971</v>
      </c>
      <c r="B350" t="s">
        <v>972</v>
      </c>
      <c r="C350" t="s">
        <v>3121</v>
      </c>
      <c r="D350" t="s">
        <v>842</v>
      </c>
      <c r="E350" s="1" t="s">
        <v>3253</v>
      </c>
      <c r="F350" t="s">
        <v>961</v>
      </c>
      <c r="G350" t="s">
        <v>3121</v>
      </c>
      <c r="H350" t="s">
        <v>842</v>
      </c>
      <c r="I350" s="1" t="s">
        <v>5036</v>
      </c>
      <c r="J350" t="s">
        <v>3254</v>
      </c>
      <c r="K350">
        <v>1</v>
      </c>
      <c r="L350">
        <v>3</v>
      </c>
      <c r="M350">
        <v>243354</v>
      </c>
      <c r="N350" t="s">
        <v>3267</v>
      </c>
      <c r="O350" s="7" t="s">
        <v>70</v>
      </c>
      <c r="P350">
        <v>37</v>
      </c>
      <c r="Q350" t="s">
        <v>3268</v>
      </c>
      <c r="R350" t="s">
        <v>68</v>
      </c>
      <c r="S350" t="s">
        <v>889</v>
      </c>
      <c r="V350" s="7"/>
    </row>
    <row r="351" spans="1:22" x14ac:dyDescent="0.3">
      <c r="A351" t="s">
        <v>973</v>
      </c>
      <c r="B351" t="s">
        <v>974</v>
      </c>
      <c r="C351" t="s">
        <v>3121</v>
      </c>
      <c r="D351" t="s">
        <v>842</v>
      </c>
      <c r="E351" s="1" t="s">
        <v>3269</v>
      </c>
      <c r="F351" t="s">
        <v>975</v>
      </c>
      <c r="G351" t="s">
        <v>3121</v>
      </c>
      <c r="H351" t="s">
        <v>842</v>
      </c>
      <c r="I351" s="1" t="s">
        <v>5037</v>
      </c>
      <c r="J351" t="s">
        <v>3270</v>
      </c>
      <c r="K351">
        <v>1</v>
      </c>
      <c r="L351">
        <v>3</v>
      </c>
      <c r="M351">
        <v>145473</v>
      </c>
      <c r="N351" t="s">
        <v>3271</v>
      </c>
      <c r="O351" s="7" t="s">
        <v>70</v>
      </c>
      <c r="P351">
        <v>30</v>
      </c>
      <c r="Q351" t="s">
        <v>3272</v>
      </c>
      <c r="R351" t="s">
        <v>68</v>
      </c>
      <c r="S351" t="s">
        <v>889</v>
      </c>
      <c r="V351" s="7"/>
    </row>
    <row r="352" spans="1:22" x14ac:dyDescent="0.3">
      <c r="A352" t="s">
        <v>976</v>
      </c>
      <c r="B352" t="s">
        <v>977</v>
      </c>
      <c r="C352" t="s">
        <v>3203</v>
      </c>
      <c r="D352" t="s">
        <v>3204</v>
      </c>
      <c r="E352" s="1" t="s">
        <v>3205</v>
      </c>
      <c r="F352" t="s">
        <v>919</v>
      </c>
      <c r="G352" t="s">
        <v>3121</v>
      </c>
      <c r="H352" t="s">
        <v>842</v>
      </c>
      <c r="I352" s="1">
        <v>42586</v>
      </c>
      <c r="J352" t="s">
        <v>3206</v>
      </c>
      <c r="K352">
        <v>1</v>
      </c>
      <c r="L352">
        <v>9</v>
      </c>
      <c r="M352">
        <v>257000</v>
      </c>
      <c r="N352" t="s">
        <v>3273</v>
      </c>
      <c r="O352" s="7" t="s">
        <v>70</v>
      </c>
      <c r="P352">
        <v>36</v>
      </c>
      <c r="Q352" t="s">
        <v>3274</v>
      </c>
      <c r="R352" t="s">
        <v>68</v>
      </c>
      <c r="S352" t="s">
        <v>889</v>
      </c>
      <c r="V352" s="7"/>
    </row>
    <row r="353" spans="1:22" x14ac:dyDescent="0.3">
      <c r="A353" t="s">
        <v>978</v>
      </c>
      <c r="B353" t="s">
        <v>979</v>
      </c>
      <c r="C353" t="s">
        <v>3121</v>
      </c>
      <c r="D353" t="s">
        <v>842</v>
      </c>
      <c r="E353" s="1" t="s">
        <v>3190</v>
      </c>
      <c r="F353" t="s">
        <v>3191</v>
      </c>
      <c r="G353" t="s">
        <v>3121</v>
      </c>
      <c r="H353" t="s">
        <v>842</v>
      </c>
      <c r="I353" s="1" t="s">
        <v>5033</v>
      </c>
      <c r="J353" t="s">
        <v>3192</v>
      </c>
      <c r="K353">
        <v>1</v>
      </c>
      <c r="L353">
        <v>13</v>
      </c>
      <c r="M353">
        <v>153240</v>
      </c>
      <c r="N353" t="s">
        <v>3275</v>
      </c>
      <c r="O353" s="7" t="s">
        <v>70</v>
      </c>
      <c r="P353">
        <v>30</v>
      </c>
      <c r="Q353" t="s">
        <v>3276</v>
      </c>
      <c r="R353" t="s">
        <v>68</v>
      </c>
      <c r="S353" t="s">
        <v>889</v>
      </c>
      <c r="V353" s="7"/>
    </row>
    <row r="354" spans="1:22" x14ac:dyDescent="0.3">
      <c r="A354" t="s">
        <v>980</v>
      </c>
      <c r="B354" t="s">
        <v>981</v>
      </c>
      <c r="C354" t="s">
        <v>3121</v>
      </c>
      <c r="D354" t="s">
        <v>842</v>
      </c>
      <c r="E354" s="1" t="s">
        <v>3253</v>
      </c>
      <c r="F354" t="s">
        <v>961</v>
      </c>
      <c r="G354" t="s">
        <v>3121</v>
      </c>
      <c r="H354" t="s">
        <v>842</v>
      </c>
      <c r="I354" s="1" t="s">
        <v>5036</v>
      </c>
      <c r="J354" t="s">
        <v>3254</v>
      </c>
      <c r="K354">
        <v>1</v>
      </c>
      <c r="L354">
        <v>2</v>
      </c>
      <c r="M354">
        <v>271656</v>
      </c>
      <c r="N354" t="s">
        <v>3277</v>
      </c>
      <c r="O354" s="7" t="s">
        <v>70</v>
      </c>
      <c r="P354">
        <v>35</v>
      </c>
      <c r="Q354" t="s">
        <v>3278</v>
      </c>
      <c r="R354" t="s">
        <v>68</v>
      </c>
      <c r="S354" t="s">
        <v>889</v>
      </c>
      <c r="V354" s="7"/>
    </row>
    <row r="355" spans="1:22" x14ac:dyDescent="0.3">
      <c r="A355" t="s">
        <v>982</v>
      </c>
      <c r="B355" t="s">
        <v>983</v>
      </c>
      <c r="C355" t="s">
        <v>3121</v>
      </c>
      <c r="D355" t="s">
        <v>842</v>
      </c>
      <c r="E355" s="1" t="s">
        <v>3227</v>
      </c>
      <c r="F355" t="s">
        <v>939</v>
      </c>
      <c r="G355" t="s">
        <v>3121</v>
      </c>
      <c r="H355" t="s">
        <v>842</v>
      </c>
      <c r="I355" s="1">
        <v>38362</v>
      </c>
      <c r="J355" t="s">
        <v>3228</v>
      </c>
      <c r="K355">
        <v>1</v>
      </c>
      <c r="L355">
        <v>1</v>
      </c>
      <c r="M355">
        <v>278426</v>
      </c>
      <c r="N355" t="s">
        <v>3279</v>
      </c>
      <c r="O355" s="7" t="s">
        <v>70</v>
      </c>
      <c r="P355">
        <v>37</v>
      </c>
      <c r="Q355" t="s">
        <v>3280</v>
      </c>
      <c r="R355" t="s">
        <v>68</v>
      </c>
      <c r="S355" t="s">
        <v>889</v>
      </c>
    </row>
    <row r="356" spans="1:22" x14ac:dyDescent="0.3">
      <c r="A356" t="s">
        <v>984</v>
      </c>
      <c r="B356" t="s">
        <v>985</v>
      </c>
      <c r="C356" t="s">
        <v>3121</v>
      </c>
      <c r="D356" t="s">
        <v>842</v>
      </c>
      <c r="E356" s="1" t="s">
        <v>3257</v>
      </c>
      <c r="F356" t="s">
        <v>965</v>
      </c>
      <c r="G356" t="s">
        <v>3121</v>
      </c>
      <c r="H356" t="s">
        <v>842</v>
      </c>
      <c r="I356" s="1">
        <v>39150</v>
      </c>
      <c r="J356" t="s">
        <v>3258</v>
      </c>
      <c r="K356">
        <v>1</v>
      </c>
      <c r="L356">
        <v>2</v>
      </c>
      <c r="M356">
        <v>207493</v>
      </c>
      <c r="N356" t="s">
        <v>3281</v>
      </c>
      <c r="O356" s="7" t="s">
        <v>70</v>
      </c>
      <c r="P356">
        <v>30</v>
      </c>
      <c r="Q356" t="s">
        <v>3282</v>
      </c>
      <c r="R356" t="s">
        <v>68</v>
      </c>
      <c r="S356" t="s">
        <v>889</v>
      </c>
      <c r="V356" s="7"/>
    </row>
    <row r="357" spans="1:22" x14ac:dyDescent="0.3">
      <c r="A357" t="s">
        <v>986</v>
      </c>
      <c r="B357" t="s">
        <v>987</v>
      </c>
      <c r="C357" t="s">
        <v>3283</v>
      </c>
      <c r="D357" t="s">
        <v>3284</v>
      </c>
      <c r="E357" s="1" t="s">
        <v>3285</v>
      </c>
      <c r="F357" t="s">
        <v>988</v>
      </c>
      <c r="G357" t="s">
        <v>3121</v>
      </c>
      <c r="H357" t="s">
        <v>842</v>
      </c>
      <c r="I357" s="1" t="s">
        <v>5038</v>
      </c>
      <c r="J357" t="s">
        <v>3286</v>
      </c>
      <c r="K357">
        <v>1</v>
      </c>
      <c r="L357">
        <v>1</v>
      </c>
      <c r="M357">
        <v>248469</v>
      </c>
      <c r="N357" t="s">
        <v>3287</v>
      </c>
      <c r="O357" s="7" t="s">
        <v>70</v>
      </c>
      <c r="P357">
        <v>30</v>
      </c>
      <c r="Q357" t="s">
        <v>3288</v>
      </c>
      <c r="R357" t="s">
        <v>68</v>
      </c>
      <c r="S357" t="s">
        <v>889</v>
      </c>
      <c r="V357" s="7"/>
    </row>
    <row r="358" spans="1:22" x14ac:dyDescent="0.3">
      <c r="A358" t="s">
        <v>990</v>
      </c>
      <c r="B358" t="s">
        <v>991</v>
      </c>
      <c r="C358" t="s">
        <v>3121</v>
      </c>
      <c r="D358" t="s">
        <v>842</v>
      </c>
      <c r="E358" s="1" t="s">
        <v>3253</v>
      </c>
      <c r="F358" t="s">
        <v>961</v>
      </c>
      <c r="G358" t="s">
        <v>3121</v>
      </c>
      <c r="H358" t="s">
        <v>842</v>
      </c>
      <c r="I358" s="1" t="s">
        <v>5036</v>
      </c>
      <c r="J358" t="s">
        <v>3254</v>
      </c>
      <c r="K358">
        <v>1</v>
      </c>
      <c r="L358">
        <v>9</v>
      </c>
      <c r="M358">
        <v>248133</v>
      </c>
      <c r="N358" t="s">
        <v>3289</v>
      </c>
      <c r="O358" s="7" t="s">
        <v>70</v>
      </c>
      <c r="P358">
        <v>33</v>
      </c>
      <c r="Q358" t="s">
        <v>3290</v>
      </c>
      <c r="R358" t="s">
        <v>68</v>
      </c>
      <c r="S358" t="s">
        <v>889</v>
      </c>
      <c r="V358" s="7"/>
    </row>
    <row r="359" spans="1:22" x14ac:dyDescent="0.3">
      <c r="A359" t="s">
        <v>992</v>
      </c>
      <c r="B359" t="s">
        <v>993</v>
      </c>
      <c r="C359" t="s">
        <v>3121</v>
      </c>
      <c r="D359" t="s">
        <v>842</v>
      </c>
      <c r="E359" s="1" t="s">
        <v>3205</v>
      </c>
      <c r="F359" t="s">
        <v>919</v>
      </c>
      <c r="G359" t="s">
        <v>3121</v>
      </c>
      <c r="H359" t="s">
        <v>842</v>
      </c>
      <c r="I359" s="1">
        <v>42586</v>
      </c>
      <c r="J359" t="s">
        <v>3206</v>
      </c>
      <c r="K359">
        <v>1</v>
      </c>
      <c r="L359">
        <v>10</v>
      </c>
      <c r="M359">
        <v>261573</v>
      </c>
      <c r="N359" t="s">
        <v>3291</v>
      </c>
      <c r="O359" s="7" t="s">
        <v>70</v>
      </c>
      <c r="P359">
        <v>35</v>
      </c>
      <c r="Q359" t="s">
        <v>3292</v>
      </c>
      <c r="R359" t="s">
        <v>68</v>
      </c>
      <c r="S359" t="s">
        <v>889</v>
      </c>
      <c r="V359" s="7"/>
    </row>
    <row r="360" spans="1:22" x14ac:dyDescent="0.3">
      <c r="A360" t="s">
        <v>994</v>
      </c>
      <c r="B360" t="s">
        <v>995</v>
      </c>
      <c r="C360" t="s">
        <v>3121</v>
      </c>
      <c r="D360" t="s">
        <v>842</v>
      </c>
      <c r="E360" t="s">
        <v>3219</v>
      </c>
      <c r="F360" t="s">
        <v>931</v>
      </c>
      <c r="G360" t="s">
        <v>3121</v>
      </c>
      <c r="H360" t="s">
        <v>842</v>
      </c>
      <c r="I360" s="1" t="s">
        <v>75</v>
      </c>
      <c r="J360" t="s">
        <v>3220</v>
      </c>
      <c r="K360">
        <v>1</v>
      </c>
      <c r="L360">
        <v>3</v>
      </c>
      <c r="M360">
        <v>372866</v>
      </c>
      <c r="N360" t="s">
        <v>3293</v>
      </c>
      <c r="O360" s="7" t="s">
        <v>70</v>
      </c>
      <c r="P360">
        <v>33</v>
      </c>
      <c r="Q360" t="s">
        <v>3294</v>
      </c>
      <c r="R360" t="s">
        <v>68</v>
      </c>
      <c r="S360" t="s">
        <v>889</v>
      </c>
      <c r="V360" s="7"/>
    </row>
    <row r="361" spans="1:22" x14ac:dyDescent="0.3">
      <c r="A361" t="s">
        <v>996</v>
      </c>
      <c r="B361" t="s">
        <v>95</v>
      </c>
      <c r="C361" t="s">
        <v>3121</v>
      </c>
      <c r="D361" t="s">
        <v>842</v>
      </c>
      <c r="E361" s="1" t="s">
        <v>3269</v>
      </c>
      <c r="F361" t="s">
        <v>975</v>
      </c>
      <c r="G361" t="s">
        <v>3121</v>
      </c>
      <c r="H361" t="s">
        <v>842</v>
      </c>
      <c r="I361" s="1" t="s">
        <v>5037</v>
      </c>
      <c r="J361" t="s">
        <v>3270</v>
      </c>
      <c r="K361">
        <v>1</v>
      </c>
      <c r="L361">
        <v>13</v>
      </c>
      <c r="M361">
        <v>166021</v>
      </c>
      <c r="N361" t="s">
        <v>3295</v>
      </c>
      <c r="O361" s="7" t="s">
        <v>70</v>
      </c>
      <c r="P361">
        <v>28</v>
      </c>
      <c r="Q361" t="s">
        <v>3296</v>
      </c>
      <c r="R361" t="s">
        <v>68</v>
      </c>
      <c r="S361" t="s">
        <v>889</v>
      </c>
      <c r="V361" s="7"/>
    </row>
    <row r="362" spans="1:22" x14ac:dyDescent="0.3">
      <c r="A362" t="s">
        <v>997</v>
      </c>
      <c r="B362" t="s">
        <v>998</v>
      </c>
      <c r="C362" t="s">
        <v>3121</v>
      </c>
      <c r="D362" t="s">
        <v>842</v>
      </c>
      <c r="E362" s="1" t="s">
        <v>3253</v>
      </c>
      <c r="F362" t="s">
        <v>961</v>
      </c>
      <c r="G362" t="s">
        <v>3121</v>
      </c>
      <c r="H362" t="s">
        <v>842</v>
      </c>
      <c r="I362" s="1" t="s">
        <v>5036</v>
      </c>
      <c r="J362" t="s">
        <v>3254</v>
      </c>
      <c r="K362">
        <v>1</v>
      </c>
      <c r="L362">
        <v>5</v>
      </c>
      <c r="M362">
        <v>400037</v>
      </c>
      <c r="N362" t="s">
        <v>3297</v>
      </c>
      <c r="O362" s="7" t="s">
        <v>80</v>
      </c>
      <c r="P362">
        <v>33</v>
      </c>
      <c r="Q362" t="s">
        <v>3298</v>
      </c>
      <c r="R362" t="s">
        <v>68</v>
      </c>
      <c r="S362" t="s">
        <v>889</v>
      </c>
      <c r="V362" s="7"/>
    </row>
    <row r="363" spans="1:22" x14ac:dyDescent="0.3">
      <c r="A363" t="s">
        <v>999</v>
      </c>
      <c r="B363" t="s">
        <v>1000</v>
      </c>
      <c r="C363" t="s">
        <v>3203</v>
      </c>
      <c r="D363" t="s">
        <v>3204</v>
      </c>
      <c r="E363" s="1" t="s">
        <v>3205</v>
      </c>
      <c r="F363" t="s">
        <v>919</v>
      </c>
      <c r="G363" t="s">
        <v>3121</v>
      </c>
      <c r="H363" t="s">
        <v>842</v>
      </c>
      <c r="I363" s="1">
        <v>42586</v>
      </c>
      <c r="J363" t="s">
        <v>3206</v>
      </c>
      <c r="K363">
        <v>1</v>
      </c>
      <c r="L363">
        <v>4</v>
      </c>
      <c r="M363">
        <v>234000</v>
      </c>
      <c r="N363" t="s">
        <v>3299</v>
      </c>
      <c r="O363" s="7" t="s">
        <v>70</v>
      </c>
      <c r="P363">
        <v>33</v>
      </c>
      <c r="Q363" t="s">
        <v>3300</v>
      </c>
      <c r="R363" t="s">
        <v>68</v>
      </c>
      <c r="S363" t="s">
        <v>889</v>
      </c>
    </row>
    <row r="364" spans="1:22" x14ac:dyDescent="0.3">
      <c r="A364" t="s">
        <v>1001</v>
      </c>
      <c r="B364" t="s">
        <v>1002</v>
      </c>
      <c r="C364" t="s">
        <v>3121</v>
      </c>
      <c r="D364" t="s">
        <v>842</v>
      </c>
      <c r="E364" t="s">
        <v>3219</v>
      </c>
      <c r="F364" t="s">
        <v>931</v>
      </c>
      <c r="G364" t="s">
        <v>3121</v>
      </c>
      <c r="H364" t="s">
        <v>842</v>
      </c>
      <c r="I364" s="1" t="s">
        <v>75</v>
      </c>
      <c r="J364" t="s">
        <v>3220</v>
      </c>
      <c r="K364">
        <v>1</v>
      </c>
      <c r="L364">
        <v>11</v>
      </c>
      <c r="M364">
        <v>670493</v>
      </c>
      <c r="N364" t="s">
        <v>3301</v>
      </c>
      <c r="O364" s="7" t="s">
        <v>70</v>
      </c>
      <c r="P364">
        <v>27</v>
      </c>
      <c r="Q364" t="s">
        <v>3302</v>
      </c>
      <c r="R364" t="s">
        <v>68</v>
      </c>
      <c r="S364" t="s">
        <v>889</v>
      </c>
      <c r="V364" s="7"/>
    </row>
    <row r="365" spans="1:22" x14ac:dyDescent="0.3">
      <c r="A365" t="s">
        <v>1003</v>
      </c>
      <c r="B365" t="s">
        <v>1004</v>
      </c>
      <c r="C365" t="s">
        <v>3121</v>
      </c>
      <c r="D365" t="s">
        <v>842</v>
      </c>
      <c r="E365" s="1" t="s">
        <v>3227</v>
      </c>
      <c r="F365" t="s">
        <v>939</v>
      </c>
      <c r="G365" t="s">
        <v>3121</v>
      </c>
      <c r="H365" t="s">
        <v>842</v>
      </c>
      <c r="I365" s="1">
        <v>38362</v>
      </c>
      <c r="J365" t="s">
        <v>3228</v>
      </c>
      <c r="K365">
        <v>1</v>
      </c>
      <c r="L365">
        <v>15</v>
      </c>
      <c r="M365">
        <v>637333</v>
      </c>
      <c r="N365" t="s">
        <v>3303</v>
      </c>
      <c r="O365" s="7" t="s">
        <v>70</v>
      </c>
      <c r="P365">
        <v>35</v>
      </c>
      <c r="Q365" t="s">
        <v>3304</v>
      </c>
      <c r="R365" t="s">
        <v>68</v>
      </c>
      <c r="S365" t="s">
        <v>889</v>
      </c>
      <c r="V365" s="7"/>
    </row>
    <row r="366" spans="1:22" x14ac:dyDescent="0.3">
      <c r="A366" t="s">
        <v>1005</v>
      </c>
      <c r="B366" t="s">
        <v>1006</v>
      </c>
      <c r="C366" t="s">
        <v>3121</v>
      </c>
      <c r="D366" t="s">
        <v>842</v>
      </c>
      <c r="E366" s="1" t="s">
        <v>3253</v>
      </c>
      <c r="F366" t="s">
        <v>961</v>
      </c>
      <c r="G366" t="s">
        <v>3121</v>
      </c>
      <c r="H366" t="s">
        <v>842</v>
      </c>
      <c r="I366" s="1" t="s">
        <v>5036</v>
      </c>
      <c r="J366" t="s">
        <v>3254</v>
      </c>
      <c r="K366">
        <v>1</v>
      </c>
      <c r="L366">
        <v>1</v>
      </c>
      <c r="M366">
        <v>191356</v>
      </c>
      <c r="N366" t="s">
        <v>3305</v>
      </c>
      <c r="O366" s="7" t="s">
        <v>70</v>
      </c>
      <c r="P366">
        <v>30</v>
      </c>
      <c r="Q366" t="s">
        <v>3306</v>
      </c>
      <c r="R366" t="s">
        <v>68</v>
      </c>
      <c r="S366" t="s">
        <v>889</v>
      </c>
      <c r="V366" s="7"/>
    </row>
    <row r="367" spans="1:22" x14ac:dyDescent="0.3">
      <c r="A367" t="s">
        <v>1007</v>
      </c>
      <c r="B367" t="s">
        <v>1008</v>
      </c>
      <c r="C367" t="s">
        <v>3121</v>
      </c>
      <c r="D367" t="s">
        <v>842</v>
      </c>
      <c r="E367" s="1" t="s">
        <v>3257</v>
      </c>
      <c r="F367" t="s">
        <v>965</v>
      </c>
      <c r="G367" t="s">
        <v>3121</v>
      </c>
      <c r="H367" t="s">
        <v>842</v>
      </c>
      <c r="I367" s="1">
        <v>39150</v>
      </c>
      <c r="J367" t="s">
        <v>3258</v>
      </c>
      <c r="K367">
        <v>1</v>
      </c>
      <c r="L367">
        <v>1</v>
      </c>
      <c r="M367">
        <v>150026</v>
      </c>
      <c r="N367" t="s">
        <v>3307</v>
      </c>
      <c r="O367" s="7" t="s">
        <v>70</v>
      </c>
      <c r="P367">
        <v>26</v>
      </c>
      <c r="Q367" t="s">
        <v>3308</v>
      </c>
      <c r="R367" t="s">
        <v>68</v>
      </c>
      <c r="S367" t="s">
        <v>889</v>
      </c>
    </row>
    <row r="368" spans="1:22" x14ac:dyDescent="0.3">
      <c r="A368" t="s">
        <v>1009</v>
      </c>
      <c r="B368" t="s">
        <v>1010</v>
      </c>
      <c r="C368" t="s">
        <v>3121</v>
      </c>
      <c r="D368" t="s">
        <v>842</v>
      </c>
      <c r="E368" t="s">
        <v>3219</v>
      </c>
      <c r="F368" t="s">
        <v>931</v>
      </c>
      <c r="G368" t="s">
        <v>3121</v>
      </c>
      <c r="H368" t="s">
        <v>842</v>
      </c>
      <c r="I368" s="1" t="s">
        <v>75</v>
      </c>
      <c r="J368" t="s">
        <v>3220</v>
      </c>
      <c r="K368">
        <v>1</v>
      </c>
      <c r="L368">
        <v>1</v>
      </c>
      <c r="M368">
        <v>219293</v>
      </c>
      <c r="N368" t="s">
        <v>3309</v>
      </c>
      <c r="O368" s="7" t="s">
        <v>70</v>
      </c>
      <c r="P368">
        <v>30</v>
      </c>
      <c r="Q368" t="s">
        <v>3310</v>
      </c>
      <c r="R368" t="s">
        <v>68</v>
      </c>
      <c r="S368" t="s">
        <v>889</v>
      </c>
      <c r="V368" s="7"/>
    </row>
    <row r="369" spans="1:22" x14ac:dyDescent="0.3">
      <c r="A369" t="s">
        <v>1011</v>
      </c>
      <c r="B369" t="s">
        <v>1012</v>
      </c>
      <c r="C369" t="s">
        <v>3311</v>
      </c>
      <c r="D369" t="s">
        <v>3312</v>
      </c>
      <c r="E369" s="1" t="s">
        <v>3313</v>
      </c>
      <c r="F369" t="s">
        <v>1012</v>
      </c>
      <c r="G369" t="s">
        <v>3311</v>
      </c>
      <c r="H369" t="s">
        <v>3312</v>
      </c>
      <c r="I369" s="1" t="s">
        <v>5039</v>
      </c>
      <c r="J369" t="s">
        <v>3314</v>
      </c>
      <c r="K369">
        <v>1</v>
      </c>
      <c r="L369">
        <v>1</v>
      </c>
      <c r="M369">
        <v>156923</v>
      </c>
      <c r="N369" t="s">
        <v>3315</v>
      </c>
      <c r="O369" s="7" t="s">
        <v>70</v>
      </c>
      <c r="P369">
        <v>79</v>
      </c>
      <c r="Q369" t="s">
        <v>3316</v>
      </c>
      <c r="R369" t="s">
        <v>68</v>
      </c>
      <c r="S369" t="s">
        <v>1013</v>
      </c>
    </row>
    <row r="370" spans="1:22" x14ac:dyDescent="0.3">
      <c r="A370" t="s">
        <v>1016</v>
      </c>
      <c r="B370" t="s">
        <v>1017</v>
      </c>
      <c r="C370" t="s">
        <v>3317</v>
      </c>
      <c r="D370" t="s">
        <v>3318</v>
      </c>
      <c r="E370" s="1" t="s">
        <v>3319</v>
      </c>
      <c r="F370" t="s">
        <v>1018</v>
      </c>
      <c r="G370" t="s">
        <v>3320</v>
      </c>
      <c r="H370" t="s">
        <v>1106</v>
      </c>
      <c r="I370" s="1" t="s">
        <v>5040</v>
      </c>
      <c r="J370" t="s">
        <v>3321</v>
      </c>
      <c r="K370">
        <v>1</v>
      </c>
      <c r="L370">
        <v>1</v>
      </c>
      <c r="M370">
        <v>245040</v>
      </c>
      <c r="N370" t="s">
        <v>3322</v>
      </c>
      <c r="O370" s="7" t="s">
        <v>70</v>
      </c>
      <c r="P370">
        <v>62</v>
      </c>
      <c r="Q370" t="s">
        <v>3323</v>
      </c>
      <c r="R370" t="s">
        <v>68</v>
      </c>
      <c r="S370" t="s">
        <v>1013</v>
      </c>
      <c r="V370" s="7"/>
    </row>
    <row r="371" spans="1:22" x14ac:dyDescent="0.3">
      <c r="A371" t="s">
        <v>1020</v>
      </c>
      <c r="B371" t="s">
        <v>1021</v>
      </c>
      <c r="C371" t="s">
        <v>3324</v>
      </c>
      <c r="D371" t="s">
        <v>3325</v>
      </c>
      <c r="E371" s="1" t="s">
        <v>3326</v>
      </c>
      <c r="F371" t="s">
        <v>1022</v>
      </c>
      <c r="G371" t="s">
        <v>3320</v>
      </c>
      <c r="H371" t="s">
        <v>1106</v>
      </c>
      <c r="I371" s="1" t="s">
        <v>5041</v>
      </c>
      <c r="J371" t="s">
        <v>3327</v>
      </c>
      <c r="K371">
        <v>1</v>
      </c>
      <c r="L371">
        <v>4</v>
      </c>
      <c r="M371">
        <v>210853</v>
      </c>
      <c r="N371" t="s">
        <v>3328</v>
      </c>
      <c r="O371" s="7" t="s">
        <v>70</v>
      </c>
      <c r="P371">
        <v>60</v>
      </c>
      <c r="Q371" t="s">
        <v>3329</v>
      </c>
      <c r="R371" t="s">
        <v>68</v>
      </c>
      <c r="S371" t="s">
        <v>1013</v>
      </c>
      <c r="V371" s="7"/>
    </row>
    <row r="372" spans="1:22" x14ac:dyDescent="0.3">
      <c r="A372" t="s">
        <v>1023</v>
      </c>
      <c r="B372" t="s">
        <v>1024</v>
      </c>
      <c r="C372" t="s">
        <v>3330</v>
      </c>
      <c r="D372" t="s">
        <v>3331</v>
      </c>
      <c r="E372" s="1" t="s">
        <v>3332</v>
      </c>
      <c r="F372" t="s">
        <v>1024</v>
      </c>
      <c r="G372" t="s">
        <v>3330</v>
      </c>
      <c r="H372" t="s">
        <v>3331</v>
      </c>
      <c r="I372" s="1">
        <v>45452</v>
      </c>
      <c r="J372" t="s">
        <v>3333</v>
      </c>
      <c r="K372">
        <v>1</v>
      </c>
      <c r="L372">
        <v>1</v>
      </c>
      <c r="M372">
        <v>164285</v>
      </c>
      <c r="N372" t="s">
        <v>3334</v>
      </c>
      <c r="O372" s="7" t="s">
        <v>70</v>
      </c>
      <c r="P372">
        <v>73</v>
      </c>
      <c r="Q372" t="s">
        <v>3335</v>
      </c>
      <c r="R372" t="s">
        <v>68</v>
      </c>
      <c r="S372" t="s">
        <v>1013</v>
      </c>
    </row>
    <row r="373" spans="1:22" x14ac:dyDescent="0.3">
      <c r="A373" t="s">
        <v>1025</v>
      </c>
      <c r="B373" t="s">
        <v>1026</v>
      </c>
      <c r="C373" t="s">
        <v>3336</v>
      </c>
      <c r="D373" t="s">
        <v>14</v>
      </c>
      <c r="E373" s="1" t="s">
        <v>3337</v>
      </c>
      <c r="F373" t="s">
        <v>1026</v>
      </c>
      <c r="G373" t="s">
        <v>3336</v>
      </c>
      <c r="H373" t="s">
        <v>14</v>
      </c>
      <c r="I373" s="1">
        <v>45416</v>
      </c>
      <c r="J373" t="s">
        <v>3338</v>
      </c>
      <c r="K373">
        <v>1</v>
      </c>
      <c r="L373">
        <v>1</v>
      </c>
      <c r="M373">
        <v>149667</v>
      </c>
      <c r="N373" t="s">
        <v>3339</v>
      </c>
      <c r="O373" s="7" t="s">
        <v>70</v>
      </c>
      <c r="P373">
        <v>82</v>
      </c>
      <c r="Q373" t="s">
        <v>3340</v>
      </c>
      <c r="R373" t="s">
        <v>68</v>
      </c>
      <c r="S373" t="s">
        <v>1013</v>
      </c>
      <c r="V373" s="7"/>
    </row>
    <row r="374" spans="1:22" x14ac:dyDescent="0.3">
      <c r="A374" t="s">
        <v>1028</v>
      </c>
      <c r="B374" t="s">
        <v>1029</v>
      </c>
      <c r="C374" t="s">
        <v>3341</v>
      </c>
      <c r="D374" t="s">
        <v>3342</v>
      </c>
      <c r="E374" s="1" t="s">
        <v>3343</v>
      </c>
      <c r="F374" t="s">
        <v>1029</v>
      </c>
      <c r="G374" t="s">
        <v>3341</v>
      </c>
      <c r="H374" t="s">
        <v>3342</v>
      </c>
      <c r="I374" s="1" t="s">
        <v>5042</v>
      </c>
      <c r="J374" t="s">
        <v>3344</v>
      </c>
      <c r="K374">
        <v>1</v>
      </c>
      <c r="L374">
        <v>1</v>
      </c>
      <c r="M374">
        <v>175238</v>
      </c>
      <c r="N374" t="s">
        <v>3345</v>
      </c>
      <c r="O374" s="7" t="s">
        <v>80</v>
      </c>
      <c r="P374">
        <v>83</v>
      </c>
      <c r="Q374" t="s">
        <v>3346</v>
      </c>
      <c r="R374" t="s">
        <v>68</v>
      </c>
      <c r="S374" t="s">
        <v>1013</v>
      </c>
    </row>
    <row r="375" spans="1:22" x14ac:dyDescent="0.3">
      <c r="A375" t="s">
        <v>1030</v>
      </c>
      <c r="B375" t="s">
        <v>1031</v>
      </c>
      <c r="C375" t="s">
        <v>3347</v>
      </c>
      <c r="D375" t="s">
        <v>3348</v>
      </c>
      <c r="E375" s="1" t="s">
        <v>3319</v>
      </c>
      <c r="F375" t="s">
        <v>1018</v>
      </c>
      <c r="G375" t="s">
        <v>3320</v>
      </c>
      <c r="H375" t="s">
        <v>1106</v>
      </c>
      <c r="I375" s="1" t="s">
        <v>5040</v>
      </c>
      <c r="J375" t="s">
        <v>3321</v>
      </c>
      <c r="K375">
        <v>1</v>
      </c>
      <c r="L375">
        <v>10</v>
      </c>
      <c r="M375">
        <v>194840</v>
      </c>
      <c r="N375" t="s">
        <v>3349</v>
      </c>
      <c r="O375" s="7" t="s">
        <v>80</v>
      </c>
      <c r="P375">
        <v>58</v>
      </c>
      <c r="Q375" t="s">
        <v>3350</v>
      </c>
      <c r="R375" t="s">
        <v>68</v>
      </c>
      <c r="S375" t="s">
        <v>1013</v>
      </c>
      <c r="V375" s="7"/>
    </row>
    <row r="376" spans="1:22" x14ac:dyDescent="0.3">
      <c r="A376" t="s">
        <v>1032</v>
      </c>
      <c r="B376" t="s">
        <v>1033</v>
      </c>
      <c r="C376" t="s">
        <v>3351</v>
      </c>
      <c r="D376" t="s">
        <v>3352</v>
      </c>
      <c r="E376" s="1" t="s">
        <v>3353</v>
      </c>
      <c r="F376" t="s">
        <v>1033</v>
      </c>
      <c r="G376" t="s">
        <v>3351</v>
      </c>
      <c r="H376" t="s">
        <v>3352</v>
      </c>
      <c r="I376" s="1">
        <v>45081</v>
      </c>
      <c r="J376" t="s">
        <v>3354</v>
      </c>
      <c r="K376">
        <v>1</v>
      </c>
      <c r="L376">
        <v>1</v>
      </c>
      <c r="M376">
        <v>140017</v>
      </c>
      <c r="N376" t="s">
        <v>3355</v>
      </c>
      <c r="O376" s="7" t="s">
        <v>70</v>
      </c>
      <c r="P376">
        <v>78</v>
      </c>
      <c r="Q376" t="s">
        <v>3356</v>
      </c>
      <c r="R376" t="s">
        <v>68</v>
      </c>
      <c r="S376" t="s">
        <v>1013</v>
      </c>
      <c r="V376" s="7"/>
    </row>
    <row r="377" spans="1:22" x14ac:dyDescent="0.3">
      <c r="A377" t="s">
        <v>1034</v>
      </c>
      <c r="B377" t="s">
        <v>1035</v>
      </c>
      <c r="C377" t="s">
        <v>3357</v>
      </c>
      <c r="D377" t="s">
        <v>3358</v>
      </c>
      <c r="E377" s="1" t="s">
        <v>3326</v>
      </c>
      <c r="F377" t="s">
        <v>1022</v>
      </c>
      <c r="G377" t="s">
        <v>3320</v>
      </c>
      <c r="H377" t="s">
        <v>1106</v>
      </c>
      <c r="I377" s="1" t="s">
        <v>5041</v>
      </c>
      <c r="J377" t="s">
        <v>3327</v>
      </c>
      <c r="K377">
        <v>1</v>
      </c>
      <c r="L377">
        <v>3</v>
      </c>
      <c r="M377">
        <v>195853</v>
      </c>
      <c r="N377" t="s">
        <v>3359</v>
      </c>
      <c r="O377" s="7" t="s">
        <v>80</v>
      </c>
      <c r="P377">
        <v>60</v>
      </c>
      <c r="Q377" t="s">
        <v>3360</v>
      </c>
      <c r="R377" t="s">
        <v>68</v>
      </c>
      <c r="S377" t="s">
        <v>1013</v>
      </c>
      <c r="V377" s="7"/>
    </row>
    <row r="378" spans="1:22" x14ac:dyDescent="0.3">
      <c r="A378" t="s">
        <v>1036</v>
      </c>
      <c r="B378" t="s">
        <v>1037</v>
      </c>
      <c r="C378" t="s">
        <v>3317</v>
      </c>
      <c r="D378" t="s">
        <v>3318</v>
      </c>
      <c r="E378" s="1" t="s">
        <v>3361</v>
      </c>
      <c r="F378" t="s">
        <v>1037</v>
      </c>
      <c r="G378" t="s">
        <v>3317</v>
      </c>
      <c r="H378" t="s">
        <v>3318</v>
      </c>
      <c r="I378" s="1" t="s">
        <v>5043</v>
      </c>
      <c r="J378" t="s">
        <v>3362</v>
      </c>
      <c r="K378">
        <v>1</v>
      </c>
      <c r="L378">
        <v>1</v>
      </c>
      <c r="M378">
        <v>195000</v>
      </c>
      <c r="N378" t="s">
        <v>3363</v>
      </c>
      <c r="O378" s="7" t="s">
        <v>70</v>
      </c>
      <c r="P378">
        <v>60</v>
      </c>
      <c r="Q378" t="s">
        <v>3364</v>
      </c>
      <c r="R378" t="s">
        <v>68</v>
      </c>
      <c r="S378" t="s">
        <v>1013</v>
      </c>
      <c r="V378" s="7"/>
    </row>
    <row r="379" spans="1:22" x14ac:dyDescent="0.3">
      <c r="A379" t="s">
        <v>1038</v>
      </c>
      <c r="B379" t="s">
        <v>1039</v>
      </c>
      <c r="C379" t="s">
        <v>3365</v>
      </c>
      <c r="D379" t="s">
        <v>3366</v>
      </c>
      <c r="E379" s="1" t="s">
        <v>3367</v>
      </c>
      <c r="F379" t="s">
        <v>1040</v>
      </c>
      <c r="G379" t="s">
        <v>3320</v>
      </c>
      <c r="H379" t="s">
        <v>1106</v>
      </c>
      <c r="I379" s="1" t="s">
        <v>5044</v>
      </c>
      <c r="J379" t="s">
        <v>3368</v>
      </c>
      <c r="K379">
        <v>1</v>
      </c>
      <c r="L379">
        <v>15</v>
      </c>
      <c r="M379">
        <v>193333</v>
      </c>
      <c r="N379" t="s">
        <v>3369</v>
      </c>
      <c r="O379" s="7" t="s">
        <v>70</v>
      </c>
      <c r="P379">
        <v>56</v>
      </c>
      <c r="Q379" t="s">
        <v>3370</v>
      </c>
      <c r="R379" t="s">
        <v>68</v>
      </c>
      <c r="S379" t="s">
        <v>1013</v>
      </c>
      <c r="V379" s="7"/>
    </row>
    <row r="380" spans="1:22" x14ac:dyDescent="0.3">
      <c r="A380" t="s">
        <v>1041</v>
      </c>
      <c r="B380" t="s">
        <v>1042</v>
      </c>
      <c r="C380" t="s">
        <v>3317</v>
      </c>
      <c r="D380" t="s">
        <v>3318</v>
      </c>
      <c r="E380" s="1" t="s">
        <v>3319</v>
      </c>
      <c r="F380" t="s">
        <v>1018</v>
      </c>
      <c r="G380" t="s">
        <v>3320</v>
      </c>
      <c r="H380" t="s">
        <v>1106</v>
      </c>
      <c r="I380" s="1" t="s">
        <v>5040</v>
      </c>
      <c r="J380" t="s">
        <v>3321</v>
      </c>
      <c r="K380">
        <v>1</v>
      </c>
      <c r="L380">
        <v>3</v>
      </c>
      <c r="M380">
        <v>222500</v>
      </c>
      <c r="N380" t="s">
        <v>3371</v>
      </c>
      <c r="O380" s="7" t="s">
        <v>70</v>
      </c>
      <c r="P380">
        <v>44</v>
      </c>
      <c r="Q380" t="s">
        <v>3372</v>
      </c>
      <c r="R380" t="s">
        <v>68</v>
      </c>
      <c r="S380" t="s">
        <v>1013</v>
      </c>
      <c r="V380" s="7"/>
    </row>
    <row r="381" spans="1:22" x14ac:dyDescent="0.3">
      <c r="A381" t="s">
        <v>1043</v>
      </c>
      <c r="B381" t="s">
        <v>1044</v>
      </c>
      <c r="C381" t="s">
        <v>3317</v>
      </c>
      <c r="D381" t="s">
        <v>3318</v>
      </c>
      <c r="E381" s="1" t="s">
        <v>3373</v>
      </c>
      <c r="F381" t="s">
        <v>1044</v>
      </c>
      <c r="G381" t="s">
        <v>3317</v>
      </c>
      <c r="H381" t="s">
        <v>3318</v>
      </c>
      <c r="I381" s="1">
        <v>44144</v>
      </c>
      <c r="J381" t="s">
        <v>3374</v>
      </c>
      <c r="K381">
        <v>1</v>
      </c>
      <c r="L381">
        <v>1</v>
      </c>
      <c r="M381">
        <v>200645</v>
      </c>
      <c r="N381" t="s">
        <v>3375</v>
      </c>
      <c r="O381" s="7" t="s">
        <v>70</v>
      </c>
      <c r="P381">
        <v>59</v>
      </c>
      <c r="Q381" t="s">
        <v>3376</v>
      </c>
      <c r="R381" t="s">
        <v>68</v>
      </c>
      <c r="S381" t="s">
        <v>1013</v>
      </c>
      <c r="V381" s="7"/>
    </row>
    <row r="382" spans="1:22" x14ac:dyDescent="0.3">
      <c r="A382" t="s">
        <v>1045</v>
      </c>
      <c r="B382" t="s">
        <v>1046</v>
      </c>
      <c r="C382" t="s">
        <v>3377</v>
      </c>
      <c r="D382" t="s">
        <v>3378</v>
      </c>
      <c r="E382" s="1" t="s">
        <v>3379</v>
      </c>
      <c r="F382" t="s">
        <v>1046</v>
      </c>
      <c r="G382" t="s">
        <v>3377</v>
      </c>
      <c r="H382" t="s">
        <v>3378</v>
      </c>
      <c r="I382" s="1" t="s">
        <v>5045</v>
      </c>
      <c r="J382" t="s">
        <v>3380</v>
      </c>
      <c r="K382">
        <v>1</v>
      </c>
      <c r="L382">
        <v>1</v>
      </c>
      <c r="M382">
        <v>237372</v>
      </c>
      <c r="N382" t="s">
        <v>3381</v>
      </c>
      <c r="O382" s="7" t="s">
        <v>70</v>
      </c>
      <c r="P382">
        <v>45</v>
      </c>
      <c r="Q382" t="s">
        <v>3382</v>
      </c>
      <c r="R382" t="s">
        <v>68</v>
      </c>
      <c r="S382" t="s">
        <v>1013</v>
      </c>
      <c r="V382" s="7"/>
    </row>
    <row r="383" spans="1:22" x14ac:dyDescent="0.3">
      <c r="A383" t="s">
        <v>1049</v>
      </c>
      <c r="B383" t="s">
        <v>1050</v>
      </c>
      <c r="C383" t="s">
        <v>3383</v>
      </c>
      <c r="D383" t="s">
        <v>3384</v>
      </c>
      <c r="E383" s="1" t="s">
        <v>3385</v>
      </c>
      <c r="F383" t="s">
        <v>1050</v>
      </c>
      <c r="G383" t="s">
        <v>3383</v>
      </c>
      <c r="H383" t="s">
        <v>3384</v>
      </c>
      <c r="I383" s="1">
        <v>44288</v>
      </c>
      <c r="J383" t="s">
        <v>3386</v>
      </c>
      <c r="K383">
        <v>1</v>
      </c>
      <c r="L383">
        <v>1</v>
      </c>
      <c r="M383">
        <v>177800</v>
      </c>
      <c r="N383" t="s">
        <v>3387</v>
      </c>
      <c r="O383" t="s">
        <v>70</v>
      </c>
      <c r="P383">
        <v>53</v>
      </c>
      <c r="Q383" t="s">
        <v>3388</v>
      </c>
      <c r="R383" t="s">
        <v>68</v>
      </c>
      <c r="S383" t="s">
        <v>1013</v>
      </c>
      <c r="V383" s="7"/>
    </row>
    <row r="384" spans="1:22" x14ac:dyDescent="0.3">
      <c r="A384" t="s">
        <v>1051</v>
      </c>
      <c r="B384" t="s">
        <v>1052</v>
      </c>
      <c r="C384" t="s">
        <v>3317</v>
      </c>
      <c r="D384" t="s">
        <v>3318</v>
      </c>
      <c r="E384" s="1" t="s">
        <v>3389</v>
      </c>
      <c r="F384" t="s">
        <v>1053</v>
      </c>
      <c r="G384" t="s">
        <v>3320</v>
      </c>
      <c r="H384" t="s">
        <v>1106</v>
      </c>
      <c r="I384" s="1">
        <v>41923</v>
      </c>
      <c r="J384" t="s">
        <v>3390</v>
      </c>
      <c r="K384">
        <v>1</v>
      </c>
      <c r="L384">
        <v>14</v>
      </c>
      <c r="M384">
        <v>234666</v>
      </c>
      <c r="N384" t="s">
        <v>3391</v>
      </c>
      <c r="O384" s="7" t="s">
        <v>70</v>
      </c>
      <c r="P384">
        <v>34</v>
      </c>
      <c r="Q384" t="s">
        <v>3392</v>
      </c>
      <c r="R384" t="s">
        <v>68</v>
      </c>
      <c r="S384" t="s">
        <v>1013</v>
      </c>
      <c r="V384" s="7"/>
    </row>
    <row r="385" spans="1:22" x14ac:dyDescent="0.3">
      <c r="A385" t="s">
        <v>1054</v>
      </c>
      <c r="B385" t="s">
        <v>1055</v>
      </c>
      <c r="C385" t="s">
        <v>3317</v>
      </c>
      <c r="D385" t="s">
        <v>3318</v>
      </c>
      <c r="E385" s="1" t="s">
        <v>3393</v>
      </c>
      <c r="F385">
        <v>7</v>
      </c>
      <c r="G385" t="s">
        <v>3320</v>
      </c>
      <c r="H385" t="s">
        <v>1106</v>
      </c>
      <c r="I385" s="1" t="s">
        <v>5046</v>
      </c>
      <c r="J385" t="s">
        <v>3394</v>
      </c>
      <c r="K385">
        <v>1</v>
      </c>
      <c r="L385">
        <v>15</v>
      </c>
      <c r="M385">
        <v>178720</v>
      </c>
      <c r="N385" t="s">
        <v>3395</v>
      </c>
      <c r="O385" s="7" t="s">
        <v>70</v>
      </c>
      <c r="P385">
        <v>32</v>
      </c>
      <c r="Q385" t="s">
        <v>3396</v>
      </c>
      <c r="R385" t="s">
        <v>68</v>
      </c>
      <c r="S385" t="s">
        <v>1013</v>
      </c>
      <c r="V385" s="7"/>
    </row>
    <row r="386" spans="1:22" x14ac:dyDescent="0.3">
      <c r="A386" t="s">
        <v>1056</v>
      </c>
      <c r="B386" t="s">
        <v>1057</v>
      </c>
      <c r="C386" t="s">
        <v>3397</v>
      </c>
      <c r="D386" t="s">
        <v>3398</v>
      </c>
      <c r="E386" s="1" t="s">
        <v>3399</v>
      </c>
      <c r="F386" t="s">
        <v>1057</v>
      </c>
      <c r="G386" t="s">
        <v>3397</v>
      </c>
      <c r="H386" t="s">
        <v>3398</v>
      </c>
      <c r="I386" s="1">
        <v>45630</v>
      </c>
      <c r="J386" t="s">
        <v>3400</v>
      </c>
      <c r="K386">
        <v>1</v>
      </c>
      <c r="L386">
        <v>1</v>
      </c>
      <c r="M386">
        <v>203307</v>
      </c>
      <c r="N386" t="s">
        <v>3401</v>
      </c>
      <c r="O386" s="7" t="s">
        <v>70</v>
      </c>
      <c r="P386">
        <v>61</v>
      </c>
      <c r="Q386" t="s">
        <v>3402</v>
      </c>
      <c r="R386" t="s">
        <v>68</v>
      </c>
      <c r="S386" t="s">
        <v>1013</v>
      </c>
      <c r="V386" s="7"/>
    </row>
    <row r="387" spans="1:22" x14ac:dyDescent="0.3">
      <c r="A387" t="s">
        <v>1059</v>
      </c>
      <c r="B387" t="s">
        <v>1060</v>
      </c>
      <c r="C387" t="s">
        <v>3403</v>
      </c>
      <c r="D387" t="s">
        <v>3404</v>
      </c>
      <c r="E387" s="1" t="s">
        <v>3319</v>
      </c>
      <c r="F387" t="s">
        <v>1018</v>
      </c>
      <c r="G387" t="s">
        <v>3320</v>
      </c>
      <c r="H387" t="s">
        <v>1106</v>
      </c>
      <c r="I387" s="1" t="s">
        <v>5040</v>
      </c>
      <c r="J387" t="s">
        <v>3321</v>
      </c>
      <c r="K387">
        <v>1</v>
      </c>
      <c r="L387">
        <v>4</v>
      </c>
      <c r="M387">
        <v>208133</v>
      </c>
      <c r="N387" t="s">
        <v>3405</v>
      </c>
      <c r="O387" s="7" t="s">
        <v>70</v>
      </c>
      <c r="P387">
        <v>55</v>
      </c>
      <c r="Q387" t="s">
        <v>3406</v>
      </c>
      <c r="R387" t="s">
        <v>68</v>
      </c>
      <c r="S387" t="s">
        <v>1013</v>
      </c>
      <c r="V387" s="7"/>
    </row>
    <row r="388" spans="1:22" x14ac:dyDescent="0.3">
      <c r="A388" t="s">
        <v>1062</v>
      </c>
      <c r="B388" t="s">
        <v>1063</v>
      </c>
      <c r="C388" t="s">
        <v>3407</v>
      </c>
      <c r="D388" t="s">
        <v>3408</v>
      </c>
      <c r="E388" s="1" t="s">
        <v>3409</v>
      </c>
      <c r="F388" t="s">
        <v>1063</v>
      </c>
      <c r="G388" t="s">
        <v>3407</v>
      </c>
      <c r="H388" t="s">
        <v>3408</v>
      </c>
      <c r="I388" s="1">
        <v>45210</v>
      </c>
      <c r="J388" t="s">
        <v>3410</v>
      </c>
      <c r="K388">
        <v>1</v>
      </c>
      <c r="L388">
        <v>1</v>
      </c>
      <c r="M388">
        <v>147432</v>
      </c>
      <c r="N388" t="s">
        <v>3411</v>
      </c>
      <c r="O388" s="7" t="s">
        <v>70</v>
      </c>
      <c r="P388">
        <v>75</v>
      </c>
      <c r="Q388" t="s">
        <v>3412</v>
      </c>
      <c r="R388" t="s">
        <v>68</v>
      </c>
      <c r="S388" t="s">
        <v>1013</v>
      </c>
      <c r="V388" s="7"/>
    </row>
    <row r="389" spans="1:22" x14ac:dyDescent="0.3">
      <c r="A389" t="s">
        <v>1064</v>
      </c>
      <c r="B389" t="s">
        <v>1065</v>
      </c>
      <c r="C389" t="s">
        <v>3413</v>
      </c>
      <c r="D389" t="s">
        <v>3414</v>
      </c>
      <c r="E389" s="1" t="s">
        <v>3319</v>
      </c>
      <c r="F389" t="s">
        <v>1018</v>
      </c>
      <c r="G389" t="s">
        <v>3320</v>
      </c>
      <c r="H389" t="s">
        <v>1106</v>
      </c>
      <c r="I389" s="1" t="s">
        <v>5040</v>
      </c>
      <c r="J389" t="s">
        <v>3321</v>
      </c>
      <c r="K389">
        <v>1</v>
      </c>
      <c r="L389">
        <v>6</v>
      </c>
      <c r="M389">
        <v>201000</v>
      </c>
      <c r="N389" t="s">
        <v>3415</v>
      </c>
      <c r="O389" s="7" t="s">
        <v>70</v>
      </c>
      <c r="P389">
        <v>52</v>
      </c>
      <c r="Q389" t="s">
        <v>3416</v>
      </c>
      <c r="R389" t="s">
        <v>68</v>
      </c>
      <c r="S389" t="s">
        <v>1013</v>
      </c>
      <c r="V389" s="7"/>
    </row>
    <row r="390" spans="1:22" x14ac:dyDescent="0.3">
      <c r="A390" t="s">
        <v>1066</v>
      </c>
      <c r="B390" t="s">
        <v>1067</v>
      </c>
      <c r="C390" t="s">
        <v>3417</v>
      </c>
      <c r="D390" t="s">
        <v>3418</v>
      </c>
      <c r="E390" s="1" t="s">
        <v>3389</v>
      </c>
      <c r="F390" t="s">
        <v>1053</v>
      </c>
      <c r="G390" t="s">
        <v>3320</v>
      </c>
      <c r="H390" t="s">
        <v>1106</v>
      </c>
      <c r="I390" s="1">
        <v>41923</v>
      </c>
      <c r="J390" t="s">
        <v>3390</v>
      </c>
      <c r="K390">
        <v>1</v>
      </c>
      <c r="L390">
        <v>10</v>
      </c>
      <c r="M390">
        <v>192560</v>
      </c>
      <c r="N390" t="s">
        <v>3419</v>
      </c>
      <c r="O390" s="7" t="s">
        <v>70</v>
      </c>
      <c r="P390">
        <v>71</v>
      </c>
      <c r="Q390" t="s">
        <v>3420</v>
      </c>
      <c r="R390" t="s">
        <v>68</v>
      </c>
      <c r="S390" t="s">
        <v>1013</v>
      </c>
      <c r="V390" s="7"/>
    </row>
    <row r="391" spans="1:22" x14ac:dyDescent="0.3">
      <c r="A391" t="s">
        <v>1068</v>
      </c>
      <c r="B391" t="s">
        <v>1069</v>
      </c>
      <c r="C391" t="s">
        <v>3421</v>
      </c>
      <c r="D391" t="s">
        <v>3422</v>
      </c>
      <c r="E391" s="1" t="s">
        <v>3423</v>
      </c>
      <c r="F391" t="s">
        <v>1069</v>
      </c>
      <c r="G391" t="s">
        <v>3421</v>
      </c>
      <c r="H391" t="s">
        <v>3422</v>
      </c>
      <c r="I391" s="1">
        <v>44777</v>
      </c>
      <c r="J391" t="s">
        <v>3424</v>
      </c>
      <c r="K391">
        <v>1</v>
      </c>
      <c r="L391">
        <v>1</v>
      </c>
      <c r="M391">
        <v>169756</v>
      </c>
      <c r="N391" t="s">
        <v>3425</v>
      </c>
      <c r="O391" s="7" t="s">
        <v>70</v>
      </c>
      <c r="P391">
        <v>69</v>
      </c>
      <c r="Q391" t="s">
        <v>3426</v>
      </c>
      <c r="R391" t="s">
        <v>68</v>
      </c>
      <c r="S391" t="s">
        <v>1013</v>
      </c>
      <c r="V391" s="7"/>
    </row>
    <row r="392" spans="1:22" x14ac:dyDescent="0.3">
      <c r="A392" t="s">
        <v>1070</v>
      </c>
      <c r="B392" t="s">
        <v>1071</v>
      </c>
      <c r="C392" t="s">
        <v>3427</v>
      </c>
      <c r="D392" t="s">
        <v>3428</v>
      </c>
      <c r="E392" s="1" t="s">
        <v>3326</v>
      </c>
      <c r="F392" t="s">
        <v>1022</v>
      </c>
      <c r="G392" t="s">
        <v>3320</v>
      </c>
      <c r="H392" t="s">
        <v>1106</v>
      </c>
      <c r="I392" s="1" t="s">
        <v>5041</v>
      </c>
      <c r="J392" t="s">
        <v>3327</v>
      </c>
      <c r="K392">
        <v>1</v>
      </c>
      <c r="L392">
        <v>1</v>
      </c>
      <c r="M392">
        <v>191000</v>
      </c>
      <c r="N392" t="s">
        <v>3429</v>
      </c>
      <c r="O392" s="7" t="s">
        <v>70</v>
      </c>
      <c r="P392">
        <v>55</v>
      </c>
      <c r="Q392" t="s">
        <v>3430</v>
      </c>
      <c r="R392" t="s">
        <v>68</v>
      </c>
      <c r="S392" t="s">
        <v>1013</v>
      </c>
      <c r="V392" s="7"/>
    </row>
    <row r="393" spans="1:22" x14ac:dyDescent="0.3">
      <c r="A393" t="s">
        <v>1072</v>
      </c>
      <c r="B393" t="s">
        <v>1073</v>
      </c>
      <c r="C393" t="s">
        <v>3431</v>
      </c>
      <c r="D393" t="s">
        <v>3432</v>
      </c>
      <c r="E393" s="1" t="s">
        <v>3326</v>
      </c>
      <c r="F393" t="s">
        <v>1022</v>
      </c>
      <c r="G393" t="s">
        <v>3320</v>
      </c>
      <c r="H393" t="s">
        <v>1106</v>
      </c>
      <c r="I393" s="1" t="s">
        <v>5041</v>
      </c>
      <c r="J393" t="s">
        <v>3327</v>
      </c>
      <c r="K393">
        <v>2</v>
      </c>
      <c r="L393">
        <v>1</v>
      </c>
      <c r="M393">
        <v>201040</v>
      </c>
      <c r="N393" t="s">
        <v>3433</v>
      </c>
      <c r="O393" s="7" t="s">
        <v>70</v>
      </c>
      <c r="P393">
        <v>57</v>
      </c>
      <c r="Q393" t="s">
        <v>3434</v>
      </c>
      <c r="R393" t="s">
        <v>68</v>
      </c>
      <c r="S393" t="s">
        <v>1013</v>
      </c>
      <c r="V393" s="7"/>
    </row>
    <row r="394" spans="1:22" x14ac:dyDescent="0.3">
      <c r="A394" t="s">
        <v>1074</v>
      </c>
      <c r="B394" t="s">
        <v>1075</v>
      </c>
      <c r="C394" t="s">
        <v>3435</v>
      </c>
      <c r="D394" t="s">
        <v>3436</v>
      </c>
      <c r="E394" s="1" t="s">
        <v>3437</v>
      </c>
      <c r="F394" t="s">
        <v>1075</v>
      </c>
      <c r="G394" t="s">
        <v>3435</v>
      </c>
      <c r="H394" t="s">
        <v>3436</v>
      </c>
      <c r="I394" s="1">
        <v>45024</v>
      </c>
      <c r="J394" t="s">
        <v>3438</v>
      </c>
      <c r="K394">
        <v>1</v>
      </c>
      <c r="L394">
        <v>1</v>
      </c>
      <c r="M394">
        <v>160529</v>
      </c>
      <c r="N394" t="s">
        <v>3439</v>
      </c>
      <c r="O394" s="7" t="s">
        <v>70</v>
      </c>
      <c r="P394">
        <v>67</v>
      </c>
      <c r="Q394" t="s">
        <v>3440</v>
      </c>
      <c r="R394" t="s">
        <v>68</v>
      </c>
      <c r="S394" t="s">
        <v>1013</v>
      </c>
      <c r="V394" s="7"/>
    </row>
    <row r="395" spans="1:22" x14ac:dyDescent="0.3">
      <c r="A395" t="s">
        <v>1076</v>
      </c>
      <c r="B395" t="s">
        <v>1077</v>
      </c>
      <c r="C395" t="s">
        <v>3441</v>
      </c>
      <c r="D395" t="s">
        <v>3442</v>
      </c>
      <c r="E395" s="1" t="s">
        <v>3443</v>
      </c>
      <c r="F395" t="s">
        <v>1078</v>
      </c>
      <c r="G395" t="s">
        <v>3441</v>
      </c>
      <c r="H395" t="s">
        <v>3442</v>
      </c>
      <c r="I395" s="1">
        <v>41794</v>
      </c>
      <c r="J395" t="s">
        <v>3444</v>
      </c>
      <c r="K395">
        <v>1</v>
      </c>
      <c r="L395">
        <v>1</v>
      </c>
      <c r="M395">
        <v>170625</v>
      </c>
      <c r="N395" t="s">
        <v>3445</v>
      </c>
      <c r="O395" s="7" t="s">
        <v>70</v>
      </c>
      <c r="P395">
        <v>61</v>
      </c>
      <c r="Q395" t="s">
        <v>3446</v>
      </c>
      <c r="R395" t="s">
        <v>68</v>
      </c>
      <c r="S395" t="s">
        <v>1013</v>
      </c>
      <c r="V395" s="7"/>
    </row>
    <row r="396" spans="1:22" x14ac:dyDescent="0.3">
      <c r="A396" t="s">
        <v>1080</v>
      </c>
      <c r="B396" t="s">
        <v>1081</v>
      </c>
      <c r="C396" t="s">
        <v>3447</v>
      </c>
      <c r="D396" t="s">
        <v>3448</v>
      </c>
      <c r="E396" s="1" t="s">
        <v>3449</v>
      </c>
      <c r="F396" t="s">
        <v>1081</v>
      </c>
      <c r="G396" t="s">
        <v>3447</v>
      </c>
      <c r="H396" t="s">
        <v>3448</v>
      </c>
      <c r="I396" s="1">
        <v>44903</v>
      </c>
      <c r="J396" t="s">
        <v>3450</v>
      </c>
      <c r="K396">
        <v>1</v>
      </c>
      <c r="L396">
        <v>1</v>
      </c>
      <c r="M396">
        <v>155676</v>
      </c>
      <c r="N396" t="s">
        <v>3451</v>
      </c>
      <c r="O396" s="7" t="s">
        <v>70</v>
      </c>
      <c r="P396">
        <v>66</v>
      </c>
      <c r="Q396" t="s">
        <v>3452</v>
      </c>
      <c r="R396" t="s">
        <v>68</v>
      </c>
      <c r="S396" t="s">
        <v>1013</v>
      </c>
      <c r="V396" s="7"/>
    </row>
    <row r="397" spans="1:22" x14ac:dyDescent="0.3">
      <c r="A397" t="s">
        <v>1083</v>
      </c>
      <c r="B397" t="s">
        <v>1084</v>
      </c>
      <c r="C397" t="s">
        <v>3453</v>
      </c>
      <c r="D397" t="s">
        <v>3454</v>
      </c>
      <c r="E397" s="1" t="s">
        <v>3393</v>
      </c>
      <c r="F397">
        <v>7</v>
      </c>
      <c r="G397" t="s">
        <v>3320</v>
      </c>
      <c r="H397" t="s">
        <v>1106</v>
      </c>
      <c r="I397" s="1" t="s">
        <v>5046</v>
      </c>
      <c r="J397" t="s">
        <v>3394</v>
      </c>
      <c r="K397">
        <v>1</v>
      </c>
      <c r="L397">
        <v>5</v>
      </c>
      <c r="M397">
        <v>198946</v>
      </c>
      <c r="N397" t="s">
        <v>3455</v>
      </c>
      <c r="O397" s="7" t="s">
        <v>70</v>
      </c>
      <c r="P397">
        <v>63</v>
      </c>
      <c r="Q397" t="s">
        <v>3456</v>
      </c>
      <c r="R397" t="s">
        <v>68</v>
      </c>
      <c r="S397" t="s">
        <v>1013</v>
      </c>
      <c r="V397" s="7"/>
    </row>
    <row r="398" spans="1:22" x14ac:dyDescent="0.3">
      <c r="A398" t="s">
        <v>1086</v>
      </c>
      <c r="B398" t="s">
        <v>1087</v>
      </c>
      <c r="C398" t="s">
        <v>3457</v>
      </c>
      <c r="D398" t="s">
        <v>3458</v>
      </c>
      <c r="E398" s="1" t="s">
        <v>3319</v>
      </c>
      <c r="F398" t="s">
        <v>1018</v>
      </c>
      <c r="G398" t="s">
        <v>3320</v>
      </c>
      <c r="H398" t="s">
        <v>1106</v>
      </c>
      <c r="I398" s="1" t="s">
        <v>5040</v>
      </c>
      <c r="J398" t="s">
        <v>3321</v>
      </c>
      <c r="K398">
        <v>1</v>
      </c>
      <c r="L398">
        <v>2</v>
      </c>
      <c r="M398">
        <v>199680</v>
      </c>
      <c r="N398" t="s">
        <v>3459</v>
      </c>
      <c r="O398" s="7" t="s">
        <v>70</v>
      </c>
      <c r="P398">
        <v>51</v>
      </c>
      <c r="Q398" t="s">
        <v>3460</v>
      </c>
      <c r="R398" t="s">
        <v>68</v>
      </c>
      <c r="S398" t="s">
        <v>1013</v>
      </c>
    </row>
    <row r="399" spans="1:22" x14ac:dyDescent="0.3">
      <c r="A399" t="s">
        <v>1088</v>
      </c>
      <c r="B399" t="s">
        <v>1089</v>
      </c>
      <c r="C399" t="s">
        <v>3461</v>
      </c>
      <c r="D399" t="s">
        <v>3462</v>
      </c>
      <c r="E399" s="1" t="s">
        <v>3463</v>
      </c>
      <c r="F399" t="s">
        <v>1089</v>
      </c>
      <c r="G399" t="s">
        <v>3461</v>
      </c>
      <c r="H399" t="s">
        <v>3462</v>
      </c>
      <c r="I399" s="1">
        <v>45294</v>
      </c>
      <c r="J399" t="s">
        <v>3464</v>
      </c>
      <c r="K399">
        <v>1</v>
      </c>
      <c r="L399">
        <v>1</v>
      </c>
      <c r="M399">
        <v>172268</v>
      </c>
      <c r="N399" t="s">
        <v>3465</v>
      </c>
      <c r="O399" s="7" t="s">
        <v>70</v>
      </c>
      <c r="P399">
        <v>59</v>
      </c>
      <c r="Q399" t="s">
        <v>3466</v>
      </c>
      <c r="R399" t="s">
        <v>68</v>
      </c>
      <c r="S399" t="s">
        <v>1013</v>
      </c>
      <c r="V399" s="7"/>
    </row>
    <row r="400" spans="1:22" x14ac:dyDescent="0.3">
      <c r="A400" t="s">
        <v>1090</v>
      </c>
      <c r="B400" t="s">
        <v>1091</v>
      </c>
      <c r="C400" t="s">
        <v>3467</v>
      </c>
      <c r="D400" t="s">
        <v>3468</v>
      </c>
      <c r="E400" s="1" t="s">
        <v>3389</v>
      </c>
      <c r="F400" t="s">
        <v>1053</v>
      </c>
      <c r="G400" t="s">
        <v>3320</v>
      </c>
      <c r="H400" t="s">
        <v>1106</v>
      </c>
      <c r="I400" s="1">
        <v>41923</v>
      </c>
      <c r="J400" t="s">
        <v>3390</v>
      </c>
      <c r="K400">
        <v>1</v>
      </c>
      <c r="L400">
        <v>4</v>
      </c>
      <c r="M400">
        <v>203520</v>
      </c>
      <c r="N400" t="s">
        <v>3469</v>
      </c>
      <c r="O400" s="7" t="s">
        <v>70</v>
      </c>
      <c r="P400">
        <v>69</v>
      </c>
      <c r="Q400" t="s">
        <v>3470</v>
      </c>
      <c r="R400" t="s">
        <v>68</v>
      </c>
      <c r="S400" t="s">
        <v>1013</v>
      </c>
      <c r="V400" s="7"/>
    </row>
    <row r="401" spans="1:22" x14ac:dyDescent="0.3">
      <c r="A401" t="s">
        <v>1092</v>
      </c>
      <c r="B401" t="s">
        <v>1093</v>
      </c>
      <c r="C401" t="s">
        <v>3471</v>
      </c>
      <c r="D401" t="s">
        <v>3472</v>
      </c>
      <c r="E401" s="1" t="s">
        <v>3473</v>
      </c>
      <c r="F401" t="s">
        <v>1094</v>
      </c>
      <c r="G401" t="s">
        <v>3320</v>
      </c>
      <c r="H401" t="s">
        <v>1106</v>
      </c>
      <c r="I401" s="1" t="s">
        <v>91</v>
      </c>
      <c r="J401" t="s">
        <v>3474</v>
      </c>
      <c r="K401">
        <v>1</v>
      </c>
      <c r="L401">
        <v>1</v>
      </c>
      <c r="M401">
        <v>207272</v>
      </c>
      <c r="N401" t="s">
        <v>3475</v>
      </c>
      <c r="O401" s="7" t="s">
        <v>70</v>
      </c>
      <c r="P401">
        <v>66</v>
      </c>
      <c r="Q401" t="s">
        <v>3476</v>
      </c>
      <c r="R401" t="s">
        <v>68</v>
      </c>
      <c r="S401" t="s">
        <v>1013</v>
      </c>
      <c r="V401" s="7"/>
    </row>
    <row r="402" spans="1:22" x14ac:dyDescent="0.3">
      <c r="A402" t="s">
        <v>1095</v>
      </c>
      <c r="B402" t="s">
        <v>1096</v>
      </c>
      <c r="C402" t="s">
        <v>3477</v>
      </c>
      <c r="D402" t="s">
        <v>3478</v>
      </c>
      <c r="E402" s="1" t="s">
        <v>3479</v>
      </c>
      <c r="F402" t="s">
        <v>1096</v>
      </c>
      <c r="G402" t="s">
        <v>3477</v>
      </c>
      <c r="H402" t="s">
        <v>3478</v>
      </c>
      <c r="I402" s="1" t="s">
        <v>5047</v>
      </c>
      <c r="J402" t="s">
        <v>3480</v>
      </c>
      <c r="K402">
        <v>1</v>
      </c>
      <c r="L402">
        <v>1</v>
      </c>
      <c r="M402">
        <v>178087</v>
      </c>
      <c r="N402" t="s">
        <v>3481</v>
      </c>
      <c r="O402" s="7" t="s">
        <v>70</v>
      </c>
      <c r="P402">
        <v>65</v>
      </c>
      <c r="Q402" t="s">
        <v>3482</v>
      </c>
      <c r="R402" t="s">
        <v>68</v>
      </c>
      <c r="S402" t="s">
        <v>1013</v>
      </c>
      <c r="V402" s="7"/>
    </row>
    <row r="403" spans="1:22" x14ac:dyDescent="0.3">
      <c r="A403" t="s">
        <v>1099</v>
      </c>
      <c r="B403" t="s">
        <v>1100</v>
      </c>
      <c r="I403" s="1"/>
    </row>
    <row r="404" spans="1:22" x14ac:dyDescent="0.3">
      <c r="A404" t="s">
        <v>1101</v>
      </c>
      <c r="B404" t="s">
        <v>1102</v>
      </c>
      <c r="C404" t="s">
        <v>3483</v>
      </c>
      <c r="D404" t="s">
        <v>3484</v>
      </c>
      <c r="E404" s="1" t="s">
        <v>3485</v>
      </c>
      <c r="F404" t="s">
        <v>1102</v>
      </c>
      <c r="G404" t="s">
        <v>3320</v>
      </c>
      <c r="H404" t="s">
        <v>1106</v>
      </c>
      <c r="I404" s="1">
        <v>42984</v>
      </c>
      <c r="J404" t="s">
        <v>3486</v>
      </c>
      <c r="K404">
        <v>1</v>
      </c>
      <c r="L404">
        <v>1</v>
      </c>
      <c r="M404">
        <v>194896</v>
      </c>
      <c r="N404" t="s">
        <v>3487</v>
      </c>
      <c r="O404" s="7" t="s">
        <v>70</v>
      </c>
      <c r="P404">
        <v>61</v>
      </c>
      <c r="Q404" t="s">
        <v>3488</v>
      </c>
      <c r="R404" t="s">
        <v>68</v>
      </c>
      <c r="S404" t="s">
        <v>1013</v>
      </c>
      <c r="V404" s="7"/>
    </row>
    <row r="405" spans="1:22" x14ac:dyDescent="0.3">
      <c r="A405" t="s">
        <v>1103</v>
      </c>
      <c r="B405" t="s">
        <v>1104</v>
      </c>
      <c r="C405" t="s">
        <v>3320</v>
      </c>
      <c r="D405" t="s">
        <v>1106</v>
      </c>
      <c r="E405" s="1" t="s">
        <v>3489</v>
      </c>
      <c r="F405" t="s">
        <v>1105</v>
      </c>
      <c r="G405" t="s">
        <v>3320</v>
      </c>
      <c r="H405" t="s">
        <v>1106</v>
      </c>
      <c r="I405" s="1" t="s">
        <v>5048</v>
      </c>
      <c r="J405" t="s">
        <v>3490</v>
      </c>
      <c r="K405">
        <v>1</v>
      </c>
      <c r="L405">
        <v>2</v>
      </c>
      <c r="M405">
        <v>216893</v>
      </c>
      <c r="N405" t="s">
        <v>3491</v>
      </c>
      <c r="O405" s="7" t="s">
        <v>70</v>
      </c>
      <c r="P405">
        <v>60</v>
      </c>
      <c r="Q405" t="s">
        <v>3492</v>
      </c>
      <c r="R405" t="s">
        <v>68</v>
      </c>
      <c r="S405" t="s">
        <v>1013</v>
      </c>
      <c r="V405" s="7"/>
    </row>
    <row r="406" spans="1:22" x14ac:dyDescent="0.3">
      <c r="A406" t="s">
        <v>1107</v>
      </c>
      <c r="B406" t="s">
        <v>1108</v>
      </c>
      <c r="C406" t="s">
        <v>3320</v>
      </c>
      <c r="D406" t="s">
        <v>1106</v>
      </c>
      <c r="E406" s="1" t="s">
        <v>3493</v>
      </c>
      <c r="F406" t="s">
        <v>1108</v>
      </c>
      <c r="G406" t="s">
        <v>3320</v>
      </c>
      <c r="H406" t="s">
        <v>1106</v>
      </c>
      <c r="I406" s="1" t="s">
        <v>5049</v>
      </c>
      <c r="J406" t="s">
        <v>3494</v>
      </c>
      <c r="K406">
        <v>1</v>
      </c>
      <c r="L406">
        <v>1</v>
      </c>
      <c r="M406">
        <v>158391</v>
      </c>
      <c r="N406" t="s">
        <v>3495</v>
      </c>
      <c r="O406" s="7" t="s">
        <v>70</v>
      </c>
      <c r="P406">
        <v>61</v>
      </c>
      <c r="Q406" t="s">
        <v>3496</v>
      </c>
      <c r="R406" t="s">
        <v>68</v>
      </c>
      <c r="S406" t="s">
        <v>1013</v>
      </c>
      <c r="V406" s="7"/>
    </row>
    <row r="407" spans="1:22" x14ac:dyDescent="0.3">
      <c r="A407" t="s">
        <v>1110</v>
      </c>
      <c r="B407" t="s">
        <v>1111</v>
      </c>
      <c r="C407" t="s">
        <v>3497</v>
      </c>
      <c r="D407" t="s">
        <v>3498</v>
      </c>
      <c r="E407" s="1" t="s">
        <v>3499</v>
      </c>
      <c r="F407" t="s">
        <v>1111</v>
      </c>
      <c r="G407" t="s">
        <v>3497</v>
      </c>
      <c r="H407" t="s">
        <v>3498</v>
      </c>
      <c r="I407" s="1" t="s">
        <v>5050</v>
      </c>
      <c r="J407" t="s">
        <v>3500</v>
      </c>
      <c r="K407">
        <v>1</v>
      </c>
      <c r="L407">
        <v>1</v>
      </c>
      <c r="M407">
        <v>202500</v>
      </c>
      <c r="N407" t="s">
        <v>3501</v>
      </c>
      <c r="O407" s="7" t="s">
        <v>70</v>
      </c>
      <c r="P407">
        <v>58</v>
      </c>
      <c r="Q407" t="s">
        <v>3502</v>
      </c>
      <c r="R407" t="s">
        <v>68</v>
      </c>
      <c r="S407" t="s">
        <v>1013</v>
      </c>
      <c r="V407" s="7"/>
    </row>
    <row r="408" spans="1:22" x14ac:dyDescent="0.3">
      <c r="A408" t="s">
        <v>1113</v>
      </c>
      <c r="B408" t="s">
        <v>1114</v>
      </c>
      <c r="C408" t="s">
        <v>3503</v>
      </c>
      <c r="D408" t="s">
        <v>3504</v>
      </c>
      <c r="E408" s="1" t="s">
        <v>3326</v>
      </c>
      <c r="F408" t="s">
        <v>1022</v>
      </c>
      <c r="G408" t="s">
        <v>3320</v>
      </c>
      <c r="H408" t="s">
        <v>1106</v>
      </c>
      <c r="I408" s="1" t="s">
        <v>5041</v>
      </c>
      <c r="J408" t="s">
        <v>3327</v>
      </c>
      <c r="K408">
        <v>2</v>
      </c>
      <c r="L408">
        <v>13</v>
      </c>
      <c r="M408">
        <v>186320</v>
      </c>
      <c r="N408" t="s">
        <v>3505</v>
      </c>
      <c r="O408" s="7" t="s">
        <v>70</v>
      </c>
      <c r="P408">
        <v>28</v>
      </c>
      <c r="Q408" t="s">
        <v>3506</v>
      </c>
      <c r="R408" t="s">
        <v>68</v>
      </c>
      <c r="S408" t="s">
        <v>1013</v>
      </c>
      <c r="V408" s="7"/>
    </row>
    <row r="409" spans="1:22" x14ac:dyDescent="0.3">
      <c r="A409" t="s">
        <v>1115</v>
      </c>
      <c r="B409" t="s">
        <v>1116</v>
      </c>
      <c r="C409" t="s">
        <v>3507</v>
      </c>
      <c r="D409" t="s">
        <v>3508</v>
      </c>
      <c r="E409" t="s">
        <v>3509</v>
      </c>
      <c r="F409" t="s">
        <v>1116</v>
      </c>
      <c r="G409" t="s">
        <v>3507</v>
      </c>
      <c r="H409" t="s">
        <v>3508</v>
      </c>
      <c r="I409" s="1" t="s">
        <v>5051</v>
      </c>
      <c r="J409" t="s">
        <v>3510</v>
      </c>
      <c r="K409">
        <v>1</v>
      </c>
      <c r="L409">
        <v>1</v>
      </c>
      <c r="M409">
        <v>184390</v>
      </c>
      <c r="N409" t="s">
        <v>3511</v>
      </c>
      <c r="O409" s="7" t="s">
        <v>70</v>
      </c>
      <c r="P409">
        <v>60</v>
      </c>
      <c r="Q409" t="s">
        <v>3512</v>
      </c>
      <c r="R409" t="s">
        <v>68</v>
      </c>
      <c r="S409" t="s">
        <v>1013</v>
      </c>
      <c r="V409" s="7"/>
    </row>
    <row r="410" spans="1:22" x14ac:dyDescent="0.3">
      <c r="A410" t="s">
        <v>1117</v>
      </c>
      <c r="B410" t="s">
        <v>1118</v>
      </c>
      <c r="C410" t="s">
        <v>3513</v>
      </c>
      <c r="D410" t="s">
        <v>3514</v>
      </c>
      <c r="E410" s="1" t="s">
        <v>3515</v>
      </c>
      <c r="F410" t="s">
        <v>1118</v>
      </c>
      <c r="G410" t="s">
        <v>3513</v>
      </c>
      <c r="H410" t="s">
        <v>3514</v>
      </c>
      <c r="I410" s="1">
        <v>45330</v>
      </c>
      <c r="J410" t="s">
        <v>3516</v>
      </c>
      <c r="K410">
        <v>1</v>
      </c>
      <c r="L410">
        <v>1</v>
      </c>
      <c r="M410">
        <v>138951</v>
      </c>
      <c r="N410" t="s">
        <v>3517</v>
      </c>
      <c r="O410" s="7" t="s">
        <v>80</v>
      </c>
      <c r="P410">
        <v>53</v>
      </c>
      <c r="Q410" t="s">
        <v>3518</v>
      </c>
      <c r="R410" t="s">
        <v>68</v>
      </c>
      <c r="S410" t="s">
        <v>1013</v>
      </c>
      <c r="V410" s="7"/>
    </row>
    <row r="411" spans="1:22" x14ac:dyDescent="0.3">
      <c r="A411" t="s">
        <v>1119</v>
      </c>
      <c r="B411" t="s">
        <v>1120</v>
      </c>
      <c r="C411" t="s">
        <v>3519</v>
      </c>
      <c r="D411" t="s">
        <v>3520</v>
      </c>
      <c r="E411" s="1" t="s">
        <v>3326</v>
      </c>
      <c r="F411" t="s">
        <v>1022</v>
      </c>
      <c r="G411" t="s">
        <v>3320</v>
      </c>
      <c r="H411" t="s">
        <v>1106</v>
      </c>
      <c r="I411" s="1" t="s">
        <v>5041</v>
      </c>
      <c r="J411" t="s">
        <v>3327</v>
      </c>
      <c r="K411">
        <v>1</v>
      </c>
      <c r="L411">
        <v>2</v>
      </c>
      <c r="M411">
        <v>182013</v>
      </c>
      <c r="N411" t="s">
        <v>3521</v>
      </c>
      <c r="O411" s="7" t="s">
        <v>70</v>
      </c>
      <c r="P411">
        <v>42</v>
      </c>
      <c r="Q411" t="s">
        <v>3522</v>
      </c>
      <c r="R411" t="s">
        <v>68</v>
      </c>
      <c r="S411" t="s">
        <v>1013</v>
      </c>
      <c r="V411" s="7"/>
    </row>
    <row r="412" spans="1:22" x14ac:dyDescent="0.3">
      <c r="A412" t="s">
        <v>1121</v>
      </c>
      <c r="B412" t="s">
        <v>1122</v>
      </c>
      <c r="C412" t="s">
        <v>3523</v>
      </c>
      <c r="D412" t="s">
        <v>3524</v>
      </c>
      <c r="E412" s="1" t="s">
        <v>3525</v>
      </c>
      <c r="F412" t="s">
        <v>1122</v>
      </c>
      <c r="G412" t="s">
        <v>3523</v>
      </c>
      <c r="H412" t="s">
        <v>3524</v>
      </c>
      <c r="I412" s="1" t="s">
        <v>4997</v>
      </c>
      <c r="J412" t="s">
        <v>3526</v>
      </c>
      <c r="K412">
        <v>1</v>
      </c>
      <c r="L412">
        <v>1</v>
      </c>
      <c r="M412">
        <v>166917</v>
      </c>
      <c r="N412" t="s">
        <v>3527</v>
      </c>
      <c r="O412" s="7" t="s">
        <v>70</v>
      </c>
      <c r="P412">
        <v>56</v>
      </c>
      <c r="Q412" t="s">
        <v>3528</v>
      </c>
      <c r="R412" t="s">
        <v>68</v>
      </c>
      <c r="S412" t="s">
        <v>1013</v>
      </c>
      <c r="V412" s="7"/>
    </row>
    <row r="413" spans="1:22" x14ac:dyDescent="0.3">
      <c r="A413" t="s">
        <v>1124</v>
      </c>
      <c r="B413" t="s">
        <v>1125</v>
      </c>
      <c r="C413" t="s">
        <v>3529</v>
      </c>
      <c r="D413" t="s">
        <v>3530</v>
      </c>
      <c r="E413" s="1" t="s">
        <v>3531</v>
      </c>
      <c r="F413" t="s">
        <v>1125</v>
      </c>
      <c r="G413" t="s">
        <v>3529</v>
      </c>
      <c r="H413" t="s">
        <v>3530</v>
      </c>
      <c r="I413" s="1" t="s">
        <v>5015</v>
      </c>
      <c r="J413" t="s">
        <v>3532</v>
      </c>
      <c r="K413">
        <v>1</v>
      </c>
      <c r="L413">
        <v>1</v>
      </c>
      <c r="M413">
        <v>191379</v>
      </c>
      <c r="N413" t="s">
        <v>3533</v>
      </c>
      <c r="O413" s="7" t="s">
        <v>70</v>
      </c>
      <c r="P413">
        <v>52</v>
      </c>
      <c r="Q413" t="s">
        <v>3534</v>
      </c>
      <c r="R413" t="s">
        <v>68</v>
      </c>
      <c r="S413" t="s">
        <v>1013</v>
      </c>
      <c r="V413" s="7"/>
    </row>
    <row r="414" spans="1:22" x14ac:dyDescent="0.3">
      <c r="A414" t="s">
        <v>1128</v>
      </c>
      <c r="B414" t="s">
        <v>1129</v>
      </c>
      <c r="C414" t="s">
        <v>3535</v>
      </c>
      <c r="D414" t="s">
        <v>3536</v>
      </c>
      <c r="E414" s="1" t="s">
        <v>3537</v>
      </c>
      <c r="F414" t="s">
        <v>1130</v>
      </c>
      <c r="G414" t="s">
        <v>3320</v>
      </c>
      <c r="H414" t="s">
        <v>1106</v>
      </c>
      <c r="I414" s="1" t="s">
        <v>5052</v>
      </c>
      <c r="J414" t="s">
        <v>3538</v>
      </c>
      <c r="K414">
        <v>1</v>
      </c>
      <c r="L414">
        <v>1</v>
      </c>
      <c r="M414">
        <v>191412</v>
      </c>
      <c r="N414" t="s">
        <v>3539</v>
      </c>
      <c r="O414" s="7" t="s">
        <v>70</v>
      </c>
      <c r="P414">
        <v>54</v>
      </c>
      <c r="Q414" t="s">
        <v>3540</v>
      </c>
      <c r="R414" t="s">
        <v>68</v>
      </c>
      <c r="S414" t="s">
        <v>1013</v>
      </c>
      <c r="V414" s="7"/>
    </row>
    <row r="415" spans="1:22" x14ac:dyDescent="0.3">
      <c r="A415" t="s">
        <v>1131</v>
      </c>
      <c r="B415" t="s">
        <v>1132</v>
      </c>
      <c r="C415" t="s">
        <v>3541</v>
      </c>
      <c r="D415" t="s">
        <v>3542</v>
      </c>
      <c r="E415" s="1" t="s">
        <v>3319</v>
      </c>
      <c r="F415" t="s">
        <v>1018</v>
      </c>
      <c r="G415" t="s">
        <v>3320</v>
      </c>
      <c r="H415" t="s">
        <v>1106</v>
      </c>
      <c r="I415" s="1" t="s">
        <v>5040</v>
      </c>
      <c r="J415" t="s">
        <v>3321</v>
      </c>
      <c r="K415">
        <v>1</v>
      </c>
      <c r="L415">
        <v>11</v>
      </c>
      <c r="M415">
        <v>192275</v>
      </c>
      <c r="N415" t="s">
        <v>3543</v>
      </c>
      <c r="O415" s="7" t="s">
        <v>80</v>
      </c>
      <c r="P415">
        <v>42</v>
      </c>
      <c r="Q415" t="s">
        <v>3544</v>
      </c>
      <c r="R415" t="s">
        <v>68</v>
      </c>
      <c r="S415" t="s">
        <v>1013</v>
      </c>
    </row>
    <row r="416" spans="1:22" x14ac:dyDescent="0.3">
      <c r="A416" t="s">
        <v>1134</v>
      </c>
      <c r="B416" t="s">
        <v>1135</v>
      </c>
      <c r="C416" t="s">
        <v>3545</v>
      </c>
      <c r="D416" t="s">
        <v>3546</v>
      </c>
      <c r="E416" s="1" t="s">
        <v>3547</v>
      </c>
      <c r="F416" t="s">
        <v>1136</v>
      </c>
      <c r="G416" t="s">
        <v>3545</v>
      </c>
      <c r="H416" t="s">
        <v>3546</v>
      </c>
      <c r="I416" s="1">
        <v>43933</v>
      </c>
      <c r="J416" t="s">
        <v>3548</v>
      </c>
      <c r="K416">
        <v>1</v>
      </c>
      <c r="L416">
        <v>2</v>
      </c>
      <c r="M416">
        <v>303959</v>
      </c>
      <c r="N416" t="s">
        <v>3549</v>
      </c>
      <c r="O416" s="7" t="s">
        <v>70</v>
      </c>
      <c r="P416">
        <v>37</v>
      </c>
      <c r="Q416" t="s">
        <v>3550</v>
      </c>
      <c r="R416" t="s">
        <v>68</v>
      </c>
      <c r="S416" t="s">
        <v>1013</v>
      </c>
      <c r="V416" s="7"/>
    </row>
    <row r="417" spans="1:22" x14ac:dyDescent="0.3">
      <c r="A417" t="s">
        <v>1137</v>
      </c>
      <c r="B417" t="s">
        <v>1138</v>
      </c>
      <c r="C417" t="s">
        <v>3551</v>
      </c>
      <c r="D417" t="s">
        <v>3552</v>
      </c>
      <c r="E417" s="1" t="s">
        <v>3553</v>
      </c>
      <c r="F417" t="s">
        <v>1138</v>
      </c>
      <c r="G417" t="s">
        <v>3551</v>
      </c>
      <c r="H417" t="s">
        <v>3552</v>
      </c>
      <c r="I417" s="1" t="s">
        <v>5053</v>
      </c>
      <c r="J417" t="s">
        <v>3554</v>
      </c>
      <c r="K417">
        <v>1</v>
      </c>
      <c r="L417">
        <v>1</v>
      </c>
      <c r="M417">
        <v>183725</v>
      </c>
      <c r="N417" t="s">
        <v>3555</v>
      </c>
      <c r="O417" s="7" t="s">
        <v>70</v>
      </c>
      <c r="P417">
        <v>66</v>
      </c>
      <c r="Q417" t="s">
        <v>3556</v>
      </c>
      <c r="R417" t="s">
        <v>68</v>
      </c>
      <c r="S417" t="s">
        <v>1013</v>
      </c>
      <c r="V417" s="7"/>
    </row>
    <row r="418" spans="1:22" x14ac:dyDescent="0.3">
      <c r="A418" t="s">
        <v>1139</v>
      </c>
      <c r="B418" t="s">
        <v>1140</v>
      </c>
      <c r="C418" t="s">
        <v>3557</v>
      </c>
      <c r="D418" t="s">
        <v>3558</v>
      </c>
      <c r="E418" s="1" t="s">
        <v>3559</v>
      </c>
      <c r="F418" t="s">
        <v>1141</v>
      </c>
      <c r="G418" t="s">
        <v>3557</v>
      </c>
      <c r="H418" t="s">
        <v>3558</v>
      </c>
      <c r="I418" s="1" t="s">
        <v>5004</v>
      </c>
      <c r="J418" t="s">
        <v>3560</v>
      </c>
      <c r="K418">
        <v>1</v>
      </c>
      <c r="L418">
        <v>1</v>
      </c>
      <c r="M418">
        <v>197647</v>
      </c>
      <c r="N418" t="s">
        <v>3561</v>
      </c>
      <c r="O418" s="7" t="s">
        <v>70</v>
      </c>
      <c r="P418">
        <v>59</v>
      </c>
      <c r="Q418" t="s">
        <v>3562</v>
      </c>
      <c r="R418" t="s">
        <v>68</v>
      </c>
      <c r="S418" t="s">
        <v>1013</v>
      </c>
      <c r="V418" s="7"/>
    </row>
    <row r="419" spans="1:22" x14ac:dyDescent="0.3">
      <c r="A419" t="s">
        <v>1142</v>
      </c>
      <c r="B419" t="s">
        <v>1143</v>
      </c>
      <c r="C419" t="s">
        <v>3563</v>
      </c>
      <c r="D419" t="s">
        <v>3564</v>
      </c>
      <c r="E419" s="1" t="s">
        <v>3565</v>
      </c>
      <c r="F419" t="s">
        <v>1022</v>
      </c>
      <c r="G419" t="s">
        <v>3320</v>
      </c>
      <c r="H419" t="s">
        <v>1106</v>
      </c>
      <c r="I419" s="1">
        <v>40671</v>
      </c>
      <c r="J419" t="s">
        <v>3566</v>
      </c>
      <c r="K419">
        <v>1</v>
      </c>
      <c r="L419">
        <v>2</v>
      </c>
      <c r="M419">
        <v>188000</v>
      </c>
      <c r="N419" t="s">
        <v>3567</v>
      </c>
      <c r="O419" s="7" t="s">
        <v>70</v>
      </c>
      <c r="P419">
        <v>51</v>
      </c>
      <c r="Q419" t="s">
        <v>3568</v>
      </c>
      <c r="R419" t="s">
        <v>68</v>
      </c>
      <c r="S419" t="s">
        <v>1013</v>
      </c>
      <c r="V419" s="7"/>
    </row>
    <row r="420" spans="1:22" x14ac:dyDescent="0.3">
      <c r="A420" t="s">
        <v>1144</v>
      </c>
      <c r="B420" t="s">
        <v>1145</v>
      </c>
      <c r="C420" t="s">
        <v>3357</v>
      </c>
      <c r="D420" t="s">
        <v>3358</v>
      </c>
      <c r="E420" s="1" t="s">
        <v>3569</v>
      </c>
      <c r="F420" t="s">
        <v>1145</v>
      </c>
      <c r="G420" t="s">
        <v>3320</v>
      </c>
      <c r="H420" t="s">
        <v>1106</v>
      </c>
      <c r="I420" s="1" t="s">
        <v>5054</v>
      </c>
      <c r="J420" t="s">
        <v>3570</v>
      </c>
      <c r="K420">
        <v>1</v>
      </c>
      <c r="L420">
        <v>1</v>
      </c>
      <c r="M420">
        <v>194346</v>
      </c>
      <c r="N420" t="s">
        <v>3571</v>
      </c>
      <c r="O420" s="7" t="s">
        <v>70</v>
      </c>
      <c r="P420">
        <v>42</v>
      </c>
      <c r="Q420" t="s">
        <v>3572</v>
      </c>
      <c r="R420" t="s">
        <v>68</v>
      </c>
      <c r="S420" t="s">
        <v>1013</v>
      </c>
      <c r="V420" s="7"/>
    </row>
    <row r="421" spans="1:22" x14ac:dyDescent="0.3">
      <c r="A421" t="s">
        <v>1146</v>
      </c>
      <c r="B421" t="s">
        <v>1147</v>
      </c>
      <c r="C421" t="s">
        <v>3573</v>
      </c>
      <c r="D421" t="s">
        <v>3574</v>
      </c>
      <c r="E421" s="1" t="s">
        <v>3575</v>
      </c>
      <c r="F421" t="s">
        <v>1148</v>
      </c>
      <c r="G421" t="s">
        <v>3573</v>
      </c>
      <c r="H421" t="s">
        <v>3574</v>
      </c>
      <c r="I421" s="1" t="s">
        <v>5055</v>
      </c>
      <c r="J421" t="s">
        <v>3576</v>
      </c>
      <c r="K421">
        <v>1</v>
      </c>
      <c r="L421">
        <v>1</v>
      </c>
      <c r="M421">
        <v>228300</v>
      </c>
      <c r="N421" t="s">
        <v>3577</v>
      </c>
      <c r="O421" s="7" t="s">
        <v>70</v>
      </c>
      <c r="P421">
        <v>53</v>
      </c>
      <c r="Q421" t="s">
        <v>3578</v>
      </c>
      <c r="R421" t="s">
        <v>68</v>
      </c>
      <c r="S421" t="s">
        <v>1013</v>
      </c>
      <c r="V421" s="7"/>
    </row>
    <row r="422" spans="1:22" x14ac:dyDescent="0.3">
      <c r="A422" t="s">
        <v>1150</v>
      </c>
      <c r="B422" t="s">
        <v>1151</v>
      </c>
      <c r="C422" t="s">
        <v>3579</v>
      </c>
      <c r="D422" t="s">
        <v>3580</v>
      </c>
      <c r="E422" s="1" t="s">
        <v>3581</v>
      </c>
      <c r="F422" t="s">
        <v>1151</v>
      </c>
      <c r="G422" t="s">
        <v>3579</v>
      </c>
      <c r="H422" t="s">
        <v>3580</v>
      </c>
      <c r="I422" s="1" t="s">
        <v>5012</v>
      </c>
      <c r="J422" t="s">
        <v>3582</v>
      </c>
      <c r="K422">
        <v>1</v>
      </c>
      <c r="L422">
        <v>1</v>
      </c>
      <c r="M422">
        <v>170880</v>
      </c>
      <c r="N422" t="s">
        <v>3583</v>
      </c>
      <c r="O422" s="7" t="s">
        <v>70</v>
      </c>
      <c r="P422">
        <v>53</v>
      </c>
      <c r="Q422" t="s">
        <v>3584</v>
      </c>
      <c r="R422" t="s">
        <v>68</v>
      </c>
      <c r="S422" t="s">
        <v>1013</v>
      </c>
      <c r="V422" s="7"/>
    </row>
    <row r="423" spans="1:22" x14ac:dyDescent="0.3">
      <c r="A423" t="s">
        <v>1152</v>
      </c>
      <c r="B423" t="s">
        <v>1153</v>
      </c>
      <c r="C423" t="s">
        <v>3585</v>
      </c>
      <c r="D423" t="s">
        <v>3586</v>
      </c>
      <c r="E423" s="1" t="s">
        <v>3587</v>
      </c>
      <c r="F423" t="s">
        <v>1153</v>
      </c>
      <c r="G423" t="s">
        <v>3585</v>
      </c>
      <c r="H423" t="s">
        <v>3586</v>
      </c>
      <c r="I423" s="1" t="s">
        <v>5056</v>
      </c>
      <c r="J423" t="s">
        <v>3588</v>
      </c>
      <c r="K423">
        <v>1</v>
      </c>
      <c r="L423">
        <v>1</v>
      </c>
      <c r="M423">
        <v>175748</v>
      </c>
      <c r="N423" t="s">
        <v>3589</v>
      </c>
      <c r="O423" s="7" t="s">
        <v>70</v>
      </c>
      <c r="P423">
        <v>49</v>
      </c>
      <c r="Q423" t="s">
        <v>3590</v>
      </c>
      <c r="R423" t="s">
        <v>68</v>
      </c>
      <c r="S423" t="s">
        <v>1013</v>
      </c>
    </row>
    <row r="424" spans="1:22" x14ac:dyDescent="0.3">
      <c r="A424" t="s">
        <v>1154</v>
      </c>
      <c r="B424" t="s">
        <v>1155</v>
      </c>
      <c r="C424" t="s">
        <v>3591</v>
      </c>
      <c r="D424" t="s">
        <v>3592</v>
      </c>
      <c r="E424" s="1" t="s">
        <v>3593</v>
      </c>
      <c r="F424" t="s">
        <v>1155</v>
      </c>
      <c r="G424" t="s">
        <v>3591</v>
      </c>
      <c r="H424" t="s">
        <v>3592</v>
      </c>
      <c r="I424" s="1">
        <v>44717</v>
      </c>
      <c r="J424" t="s">
        <v>3594</v>
      </c>
      <c r="K424">
        <v>1</v>
      </c>
      <c r="L424">
        <v>1</v>
      </c>
      <c r="M424">
        <v>190217</v>
      </c>
      <c r="N424" t="s">
        <v>3595</v>
      </c>
      <c r="O424" s="7" t="s">
        <v>70</v>
      </c>
      <c r="P424">
        <v>52</v>
      </c>
      <c r="Q424" t="s">
        <v>3596</v>
      </c>
      <c r="R424" t="s">
        <v>68</v>
      </c>
      <c r="S424" t="s">
        <v>1013</v>
      </c>
      <c r="V424" s="7"/>
    </row>
    <row r="425" spans="1:22" x14ac:dyDescent="0.3">
      <c r="A425" t="s">
        <v>1157</v>
      </c>
      <c r="B425" t="s">
        <v>1158</v>
      </c>
      <c r="C425" t="s">
        <v>3597</v>
      </c>
      <c r="D425" t="s">
        <v>3598</v>
      </c>
      <c r="E425" s="1" t="s">
        <v>3393</v>
      </c>
      <c r="F425">
        <v>7</v>
      </c>
      <c r="G425" t="s">
        <v>3320</v>
      </c>
      <c r="H425" t="s">
        <v>1106</v>
      </c>
      <c r="I425" s="1" t="s">
        <v>5046</v>
      </c>
      <c r="J425" t="s">
        <v>3394</v>
      </c>
      <c r="K425">
        <v>1</v>
      </c>
      <c r="L425">
        <v>14</v>
      </c>
      <c r="M425">
        <v>172933</v>
      </c>
      <c r="N425" t="s">
        <v>3599</v>
      </c>
      <c r="O425" s="7" t="s">
        <v>70</v>
      </c>
      <c r="P425">
        <v>51</v>
      </c>
      <c r="Q425" t="s">
        <v>3600</v>
      </c>
      <c r="R425" t="s">
        <v>68</v>
      </c>
      <c r="S425" t="s">
        <v>1013</v>
      </c>
      <c r="V425" s="7"/>
    </row>
    <row r="426" spans="1:22" x14ac:dyDescent="0.3">
      <c r="A426" t="s">
        <v>1159</v>
      </c>
      <c r="B426" t="s">
        <v>1160</v>
      </c>
      <c r="C426" t="s">
        <v>3601</v>
      </c>
      <c r="D426" t="s">
        <v>3602</v>
      </c>
      <c r="E426" s="1" t="s">
        <v>3603</v>
      </c>
      <c r="F426" t="s">
        <v>1160</v>
      </c>
      <c r="G426" t="s">
        <v>3601</v>
      </c>
      <c r="H426" t="s">
        <v>3602</v>
      </c>
      <c r="I426" s="1" t="s">
        <v>92</v>
      </c>
      <c r="J426" t="s">
        <v>3604</v>
      </c>
      <c r="K426">
        <v>1</v>
      </c>
      <c r="L426">
        <v>1</v>
      </c>
      <c r="M426">
        <v>174215</v>
      </c>
      <c r="N426" t="s">
        <v>3605</v>
      </c>
      <c r="O426" s="7" t="s">
        <v>70</v>
      </c>
      <c r="P426">
        <v>53</v>
      </c>
      <c r="Q426" t="s">
        <v>3606</v>
      </c>
      <c r="R426" t="s">
        <v>68</v>
      </c>
      <c r="S426" t="s">
        <v>1013</v>
      </c>
      <c r="V426" s="7"/>
    </row>
    <row r="427" spans="1:22" x14ac:dyDescent="0.3">
      <c r="A427" t="s">
        <v>1162</v>
      </c>
      <c r="B427" t="s">
        <v>1163</v>
      </c>
      <c r="C427" t="s">
        <v>3607</v>
      </c>
      <c r="D427" t="s">
        <v>3608</v>
      </c>
      <c r="E427" s="1" t="s">
        <v>3609</v>
      </c>
      <c r="F427" t="s">
        <v>1163</v>
      </c>
      <c r="G427" t="s">
        <v>3607</v>
      </c>
      <c r="H427" t="s">
        <v>3608</v>
      </c>
      <c r="I427" s="1" t="s">
        <v>5057</v>
      </c>
      <c r="J427" t="s">
        <v>3610</v>
      </c>
      <c r="K427">
        <v>1</v>
      </c>
      <c r="L427">
        <v>1</v>
      </c>
      <c r="M427">
        <v>183750</v>
      </c>
      <c r="N427" t="s">
        <v>3611</v>
      </c>
      <c r="O427" s="7" t="s">
        <v>70</v>
      </c>
      <c r="P427">
        <v>50</v>
      </c>
      <c r="Q427" t="s">
        <v>3612</v>
      </c>
      <c r="R427" t="s">
        <v>68</v>
      </c>
      <c r="S427" t="s">
        <v>1013</v>
      </c>
    </row>
    <row r="428" spans="1:22" x14ac:dyDescent="0.3">
      <c r="A428" t="s">
        <v>1164</v>
      </c>
      <c r="B428" t="s">
        <v>1165</v>
      </c>
      <c r="C428" t="s">
        <v>3613</v>
      </c>
      <c r="D428" t="s">
        <v>3614</v>
      </c>
      <c r="E428" s="1" t="s">
        <v>3615</v>
      </c>
      <c r="F428" t="s">
        <v>1165</v>
      </c>
      <c r="G428" t="s">
        <v>3613</v>
      </c>
      <c r="H428" t="s">
        <v>3614</v>
      </c>
      <c r="I428" s="1">
        <v>43679</v>
      </c>
      <c r="J428" t="s">
        <v>3616</v>
      </c>
      <c r="K428">
        <v>1</v>
      </c>
      <c r="L428">
        <v>1</v>
      </c>
      <c r="M428">
        <v>192402</v>
      </c>
      <c r="N428" t="s">
        <v>3617</v>
      </c>
      <c r="O428" s="7" t="s">
        <v>70</v>
      </c>
      <c r="P428">
        <v>54</v>
      </c>
      <c r="Q428" t="s">
        <v>3618</v>
      </c>
      <c r="R428" t="s">
        <v>68</v>
      </c>
      <c r="S428" t="s">
        <v>1013</v>
      </c>
      <c r="V428" s="7"/>
    </row>
    <row r="429" spans="1:22" x14ac:dyDescent="0.3">
      <c r="A429" t="s">
        <v>1167</v>
      </c>
      <c r="B429" t="s">
        <v>1168</v>
      </c>
      <c r="C429" t="s">
        <v>3619</v>
      </c>
      <c r="D429" t="s">
        <v>3620</v>
      </c>
      <c r="E429" s="1" t="s">
        <v>3621</v>
      </c>
      <c r="F429" t="s">
        <v>1168</v>
      </c>
      <c r="G429" t="s">
        <v>3320</v>
      </c>
      <c r="H429" t="s">
        <v>1106</v>
      </c>
      <c r="I429" s="1" t="s">
        <v>5058</v>
      </c>
      <c r="J429" t="s">
        <v>3622</v>
      </c>
      <c r="K429">
        <v>1</v>
      </c>
      <c r="L429">
        <v>5</v>
      </c>
      <c r="M429">
        <v>219946</v>
      </c>
      <c r="N429" t="s">
        <v>3623</v>
      </c>
      <c r="O429" s="7" t="s">
        <v>70</v>
      </c>
      <c r="P429">
        <v>43</v>
      </c>
      <c r="Q429" t="s">
        <v>3624</v>
      </c>
      <c r="R429" t="s">
        <v>68</v>
      </c>
      <c r="S429" t="s">
        <v>1013</v>
      </c>
      <c r="V429" s="7"/>
    </row>
    <row r="430" spans="1:22" x14ac:dyDescent="0.3">
      <c r="A430" t="s">
        <v>1170</v>
      </c>
      <c r="B430" t="s">
        <v>1171</v>
      </c>
      <c r="C430" t="s">
        <v>3625</v>
      </c>
      <c r="D430" t="s">
        <v>3626</v>
      </c>
      <c r="E430" s="1" t="s">
        <v>3627</v>
      </c>
      <c r="F430" t="s">
        <v>1171</v>
      </c>
      <c r="G430" t="s">
        <v>3628</v>
      </c>
      <c r="H430" t="s">
        <v>3629</v>
      </c>
      <c r="I430" s="1" t="s">
        <v>5059</v>
      </c>
      <c r="J430" t="s">
        <v>3630</v>
      </c>
      <c r="K430">
        <v>1</v>
      </c>
      <c r="L430">
        <v>1</v>
      </c>
      <c r="M430">
        <v>195419</v>
      </c>
      <c r="N430" t="s">
        <v>3631</v>
      </c>
      <c r="O430" s="7" t="s">
        <v>70</v>
      </c>
      <c r="P430">
        <v>54</v>
      </c>
      <c r="Q430" t="s">
        <v>3632</v>
      </c>
      <c r="R430" t="s">
        <v>68</v>
      </c>
      <c r="S430" t="s">
        <v>1013</v>
      </c>
      <c r="V430" s="7"/>
    </row>
    <row r="431" spans="1:22" x14ac:dyDescent="0.3">
      <c r="A431" t="s">
        <v>1173</v>
      </c>
      <c r="B431" t="s">
        <v>1174</v>
      </c>
      <c r="C431" t="s">
        <v>3579</v>
      </c>
      <c r="D431" t="s">
        <v>3580</v>
      </c>
      <c r="E431" s="1" t="s">
        <v>3633</v>
      </c>
      <c r="F431" t="s">
        <v>1175</v>
      </c>
      <c r="G431" t="s">
        <v>3579</v>
      </c>
      <c r="H431" t="s">
        <v>3580</v>
      </c>
      <c r="I431" s="1" t="s">
        <v>5060</v>
      </c>
      <c r="J431" t="s">
        <v>3634</v>
      </c>
      <c r="K431">
        <v>1</v>
      </c>
      <c r="L431">
        <v>1</v>
      </c>
      <c r="M431">
        <v>208095</v>
      </c>
      <c r="N431" t="s">
        <v>3635</v>
      </c>
      <c r="O431" s="7" t="s">
        <v>70</v>
      </c>
      <c r="P431">
        <v>53</v>
      </c>
      <c r="Q431" t="s">
        <v>3636</v>
      </c>
      <c r="R431" t="s">
        <v>68</v>
      </c>
      <c r="S431" t="s">
        <v>1013</v>
      </c>
      <c r="V431" s="7"/>
    </row>
    <row r="432" spans="1:22" x14ac:dyDescent="0.3">
      <c r="A432" t="s">
        <v>1176</v>
      </c>
      <c r="B432" t="s">
        <v>1177</v>
      </c>
      <c r="C432" t="s">
        <v>3637</v>
      </c>
      <c r="D432" t="s">
        <v>3638</v>
      </c>
      <c r="E432" s="1" t="s">
        <v>3639</v>
      </c>
      <c r="F432" t="s">
        <v>1178</v>
      </c>
      <c r="G432" t="s">
        <v>3320</v>
      </c>
      <c r="H432" t="s">
        <v>1106</v>
      </c>
      <c r="I432" s="1">
        <v>39088</v>
      </c>
      <c r="J432" t="s">
        <v>3640</v>
      </c>
      <c r="K432">
        <v>1</v>
      </c>
      <c r="L432">
        <v>1</v>
      </c>
      <c r="M432">
        <v>208026</v>
      </c>
      <c r="N432" t="s">
        <v>3641</v>
      </c>
      <c r="O432" s="7" t="s">
        <v>70</v>
      </c>
      <c r="P432">
        <v>28</v>
      </c>
      <c r="Q432" t="s">
        <v>3642</v>
      </c>
      <c r="R432" t="s">
        <v>68</v>
      </c>
      <c r="S432" t="s">
        <v>1013</v>
      </c>
      <c r="V432" s="7"/>
    </row>
    <row r="433" spans="1:22" x14ac:dyDescent="0.3">
      <c r="A433" t="s">
        <v>1180</v>
      </c>
      <c r="B433" t="s">
        <v>1181</v>
      </c>
      <c r="C433" t="s">
        <v>3628</v>
      </c>
      <c r="D433" t="s">
        <v>3629</v>
      </c>
      <c r="E433" s="1" t="s">
        <v>3643</v>
      </c>
      <c r="F433" t="s">
        <v>1181</v>
      </c>
      <c r="G433" t="s">
        <v>3628</v>
      </c>
      <c r="H433" t="s">
        <v>3629</v>
      </c>
      <c r="I433" s="1" t="s">
        <v>5061</v>
      </c>
      <c r="J433" t="s">
        <v>3644</v>
      </c>
      <c r="K433">
        <v>1</v>
      </c>
      <c r="L433">
        <v>1</v>
      </c>
      <c r="M433">
        <v>129796</v>
      </c>
      <c r="N433" t="s">
        <v>3645</v>
      </c>
      <c r="O433" s="7" t="s">
        <v>70</v>
      </c>
      <c r="P433">
        <v>39</v>
      </c>
      <c r="Q433" t="s">
        <v>3646</v>
      </c>
      <c r="R433" t="s">
        <v>68</v>
      </c>
      <c r="S433" t="s">
        <v>1013</v>
      </c>
      <c r="V433" s="7"/>
    </row>
    <row r="434" spans="1:22" x14ac:dyDescent="0.3">
      <c r="A434" t="s">
        <v>1182</v>
      </c>
      <c r="B434" t="s">
        <v>1183</v>
      </c>
      <c r="C434" t="s">
        <v>3647</v>
      </c>
      <c r="D434" t="s">
        <v>3648</v>
      </c>
      <c r="E434" s="1" t="s">
        <v>3319</v>
      </c>
      <c r="F434" t="s">
        <v>1018</v>
      </c>
      <c r="G434" t="s">
        <v>3320</v>
      </c>
      <c r="H434" t="s">
        <v>1106</v>
      </c>
      <c r="I434" s="1" t="s">
        <v>5040</v>
      </c>
      <c r="J434" t="s">
        <v>3321</v>
      </c>
      <c r="K434">
        <v>1</v>
      </c>
      <c r="L434">
        <v>5</v>
      </c>
      <c r="M434">
        <v>209533</v>
      </c>
      <c r="N434" t="s">
        <v>3649</v>
      </c>
      <c r="O434" t="s">
        <v>70</v>
      </c>
      <c r="P434">
        <v>30</v>
      </c>
      <c r="Q434" t="s">
        <v>3650</v>
      </c>
      <c r="R434" t="s">
        <v>68</v>
      </c>
      <c r="S434" t="s">
        <v>1013</v>
      </c>
      <c r="V434" s="7"/>
    </row>
    <row r="435" spans="1:22" x14ac:dyDescent="0.3">
      <c r="A435" t="s">
        <v>1185</v>
      </c>
      <c r="B435" t="s">
        <v>1186</v>
      </c>
      <c r="C435" t="s">
        <v>3651</v>
      </c>
      <c r="D435" t="s">
        <v>3652</v>
      </c>
      <c r="E435" s="1" t="s">
        <v>3653</v>
      </c>
      <c r="F435" t="s">
        <v>1186</v>
      </c>
      <c r="G435" t="s">
        <v>3651</v>
      </c>
      <c r="H435" t="s">
        <v>3652</v>
      </c>
      <c r="I435" s="1">
        <v>44988</v>
      </c>
      <c r="J435" t="s">
        <v>3654</v>
      </c>
      <c r="K435">
        <v>1</v>
      </c>
      <c r="L435">
        <v>1</v>
      </c>
      <c r="M435">
        <v>164541</v>
      </c>
      <c r="N435" t="s">
        <v>3655</v>
      </c>
      <c r="O435" s="7" t="s">
        <v>70</v>
      </c>
      <c r="P435">
        <v>52</v>
      </c>
      <c r="Q435" t="s">
        <v>3656</v>
      </c>
      <c r="R435" t="s">
        <v>68</v>
      </c>
      <c r="S435" t="s">
        <v>1013</v>
      </c>
      <c r="V435" s="7"/>
    </row>
    <row r="436" spans="1:22" x14ac:dyDescent="0.3">
      <c r="A436" t="s">
        <v>1187</v>
      </c>
      <c r="B436" t="s">
        <v>3657</v>
      </c>
      <c r="C436" t="s">
        <v>3658</v>
      </c>
      <c r="D436" t="s">
        <v>3659</v>
      </c>
      <c r="E436" s="1" t="s">
        <v>3389</v>
      </c>
      <c r="F436" t="s">
        <v>1053</v>
      </c>
      <c r="G436" t="s">
        <v>3320</v>
      </c>
      <c r="H436" t="s">
        <v>1106</v>
      </c>
      <c r="I436" s="1">
        <v>41923</v>
      </c>
      <c r="J436" t="s">
        <v>3390</v>
      </c>
      <c r="K436">
        <v>1</v>
      </c>
      <c r="L436">
        <v>2</v>
      </c>
      <c r="M436">
        <v>207200</v>
      </c>
      <c r="N436" t="s">
        <v>3660</v>
      </c>
      <c r="O436" s="7" t="s">
        <v>70</v>
      </c>
      <c r="P436">
        <v>52</v>
      </c>
      <c r="Q436" t="s">
        <v>3661</v>
      </c>
      <c r="R436" t="s">
        <v>68</v>
      </c>
      <c r="S436" t="s">
        <v>1013</v>
      </c>
    </row>
    <row r="437" spans="1:22" x14ac:dyDescent="0.3">
      <c r="A437" t="s">
        <v>1188</v>
      </c>
      <c r="B437" t="s">
        <v>1189</v>
      </c>
      <c r="C437" t="s">
        <v>3662</v>
      </c>
      <c r="D437" t="s">
        <v>3663</v>
      </c>
      <c r="E437" s="1" t="s">
        <v>3664</v>
      </c>
      <c r="F437" t="s">
        <v>1189</v>
      </c>
      <c r="G437" t="s">
        <v>3662</v>
      </c>
      <c r="H437" t="s">
        <v>3663</v>
      </c>
      <c r="I437" s="1" t="s">
        <v>5008</v>
      </c>
      <c r="J437" t="s">
        <v>3665</v>
      </c>
      <c r="K437">
        <v>1</v>
      </c>
      <c r="L437">
        <v>1</v>
      </c>
      <c r="M437">
        <v>161770</v>
      </c>
      <c r="N437" t="s">
        <v>3666</v>
      </c>
      <c r="O437" t="s">
        <v>80</v>
      </c>
      <c r="P437">
        <v>47</v>
      </c>
      <c r="Q437" t="s">
        <v>3667</v>
      </c>
      <c r="R437" t="s">
        <v>68</v>
      </c>
      <c r="S437" t="s">
        <v>1013</v>
      </c>
    </row>
    <row r="438" spans="1:22" x14ac:dyDescent="0.3">
      <c r="A438" t="s">
        <v>1191</v>
      </c>
      <c r="B438" t="s">
        <v>1192</v>
      </c>
      <c r="C438" t="s">
        <v>3668</v>
      </c>
      <c r="D438" t="s">
        <v>3669</v>
      </c>
      <c r="E438" s="1" t="s">
        <v>3670</v>
      </c>
      <c r="F438" t="s">
        <v>1192</v>
      </c>
      <c r="G438" t="s">
        <v>3671</v>
      </c>
      <c r="H438" t="s">
        <v>3672</v>
      </c>
      <c r="I438" s="1" t="s">
        <v>5001</v>
      </c>
      <c r="J438" t="s">
        <v>3673</v>
      </c>
      <c r="K438">
        <v>1</v>
      </c>
      <c r="L438">
        <v>1</v>
      </c>
      <c r="M438">
        <v>158994</v>
      </c>
      <c r="N438" t="s">
        <v>3674</v>
      </c>
      <c r="O438" t="s">
        <v>70</v>
      </c>
      <c r="P438">
        <v>49</v>
      </c>
      <c r="Q438" t="s">
        <v>3675</v>
      </c>
      <c r="R438" t="s">
        <v>68</v>
      </c>
      <c r="S438" t="s">
        <v>1013</v>
      </c>
      <c r="V438" s="7"/>
    </row>
    <row r="439" spans="1:22" x14ac:dyDescent="0.3">
      <c r="A439" t="s">
        <v>1194</v>
      </c>
      <c r="B439" t="s">
        <v>1195</v>
      </c>
      <c r="C439" t="s">
        <v>3676</v>
      </c>
      <c r="D439" t="s">
        <v>3677</v>
      </c>
      <c r="E439" s="1" t="s">
        <v>3678</v>
      </c>
      <c r="F439" t="s">
        <v>1195</v>
      </c>
      <c r="G439" t="s">
        <v>3679</v>
      </c>
      <c r="H439" t="s">
        <v>3680</v>
      </c>
      <c r="I439" s="1">
        <v>42777</v>
      </c>
      <c r="J439" t="s">
        <v>3681</v>
      </c>
      <c r="K439">
        <v>1</v>
      </c>
      <c r="L439">
        <v>1</v>
      </c>
      <c r="M439">
        <v>172687</v>
      </c>
      <c r="N439" t="s">
        <v>3682</v>
      </c>
      <c r="O439" s="7" t="s">
        <v>80</v>
      </c>
      <c r="P439">
        <v>49</v>
      </c>
      <c r="Q439" t="s">
        <v>3683</v>
      </c>
      <c r="R439" t="s">
        <v>68</v>
      </c>
      <c r="S439" t="s">
        <v>1013</v>
      </c>
      <c r="V439" s="7"/>
    </row>
    <row r="440" spans="1:22" x14ac:dyDescent="0.3">
      <c r="A440" t="s">
        <v>1197</v>
      </c>
      <c r="B440" t="s">
        <v>1198</v>
      </c>
      <c r="C440" t="s">
        <v>3684</v>
      </c>
      <c r="D440" t="s">
        <v>3685</v>
      </c>
      <c r="E440" s="1" t="s">
        <v>3686</v>
      </c>
      <c r="F440" t="s">
        <v>1198</v>
      </c>
      <c r="G440" t="s">
        <v>3684</v>
      </c>
      <c r="H440" t="s">
        <v>3685</v>
      </c>
      <c r="I440" s="1">
        <v>43713</v>
      </c>
      <c r="J440" t="s">
        <v>3687</v>
      </c>
      <c r="K440">
        <v>1</v>
      </c>
      <c r="L440">
        <v>1</v>
      </c>
      <c r="M440">
        <v>185942</v>
      </c>
      <c r="N440" t="s">
        <v>3688</v>
      </c>
      <c r="O440" t="s">
        <v>70</v>
      </c>
      <c r="P440">
        <v>49</v>
      </c>
      <c r="Q440" t="s">
        <v>3689</v>
      </c>
      <c r="R440" t="s">
        <v>68</v>
      </c>
      <c r="S440" t="s">
        <v>1013</v>
      </c>
      <c r="V440" s="7"/>
    </row>
    <row r="441" spans="1:22" x14ac:dyDescent="0.3">
      <c r="A441" t="s">
        <v>1199</v>
      </c>
      <c r="B441" t="s">
        <v>1200</v>
      </c>
      <c r="C441" t="s">
        <v>3690</v>
      </c>
      <c r="D441" t="s">
        <v>3691</v>
      </c>
      <c r="E441" s="1" t="s">
        <v>3326</v>
      </c>
      <c r="F441" t="s">
        <v>1022</v>
      </c>
      <c r="G441" t="s">
        <v>3320</v>
      </c>
      <c r="H441" t="s">
        <v>1106</v>
      </c>
      <c r="I441" s="1" t="s">
        <v>5041</v>
      </c>
      <c r="J441" t="s">
        <v>3327</v>
      </c>
      <c r="K441">
        <v>1</v>
      </c>
      <c r="L441">
        <v>11</v>
      </c>
      <c r="M441">
        <v>241053</v>
      </c>
      <c r="N441" t="s">
        <v>3692</v>
      </c>
      <c r="O441" s="7" t="s">
        <v>70</v>
      </c>
      <c r="P441">
        <v>27</v>
      </c>
      <c r="Q441" t="s">
        <v>3693</v>
      </c>
      <c r="R441" t="s">
        <v>68</v>
      </c>
      <c r="S441" t="s">
        <v>1013</v>
      </c>
      <c r="V441" s="7"/>
    </row>
    <row r="442" spans="1:22" x14ac:dyDescent="0.3">
      <c r="A442" t="s">
        <v>1201</v>
      </c>
      <c r="B442" t="s">
        <v>1202</v>
      </c>
      <c r="C442" t="s">
        <v>3694</v>
      </c>
      <c r="D442" t="s">
        <v>3695</v>
      </c>
      <c r="E442" s="1" t="s">
        <v>3696</v>
      </c>
      <c r="F442" t="s">
        <v>1202</v>
      </c>
      <c r="G442" t="s">
        <v>3694</v>
      </c>
      <c r="H442" t="s">
        <v>3695</v>
      </c>
      <c r="I442" s="1" t="s">
        <v>5062</v>
      </c>
      <c r="J442" t="s">
        <v>3697</v>
      </c>
      <c r="K442">
        <v>1</v>
      </c>
      <c r="L442">
        <v>1</v>
      </c>
      <c r="M442">
        <v>185620</v>
      </c>
      <c r="N442" t="s">
        <v>3698</v>
      </c>
      <c r="O442" s="7" t="s">
        <v>70</v>
      </c>
      <c r="P442">
        <v>49</v>
      </c>
      <c r="Q442" t="s">
        <v>3699</v>
      </c>
      <c r="R442" t="s">
        <v>68</v>
      </c>
      <c r="S442" t="s">
        <v>1013</v>
      </c>
      <c r="V442" s="7"/>
    </row>
    <row r="443" spans="1:22" x14ac:dyDescent="0.3">
      <c r="A443" t="s">
        <v>1203</v>
      </c>
      <c r="B443" t="s">
        <v>1204</v>
      </c>
      <c r="C443" t="s">
        <v>3700</v>
      </c>
      <c r="D443" t="s">
        <v>1206</v>
      </c>
      <c r="E443" s="1" t="s">
        <v>3701</v>
      </c>
      <c r="F443" t="s">
        <v>1205</v>
      </c>
      <c r="G443" t="s">
        <v>3700</v>
      </c>
      <c r="H443" t="s">
        <v>1206</v>
      </c>
      <c r="I443" s="1" t="s">
        <v>5063</v>
      </c>
      <c r="J443" t="s">
        <v>3702</v>
      </c>
      <c r="K443">
        <v>1</v>
      </c>
      <c r="L443">
        <v>1</v>
      </c>
      <c r="M443">
        <v>80560</v>
      </c>
      <c r="N443" t="s">
        <v>3703</v>
      </c>
      <c r="O443" t="s">
        <v>70</v>
      </c>
      <c r="P443">
        <v>29</v>
      </c>
      <c r="Q443" t="s">
        <v>3704</v>
      </c>
      <c r="R443" t="s">
        <v>68</v>
      </c>
      <c r="S443" t="s">
        <v>1207</v>
      </c>
      <c r="V443" s="7"/>
    </row>
    <row r="444" spans="1:22" x14ac:dyDescent="0.3">
      <c r="A444" t="s">
        <v>1209</v>
      </c>
      <c r="B444" t="s">
        <v>1210</v>
      </c>
      <c r="C444" t="s">
        <v>3705</v>
      </c>
      <c r="D444" t="s">
        <v>3706</v>
      </c>
      <c r="E444" s="1" t="s">
        <v>3701</v>
      </c>
      <c r="F444" t="s">
        <v>1205</v>
      </c>
      <c r="G444" t="s">
        <v>3700</v>
      </c>
      <c r="H444" t="s">
        <v>1206</v>
      </c>
      <c r="I444" s="1" t="s">
        <v>5063</v>
      </c>
      <c r="J444" t="s">
        <v>3702</v>
      </c>
      <c r="K444">
        <v>1</v>
      </c>
      <c r="L444">
        <v>2</v>
      </c>
      <c r="M444">
        <v>192720</v>
      </c>
      <c r="N444" t="s">
        <v>3707</v>
      </c>
      <c r="O444" s="7" t="s">
        <v>70</v>
      </c>
      <c r="P444">
        <v>45</v>
      </c>
      <c r="Q444" t="s">
        <v>3708</v>
      </c>
      <c r="R444" t="s">
        <v>68</v>
      </c>
      <c r="S444" t="s">
        <v>1207</v>
      </c>
    </row>
    <row r="445" spans="1:22" x14ac:dyDescent="0.3">
      <c r="A445" t="s">
        <v>1211</v>
      </c>
      <c r="B445" t="s">
        <v>1212</v>
      </c>
      <c r="C445" t="s">
        <v>3700</v>
      </c>
      <c r="D445" t="s">
        <v>1206</v>
      </c>
      <c r="E445" s="1" t="s">
        <v>3701</v>
      </c>
      <c r="F445" t="s">
        <v>1205</v>
      </c>
      <c r="G445" t="s">
        <v>3700</v>
      </c>
      <c r="H445" t="s">
        <v>1206</v>
      </c>
      <c r="I445" s="1" t="s">
        <v>5063</v>
      </c>
      <c r="J445" t="s">
        <v>3702</v>
      </c>
      <c r="K445">
        <v>1</v>
      </c>
      <c r="L445">
        <v>3</v>
      </c>
      <c r="M445">
        <v>181760</v>
      </c>
      <c r="N445" t="s">
        <v>3709</v>
      </c>
      <c r="O445" s="7" t="s">
        <v>70</v>
      </c>
      <c r="P445">
        <v>34</v>
      </c>
      <c r="Q445" t="s">
        <v>3710</v>
      </c>
      <c r="R445" t="s">
        <v>68</v>
      </c>
      <c r="S445" t="s">
        <v>1207</v>
      </c>
      <c r="V445" s="7"/>
    </row>
    <row r="446" spans="1:22" x14ac:dyDescent="0.3">
      <c r="A446" t="s">
        <v>1213</v>
      </c>
      <c r="B446" t="s">
        <v>1214</v>
      </c>
      <c r="C446" t="s">
        <v>3711</v>
      </c>
      <c r="D446" t="s">
        <v>3712</v>
      </c>
      <c r="E446" s="1" t="s">
        <v>3701</v>
      </c>
      <c r="F446" t="s">
        <v>1205</v>
      </c>
      <c r="G446" t="s">
        <v>3700</v>
      </c>
      <c r="H446" t="s">
        <v>1206</v>
      </c>
      <c r="I446" s="1" t="s">
        <v>5063</v>
      </c>
      <c r="J446" t="s">
        <v>3702</v>
      </c>
      <c r="K446">
        <v>1</v>
      </c>
      <c r="L446">
        <v>4</v>
      </c>
      <c r="M446">
        <v>219840</v>
      </c>
      <c r="N446" t="s">
        <v>3713</v>
      </c>
      <c r="O446" s="7" t="s">
        <v>70</v>
      </c>
      <c r="P446">
        <v>40</v>
      </c>
      <c r="Q446" t="s">
        <v>3714</v>
      </c>
      <c r="R446" t="s">
        <v>68</v>
      </c>
      <c r="S446" t="s">
        <v>1207</v>
      </c>
      <c r="V446" s="7"/>
    </row>
    <row r="447" spans="1:22" x14ac:dyDescent="0.3">
      <c r="A447" t="s">
        <v>1215</v>
      </c>
      <c r="B447" t="s">
        <v>1216</v>
      </c>
      <c r="C447" t="s">
        <v>3715</v>
      </c>
      <c r="D447" t="s">
        <v>3716</v>
      </c>
      <c r="E447" s="1" t="s">
        <v>3701</v>
      </c>
      <c r="F447" t="s">
        <v>1205</v>
      </c>
      <c r="G447" t="s">
        <v>3700</v>
      </c>
      <c r="H447" t="s">
        <v>1206</v>
      </c>
      <c r="I447" s="1" t="s">
        <v>5063</v>
      </c>
      <c r="J447" t="s">
        <v>3702</v>
      </c>
      <c r="K447">
        <v>1</v>
      </c>
      <c r="L447">
        <v>5</v>
      </c>
      <c r="M447">
        <v>249440</v>
      </c>
      <c r="N447" t="s">
        <v>3717</v>
      </c>
      <c r="O447" s="7" t="s">
        <v>70</v>
      </c>
      <c r="P447">
        <v>42</v>
      </c>
      <c r="Q447" t="s">
        <v>3718</v>
      </c>
      <c r="R447" t="s">
        <v>68</v>
      </c>
      <c r="S447" t="s">
        <v>1207</v>
      </c>
      <c r="V447" s="7"/>
    </row>
    <row r="448" spans="1:22" x14ac:dyDescent="0.3">
      <c r="A448" t="s">
        <v>1218</v>
      </c>
      <c r="B448" t="s">
        <v>1219</v>
      </c>
      <c r="C448" t="s">
        <v>3700</v>
      </c>
      <c r="D448" t="s">
        <v>1206</v>
      </c>
      <c r="E448" s="1" t="s">
        <v>3701</v>
      </c>
      <c r="F448" t="s">
        <v>1205</v>
      </c>
      <c r="G448" t="s">
        <v>3700</v>
      </c>
      <c r="H448" t="s">
        <v>1206</v>
      </c>
      <c r="I448" s="1" t="s">
        <v>5063</v>
      </c>
      <c r="J448" t="s">
        <v>3702</v>
      </c>
      <c r="K448">
        <v>1</v>
      </c>
      <c r="L448">
        <v>6</v>
      </c>
      <c r="M448">
        <v>215440</v>
      </c>
      <c r="N448" t="s">
        <v>3719</v>
      </c>
      <c r="O448" s="7" t="s">
        <v>70</v>
      </c>
      <c r="P448">
        <v>39</v>
      </c>
      <c r="Q448" t="s">
        <v>3720</v>
      </c>
      <c r="R448" t="s">
        <v>68</v>
      </c>
      <c r="S448" t="s">
        <v>1207</v>
      </c>
      <c r="V448" s="7"/>
    </row>
    <row r="449" spans="1:22" x14ac:dyDescent="0.3">
      <c r="A449" t="s">
        <v>1220</v>
      </c>
      <c r="B449" t="s">
        <v>1221</v>
      </c>
      <c r="C449" t="s">
        <v>3700</v>
      </c>
      <c r="D449" t="s">
        <v>1206</v>
      </c>
      <c r="E449" s="1" t="s">
        <v>3701</v>
      </c>
      <c r="F449" t="s">
        <v>1205</v>
      </c>
      <c r="G449" t="s">
        <v>3700</v>
      </c>
      <c r="H449" t="s">
        <v>1206</v>
      </c>
      <c r="I449" s="1" t="s">
        <v>5063</v>
      </c>
      <c r="J449" t="s">
        <v>3702</v>
      </c>
      <c r="K449">
        <v>1</v>
      </c>
      <c r="L449">
        <v>7</v>
      </c>
      <c r="M449">
        <v>198853</v>
      </c>
      <c r="N449" t="s">
        <v>3721</v>
      </c>
      <c r="O449" t="s">
        <v>70</v>
      </c>
      <c r="P449">
        <v>33</v>
      </c>
      <c r="Q449" t="s">
        <v>3722</v>
      </c>
      <c r="R449" t="s">
        <v>68</v>
      </c>
      <c r="S449" t="s">
        <v>1207</v>
      </c>
      <c r="V449" s="7"/>
    </row>
    <row r="450" spans="1:22" x14ac:dyDescent="0.3">
      <c r="A450" t="s">
        <v>1222</v>
      </c>
      <c r="B450" t="s">
        <v>1223</v>
      </c>
      <c r="C450" t="s">
        <v>3700</v>
      </c>
      <c r="D450" t="s">
        <v>1206</v>
      </c>
      <c r="E450" s="1" t="s">
        <v>3701</v>
      </c>
      <c r="F450" t="s">
        <v>1205</v>
      </c>
      <c r="G450" t="s">
        <v>3700</v>
      </c>
      <c r="H450" t="s">
        <v>1206</v>
      </c>
      <c r="I450" s="1" t="s">
        <v>5063</v>
      </c>
      <c r="J450" t="s">
        <v>3702</v>
      </c>
      <c r="K450">
        <v>1</v>
      </c>
      <c r="L450">
        <v>8</v>
      </c>
      <c r="M450">
        <v>220373</v>
      </c>
      <c r="N450" t="s">
        <v>3723</v>
      </c>
      <c r="O450" s="7" t="s">
        <v>70</v>
      </c>
      <c r="P450">
        <v>31</v>
      </c>
      <c r="Q450" t="s">
        <v>3724</v>
      </c>
      <c r="R450" t="s">
        <v>68</v>
      </c>
      <c r="S450" t="s">
        <v>1207</v>
      </c>
    </row>
    <row r="451" spans="1:22" x14ac:dyDescent="0.3">
      <c r="A451" t="s">
        <v>1224</v>
      </c>
      <c r="B451" t="s">
        <v>1225</v>
      </c>
      <c r="C451" t="s">
        <v>3725</v>
      </c>
      <c r="D451" t="s">
        <v>3726</v>
      </c>
      <c r="E451" s="1" t="s">
        <v>3701</v>
      </c>
      <c r="F451" t="s">
        <v>1205</v>
      </c>
      <c r="G451" t="s">
        <v>3700</v>
      </c>
      <c r="H451" t="s">
        <v>1206</v>
      </c>
      <c r="I451" s="1" t="s">
        <v>5063</v>
      </c>
      <c r="J451" t="s">
        <v>3702</v>
      </c>
      <c r="K451">
        <v>1</v>
      </c>
      <c r="L451">
        <v>9</v>
      </c>
      <c r="M451">
        <v>225786</v>
      </c>
      <c r="N451" t="s">
        <v>3727</v>
      </c>
      <c r="O451" s="7" t="s">
        <v>70</v>
      </c>
      <c r="P451">
        <v>34</v>
      </c>
      <c r="Q451" t="s">
        <v>3728</v>
      </c>
      <c r="R451" t="s">
        <v>68</v>
      </c>
      <c r="S451" t="s">
        <v>1207</v>
      </c>
      <c r="V451" s="7"/>
    </row>
    <row r="452" spans="1:22" x14ac:dyDescent="0.3">
      <c r="A452" t="s">
        <v>1227</v>
      </c>
      <c r="B452" t="s">
        <v>1228</v>
      </c>
      <c r="C452" t="s">
        <v>3729</v>
      </c>
      <c r="D452" t="s">
        <v>3730</v>
      </c>
      <c r="E452" s="1" t="s">
        <v>3701</v>
      </c>
      <c r="F452" t="s">
        <v>1205</v>
      </c>
      <c r="G452" t="s">
        <v>3700</v>
      </c>
      <c r="H452" t="s">
        <v>1206</v>
      </c>
      <c r="I452" s="1" t="s">
        <v>5063</v>
      </c>
      <c r="J452" t="s">
        <v>3702</v>
      </c>
      <c r="K452">
        <v>1</v>
      </c>
      <c r="L452">
        <v>10</v>
      </c>
      <c r="M452">
        <v>224306</v>
      </c>
      <c r="N452" t="s">
        <v>3731</v>
      </c>
      <c r="O452" t="s">
        <v>70</v>
      </c>
      <c r="P452">
        <v>36</v>
      </c>
      <c r="Q452" t="s">
        <v>3732</v>
      </c>
      <c r="R452" t="s">
        <v>68</v>
      </c>
      <c r="S452" t="s">
        <v>1207</v>
      </c>
      <c r="V452" s="7"/>
    </row>
    <row r="453" spans="1:22" x14ac:dyDescent="0.3">
      <c r="A453" t="s">
        <v>1229</v>
      </c>
      <c r="B453" t="s">
        <v>1230</v>
      </c>
      <c r="C453" t="s">
        <v>3700</v>
      </c>
      <c r="D453" t="s">
        <v>1206</v>
      </c>
      <c r="E453" s="1" t="s">
        <v>3701</v>
      </c>
      <c r="F453" t="s">
        <v>1205</v>
      </c>
      <c r="G453" t="s">
        <v>3700</v>
      </c>
      <c r="H453" t="s">
        <v>1206</v>
      </c>
      <c r="I453" s="1" t="s">
        <v>5063</v>
      </c>
      <c r="J453" t="s">
        <v>3702</v>
      </c>
      <c r="K453">
        <v>1</v>
      </c>
      <c r="L453">
        <v>12</v>
      </c>
      <c r="M453">
        <v>225346</v>
      </c>
      <c r="N453" t="s">
        <v>3733</v>
      </c>
      <c r="O453" s="7" t="s">
        <v>70</v>
      </c>
      <c r="P453">
        <v>31</v>
      </c>
      <c r="Q453" t="s">
        <v>3734</v>
      </c>
      <c r="R453" t="s">
        <v>68</v>
      </c>
      <c r="S453" t="s">
        <v>1207</v>
      </c>
      <c r="V453" s="7"/>
    </row>
    <row r="454" spans="1:22" x14ac:dyDescent="0.3">
      <c r="A454" t="s">
        <v>1231</v>
      </c>
      <c r="B454" t="s">
        <v>1232</v>
      </c>
      <c r="C454" t="s">
        <v>3700</v>
      </c>
      <c r="D454" t="s">
        <v>1206</v>
      </c>
      <c r="E454" s="1" t="s">
        <v>3701</v>
      </c>
      <c r="F454" t="s">
        <v>1205</v>
      </c>
      <c r="G454" t="s">
        <v>3700</v>
      </c>
      <c r="H454" t="s">
        <v>1206</v>
      </c>
      <c r="I454" s="1" t="s">
        <v>5063</v>
      </c>
      <c r="J454" t="s">
        <v>3702</v>
      </c>
      <c r="K454">
        <v>1</v>
      </c>
      <c r="L454">
        <v>13</v>
      </c>
      <c r="M454">
        <v>214653</v>
      </c>
      <c r="N454" t="s">
        <v>3735</v>
      </c>
      <c r="O454" s="7" t="s">
        <v>70</v>
      </c>
      <c r="P454">
        <v>39</v>
      </c>
      <c r="Q454" t="s">
        <v>3736</v>
      </c>
      <c r="R454" t="s">
        <v>68</v>
      </c>
      <c r="S454" t="s">
        <v>1207</v>
      </c>
      <c r="V454" s="7"/>
    </row>
    <row r="455" spans="1:22" x14ac:dyDescent="0.3">
      <c r="A455" t="s">
        <v>1233</v>
      </c>
      <c r="B455" t="s">
        <v>1234</v>
      </c>
      <c r="C455" t="s">
        <v>3737</v>
      </c>
      <c r="D455" t="s">
        <v>3738</v>
      </c>
      <c r="E455" s="1" t="s">
        <v>3701</v>
      </c>
      <c r="F455" t="s">
        <v>1205</v>
      </c>
      <c r="G455" t="s">
        <v>3700</v>
      </c>
      <c r="H455" t="s">
        <v>1206</v>
      </c>
      <c r="I455" s="1" t="s">
        <v>5063</v>
      </c>
      <c r="J455" t="s">
        <v>3702</v>
      </c>
      <c r="K455">
        <v>1</v>
      </c>
      <c r="L455">
        <v>14</v>
      </c>
      <c r="M455">
        <v>204853</v>
      </c>
      <c r="N455" t="s">
        <v>3739</v>
      </c>
      <c r="O455" s="7" t="s">
        <v>70</v>
      </c>
      <c r="P455">
        <v>42</v>
      </c>
      <c r="Q455" t="s">
        <v>3740</v>
      </c>
      <c r="R455" t="s">
        <v>68</v>
      </c>
      <c r="S455" t="s">
        <v>1207</v>
      </c>
      <c r="V455" s="7"/>
    </row>
    <row r="456" spans="1:22" x14ac:dyDescent="0.3">
      <c r="A456" t="s">
        <v>1235</v>
      </c>
      <c r="B456" t="s">
        <v>1236</v>
      </c>
      <c r="C456" t="s">
        <v>3700</v>
      </c>
      <c r="D456" t="s">
        <v>1206</v>
      </c>
      <c r="E456" s="1" t="s">
        <v>3701</v>
      </c>
      <c r="F456" t="s">
        <v>1205</v>
      </c>
      <c r="G456" t="s">
        <v>3700</v>
      </c>
      <c r="H456" t="s">
        <v>1206</v>
      </c>
      <c r="I456" s="1" t="s">
        <v>5063</v>
      </c>
      <c r="J456" t="s">
        <v>3702</v>
      </c>
      <c r="K456">
        <v>1</v>
      </c>
      <c r="L456">
        <v>15</v>
      </c>
      <c r="M456">
        <v>233986</v>
      </c>
      <c r="N456" t="s">
        <v>3741</v>
      </c>
      <c r="O456" s="7" t="s">
        <v>70</v>
      </c>
      <c r="P456">
        <v>41</v>
      </c>
      <c r="Q456" t="s">
        <v>3742</v>
      </c>
      <c r="R456" t="s">
        <v>68</v>
      </c>
      <c r="S456" t="s">
        <v>1207</v>
      </c>
      <c r="V456" s="7"/>
    </row>
    <row r="457" spans="1:22" x14ac:dyDescent="0.3">
      <c r="A457" t="s">
        <v>1237</v>
      </c>
      <c r="B457" t="s">
        <v>1238</v>
      </c>
      <c r="C457" t="s">
        <v>3700</v>
      </c>
      <c r="D457" t="s">
        <v>1206</v>
      </c>
      <c r="E457" s="1" t="s">
        <v>3701</v>
      </c>
      <c r="F457" t="s">
        <v>1205</v>
      </c>
      <c r="G457" t="s">
        <v>3700</v>
      </c>
      <c r="H457" t="s">
        <v>1206</v>
      </c>
      <c r="I457" s="1" t="s">
        <v>5063</v>
      </c>
      <c r="J457" t="s">
        <v>3702</v>
      </c>
      <c r="K457">
        <v>1</v>
      </c>
      <c r="L457">
        <v>16</v>
      </c>
      <c r="M457">
        <v>197573</v>
      </c>
      <c r="N457" t="s">
        <v>3743</v>
      </c>
      <c r="O457" s="7" t="s">
        <v>70</v>
      </c>
      <c r="P457">
        <v>30</v>
      </c>
      <c r="Q457" t="s">
        <v>3744</v>
      </c>
      <c r="R457" t="s">
        <v>68</v>
      </c>
      <c r="S457" t="s">
        <v>1207</v>
      </c>
      <c r="V457" s="7"/>
    </row>
    <row r="458" spans="1:22" x14ac:dyDescent="0.3">
      <c r="A458" t="s">
        <v>1239</v>
      </c>
      <c r="B458" t="s">
        <v>1240</v>
      </c>
      <c r="C458" t="s">
        <v>3700</v>
      </c>
      <c r="D458" t="s">
        <v>1206</v>
      </c>
      <c r="E458" s="1" t="s">
        <v>3701</v>
      </c>
      <c r="F458" t="s">
        <v>1205</v>
      </c>
      <c r="G458" t="s">
        <v>3700</v>
      </c>
      <c r="H458" t="s">
        <v>1206</v>
      </c>
      <c r="I458" s="1" t="s">
        <v>5063</v>
      </c>
      <c r="J458" t="s">
        <v>3702</v>
      </c>
      <c r="K458">
        <v>1</v>
      </c>
      <c r="L458">
        <v>17</v>
      </c>
      <c r="M458">
        <v>385413</v>
      </c>
      <c r="N458" t="s">
        <v>3745</v>
      </c>
      <c r="O458" s="7" t="s">
        <v>70</v>
      </c>
      <c r="P458">
        <v>34</v>
      </c>
      <c r="Q458" t="s">
        <v>3746</v>
      </c>
      <c r="R458" t="s">
        <v>68</v>
      </c>
      <c r="S458" t="s">
        <v>1207</v>
      </c>
      <c r="V458" s="7"/>
    </row>
    <row r="459" spans="1:22" x14ac:dyDescent="0.3">
      <c r="A459" t="s">
        <v>1241</v>
      </c>
      <c r="B459" t="s">
        <v>1242</v>
      </c>
      <c r="C459" t="s">
        <v>3747</v>
      </c>
      <c r="D459" t="s">
        <v>3748</v>
      </c>
      <c r="E459" s="1" t="s">
        <v>3701</v>
      </c>
      <c r="F459" t="s">
        <v>1205</v>
      </c>
      <c r="G459" t="s">
        <v>3700</v>
      </c>
      <c r="H459" t="s">
        <v>1206</v>
      </c>
      <c r="I459" s="1" t="s">
        <v>5063</v>
      </c>
      <c r="J459" t="s">
        <v>3702</v>
      </c>
      <c r="K459">
        <v>1</v>
      </c>
      <c r="L459">
        <v>18</v>
      </c>
      <c r="M459">
        <v>226746</v>
      </c>
      <c r="N459" t="s">
        <v>3749</v>
      </c>
      <c r="O459" s="7" t="s">
        <v>70</v>
      </c>
      <c r="P459">
        <v>33</v>
      </c>
      <c r="Q459" t="s">
        <v>3750</v>
      </c>
      <c r="R459" t="s">
        <v>68</v>
      </c>
      <c r="S459" t="s">
        <v>1207</v>
      </c>
      <c r="V459" s="7"/>
    </row>
    <row r="460" spans="1:22" x14ac:dyDescent="0.3">
      <c r="A460" t="s">
        <v>1243</v>
      </c>
      <c r="B460" t="s">
        <v>1244</v>
      </c>
      <c r="C460" t="s">
        <v>3700</v>
      </c>
      <c r="D460" t="s">
        <v>1206</v>
      </c>
      <c r="E460" s="1" t="s">
        <v>3751</v>
      </c>
      <c r="F460" t="s">
        <v>1245</v>
      </c>
      <c r="G460" t="s">
        <v>3700</v>
      </c>
      <c r="H460" t="s">
        <v>1206</v>
      </c>
      <c r="I460" s="1" t="s">
        <v>5064</v>
      </c>
      <c r="J460" t="s">
        <v>3752</v>
      </c>
      <c r="K460">
        <v>1</v>
      </c>
      <c r="L460">
        <v>1</v>
      </c>
      <c r="M460">
        <v>234933</v>
      </c>
      <c r="N460" t="s">
        <v>3753</v>
      </c>
      <c r="O460" s="7" t="s">
        <v>70</v>
      </c>
      <c r="P460">
        <v>37</v>
      </c>
      <c r="Q460" t="s">
        <v>3754</v>
      </c>
      <c r="R460" t="s">
        <v>68</v>
      </c>
      <c r="S460" t="s">
        <v>1207</v>
      </c>
    </row>
    <row r="461" spans="1:22" x14ac:dyDescent="0.3">
      <c r="A461" t="s">
        <v>1246</v>
      </c>
      <c r="B461" t="s">
        <v>1247</v>
      </c>
      <c r="C461" t="s">
        <v>3700</v>
      </c>
      <c r="D461" t="s">
        <v>1206</v>
      </c>
      <c r="E461" s="1" t="s">
        <v>3751</v>
      </c>
      <c r="F461" t="s">
        <v>1245</v>
      </c>
      <c r="G461" t="s">
        <v>3700</v>
      </c>
      <c r="H461" t="s">
        <v>1206</v>
      </c>
      <c r="I461" s="1" t="s">
        <v>5064</v>
      </c>
      <c r="J461" t="s">
        <v>3752</v>
      </c>
      <c r="K461">
        <v>1</v>
      </c>
      <c r="L461">
        <v>2</v>
      </c>
      <c r="M461">
        <v>204613</v>
      </c>
      <c r="N461" t="s">
        <v>3755</v>
      </c>
      <c r="O461" s="7" t="s">
        <v>70</v>
      </c>
      <c r="P461">
        <v>44</v>
      </c>
      <c r="Q461" t="s">
        <v>3756</v>
      </c>
      <c r="R461" t="s">
        <v>68</v>
      </c>
      <c r="S461" t="s">
        <v>1207</v>
      </c>
      <c r="V461" s="7"/>
    </row>
    <row r="462" spans="1:22" x14ac:dyDescent="0.3">
      <c r="A462" t="s">
        <v>1248</v>
      </c>
      <c r="B462" t="s">
        <v>1249</v>
      </c>
      <c r="C462" t="s">
        <v>3700</v>
      </c>
      <c r="D462" t="s">
        <v>1206</v>
      </c>
      <c r="E462" s="1" t="s">
        <v>3751</v>
      </c>
      <c r="F462" t="s">
        <v>1245</v>
      </c>
      <c r="G462" t="s">
        <v>3700</v>
      </c>
      <c r="H462" t="s">
        <v>1206</v>
      </c>
      <c r="I462" s="1" t="s">
        <v>5064</v>
      </c>
      <c r="J462" t="s">
        <v>3752</v>
      </c>
      <c r="K462">
        <v>1</v>
      </c>
      <c r="L462">
        <v>3</v>
      </c>
      <c r="M462">
        <v>208093</v>
      </c>
      <c r="N462" t="s">
        <v>3757</v>
      </c>
      <c r="O462" s="7" t="s">
        <v>70</v>
      </c>
      <c r="P462">
        <v>38</v>
      </c>
      <c r="Q462" t="s">
        <v>3758</v>
      </c>
      <c r="R462" t="s">
        <v>68</v>
      </c>
      <c r="S462" t="s">
        <v>1207</v>
      </c>
      <c r="V462" s="7"/>
    </row>
    <row r="463" spans="1:22" x14ac:dyDescent="0.3">
      <c r="A463" t="s">
        <v>1250</v>
      </c>
      <c r="B463" t="s">
        <v>0</v>
      </c>
      <c r="C463" t="s">
        <v>3700</v>
      </c>
      <c r="D463" t="s">
        <v>1206</v>
      </c>
      <c r="E463" s="1" t="s">
        <v>3751</v>
      </c>
      <c r="F463" t="s">
        <v>1245</v>
      </c>
      <c r="G463" t="s">
        <v>3700</v>
      </c>
      <c r="H463" t="s">
        <v>1206</v>
      </c>
      <c r="I463" s="1" t="s">
        <v>5064</v>
      </c>
      <c r="J463" t="s">
        <v>3752</v>
      </c>
      <c r="K463">
        <v>1</v>
      </c>
      <c r="L463">
        <v>4</v>
      </c>
      <c r="M463">
        <v>152413</v>
      </c>
      <c r="N463" t="s">
        <v>3759</v>
      </c>
      <c r="O463" t="s">
        <v>70</v>
      </c>
      <c r="P463">
        <v>29</v>
      </c>
      <c r="Q463" t="s">
        <v>3760</v>
      </c>
      <c r="R463" t="s">
        <v>68</v>
      </c>
      <c r="S463" t="s">
        <v>1207</v>
      </c>
      <c r="V463" s="7"/>
    </row>
    <row r="464" spans="1:22" x14ac:dyDescent="0.3">
      <c r="A464" t="s">
        <v>1251</v>
      </c>
      <c r="B464" t="s">
        <v>1252</v>
      </c>
      <c r="C464" t="s">
        <v>3700</v>
      </c>
      <c r="D464" t="s">
        <v>1206</v>
      </c>
      <c r="E464" s="1" t="s">
        <v>3751</v>
      </c>
      <c r="F464" t="s">
        <v>1245</v>
      </c>
      <c r="G464" t="s">
        <v>3700</v>
      </c>
      <c r="H464" t="s">
        <v>1206</v>
      </c>
      <c r="I464" s="1" t="s">
        <v>5064</v>
      </c>
      <c r="J464" t="s">
        <v>3752</v>
      </c>
      <c r="K464">
        <v>1</v>
      </c>
      <c r="L464">
        <v>5</v>
      </c>
      <c r="M464">
        <v>152840</v>
      </c>
      <c r="N464" t="s">
        <v>3761</v>
      </c>
      <c r="O464" s="7" t="s">
        <v>70</v>
      </c>
      <c r="P464">
        <v>31</v>
      </c>
      <c r="Q464" t="s">
        <v>3762</v>
      </c>
      <c r="R464" t="s">
        <v>68</v>
      </c>
      <c r="S464" t="s">
        <v>1207</v>
      </c>
    </row>
    <row r="465" spans="1:22" x14ac:dyDescent="0.3">
      <c r="A465" t="s">
        <v>1253</v>
      </c>
      <c r="B465" t="s">
        <v>1254</v>
      </c>
      <c r="C465" t="s">
        <v>3700</v>
      </c>
      <c r="D465" t="s">
        <v>1206</v>
      </c>
      <c r="E465" s="1" t="s">
        <v>3751</v>
      </c>
      <c r="F465" t="s">
        <v>1245</v>
      </c>
      <c r="G465" t="s">
        <v>3700</v>
      </c>
      <c r="H465" t="s">
        <v>1206</v>
      </c>
      <c r="I465" s="1" t="s">
        <v>5064</v>
      </c>
      <c r="J465" t="s">
        <v>3752</v>
      </c>
      <c r="K465">
        <v>1</v>
      </c>
      <c r="L465">
        <v>6</v>
      </c>
      <c r="M465">
        <v>250440</v>
      </c>
      <c r="N465" t="s">
        <v>3763</v>
      </c>
      <c r="O465" s="7" t="s">
        <v>70</v>
      </c>
      <c r="P465">
        <v>38</v>
      </c>
      <c r="Q465" t="s">
        <v>3764</v>
      </c>
      <c r="R465" t="s">
        <v>68</v>
      </c>
      <c r="S465" t="s">
        <v>1207</v>
      </c>
      <c r="V465" s="7"/>
    </row>
    <row r="466" spans="1:22" x14ac:dyDescent="0.3">
      <c r="A466" t="s">
        <v>1255</v>
      </c>
      <c r="B466" t="s">
        <v>1256</v>
      </c>
      <c r="C466" t="s">
        <v>3700</v>
      </c>
      <c r="D466" t="s">
        <v>1206</v>
      </c>
      <c r="E466" s="1" t="s">
        <v>3751</v>
      </c>
      <c r="F466" t="s">
        <v>1245</v>
      </c>
      <c r="G466" t="s">
        <v>3700</v>
      </c>
      <c r="H466" t="s">
        <v>1206</v>
      </c>
      <c r="I466" s="1" t="s">
        <v>5064</v>
      </c>
      <c r="J466" t="s">
        <v>3752</v>
      </c>
      <c r="K466">
        <v>1</v>
      </c>
      <c r="L466">
        <v>7</v>
      </c>
      <c r="M466">
        <v>195106</v>
      </c>
      <c r="N466" t="s">
        <v>3765</v>
      </c>
      <c r="O466" s="7" t="s">
        <v>70</v>
      </c>
      <c r="P466">
        <v>38</v>
      </c>
      <c r="Q466" t="s">
        <v>3766</v>
      </c>
      <c r="R466" t="s">
        <v>68</v>
      </c>
      <c r="S466" t="s">
        <v>1207</v>
      </c>
      <c r="V466" s="7"/>
    </row>
    <row r="467" spans="1:22" x14ac:dyDescent="0.3">
      <c r="A467" t="s">
        <v>1257</v>
      </c>
      <c r="B467" t="s">
        <v>1258</v>
      </c>
      <c r="C467" t="s">
        <v>3700</v>
      </c>
      <c r="D467" t="s">
        <v>1206</v>
      </c>
      <c r="E467" s="1" t="s">
        <v>3751</v>
      </c>
      <c r="F467" t="s">
        <v>1245</v>
      </c>
      <c r="G467" t="s">
        <v>3700</v>
      </c>
      <c r="H467" t="s">
        <v>1206</v>
      </c>
      <c r="I467" s="1" t="s">
        <v>5064</v>
      </c>
      <c r="J467" t="s">
        <v>3752</v>
      </c>
      <c r="K467">
        <v>1</v>
      </c>
      <c r="L467">
        <v>8</v>
      </c>
      <c r="M467">
        <v>186320</v>
      </c>
      <c r="N467" t="s">
        <v>3767</v>
      </c>
      <c r="O467" s="7" t="s">
        <v>70</v>
      </c>
      <c r="P467">
        <v>33</v>
      </c>
      <c r="Q467" t="s">
        <v>3768</v>
      </c>
      <c r="R467" t="s">
        <v>68</v>
      </c>
      <c r="S467" t="s">
        <v>1207</v>
      </c>
      <c r="V467" s="7"/>
    </row>
    <row r="468" spans="1:22" x14ac:dyDescent="0.3">
      <c r="A468" t="s">
        <v>1259</v>
      </c>
      <c r="B468" t="s">
        <v>1260</v>
      </c>
      <c r="C468" t="s">
        <v>3700</v>
      </c>
      <c r="D468" t="s">
        <v>1206</v>
      </c>
      <c r="E468" s="1" t="s">
        <v>3751</v>
      </c>
      <c r="F468" t="s">
        <v>1245</v>
      </c>
      <c r="G468" t="s">
        <v>3700</v>
      </c>
      <c r="H468" t="s">
        <v>1206</v>
      </c>
      <c r="I468" s="1" t="s">
        <v>5064</v>
      </c>
      <c r="J468" t="s">
        <v>3752</v>
      </c>
      <c r="K468">
        <v>1</v>
      </c>
      <c r="L468">
        <v>9</v>
      </c>
      <c r="M468">
        <v>241040</v>
      </c>
      <c r="N468" t="s">
        <v>3769</v>
      </c>
      <c r="O468" s="7" t="s">
        <v>70</v>
      </c>
      <c r="P468">
        <v>39</v>
      </c>
      <c r="Q468" t="s">
        <v>3770</v>
      </c>
      <c r="R468" t="s">
        <v>68</v>
      </c>
      <c r="S468" t="s">
        <v>1207</v>
      </c>
      <c r="V468" s="7"/>
    </row>
    <row r="469" spans="1:22" x14ac:dyDescent="0.3">
      <c r="A469" t="s">
        <v>1261</v>
      </c>
      <c r="B469" t="s">
        <v>1262</v>
      </c>
      <c r="C469" t="s">
        <v>3700</v>
      </c>
      <c r="D469" t="s">
        <v>1206</v>
      </c>
      <c r="E469" s="1" t="s">
        <v>3751</v>
      </c>
      <c r="F469" t="s">
        <v>1245</v>
      </c>
      <c r="G469" t="s">
        <v>3700</v>
      </c>
      <c r="H469" t="s">
        <v>1206</v>
      </c>
      <c r="I469" s="1" t="s">
        <v>5064</v>
      </c>
      <c r="J469" t="s">
        <v>3752</v>
      </c>
      <c r="K469">
        <v>1</v>
      </c>
      <c r="L469">
        <v>10</v>
      </c>
      <c r="M469">
        <v>285600</v>
      </c>
      <c r="N469" t="s">
        <v>3771</v>
      </c>
      <c r="O469" t="s">
        <v>70</v>
      </c>
      <c r="P469">
        <v>32</v>
      </c>
      <c r="Q469" t="s">
        <v>3772</v>
      </c>
      <c r="R469" t="s">
        <v>68</v>
      </c>
      <c r="S469" t="s">
        <v>1207</v>
      </c>
      <c r="V469" s="7"/>
    </row>
    <row r="470" spans="1:22" x14ac:dyDescent="0.3">
      <c r="A470" t="s">
        <v>1263</v>
      </c>
      <c r="B470" t="s">
        <v>1264</v>
      </c>
      <c r="C470" t="s">
        <v>3773</v>
      </c>
      <c r="D470" t="s">
        <v>3774</v>
      </c>
      <c r="E470" s="1" t="s">
        <v>3775</v>
      </c>
      <c r="F470" t="s">
        <v>1264</v>
      </c>
      <c r="G470" t="s">
        <v>3776</v>
      </c>
      <c r="H470" t="s">
        <v>3777</v>
      </c>
      <c r="I470" s="1">
        <v>45293</v>
      </c>
      <c r="J470" t="s">
        <v>3778</v>
      </c>
      <c r="K470">
        <v>1</v>
      </c>
      <c r="L470">
        <v>1</v>
      </c>
      <c r="M470">
        <v>161771</v>
      </c>
      <c r="N470" t="s">
        <v>3779</v>
      </c>
      <c r="O470" t="s">
        <v>70</v>
      </c>
      <c r="P470">
        <v>35</v>
      </c>
      <c r="Q470" t="s">
        <v>3780</v>
      </c>
      <c r="R470" t="s">
        <v>68</v>
      </c>
      <c r="S470" t="s">
        <v>1207</v>
      </c>
    </row>
    <row r="471" spans="1:22" x14ac:dyDescent="0.3">
      <c r="A471" t="s">
        <v>1267</v>
      </c>
      <c r="B471" t="s">
        <v>1268</v>
      </c>
      <c r="C471" t="s">
        <v>3700</v>
      </c>
      <c r="D471" t="s">
        <v>1206</v>
      </c>
      <c r="E471" s="1" t="s">
        <v>3781</v>
      </c>
      <c r="F471" t="s">
        <v>1269</v>
      </c>
      <c r="G471" t="s">
        <v>3700</v>
      </c>
      <c r="H471" t="s">
        <v>1206</v>
      </c>
      <c r="I471" s="1" t="s">
        <v>5065</v>
      </c>
      <c r="J471" t="s">
        <v>3782</v>
      </c>
      <c r="K471">
        <v>1</v>
      </c>
      <c r="L471">
        <v>1</v>
      </c>
      <c r="M471">
        <v>271841</v>
      </c>
      <c r="N471" t="s">
        <v>3783</v>
      </c>
      <c r="O471" s="7" t="s">
        <v>70</v>
      </c>
      <c r="P471">
        <v>23</v>
      </c>
      <c r="Q471" t="s">
        <v>3784</v>
      </c>
      <c r="R471" t="s">
        <v>68</v>
      </c>
      <c r="S471" t="s">
        <v>1207</v>
      </c>
    </row>
    <row r="472" spans="1:22" x14ac:dyDescent="0.3">
      <c r="A472" t="s">
        <v>1271</v>
      </c>
      <c r="B472" t="s">
        <v>1272</v>
      </c>
      <c r="C472" t="s">
        <v>3700</v>
      </c>
      <c r="D472" t="s">
        <v>1206</v>
      </c>
      <c r="E472" s="1" t="s">
        <v>3781</v>
      </c>
      <c r="F472" t="s">
        <v>1269</v>
      </c>
      <c r="G472" t="s">
        <v>3700</v>
      </c>
      <c r="H472" t="s">
        <v>1206</v>
      </c>
      <c r="I472" s="1" t="s">
        <v>5065</v>
      </c>
      <c r="J472" t="s">
        <v>3782</v>
      </c>
      <c r="K472">
        <v>1</v>
      </c>
      <c r="L472">
        <v>2</v>
      </c>
      <c r="M472">
        <v>172319</v>
      </c>
      <c r="N472" t="s">
        <v>3785</v>
      </c>
      <c r="O472" s="7" t="s">
        <v>70</v>
      </c>
      <c r="P472">
        <v>16</v>
      </c>
      <c r="Q472" t="s">
        <v>3786</v>
      </c>
      <c r="R472" t="s">
        <v>68</v>
      </c>
      <c r="S472" t="s">
        <v>1207</v>
      </c>
      <c r="V472" s="7"/>
    </row>
    <row r="473" spans="1:22" x14ac:dyDescent="0.3">
      <c r="A473" t="s">
        <v>1273</v>
      </c>
      <c r="B473" t="s">
        <v>1272</v>
      </c>
      <c r="C473" t="s">
        <v>3700</v>
      </c>
      <c r="D473" t="s">
        <v>1206</v>
      </c>
      <c r="E473" s="1" t="s">
        <v>3787</v>
      </c>
      <c r="F473" t="s">
        <v>1272</v>
      </c>
      <c r="G473" t="s">
        <v>3700</v>
      </c>
      <c r="H473" t="s">
        <v>1206</v>
      </c>
      <c r="I473" s="1" t="s">
        <v>5066</v>
      </c>
      <c r="J473" t="s">
        <v>3788</v>
      </c>
      <c r="K473">
        <v>1</v>
      </c>
      <c r="L473">
        <v>1</v>
      </c>
      <c r="M473">
        <v>172319</v>
      </c>
      <c r="N473" t="s">
        <v>3789</v>
      </c>
      <c r="O473" s="7" t="s">
        <v>70</v>
      </c>
      <c r="P473">
        <v>38</v>
      </c>
      <c r="Q473" t="s">
        <v>3786</v>
      </c>
      <c r="R473" t="s">
        <v>68</v>
      </c>
      <c r="S473" t="s">
        <v>1207</v>
      </c>
    </row>
    <row r="474" spans="1:22" x14ac:dyDescent="0.3">
      <c r="A474" t="s">
        <v>1274</v>
      </c>
      <c r="B474" t="s">
        <v>1275</v>
      </c>
      <c r="C474" t="s">
        <v>3700</v>
      </c>
      <c r="D474" t="s">
        <v>1206</v>
      </c>
      <c r="E474" s="1" t="s">
        <v>3790</v>
      </c>
      <c r="F474" t="s">
        <v>1275</v>
      </c>
      <c r="G474" t="s">
        <v>3700</v>
      </c>
      <c r="H474" t="s">
        <v>1206</v>
      </c>
      <c r="I474" s="1" t="s">
        <v>5067</v>
      </c>
      <c r="J474" t="s">
        <v>3791</v>
      </c>
      <c r="K474">
        <v>1</v>
      </c>
      <c r="L474">
        <v>1</v>
      </c>
      <c r="M474">
        <v>214103</v>
      </c>
      <c r="N474" t="s">
        <v>3792</v>
      </c>
      <c r="O474" t="s">
        <v>70</v>
      </c>
      <c r="P474">
        <v>47</v>
      </c>
      <c r="Q474" t="s">
        <v>3793</v>
      </c>
      <c r="R474" t="s">
        <v>68</v>
      </c>
      <c r="S474" t="s">
        <v>1207</v>
      </c>
      <c r="V474" s="7"/>
    </row>
    <row r="475" spans="1:22" x14ac:dyDescent="0.3">
      <c r="A475" t="s">
        <v>1276</v>
      </c>
      <c r="B475" t="s">
        <v>1232</v>
      </c>
      <c r="C475" t="s">
        <v>3700</v>
      </c>
      <c r="D475" t="s">
        <v>1206</v>
      </c>
      <c r="E475" s="1" t="s">
        <v>3794</v>
      </c>
      <c r="F475" t="s">
        <v>1232</v>
      </c>
      <c r="G475" t="s">
        <v>3700</v>
      </c>
      <c r="H475" t="s">
        <v>1206</v>
      </c>
      <c r="I475" s="1" t="s">
        <v>90</v>
      </c>
      <c r="J475" t="s">
        <v>3795</v>
      </c>
      <c r="K475">
        <v>1</v>
      </c>
      <c r="L475">
        <v>1</v>
      </c>
      <c r="M475">
        <v>214266</v>
      </c>
      <c r="N475" t="s">
        <v>3796</v>
      </c>
      <c r="O475" s="7" t="s">
        <v>70</v>
      </c>
      <c r="P475">
        <v>31</v>
      </c>
      <c r="Q475" t="s">
        <v>3736</v>
      </c>
      <c r="R475" t="s">
        <v>68</v>
      </c>
      <c r="S475" t="s">
        <v>1207</v>
      </c>
      <c r="V475" s="7"/>
    </row>
    <row r="476" spans="1:22" x14ac:dyDescent="0.3">
      <c r="A476" t="s">
        <v>1278</v>
      </c>
      <c r="B476" t="s">
        <v>1279</v>
      </c>
      <c r="C476" t="s">
        <v>3700</v>
      </c>
      <c r="D476" t="s">
        <v>1206</v>
      </c>
      <c r="E476" s="1" t="s">
        <v>3794</v>
      </c>
      <c r="F476" t="s">
        <v>1232</v>
      </c>
      <c r="G476" t="s">
        <v>3700</v>
      </c>
      <c r="H476" t="s">
        <v>1206</v>
      </c>
      <c r="I476" s="1" t="s">
        <v>90</v>
      </c>
      <c r="J476" t="s">
        <v>3795</v>
      </c>
      <c r="K476">
        <v>1</v>
      </c>
      <c r="L476">
        <v>2</v>
      </c>
      <c r="M476">
        <v>249813</v>
      </c>
      <c r="N476" t="s">
        <v>3797</v>
      </c>
      <c r="O476" s="7" t="s">
        <v>70</v>
      </c>
      <c r="P476">
        <v>19</v>
      </c>
      <c r="Q476" t="s">
        <v>3798</v>
      </c>
      <c r="R476" t="s">
        <v>68</v>
      </c>
      <c r="S476" t="s">
        <v>1207</v>
      </c>
      <c r="V476" s="7"/>
    </row>
    <row r="477" spans="1:22" x14ac:dyDescent="0.3">
      <c r="A477" t="s">
        <v>1280</v>
      </c>
      <c r="B477" t="s">
        <v>1234</v>
      </c>
      <c r="C477" t="s">
        <v>3737</v>
      </c>
      <c r="D477" t="s">
        <v>3738</v>
      </c>
      <c r="E477" s="1" t="s">
        <v>3799</v>
      </c>
      <c r="F477" t="s">
        <v>1281</v>
      </c>
      <c r="G477" t="s">
        <v>3700</v>
      </c>
      <c r="H477" t="s">
        <v>1206</v>
      </c>
      <c r="I477" s="1" t="s">
        <v>5068</v>
      </c>
      <c r="J477" t="s">
        <v>3800</v>
      </c>
      <c r="K477">
        <v>1</v>
      </c>
      <c r="L477">
        <v>1</v>
      </c>
      <c r="M477">
        <v>205200</v>
      </c>
      <c r="N477" t="s">
        <v>3801</v>
      </c>
      <c r="O477" s="7" t="s">
        <v>70</v>
      </c>
      <c r="P477">
        <v>41</v>
      </c>
      <c r="Q477" t="s">
        <v>3740</v>
      </c>
      <c r="R477" t="s">
        <v>68</v>
      </c>
      <c r="S477" t="s">
        <v>1207</v>
      </c>
      <c r="V477" s="7"/>
    </row>
    <row r="478" spans="1:22" x14ac:dyDescent="0.3">
      <c r="A478" t="s">
        <v>1282</v>
      </c>
      <c r="B478" t="s">
        <v>1283</v>
      </c>
      <c r="C478" t="s">
        <v>3737</v>
      </c>
      <c r="D478" t="s">
        <v>3738</v>
      </c>
      <c r="E478" s="1" t="s">
        <v>3799</v>
      </c>
      <c r="F478" t="s">
        <v>1281</v>
      </c>
      <c r="G478" t="s">
        <v>3700</v>
      </c>
      <c r="H478" t="s">
        <v>1206</v>
      </c>
      <c r="I478" s="1" t="s">
        <v>5068</v>
      </c>
      <c r="J478" t="s">
        <v>3800</v>
      </c>
      <c r="K478">
        <v>1</v>
      </c>
      <c r="L478">
        <v>2</v>
      </c>
      <c r="M478">
        <v>205226</v>
      </c>
      <c r="N478" t="s">
        <v>3802</v>
      </c>
      <c r="O478" s="7" t="s">
        <v>70</v>
      </c>
      <c r="P478">
        <v>20</v>
      </c>
      <c r="Q478" t="s">
        <v>3803</v>
      </c>
      <c r="R478" t="s">
        <v>68</v>
      </c>
      <c r="S478" t="s">
        <v>1207</v>
      </c>
      <c r="V478" s="7"/>
    </row>
    <row r="479" spans="1:22" x14ac:dyDescent="0.3">
      <c r="A479" t="s">
        <v>1284</v>
      </c>
      <c r="B479" t="s">
        <v>1236</v>
      </c>
      <c r="C479" t="s">
        <v>3700</v>
      </c>
      <c r="D479" t="s">
        <v>1206</v>
      </c>
      <c r="E479" s="1" t="s">
        <v>3804</v>
      </c>
      <c r="F479" t="s">
        <v>1236</v>
      </c>
      <c r="G479" t="s">
        <v>3700</v>
      </c>
      <c r="H479" t="s">
        <v>1206</v>
      </c>
      <c r="I479" s="1" t="s">
        <v>5069</v>
      </c>
      <c r="J479" t="s">
        <v>3805</v>
      </c>
      <c r="K479">
        <v>1</v>
      </c>
      <c r="L479">
        <v>1</v>
      </c>
      <c r="M479">
        <v>233533</v>
      </c>
      <c r="N479" t="s">
        <v>3741</v>
      </c>
      <c r="O479" s="7" t="s">
        <v>70</v>
      </c>
      <c r="P479">
        <v>13</v>
      </c>
      <c r="Q479" t="s">
        <v>3742</v>
      </c>
      <c r="R479" t="s">
        <v>68</v>
      </c>
      <c r="S479" t="s">
        <v>1207</v>
      </c>
      <c r="V479" s="7"/>
    </row>
    <row r="480" spans="1:22" x14ac:dyDescent="0.3">
      <c r="A480" t="s">
        <v>1285</v>
      </c>
      <c r="B480" t="s">
        <v>1236</v>
      </c>
      <c r="C480" t="s">
        <v>3700</v>
      </c>
      <c r="D480" t="s">
        <v>1206</v>
      </c>
      <c r="E480" s="1" t="s">
        <v>3806</v>
      </c>
      <c r="F480" t="s">
        <v>1236</v>
      </c>
      <c r="G480" t="s">
        <v>3700</v>
      </c>
      <c r="H480" t="s">
        <v>1206</v>
      </c>
      <c r="I480" s="1">
        <v>41131</v>
      </c>
      <c r="J480" t="s">
        <v>3807</v>
      </c>
      <c r="K480">
        <v>1</v>
      </c>
      <c r="L480">
        <v>1</v>
      </c>
      <c r="M480">
        <v>233693</v>
      </c>
      <c r="N480" t="s">
        <v>3808</v>
      </c>
      <c r="O480" s="7" t="s">
        <v>70</v>
      </c>
      <c r="P480">
        <v>34</v>
      </c>
      <c r="Q480" t="s">
        <v>3742</v>
      </c>
      <c r="R480" t="s">
        <v>68</v>
      </c>
      <c r="S480" t="s">
        <v>1207</v>
      </c>
      <c r="V480" s="7"/>
    </row>
    <row r="481" spans="1:22" x14ac:dyDescent="0.3">
      <c r="A481" t="s">
        <v>1286</v>
      </c>
      <c r="B481" t="s">
        <v>1287</v>
      </c>
      <c r="C481" t="s">
        <v>3700</v>
      </c>
      <c r="D481" t="s">
        <v>1206</v>
      </c>
      <c r="E481" s="1" t="s">
        <v>3806</v>
      </c>
      <c r="F481" t="s">
        <v>1236</v>
      </c>
      <c r="G481" t="s">
        <v>3700</v>
      </c>
      <c r="H481" t="s">
        <v>1206</v>
      </c>
      <c r="I481" s="1">
        <v>41131</v>
      </c>
      <c r="J481" t="s">
        <v>3807</v>
      </c>
      <c r="K481">
        <v>1</v>
      </c>
      <c r="L481">
        <v>2</v>
      </c>
      <c r="M481">
        <v>270280</v>
      </c>
      <c r="N481" t="s">
        <v>3809</v>
      </c>
      <c r="O481" s="7" t="s">
        <v>70</v>
      </c>
      <c r="P481">
        <v>19</v>
      </c>
      <c r="Q481" t="s">
        <v>3810</v>
      </c>
      <c r="R481" t="s">
        <v>68</v>
      </c>
      <c r="S481" t="s">
        <v>1207</v>
      </c>
      <c r="V481" s="7"/>
    </row>
    <row r="482" spans="1:22" x14ac:dyDescent="0.3">
      <c r="A482" t="s">
        <v>1288</v>
      </c>
      <c r="B482" t="s">
        <v>1289</v>
      </c>
      <c r="C482" t="s">
        <v>3811</v>
      </c>
      <c r="D482" t="s">
        <v>3812</v>
      </c>
      <c r="E482" s="1" t="s">
        <v>3806</v>
      </c>
      <c r="F482" t="s">
        <v>1236</v>
      </c>
      <c r="G482" t="s">
        <v>3700</v>
      </c>
      <c r="H482" t="s">
        <v>1206</v>
      </c>
      <c r="I482" s="1">
        <v>41131</v>
      </c>
      <c r="J482" t="s">
        <v>3807</v>
      </c>
      <c r="K482">
        <v>1</v>
      </c>
      <c r="L482">
        <v>3</v>
      </c>
      <c r="M482">
        <v>295520</v>
      </c>
      <c r="N482" t="s">
        <v>3813</v>
      </c>
      <c r="O482" s="7" t="s">
        <v>70</v>
      </c>
      <c r="P482">
        <v>23</v>
      </c>
      <c r="Q482" t="s">
        <v>3814</v>
      </c>
      <c r="R482" t="s">
        <v>68</v>
      </c>
      <c r="S482" t="s">
        <v>1207</v>
      </c>
      <c r="V482" s="7"/>
    </row>
    <row r="483" spans="1:22" x14ac:dyDescent="0.3">
      <c r="A483" t="s">
        <v>1290</v>
      </c>
      <c r="B483" t="s">
        <v>1291</v>
      </c>
      <c r="C483" t="s">
        <v>3700</v>
      </c>
      <c r="D483" t="s">
        <v>1206</v>
      </c>
      <c r="E483" s="1" t="s">
        <v>3806</v>
      </c>
      <c r="F483" t="s">
        <v>1236</v>
      </c>
      <c r="G483" t="s">
        <v>3700</v>
      </c>
      <c r="H483" t="s">
        <v>1206</v>
      </c>
      <c r="I483" s="1">
        <v>41131</v>
      </c>
      <c r="J483" t="s">
        <v>3807</v>
      </c>
      <c r="K483">
        <v>1</v>
      </c>
      <c r="L483">
        <v>4</v>
      </c>
      <c r="M483">
        <v>309253</v>
      </c>
      <c r="N483" t="s">
        <v>3815</v>
      </c>
      <c r="O483" s="7" t="s">
        <v>70</v>
      </c>
      <c r="P483">
        <v>12</v>
      </c>
      <c r="Q483" t="s">
        <v>3816</v>
      </c>
      <c r="R483" t="s">
        <v>68</v>
      </c>
      <c r="S483" t="s">
        <v>1207</v>
      </c>
      <c r="V483" s="7"/>
    </row>
    <row r="484" spans="1:22" x14ac:dyDescent="0.3">
      <c r="A484" t="s">
        <v>1292</v>
      </c>
      <c r="B484" t="s">
        <v>1293</v>
      </c>
      <c r="C484" t="s">
        <v>3817</v>
      </c>
      <c r="D484" t="s">
        <v>3818</v>
      </c>
      <c r="E484" s="1" t="s">
        <v>3806</v>
      </c>
      <c r="F484" t="s">
        <v>1236</v>
      </c>
      <c r="G484" t="s">
        <v>3700</v>
      </c>
      <c r="H484" t="s">
        <v>1206</v>
      </c>
      <c r="I484" s="1">
        <v>41131</v>
      </c>
      <c r="J484" t="s">
        <v>3807</v>
      </c>
      <c r="K484">
        <v>1</v>
      </c>
      <c r="L484">
        <v>5</v>
      </c>
      <c r="M484">
        <v>310200</v>
      </c>
      <c r="N484" t="s">
        <v>3819</v>
      </c>
      <c r="O484" s="7" t="s">
        <v>70</v>
      </c>
      <c r="P484">
        <v>21</v>
      </c>
      <c r="Q484" t="s">
        <v>3820</v>
      </c>
      <c r="R484" t="s">
        <v>68</v>
      </c>
      <c r="S484" t="s">
        <v>1207</v>
      </c>
      <c r="V484" s="7"/>
    </row>
    <row r="485" spans="1:22" x14ac:dyDescent="0.3">
      <c r="A485" t="s">
        <v>1295</v>
      </c>
      <c r="B485" t="s">
        <v>1296</v>
      </c>
      <c r="C485" t="s">
        <v>3700</v>
      </c>
      <c r="D485" t="s">
        <v>1206</v>
      </c>
      <c r="E485" s="1" t="s">
        <v>3821</v>
      </c>
      <c r="F485" t="s">
        <v>1296</v>
      </c>
      <c r="G485" t="s">
        <v>3700</v>
      </c>
      <c r="H485" t="s">
        <v>1206</v>
      </c>
      <c r="I485" s="1">
        <v>41979</v>
      </c>
      <c r="J485" t="s">
        <v>3822</v>
      </c>
      <c r="K485">
        <v>1</v>
      </c>
      <c r="L485">
        <v>1</v>
      </c>
      <c r="M485">
        <v>196832</v>
      </c>
      <c r="N485" t="s">
        <v>3823</v>
      </c>
      <c r="O485" s="7" t="s">
        <v>70</v>
      </c>
      <c r="P485">
        <v>27</v>
      </c>
      <c r="Q485" t="s">
        <v>3824</v>
      </c>
      <c r="R485" t="s">
        <v>68</v>
      </c>
      <c r="S485" t="s">
        <v>1207</v>
      </c>
      <c r="V485" s="7"/>
    </row>
    <row r="486" spans="1:22" x14ac:dyDescent="0.3">
      <c r="A486" t="s">
        <v>1297</v>
      </c>
      <c r="B486" t="s">
        <v>1221</v>
      </c>
      <c r="C486" t="s">
        <v>3700</v>
      </c>
      <c r="D486" t="s">
        <v>1206</v>
      </c>
      <c r="E486" s="1" t="s">
        <v>3825</v>
      </c>
      <c r="F486" t="s">
        <v>1221</v>
      </c>
      <c r="G486" t="s">
        <v>3700</v>
      </c>
      <c r="H486" t="s">
        <v>1206</v>
      </c>
      <c r="I486" s="1">
        <v>41681</v>
      </c>
      <c r="J486" t="s">
        <v>3826</v>
      </c>
      <c r="K486">
        <v>1</v>
      </c>
      <c r="L486">
        <v>1</v>
      </c>
      <c r="M486">
        <v>199280</v>
      </c>
      <c r="N486" t="s">
        <v>3827</v>
      </c>
      <c r="O486" s="7" t="s">
        <v>70</v>
      </c>
      <c r="P486">
        <v>32</v>
      </c>
      <c r="Q486" t="s">
        <v>3722</v>
      </c>
      <c r="R486" t="s">
        <v>68</v>
      </c>
      <c r="S486" t="s">
        <v>1207</v>
      </c>
      <c r="V486" s="7"/>
    </row>
    <row r="487" spans="1:22" x14ac:dyDescent="0.3">
      <c r="A487" t="s">
        <v>1298</v>
      </c>
      <c r="B487" t="s">
        <v>1210</v>
      </c>
      <c r="C487" t="s">
        <v>3705</v>
      </c>
      <c r="D487" t="s">
        <v>3706</v>
      </c>
      <c r="E487" s="1" t="s">
        <v>3828</v>
      </c>
      <c r="F487" t="s">
        <v>1210</v>
      </c>
      <c r="G487" t="s">
        <v>3700</v>
      </c>
      <c r="H487" t="s">
        <v>1206</v>
      </c>
      <c r="I487" s="1">
        <v>41863</v>
      </c>
      <c r="J487" t="s">
        <v>3829</v>
      </c>
      <c r="K487">
        <v>1</v>
      </c>
      <c r="L487">
        <v>1</v>
      </c>
      <c r="M487">
        <v>192706</v>
      </c>
      <c r="N487" t="s">
        <v>3830</v>
      </c>
      <c r="O487" s="7" t="s">
        <v>70</v>
      </c>
      <c r="P487">
        <v>31</v>
      </c>
      <c r="Q487" t="s">
        <v>3708</v>
      </c>
      <c r="R487" t="s">
        <v>68</v>
      </c>
      <c r="S487" t="s">
        <v>1207</v>
      </c>
      <c r="V487" s="7"/>
    </row>
    <row r="488" spans="1:22" x14ac:dyDescent="0.3">
      <c r="A488" t="s">
        <v>1299</v>
      </c>
      <c r="B488" t="s">
        <v>1300</v>
      </c>
      <c r="C488" t="s">
        <v>3831</v>
      </c>
      <c r="D488" t="s">
        <v>3832</v>
      </c>
      <c r="E488" s="1" t="s">
        <v>3833</v>
      </c>
      <c r="F488" t="s">
        <v>1301</v>
      </c>
      <c r="G488" t="s">
        <v>3700</v>
      </c>
      <c r="H488" t="s">
        <v>1206</v>
      </c>
      <c r="I488" s="1" t="s">
        <v>5070</v>
      </c>
      <c r="J488" t="s">
        <v>3834</v>
      </c>
      <c r="K488">
        <v>1</v>
      </c>
      <c r="L488">
        <v>1</v>
      </c>
      <c r="M488">
        <v>312000</v>
      </c>
      <c r="N488" t="s">
        <v>3835</v>
      </c>
      <c r="O488" s="7" t="s">
        <v>70</v>
      </c>
      <c r="P488">
        <v>8</v>
      </c>
      <c r="Q488" t="s">
        <v>3836</v>
      </c>
      <c r="R488" t="s">
        <v>68</v>
      </c>
      <c r="S488" t="s">
        <v>1207</v>
      </c>
      <c r="V488" s="7"/>
    </row>
    <row r="489" spans="1:22" x14ac:dyDescent="0.3">
      <c r="A489" t="s">
        <v>1302</v>
      </c>
      <c r="B489" t="s">
        <v>1303</v>
      </c>
      <c r="C489" t="s">
        <v>3837</v>
      </c>
      <c r="D489" t="s">
        <v>3838</v>
      </c>
      <c r="E489" s="1" t="s">
        <v>3833</v>
      </c>
      <c r="F489" t="s">
        <v>1301</v>
      </c>
      <c r="G489" t="s">
        <v>3700</v>
      </c>
      <c r="H489" t="s">
        <v>1206</v>
      </c>
      <c r="I489" s="1" t="s">
        <v>5070</v>
      </c>
      <c r="J489" t="s">
        <v>3834</v>
      </c>
      <c r="K489">
        <v>1</v>
      </c>
      <c r="L489">
        <v>2</v>
      </c>
      <c r="M489">
        <v>238800</v>
      </c>
      <c r="N489" t="s">
        <v>3839</v>
      </c>
      <c r="O489" s="7" t="s">
        <v>70</v>
      </c>
      <c r="P489">
        <v>18</v>
      </c>
      <c r="Q489" t="s">
        <v>3840</v>
      </c>
      <c r="R489" t="s">
        <v>68</v>
      </c>
      <c r="S489" t="s">
        <v>1207</v>
      </c>
      <c r="V489" s="7"/>
    </row>
    <row r="490" spans="1:22" x14ac:dyDescent="0.3">
      <c r="A490" t="s">
        <v>1304</v>
      </c>
      <c r="B490" t="s">
        <v>1305</v>
      </c>
      <c r="C490" t="s">
        <v>3841</v>
      </c>
      <c r="D490" t="s">
        <v>3842</v>
      </c>
      <c r="E490" s="1" t="s">
        <v>3833</v>
      </c>
      <c r="F490" t="s">
        <v>1301</v>
      </c>
      <c r="G490" t="s">
        <v>3700</v>
      </c>
      <c r="H490" t="s">
        <v>1206</v>
      </c>
      <c r="I490" s="1" t="s">
        <v>5070</v>
      </c>
      <c r="J490" t="s">
        <v>3834</v>
      </c>
      <c r="K490">
        <v>1</v>
      </c>
      <c r="L490">
        <v>3</v>
      </c>
      <c r="M490">
        <v>199800</v>
      </c>
      <c r="N490" t="s">
        <v>3843</v>
      </c>
      <c r="O490" s="7" t="s">
        <v>70</v>
      </c>
      <c r="P490">
        <v>30</v>
      </c>
      <c r="Q490" t="s">
        <v>3844</v>
      </c>
      <c r="R490" t="s">
        <v>68</v>
      </c>
      <c r="S490" t="s">
        <v>1207</v>
      </c>
      <c r="V490" s="7"/>
    </row>
    <row r="491" spans="1:22" x14ac:dyDescent="0.3">
      <c r="A491" t="s">
        <v>1307</v>
      </c>
      <c r="B491" t="s">
        <v>1216</v>
      </c>
      <c r="C491" t="s">
        <v>3715</v>
      </c>
      <c r="D491" t="s">
        <v>3716</v>
      </c>
      <c r="E491" s="1" t="s">
        <v>3845</v>
      </c>
      <c r="F491" t="s">
        <v>1216</v>
      </c>
      <c r="G491" t="s">
        <v>3700</v>
      </c>
      <c r="H491" t="s">
        <v>1206</v>
      </c>
      <c r="I491" s="1">
        <v>42279</v>
      </c>
      <c r="J491" t="s">
        <v>3846</v>
      </c>
      <c r="K491">
        <v>1</v>
      </c>
      <c r="L491">
        <v>1</v>
      </c>
      <c r="M491">
        <v>249440</v>
      </c>
      <c r="N491" t="s">
        <v>3717</v>
      </c>
      <c r="O491" s="7" t="s">
        <v>70</v>
      </c>
      <c r="P491">
        <v>27</v>
      </c>
      <c r="Q491" t="s">
        <v>3718</v>
      </c>
      <c r="R491" t="s">
        <v>68</v>
      </c>
      <c r="S491" t="s">
        <v>1207</v>
      </c>
      <c r="V491" s="7"/>
    </row>
    <row r="492" spans="1:22" x14ac:dyDescent="0.3">
      <c r="A492" t="s">
        <v>1308</v>
      </c>
      <c r="B492" t="s">
        <v>1230</v>
      </c>
      <c r="C492" t="s">
        <v>3700</v>
      </c>
      <c r="D492" t="s">
        <v>1206</v>
      </c>
      <c r="E492" s="1" t="s">
        <v>3847</v>
      </c>
      <c r="F492" t="s">
        <v>1230</v>
      </c>
      <c r="G492" t="s">
        <v>3700</v>
      </c>
      <c r="H492" t="s">
        <v>1206</v>
      </c>
      <c r="I492" s="1">
        <v>42280</v>
      </c>
      <c r="J492" t="s">
        <v>3848</v>
      </c>
      <c r="K492">
        <v>1</v>
      </c>
      <c r="L492">
        <v>1</v>
      </c>
      <c r="M492">
        <v>225346</v>
      </c>
      <c r="N492" t="s">
        <v>3733</v>
      </c>
      <c r="O492" s="7" t="s">
        <v>70</v>
      </c>
      <c r="P492">
        <v>20</v>
      </c>
      <c r="Q492" t="s">
        <v>3734</v>
      </c>
      <c r="R492" t="s">
        <v>68</v>
      </c>
      <c r="S492" t="s">
        <v>1207</v>
      </c>
      <c r="V492" s="7"/>
    </row>
    <row r="493" spans="1:22" x14ac:dyDescent="0.3">
      <c r="A493" t="s">
        <v>1309</v>
      </c>
      <c r="B493" t="s">
        <v>1225</v>
      </c>
      <c r="C493" t="s">
        <v>3725</v>
      </c>
      <c r="D493" t="s">
        <v>3726</v>
      </c>
      <c r="E493" s="1" t="s">
        <v>3849</v>
      </c>
      <c r="F493" t="s">
        <v>1225</v>
      </c>
      <c r="G493" t="s">
        <v>3700</v>
      </c>
      <c r="H493" t="s">
        <v>1206</v>
      </c>
      <c r="I493" s="1" t="s">
        <v>5071</v>
      </c>
      <c r="J493" t="s">
        <v>3850</v>
      </c>
      <c r="K493">
        <v>1</v>
      </c>
      <c r="L493">
        <v>1</v>
      </c>
      <c r="M493">
        <v>225786</v>
      </c>
      <c r="N493" t="s">
        <v>3727</v>
      </c>
      <c r="O493" s="7" t="s">
        <v>70</v>
      </c>
      <c r="P493">
        <v>14</v>
      </c>
      <c r="Q493" t="s">
        <v>3728</v>
      </c>
      <c r="R493" t="s">
        <v>68</v>
      </c>
      <c r="S493" t="s">
        <v>1207</v>
      </c>
      <c r="V493" s="7"/>
    </row>
    <row r="494" spans="1:22" x14ac:dyDescent="0.3">
      <c r="A494" t="s">
        <v>1310</v>
      </c>
      <c r="B494" t="s">
        <v>1311</v>
      </c>
      <c r="C494" t="s">
        <v>3851</v>
      </c>
      <c r="D494" t="s">
        <v>3852</v>
      </c>
      <c r="E494" s="1" t="s">
        <v>3853</v>
      </c>
      <c r="F494" t="s">
        <v>1312</v>
      </c>
      <c r="G494" t="s">
        <v>3700</v>
      </c>
      <c r="H494" t="s">
        <v>1206</v>
      </c>
      <c r="I494" s="1" t="s">
        <v>4988</v>
      </c>
      <c r="J494" t="s">
        <v>3854</v>
      </c>
      <c r="K494">
        <v>1</v>
      </c>
      <c r="L494">
        <v>1</v>
      </c>
      <c r="M494">
        <v>228893</v>
      </c>
      <c r="N494" t="s">
        <v>3855</v>
      </c>
      <c r="O494" s="7" t="s">
        <v>70</v>
      </c>
      <c r="P494">
        <v>23</v>
      </c>
      <c r="Q494" t="s">
        <v>3856</v>
      </c>
      <c r="R494" t="s">
        <v>68</v>
      </c>
      <c r="S494" t="s">
        <v>1207</v>
      </c>
      <c r="V494" s="7"/>
    </row>
    <row r="495" spans="1:22" x14ac:dyDescent="0.3">
      <c r="A495" t="s">
        <v>1313</v>
      </c>
      <c r="B495" t="s">
        <v>1314</v>
      </c>
      <c r="C495" t="s">
        <v>3857</v>
      </c>
      <c r="D495" t="s">
        <v>3858</v>
      </c>
      <c r="E495" s="1" t="s">
        <v>3853</v>
      </c>
      <c r="F495" t="s">
        <v>1312</v>
      </c>
      <c r="G495" t="s">
        <v>3700</v>
      </c>
      <c r="H495" t="s">
        <v>1206</v>
      </c>
      <c r="I495" s="1" t="s">
        <v>4988</v>
      </c>
      <c r="J495" t="s">
        <v>3854</v>
      </c>
      <c r="K495">
        <v>1</v>
      </c>
      <c r="L495">
        <v>2</v>
      </c>
      <c r="M495">
        <v>243933</v>
      </c>
      <c r="N495" t="s">
        <v>3859</v>
      </c>
      <c r="O495" s="7" t="s">
        <v>70</v>
      </c>
      <c r="P495">
        <v>12</v>
      </c>
      <c r="Q495" t="s">
        <v>3860</v>
      </c>
      <c r="R495" t="s">
        <v>68</v>
      </c>
      <c r="S495" t="s">
        <v>1207</v>
      </c>
      <c r="V495" s="7"/>
    </row>
    <row r="496" spans="1:22" x14ac:dyDescent="0.3">
      <c r="A496" t="s">
        <v>1316</v>
      </c>
      <c r="B496" t="s">
        <v>1317</v>
      </c>
      <c r="C496" t="s">
        <v>3715</v>
      </c>
      <c r="D496" t="s">
        <v>3716</v>
      </c>
      <c r="E496" s="1" t="s">
        <v>3853</v>
      </c>
      <c r="F496" t="s">
        <v>1312</v>
      </c>
      <c r="G496" t="s">
        <v>3700</v>
      </c>
      <c r="H496" t="s">
        <v>1206</v>
      </c>
      <c r="I496" s="1" t="s">
        <v>4988</v>
      </c>
      <c r="J496" t="s">
        <v>3854</v>
      </c>
      <c r="K496">
        <v>1</v>
      </c>
      <c r="L496">
        <v>3</v>
      </c>
      <c r="M496">
        <v>204080</v>
      </c>
      <c r="N496" t="s">
        <v>3861</v>
      </c>
      <c r="O496" s="7" t="s">
        <v>70</v>
      </c>
      <c r="P496">
        <v>15</v>
      </c>
      <c r="Q496" t="s">
        <v>3862</v>
      </c>
      <c r="R496" t="s">
        <v>68</v>
      </c>
      <c r="S496" t="s">
        <v>1207</v>
      </c>
      <c r="V496" s="7"/>
    </row>
    <row r="497" spans="1:22" x14ac:dyDescent="0.3">
      <c r="A497" t="s">
        <v>1318</v>
      </c>
      <c r="B497" t="s">
        <v>1319</v>
      </c>
      <c r="C497" t="s">
        <v>3863</v>
      </c>
      <c r="D497" t="s">
        <v>3864</v>
      </c>
      <c r="E497" s="1" t="s">
        <v>3853</v>
      </c>
      <c r="F497" t="s">
        <v>1312</v>
      </c>
      <c r="G497" t="s">
        <v>3700</v>
      </c>
      <c r="H497" t="s">
        <v>1206</v>
      </c>
      <c r="I497" s="1" t="s">
        <v>4988</v>
      </c>
      <c r="J497" t="s">
        <v>3854</v>
      </c>
      <c r="K497">
        <v>1</v>
      </c>
      <c r="L497">
        <v>4</v>
      </c>
      <c r="M497">
        <v>213826</v>
      </c>
      <c r="N497" t="s">
        <v>3865</v>
      </c>
      <c r="O497" t="s">
        <v>70</v>
      </c>
      <c r="P497">
        <v>17</v>
      </c>
      <c r="Q497" t="s">
        <v>3866</v>
      </c>
      <c r="R497" t="s">
        <v>68</v>
      </c>
      <c r="S497" t="s">
        <v>1207</v>
      </c>
    </row>
    <row r="498" spans="1:22" x14ac:dyDescent="0.3">
      <c r="A498" t="s">
        <v>1321</v>
      </c>
      <c r="B498" t="s">
        <v>1247</v>
      </c>
      <c r="C498" t="s">
        <v>3700</v>
      </c>
      <c r="D498" t="s">
        <v>1206</v>
      </c>
      <c r="E498" s="1" t="s">
        <v>3867</v>
      </c>
      <c r="F498" t="s">
        <v>1247</v>
      </c>
      <c r="G498" t="s">
        <v>3700</v>
      </c>
      <c r="H498" t="s">
        <v>1206</v>
      </c>
      <c r="I498" s="1" t="s">
        <v>5072</v>
      </c>
      <c r="J498" t="s">
        <v>3868</v>
      </c>
      <c r="K498">
        <v>1</v>
      </c>
      <c r="L498">
        <v>1</v>
      </c>
      <c r="M498">
        <v>204626</v>
      </c>
      <c r="N498" t="s">
        <v>3869</v>
      </c>
      <c r="O498" s="7" t="s">
        <v>70</v>
      </c>
      <c r="P498">
        <v>34</v>
      </c>
      <c r="Q498" t="s">
        <v>3756</v>
      </c>
      <c r="R498" t="s">
        <v>68</v>
      </c>
      <c r="S498" t="s">
        <v>1207</v>
      </c>
      <c r="V498" s="7"/>
    </row>
    <row r="499" spans="1:22" x14ac:dyDescent="0.3">
      <c r="A499" t="s">
        <v>1322</v>
      </c>
      <c r="B499" t="s">
        <v>1323</v>
      </c>
      <c r="C499" t="s">
        <v>3870</v>
      </c>
      <c r="D499" t="s">
        <v>3871</v>
      </c>
      <c r="E499" s="1" t="s">
        <v>3872</v>
      </c>
      <c r="F499" t="s">
        <v>1323</v>
      </c>
      <c r="G499" t="s">
        <v>3870</v>
      </c>
      <c r="H499" t="s">
        <v>3871</v>
      </c>
      <c r="I499" s="1">
        <v>42712</v>
      </c>
      <c r="J499" t="s">
        <v>3873</v>
      </c>
      <c r="K499">
        <v>1</v>
      </c>
      <c r="L499">
        <v>1</v>
      </c>
      <c r="M499">
        <v>218964</v>
      </c>
      <c r="N499" t="s">
        <v>3874</v>
      </c>
      <c r="O499" s="7" t="s">
        <v>70</v>
      </c>
      <c r="P499">
        <v>60</v>
      </c>
      <c r="Q499" t="s">
        <v>3875</v>
      </c>
      <c r="R499" t="s">
        <v>68</v>
      </c>
      <c r="S499" t="s">
        <v>1207</v>
      </c>
      <c r="V499" s="7"/>
    </row>
    <row r="500" spans="1:22" x14ac:dyDescent="0.3">
      <c r="A500" t="s">
        <v>1326</v>
      </c>
      <c r="B500" t="s">
        <v>1244</v>
      </c>
      <c r="C500" t="s">
        <v>3700</v>
      </c>
      <c r="D500" t="s">
        <v>1206</v>
      </c>
      <c r="E500" s="1" t="s">
        <v>3876</v>
      </c>
      <c r="F500" t="s">
        <v>1244</v>
      </c>
      <c r="G500" t="s">
        <v>3700</v>
      </c>
      <c r="H500" t="s">
        <v>1206</v>
      </c>
      <c r="I500" s="1">
        <v>43745</v>
      </c>
      <c r="J500" t="s">
        <v>3877</v>
      </c>
      <c r="K500">
        <v>1</v>
      </c>
      <c r="L500">
        <v>1</v>
      </c>
      <c r="M500">
        <v>234933</v>
      </c>
      <c r="N500" t="s">
        <v>3878</v>
      </c>
      <c r="O500" s="7" t="s">
        <v>70</v>
      </c>
      <c r="P500">
        <v>24</v>
      </c>
      <c r="Q500" t="s">
        <v>3754</v>
      </c>
      <c r="R500" t="s">
        <v>68</v>
      </c>
      <c r="S500" t="s">
        <v>1207</v>
      </c>
      <c r="V500" s="7"/>
    </row>
    <row r="501" spans="1:22" x14ac:dyDescent="0.3">
      <c r="A501" t="s">
        <v>1327</v>
      </c>
      <c r="B501" t="s">
        <v>1249</v>
      </c>
      <c r="C501" t="s">
        <v>3700</v>
      </c>
      <c r="D501" t="s">
        <v>1206</v>
      </c>
      <c r="E501" s="1" t="s">
        <v>3879</v>
      </c>
      <c r="F501" t="s">
        <v>1249</v>
      </c>
      <c r="G501" t="s">
        <v>3700</v>
      </c>
      <c r="H501" t="s">
        <v>1206</v>
      </c>
      <c r="I501" s="1" t="s">
        <v>5073</v>
      </c>
      <c r="J501" t="s">
        <v>3880</v>
      </c>
      <c r="K501">
        <v>1</v>
      </c>
      <c r="L501">
        <v>1</v>
      </c>
      <c r="M501">
        <v>208093</v>
      </c>
      <c r="N501" t="s">
        <v>3881</v>
      </c>
      <c r="O501" s="7" t="s">
        <v>70</v>
      </c>
      <c r="P501">
        <v>24</v>
      </c>
      <c r="Q501" t="s">
        <v>3758</v>
      </c>
      <c r="R501" t="s">
        <v>68</v>
      </c>
      <c r="S501" t="s">
        <v>1207</v>
      </c>
      <c r="V501" s="7"/>
    </row>
    <row r="502" spans="1:22" x14ac:dyDescent="0.3">
      <c r="A502" t="s">
        <v>1328</v>
      </c>
      <c r="B502" t="s">
        <v>1329</v>
      </c>
      <c r="C502" t="s">
        <v>3882</v>
      </c>
      <c r="D502" t="s">
        <v>3883</v>
      </c>
      <c r="E502" s="1" t="s">
        <v>3884</v>
      </c>
      <c r="F502" t="s">
        <v>1329</v>
      </c>
      <c r="G502" t="s">
        <v>3882</v>
      </c>
      <c r="H502" t="s">
        <v>3883</v>
      </c>
      <c r="I502" s="1">
        <v>44019</v>
      </c>
      <c r="J502" t="s">
        <v>3885</v>
      </c>
      <c r="K502">
        <v>1</v>
      </c>
      <c r="L502">
        <v>1</v>
      </c>
      <c r="M502">
        <v>174682</v>
      </c>
      <c r="N502" t="s">
        <v>3886</v>
      </c>
      <c r="O502" t="s">
        <v>70</v>
      </c>
      <c r="P502">
        <v>41</v>
      </c>
      <c r="Q502" t="s">
        <v>3887</v>
      </c>
      <c r="R502" t="s">
        <v>68</v>
      </c>
      <c r="S502" t="s">
        <v>1207</v>
      </c>
      <c r="V502" s="7"/>
    </row>
    <row r="503" spans="1:22" x14ac:dyDescent="0.3">
      <c r="A503" t="s">
        <v>1331</v>
      </c>
      <c r="B503" t="s">
        <v>1332</v>
      </c>
      <c r="C503" t="s">
        <v>3700</v>
      </c>
      <c r="D503" t="s">
        <v>1206</v>
      </c>
      <c r="E503" s="1" t="s">
        <v>3888</v>
      </c>
      <c r="F503" t="s">
        <v>1332</v>
      </c>
      <c r="G503" t="s">
        <v>3700</v>
      </c>
      <c r="H503" t="s">
        <v>1206</v>
      </c>
      <c r="I503" s="1" t="s">
        <v>5074</v>
      </c>
      <c r="J503" t="s">
        <v>3889</v>
      </c>
      <c r="K503">
        <v>1</v>
      </c>
      <c r="L503">
        <v>1</v>
      </c>
      <c r="M503">
        <v>222809</v>
      </c>
      <c r="N503" t="s">
        <v>3890</v>
      </c>
      <c r="O503" s="7" t="s">
        <v>70</v>
      </c>
      <c r="P503">
        <v>41</v>
      </c>
      <c r="Q503" t="s">
        <v>3891</v>
      </c>
      <c r="R503" t="s">
        <v>68</v>
      </c>
      <c r="S503" t="s">
        <v>1207</v>
      </c>
      <c r="V503" s="7"/>
    </row>
    <row r="504" spans="1:22" x14ac:dyDescent="0.3">
      <c r="A504" t="s">
        <v>1333</v>
      </c>
      <c r="B504" t="s">
        <v>1334</v>
      </c>
      <c r="C504" t="s">
        <v>3892</v>
      </c>
      <c r="D504" t="s">
        <v>3893</v>
      </c>
      <c r="E504" s="1" t="s">
        <v>3894</v>
      </c>
      <c r="F504" t="s">
        <v>1335</v>
      </c>
      <c r="G504" t="s">
        <v>3895</v>
      </c>
      <c r="H504" t="s">
        <v>1345</v>
      </c>
      <c r="I504" s="1" t="s">
        <v>5075</v>
      </c>
      <c r="J504" t="s">
        <v>3896</v>
      </c>
      <c r="K504">
        <v>1</v>
      </c>
      <c r="L504">
        <v>3</v>
      </c>
      <c r="M504">
        <v>268306</v>
      </c>
      <c r="N504" t="s">
        <v>3897</v>
      </c>
      <c r="O504" s="7" t="s">
        <v>70</v>
      </c>
      <c r="P504">
        <v>63</v>
      </c>
      <c r="Q504" t="s">
        <v>3898</v>
      </c>
      <c r="R504" t="s">
        <v>68</v>
      </c>
      <c r="S504" t="s">
        <v>1336</v>
      </c>
      <c r="V504" s="7"/>
    </row>
    <row r="505" spans="1:22" x14ac:dyDescent="0.3">
      <c r="A505" t="s">
        <v>1338</v>
      </c>
      <c r="B505" t="s">
        <v>1339</v>
      </c>
      <c r="C505" t="s">
        <v>3899</v>
      </c>
      <c r="D505" t="s">
        <v>3900</v>
      </c>
      <c r="E505" s="1" t="s">
        <v>3901</v>
      </c>
      <c r="F505" t="s">
        <v>1340</v>
      </c>
      <c r="G505" t="s">
        <v>3895</v>
      </c>
      <c r="H505" t="s">
        <v>1345</v>
      </c>
      <c r="I505" s="1" t="s">
        <v>5076</v>
      </c>
      <c r="J505" t="s">
        <v>3902</v>
      </c>
      <c r="K505">
        <v>1</v>
      </c>
      <c r="L505">
        <v>1</v>
      </c>
      <c r="M505">
        <v>211500</v>
      </c>
      <c r="N505" t="s">
        <v>3903</v>
      </c>
      <c r="O505" s="7" t="s">
        <v>70</v>
      </c>
      <c r="P505">
        <v>64</v>
      </c>
      <c r="Q505" t="s">
        <v>3904</v>
      </c>
      <c r="R505" t="s">
        <v>68</v>
      </c>
      <c r="S505" t="s">
        <v>1336</v>
      </c>
      <c r="V505" s="7"/>
    </row>
    <row r="506" spans="1:22" x14ac:dyDescent="0.3">
      <c r="A506" t="s">
        <v>1342</v>
      </c>
      <c r="B506" t="s">
        <v>1343</v>
      </c>
      <c r="C506" t="s">
        <v>3895</v>
      </c>
      <c r="D506" t="s">
        <v>1345</v>
      </c>
      <c r="E506" s="1" t="s">
        <v>3905</v>
      </c>
      <c r="F506" t="s">
        <v>1344</v>
      </c>
      <c r="G506" t="s">
        <v>3895</v>
      </c>
      <c r="H506" t="s">
        <v>1345</v>
      </c>
      <c r="I506" s="1" t="s">
        <v>5077</v>
      </c>
      <c r="J506" t="s">
        <v>3906</v>
      </c>
      <c r="K506">
        <v>1</v>
      </c>
      <c r="L506">
        <v>2</v>
      </c>
      <c r="M506">
        <v>219760</v>
      </c>
      <c r="N506" t="s">
        <v>3907</v>
      </c>
      <c r="O506" s="7" t="s">
        <v>70</v>
      </c>
      <c r="P506">
        <v>55</v>
      </c>
      <c r="Q506" t="s">
        <v>3908</v>
      </c>
      <c r="R506" t="s">
        <v>68</v>
      </c>
      <c r="S506" t="s">
        <v>1336</v>
      </c>
      <c r="V506" s="7"/>
    </row>
    <row r="507" spans="1:22" x14ac:dyDescent="0.3">
      <c r="A507" t="s">
        <v>1346</v>
      </c>
      <c r="B507" t="s">
        <v>1347</v>
      </c>
      <c r="C507" t="s">
        <v>3895</v>
      </c>
      <c r="D507" t="s">
        <v>1345</v>
      </c>
      <c r="E507" s="1" t="s">
        <v>3909</v>
      </c>
      <c r="F507" t="s">
        <v>1348</v>
      </c>
      <c r="G507" t="s">
        <v>3895</v>
      </c>
      <c r="H507" t="s">
        <v>1345</v>
      </c>
      <c r="I507" s="1">
        <v>41062</v>
      </c>
      <c r="J507" t="s">
        <v>3910</v>
      </c>
      <c r="K507">
        <v>1</v>
      </c>
      <c r="L507">
        <v>3</v>
      </c>
      <c r="M507">
        <v>32723</v>
      </c>
      <c r="N507" t="s">
        <v>3911</v>
      </c>
      <c r="O507" s="7" t="s">
        <v>70</v>
      </c>
      <c r="P507">
        <v>36</v>
      </c>
      <c r="Q507" t="s">
        <v>3912</v>
      </c>
      <c r="R507" t="s">
        <v>68</v>
      </c>
      <c r="S507" t="s">
        <v>1336</v>
      </c>
      <c r="V507" s="7"/>
    </row>
    <row r="508" spans="1:22" x14ac:dyDescent="0.3">
      <c r="A508" t="s">
        <v>1349</v>
      </c>
      <c r="B508" t="s">
        <v>1350</v>
      </c>
      <c r="C508" t="s">
        <v>3895</v>
      </c>
      <c r="D508" t="s">
        <v>1345</v>
      </c>
      <c r="E508" s="1" t="s">
        <v>3894</v>
      </c>
      <c r="F508" t="s">
        <v>1335</v>
      </c>
      <c r="G508" t="s">
        <v>3895</v>
      </c>
      <c r="H508" t="s">
        <v>1345</v>
      </c>
      <c r="I508" s="1" t="s">
        <v>5075</v>
      </c>
      <c r="J508" t="s">
        <v>3896</v>
      </c>
      <c r="K508">
        <v>1</v>
      </c>
      <c r="L508">
        <v>1</v>
      </c>
      <c r="M508">
        <v>426614</v>
      </c>
      <c r="N508" t="s">
        <v>3913</v>
      </c>
      <c r="O508" s="7" t="s">
        <v>70</v>
      </c>
      <c r="P508">
        <v>58</v>
      </c>
      <c r="Q508" t="s">
        <v>3914</v>
      </c>
      <c r="R508" t="s">
        <v>68</v>
      </c>
      <c r="S508" t="s">
        <v>1336</v>
      </c>
      <c r="V508" s="7"/>
    </row>
    <row r="509" spans="1:22" x14ac:dyDescent="0.3">
      <c r="A509" t="s">
        <v>1351</v>
      </c>
      <c r="B509" t="s">
        <v>1352</v>
      </c>
      <c r="C509" t="s">
        <v>3895</v>
      </c>
      <c r="D509" t="s">
        <v>1345</v>
      </c>
      <c r="E509" s="1" t="s">
        <v>3901</v>
      </c>
      <c r="F509" t="s">
        <v>1340</v>
      </c>
      <c r="G509" t="s">
        <v>3895</v>
      </c>
      <c r="H509" t="s">
        <v>1345</v>
      </c>
      <c r="I509" s="1" t="s">
        <v>5076</v>
      </c>
      <c r="J509" t="s">
        <v>3902</v>
      </c>
      <c r="K509">
        <v>1</v>
      </c>
      <c r="L509">
        <v>8</v>
      </c>
      <c r="M509">
        <v>161500</v>
      </c>
      <c r="N509" t="s">
        <v>3915</v>
      </c>
      <c r="O509" s="7" t="s">
        <v>70</v>
      </c>
      <c r="P509">
        <v>55</v>
      </c>
      <c r="Q509" t="s">
        <v>3916</v>
      </c>
      <c r="R509" t="s">
        <v>68</v>
      </c>
      <c r="S509" t="s">
        <v>1336</v>
      </c>
      <c r="V509" s="7"/>
    </row>
    <row r="510" spans="1:22" x14ac:dyDescent="0.3">
      <c r="A510" t="s">
        <v>1353</v>
      </c>
      <c r="B510" t="s">
        <v>1354</v>
      </c>
      <c r="C510" t="s">
        <v>3895</v>
      </c>
      <c r="D510" t="s">
        <v>1345</v>
      </c>
      <c r="E510" s="1" t="s">
        <v>3905</v>
      </c>
      <c r="F510" t="s">
        <v>1344</v>
      </c>
      <c r="G510" t="s">
        <v>3895</v>
      </c>
      <c r="H510" t="s">
        <v>1345</v>
      </c>
      <c r="I510" s="1" t="s">
        <v>5077</v>
      </c>
      <c r="J510" t="s">
        <v>3906</v>
      </c>
      <c r="K510">
        <v>1</v>
      </c>
      <c r="L510">
        <v>10</v>
      </c>
      <c r="M510">
        <v>291000</v>
      </c>
      <c r="N510" t="s">
        <v>3917</v>
      </c>
      <c r="O510" s="7" t="s">
        <v>70</v>
      </c>
      <c r="P510">
        <v>53</v>
      </c>
      <c r="Q510" t="s">
        <v>3918</v>
      </c>
      <c r="R510" t="s">
        <v>68</v>
      </c>
      <c r="S510" t="s">
        <v>1336</v>
      </c>
      <c r="V510" s="7"/>
    </row>
    <row r="511" spans="1:22" x14ac:dyDescent="0.3">
      <c r="A511" t="s">
        <v>1355</v>
      </c>
      <c r="B511" t="s">
        <v>3919</v>
      </c>
      <c r="C511" t="s">
        <v>3895</v>
      </c>
      <c r="D511" t="s">
        <v>1345</v>
      </c>
      <c r="E511" s="1" t="s">
        <v>3920</v>
      </c>
      <c r="F511" t="s">
        <v>3921</v>
      </c>
      <c r="G511" t="s">
        <v>3895</v>
      </c>
      <c r="H511" t="s">
        <v>1345</v>
      </c>
      <c r="I511" s="1" t="s">
        <v>5078</v>
      </c>
      <c r="J511" t="s">
        <v>3922</v>
      </c>
      <c r="K511">
        <v>1</v>
      </c>
      <c r="L511">
        <v>5</v>
      </c>
      <c r="M511">
        <v>293093</v>
      </c>
      <c r="N511" t="s">
        <v>3923</v>
      </c>
      <c r="O511" s="7" t="s">
        <v>70</v>
      </c>
      <c r="P511">
        <v>41</v>
      </c>
      <c r="Q511" t="s">
        <v>3924</v>
      </c>
      <c r="R511" t="s">
        <v>68</v>
      </c>
      <c r="S511" t="s">
        <v>1336</v>
      </c>
      <c r="V511" s="7"/>
    </row>
    <row r="512" spans="1:22" x14ac:dyDescent="0.3">
      <c r="A512" t="s">
        <v>1358</v>
      </c>
      <c r="B512" t="s">
        <v>1359</v>
      </c>
      <c r="C512" t="s">
        <v>3895</v>
      </c>
      <c r="D512" t="s">
        <v>1345</v>
      </c>
      <c r="E512" s="1" t="s">
        <v>3894</v>
      </c>
      <c r="F512" t="s">
        <v>1335</v>
      </c>
      <c r="G512" t="s">
        <v>3895</v>
      </c>
      <c r="H512" t="s">
        <v>1345</v>
      </c>
      <c r="I512" s="1" t="s">
        <v>5075</v>
      </c>
      <c r="J512" t="s">
        <v>3896</v>
      </c>
      <c r="K512">
        <v>1</v>
      </c>
      <c r="L512">
        <v>2</v>
      </c>
      <c r="M512">
        <v>298466</v>
      </c>
      <c r="N512" t="s">
        <v>3925</v>
      </c>
      <c r="O512" s="7" t="s">
        <v>70</v>
      </c>
      <c r="P512">
        <v>62</v>
      </c>
      <c r="Q512" t="s">
        <v>3926</v>
      </c>
      <c r="R512" t="s">
        <v>68</v>
      </c>
      <c r="S512" t="s">
        <v>1336</v>
      </c>
    </row>
    <row r="513" spans="1:22" x14ac:dyDescent="0.3">
      <c r="A513" t="s">
        <v>1360</v>
      </c>
      <c r="B513" t="s">
        <v>1361</v>
      </c>
      <c r="C513" t="s">
        <v>3895</v>
      </c>
      <c r="D513" t="s">
        <v>1345</v>
      </c>
      <c r="E513" s="1" t="s">
        <v>3927</v>
      </c>
      <c r="F513" t="s">
        <v>1362</v>
      </c>
      <c r="G513" t="s">
        <v>3895</v>
      </c>
      <c r="H513" t="s">
        <v>1345</v>
      </c>
      <c r="I513" s="1" t="s">
        <v>5079</v>
      </c>
      <c r="J513" t="s">
        <v>3928</v>
      </c>
      <c r="K513">
        <v>1</v>
      </c>
      <c r="L513">
        <v>8</v>
      </c>
      <c r="M513">
        <v>184706</v>
      </c>
      <c r="N513" t="s">
        <v>3929</v>
      </c>
      <c r="O513" s="7" t="s">
        <v>70</v>
      </c>
      <c r="P513">
        <v>39</v>
      </c>
      <c r="Q513" t="s">
        <v>3930</v>
      </c>
      <c r="R513" t="s">
        <v>68</v>
      </c>
      <c r="S513" t="s">
        <v>1336</v>
      </c>
      <c r="V513" s="7"/>
    </row>
    <row r="514" spans="1:22" x14ac:dyDescent="0.3">
      <c r="A514" t="s">
        <v>1363</v>
      </c>
      <c r="B514" t="s">
        <v>1364</v>
      </c>
      <c r="C514" t="s">
        <v>3895</v>
      </c>
      <c r="D514" t="s">
        <v>1345</v>
      </c>
      <c r="E514" s="1" t="s">
        <v>3905</v>
      </c>
      <c r="F514" t="s">
        <v>1344</v>
      </c>
      <c r="G514" t="s">
        <v>3895</v>
      </c>
      <c r="H514" t="s">
        <v>1345</v>
      </c>
      <c r="I514" s="1" t="s">
        <v>5077</v>
      </c>
      <c r="J514" t="s">
        <v>3906</v>
      </c>
      <c r="K514">
        <v>1</v>
      </c>
      <c r="L514">
        <v>6</v>
      </c>
      <c r="M514">
        <v>223373</v>
      </c>
      <c r="N514" t="s">
        <v>3931</v>
      </c>
      <c r="O514" s="7" t="s">
        <v>70</v>
      </c>
      <c r="P514">
        <v>44</v>
      </c>
      <c r="Q514" t="s">
        <v>3932</v>
      </c>
      <c r="R514" t="s">
        <v>68</v>
      </c>
      <c r="S514" t="s">
        <v>1336</v>
      </c>
      <c r="V514" s="7"/>
    </row>
    <row r="515" spans="1:22" x14ac:dyDescent="0.3">
      <c r="A515" t="s">
        <v>1365</v>
      </c>
      <c r="B515" t="s">
        <v>1366</v>
      </c>
      <c r="C515" t="s">
        <v>3895</v>
      </c>
      <c r="D515" t="s">
        <v>1345</v>
      </c>
      <c r="E515" s="1" t="s">
        <v>3933</v>
      </c>
      <c r="F515" t="s">
        <v>1367</v>
      </c>
      <c r="G515" t="s">
        <v>3895</v>
      </c>
      <c r="H515" t="s">
        <v>1345</v>
      </c>
      <c r="I515" s="1">
        <v>39943</v>
      </c>
      <c r="J515" t="s">
        <v>3934</v>
      </c>
      <c r="K515">
        <v>1</v>
      </c>
      <c r="L515">
        <v>12</v>
      </c>
      <c r="M515">
        <v>229000</v>
      </c>
      <c r="N515" t="s">
        <v>3935</v>
      </c>
      <c r="O515" s="7" t="s">
        <v>70</v>
      </c>
      <c r="P515">
        <v>36</v>
      </c>
      <c r="Q515" t="s">
        <v>3936</v>
      </c>
      <c r="R515" t="s">
        <v>68</v>
      </c>
      <c r="S515" t="s">
        <v>1336</v>
      </c>
      <c r="V515" s="7"/>
    </row>
    <row r="516" spans="1:22" x14ac:dyDescent="0.3">
      <c r="A516" t="s">
        <v>1368</v>
      </c>
      <c r="B516" t="s">
        <v>1369</v>
      </c>
      <c r="C516" t="s">
        <v>3895</v>
      </c>
      <c r="D516" t="s">
        <v>1345</v>
      </c>
      <c r="E516" s="1" t="s">
        <v>3894</v>
      </c>
      <c r="F516" t="s">
        <v>1335</v>
      </c>
      <c r="G516" t="s">
        <v>3895</v>
      </c>
      <c r="H516" t="s">
        <v>1345</v>
      </c>
      <c r="I516" s="1" t="s">
        <v>5075</v>
      </c>
      <c r="J516" t="s">
        <v>3896</v>
      </c>
      <c r="K516">
        <v>1</v>
      </c>
      <c r="L516">
        <v>5</v>
      </c>
      <c r="M516">
        <v>256706</v>
      </c>
      <c r="N516" t="s">
        <v>3937</v>
      </c>
      <c r="O516" s="7" t="s">
        <v>70</v>
      </c>
      <c r="P516">
        <v>50</v>
      </c>
      <c r="Q516" t="s">
        <v>3938</v>
      </c>
      <c r="R516" t="s">
        <v>68</v>
      </c>
      <c r="S516" t="s">
        <v>1336</v>
      </c>
    </row>
    <row r="517" spans="1:22" x14ac:dyDescent="0.3">
      <c r="A517" t="s">
        <v>1370</v>
      </c>
      <c r="B517" t="s">
        <v>1371</v>
      </c>
      <c r="C517" t="s">
        <v>3895</v>
      </c>
      <c r="D517" t="s">
        <v>1345</v>
      </c>
      <c r="E517" s="1" t="s">
        <v>3939</v>
      </c>
      <c r="F517" t="s">
        <v>1372</v>
      </c>
      <c r="G517" t="s">
        <v>3895</v>
      </c>
      <c r="H517" t="s">
        <v>1345</v>
      </c>
      <c r="I517" s="1" t="s">
        <v>5080</v>
      </c>
      <c r="J517" t="s">
        <v>3940</v>
      </c>
      <c r="K517">
        <v>1</v>
      </c>
      <c r="L517">
        <v>2</v>
      </c>
      <c r="M517">
        <v>277653</v>
      </c>
      <c r="N517" t="s">
        <v>3941</v>
      </c>
      <c r="O517" s="7" t="s">
        <v>70</v>
      </c>
      <c r="P517">
        <v>42</v>
      </c>
      <c r="Q517" t="s">
        <v>3942</v>
      </c>
      <c r="R517" t="s">
        <v>68</v>
      </c>
      <c r="S517" t="s">
        <v>1336</v>
      </c>
      <c r="V517" s="7"/>
    </row>
    <row r="518" spans="1:22" x14ac:dyDescent="0.3">
      <c r="A518" t="s">
        <v>1373</v>
      </c>
      <c r="B518" t="s">
        <v>1374</v>
      </c>
      <c r="C518" t="s">
        <v>3895</v>
      </c>
      <c r="D518" t="s">
        <v>1345</v>
      </c>
      <c r="E518" s="1" t="s">
        <v>3905</v>
      </c>
      <c r="F518" t="s">
        <v>1344</v>
      </c>
      <c r="G518" t="s">
        <v>3895</v>
      </c>
      <c r="H518" t="s">
        <v>1345</v>
      </c>
      <c r="I518" s="1" t="s">
        <v>5077</v>
      </c>
      <c r="J518" t="s">
        <v>3906</v>
      </c>
      <c r="K518">
        <v>1</v>
      </c>
      <c r="L518">
        <v>4</v>
      </c>
      <c r="M518">
        <v>262013</v>
      </c>
      <c r="N518" t="s">
        <v>3943</v>
      </c>
      <c r="O518" t="s">
        <v>70</v>
      </c>
      <c r="P518">
        <v>40</v>
      </c>
      <c r="Q518" t="s">
        <v>3944</v>
      </c>
      <c r="R518" t="s">
        <v>68</v>
      </c>
      <c r="S518" t="s">
        <v>1336</v>
      </c>
    </row>
    <row r="519" spans="1:22" x14ac:dyDescent="0.3">
      <c r="A519" t="s">
        <v>1375</v>
      </c>
      <c r="B519" t="s">
        <v>1376</v>
      </c>
      <c r="C519" t="s">
        <v>3895</v>
      </c>
      <c r="D519" t="s">
        <v>1345</v>
      </c>
      <c r="E519" s="1" t="s">
        <v>3933</v>
      </c>
      <c r="F519" t="s">
        <v>1367</v>
      </c>
      <c r="G519" t="s">
        <v>3895</v>
      </c>
      <c r="H519" t="s">
        <v>1345</v>
      </c>
      <c r="I519" s="1">
        <v>39943</v>
      </c>
      <c r="J519" t="s">
        <v>3934</v>
      </c>
      <c r="K519">
        <v>1</v>
      </c>
      <c r="L519">
        <v>2</v>
      </c>
      <c r="M519">
        <v>163186</v>
      </c>
      <c r="N519" t="s">
        <v>3945</v>
      </c>
      <c r="O519" s="7" t="s">
        <v>70</v>
      </c>
      <c r="P519">
        <v>36</v>
      </c>
      <c r="Q519" t="s">
        <v>3946</v>
      </c>
      <c r="R519" t="s">
        <v>68</v>
      </c>
      <c r="S519" t="s">
        <v>1336</v>
      </c>
    </row>
    <row r="520" spans="1:22" x14ac:dyDescent="0.3">
      <c r="A520" t="s">
        <v>1377</v>
      </c>
      <c r="B520" t="s">
        <v>1378</v>
      </c>
      <c r="C520" t="s">
        <v>3895</v>
      </c>
      <c r="D520" t="s">
        <v>1345</v>
      </c>
      <c r="E520" s="1" t="s">
        <v>3894</v>
      </c>
      <c r="F520" t="s">
        <v>1335</v>
      </c>
      <c r="G520" t="s">
        <v>3895</v>
      </c>
      <c r="H520" t="s">
        <v>1345</v>
      </c>
      <c r="I520" s="1" t="s">
        <v>5075</v>
      </c>
      <c r="J520" t="s">
        <v>3896</v>
      </c>
      <c r="K520">
        <v>1</v>
      </c>
      <c r="L520">
        <v>4</v>
      </c>
      <c r="M520">
        <v>226293</v>
      </c>
      <c r="N520" t="s">
        <v>3947</v>
      </c>
      <c r="O520" t="s">
        <v>70</v>
      </c>
      <c r="P520">
        <v>52</v>
      </c>
      <c r="Q520" t="s">
        <v>3948</v>
      </c>
      <c r="R520" t="s">
        <v>68</v>
      </c>
      <c r="S520" t="s">
        <v>1336</v>
      </c>
      <c r="V520" s="7"/>
    </row>
    <row r="521" spans="1:22" x14ac:dyDescent="0.3">
      <c r="A521" t="s">
        <v>1379</v>
      </c>
      <c r="B521" t="s">
        <v>1380</v>
      </c>
      <c r="C521" t="s">
        <v>3895</v>
      </c>
      <c r="D521" t="s">
        <v>1345</v>
      </c>
      <c r="E521" s="1" t="s">
        <v>3920</v>
      </c>
      <c r="F521" t="s">
        <v>3921</v>
      </c>
      <c r="G521" t="s">
        <v>3895</v>
      </c>
      <c r="H521" t="s">
        <v>1345</v>
      </c>
      <c r="I521" s="1" t="s">
        <v>5078</v>
      </c>
      <c r="J521" t="s">
        <v>3922</v>
      </c>
      <c r="K521">
        <v>1</v>
      </c>
      <c r="L521">
        <v>1</v>
      </c>
      <c r="M521">
        <v>359600</v>
      </c>
      <c r="N521" t="s">
        <v>3949</v>
      </c>
      <c r="O521" s="7" t="s">
        <v>70</v>
      </c>
      <c r="P521">
        <v>40</v>
      </c>
      <c r="Q521" t="s">
        <v>3950</v>
      </c>
      <c r="R521" t="s">
        <v>68</v>
      </c>
      <c r="S521" t="s">
        <v>1336</v>
      </c>
      <c r="V521" s="7"/>
    </row>
    <row r="522" spans="1:22" x14ac:dyDescent="0.3">
      <c r="A522" t="s">
        <v>1381</v>
      </c>
      <c r="B522" t="s">
        <v>1382</v>
      </c>
      <c r="C522" t="s">
        <v>3895</v>
      </c>
      <c r="D522" t="s">
        <v>1345</v>
      </c>
      <c r="E522" s="1" t="s">
        <v>3905</v>
      </c>
      <c r="F522" t="s">
        <v>1344</v>
      </c>
      <c r="G522" t="s">
        <v>3895</v>
      </c>
      <c r="H522" t="s">
        <v>1345</v>
      </c>
      <c r="I522" s="1" t="s">
        <v>5077</v>
      </c>
      <c r="J522" t="s">
        <v>3906</v>
      </c>
      <c r="K522">
        <v>1</v>
      </c>
      <c r="L522">
        <v>1</v>
      </c>
      <c r="M522">
        <v>244560</v>
      </c>
      <c r="N522" t="s">
        <v>3951</v>
      </c>
      <c r="O522" s="7" t="s">
        <v>70</v>
      </c>
      <c r="P522">
        <v>41</v>
      </c>
      <c r="Q522" t="s">
        <v>3952</v>
      </c>
      <c r="R522" t="s">
        <v>68</v>
      </c>
      <c r="S522" t="s">
        <v>1336</v>
      </c>
      <c r="V522" s="7"/>
    </row>
    <row r="523" spans="1:22" x14ac:dyDescent="0.3">
      <c r="A523" t="s">
        <v>1383</v>
      </c>
      <c r="B523" t="s">
        <v>1384</v>
      </c>
      <c r="C523" t="s">
        <v>3895</v>
      </c>
      <c r="D523" t="s">
        <v>1345</v>
      </c>
      <c r="E523" s="1" t="s">
        <v>3927</v>
      </c>
      <c r="F523" t="s">
        <v>1362</v>
      </c>
      <c r="G523" t="s">
        <v>3895</v>
      </c>
      <c r="H523" t="s">
        <v>1345</v>
      </c>
      <c r="I523" s="1" t="s">
        <v>5079</v>
      </c>
      <c r="J523" t="s">
        <v>3928</v>
      </c>
      <c r="K523">
        <v>1</v>
      </c>
      <c r="L523">
        <v>1</v>
      </c>
      <c r="M523">
        <v>242773</v>
      </c>
      <c r="N523" t="s">
        <v>3953</v>
      </c>
      <c r="O523" s="7" t="s">
        <v>70</v>
      </c>
      <c r="P523">
        <v>35</v>
      </c>
      <c r="Q523" t="s">
        <v>3954</v>
      </c>
      <c r="R523" t="s">
        <v>68</v>
      </c>
      <c r="S523" t="s">
        <v>1336</v>
      </c>
      <c r="V523" s="7"/>
    </row>
    <row r="524" spans="1:22" x14ac:dyDescent="0.3">
      <c r="A524" t="s">
        <v>1385</v>
      </c>
      <c r="B524" t="s">
        <v>3955</v>
      </c>
      <c r="C524" t="s">
        <v>3895</v>
      </c>
      <c r="D524" t="s">
        <v>1345</v>
      </c>
      <c r="E524" s="1" t="s">
        <v>3894</v>
      </c>
      <c r="F524" t="s">
        <v>1335</v>
      </c>
      <c r="G524" t="s">
        <v>3895</v>
      </c>
      <c r="H524" t="s">
        <v>1345</v>
      </c>
      <c r="I524" s="1" t="s">
        <v>5075</v>
      </c>
      <c r="J524" t="s">
        <v>3896</v>
      </c>
      <c r="K524">
        <v>1</v>
      </c>
      <c r="L524">
        <v>8</v>
      </c>
      <c r="M524">
        <v>219040</v>
      </c>
      <c r="N524" t="s">
        <v>3956</v>
      </c>
      <c r="O524" s="7" t="s">
        <v>70</v>
      </c>
      <c r="P524">
        <v>51</v>
      </c>
      <c r="Q524" t="s">
        <v>3957</v>
      </c>
      <c r="R524" t="s">
        <v>68</v>
      </c>
      <c r="S524" t="s">
        <v>1336</v>
      </c>
      <c r="V524" s="7"/>
    </row>
    <row r="525" spans="1:22" x14ac:dyDescent="0.3">
      <c r="A525" t="s">
        <v>1387</v>
      </c>
      <c r="B525" t="s">
        <v>1388</v>
      </c>
      <c r="C525" t="s">
        <v>3895</v>
      </c>
      <c r="D525" t="s">
        <v>1345</v>
      </c>
      <c r="E525" s="1" t="s">
        <v>3920</v>
      </c>
      <c r="F525" t="s">
        <v>3921</v>
      </c>
      <c r="G525" t="s">
        <v>3895</v>
      </c>
      <c r="H525" t="s">
        <v>1345</v>
      </c>
      <c r="I525" s="1" t="s">
        <v>5078</v>
      </c>
      <c r="J525" t="s">
        <v>3922</v>
      </c>
      <c r="K525">
        <v>1</v>
      </c>
      <c r="L525">
        <v>3</v>
      </c>
      <c r="M525">
        <v>273773</v>
      </c>
      <c r="N525" t="s">
        <v>3958</v>
      </c>
      <c r="O525" s="7" t="s">
        <v>70</v>
      </c>
      <c r="P525">
        <v>36</v>
      </c>
      <c r="Q525" t="s">
        <v>3959</v>
      </c>
      <c r="R525" t="s">
        <v>68</v>
      </c>
      <c r="S525" t="s">
        <v>1336</v>
      </c>
      <c r="V525" s="7"/>
    </row>
    <row r="526" spans="1:22" x14ac:dyDescent="0.3">
      <c r="A526" t="s">
        <v>1389</v>
      </c>
      <c r="B526" t="s">
        <v>1390</v>
      </c>
      <c r="C526" t="s">
        <v>3895</v>
      </c>
      <c r="D526" t="s">
        <v>1345</v>
      </c>
      <c r="E526" s="1" t="s">
        <v>3939</v>
      </c>
      <c r="F526" t="s">
        <v>1372</v>
      </c>
      <c r="G526" t="s">
        <v>3895</v>
      </c>
      <c r="H526" t="s">
        <v>1345</v>
      </c>
      <c r="I526" s="1" t="s">
        <v>5080</v>
      </c>
      <c r="J526" t="s">
        <v>3940</v>
      </c>
      <c r="K526">
        <v>1</v>
      </c>
      <c r="L526">
        <v>4</v>
      </c>
      <c r="M526">
        <v>337533</v>
      </c>
      <c r="N526" t="s">
        <v>3960</v>
      </c>
      <c r="O526" s="7" t="s">
        <v>70</v>
      </c>
      <c r="P526">
        <v>39</v>
      </c>
      <c r="Q526" t="s">
        <v>3961</v>
      </c>
      <c r="R526" t="s">
        <v>68</v>
      </c>
      <c r="S526" t="s">
        <v>1336</v>
      </c>
      <c r="V526" s="7"/>
    </row>
    <row r="527" spans="1:22" x14ac:dyDescent="0.3">
      <c r="A527" t="s">
        <v>1391</v>
      </c>
      <c r="B527" t="s">
        <v>1392</v>
      </c>
      <c r="C527" t="s">
        <v>3895</v>
      </c>
      <c r="D527" t="s">
        <v>1345</v>
      </c>
      <c r="E527" s="1" t="s">
        <v>3905</v>
      </c>
      <c r="F527" t="s">
        <v>1344</v>
      </c>
      <c r="G527" t="s">
        <v>3895</v>
      </c>
      <c r="H527" t="s">
        <v>1345</v>
      </c>
      <c r="I527" s="1" t="s">
        <v>5077</v>
      </c>
      <c r="J527" t="s">
        <v>3906</v>
      </c>
      <c r="K527">
        <v>1</v>
      </c>
      <c r="L527">
        <v>8</v>
      </c>
      <c r="M527">
        <v>279773</v>
      </c>
      <c r="N527" t="s">
        <v>3962</v>
      </c>
      <c r="O527" s="7" t="s">
        <v>70</v>
      </c>
      <c r="P527">
        <v>39</v>
      </c>
      <c r="Q527" t="s">
        <v>3963</v>
      </c>
      <c r="R527" t="s">
        <v>68</v>
      </c>
      <c r="S527" t="s">
        <v>1336</v>
      </c>
      <c r="V527" s="7"/>
    </row>
    <row r="528" spans="1:22" x14ac:dyDescent="0.3">
      <c r="A528" t="s">
        <v>1393</v>
      </c>
      <c r="B528" t="s">
        <v>1394</v>
      </c>
      <c r="C528" t="s">
        <v>3895</v>
      </c>
      <c r="D528" t="s">
        <v>1345</v>
      </c>
      <c r="E528" s="1" t="s">
        <v>3901</v>
      </c>
      <c r="F528" t="s">
        <v>1340</v>
      </c>
      <c r="G528" t="s">
        <v>3895</v>
      </c>
      <c r="H528" t="s">
        <v>1345</v>
      </c>
      <c r="I528" s="1" t="s">
        <v>5076</v>
      </c>
      <c r="J528" t="s">
        <v>3902</v>
      </c>
      <c r="K528">
        <v>1</v>
      </c>
      <c r="L528">
        <v>2</v>
      </c>
      <c r="M528">
        <v>90500</v>
      </c>
      <c r="N528" t="s">
        <v>3964</v>
      </c>
      <c r="O528" s="7" t="s">
        <v>70</v>
      </c>
      <c r="P528">
        <v>39</v>
      </c>
      <c r="Q528" t="s">
        <v>3965</v>
      </c>
      <c r="R528" t="s">
        <v>68</v>
      </c>
      <c r="S528" t="s">
        <v>1336</v>
      </c>
      <c r="V528" s="7"/>
    </row>
    <row r="529" spans="1:22" x14ac:dyDescent="0.3">
      <c r="A529" t="s">
        <v>1395</v>
      </c>
      <c r="B529" t="s">
        <v>1396</v>
      </c>
      <c r="C529" t="s">
        <v>3895</v>
      </c>
      <c r="D529" t="s">
        <v>1345</v>
      </c>
      <c r="E529" s="1" t="s">
        <v>3927</v>
      </c>
      <c r="F529" t="s">
        <v>1362</v>
      </c>
      <c r="G529" t="s">
        <v>3895</v>
      </c>
      <c r="H529" t="s">
        <v>1345</v>
      </c>
      <c r="I529" s="1" t="s">
        <v>5079</v>
      </c>
      <c r="J529" t="s">
        <v>3928</v>
      </c>
      <c r="K529">
        <v>1</v>
      </c>
      <c r="L529">
        <v>6</v>
      </c>
      <c r="M529">
        <v>247186</v>
      </c>
      <c r="N529" t="s">
        <v>3966</v>
      </c>
      <c r="O529" s="7" t="s">
        <v>70</v>
      </c>
      <c r="P529">
        <v>32</v>
      </c>
      <c r="Q529" t="s">
        <v>3967</v>
      </c>
      <c r="R529" t="s">
        <v>68</v>
      </c>
      <c r="S529" t="s">
        <v>1336</v>
      </c>
      <c r="V529" s="7"/>
    </row>
    <row r="530" spans="1:22" x14ac:dyDescent="0.3">
      <c r="A530" t="s">
        <v>1397</v>
      </c>
      <c r="B530" t="s">
        <v>1398</v>
      </c>
      <c r="C530" t="s">
        <v>3895</v>
      </c>
      <c r="D530" t="s">
        <v>1345</v>
      </c>
      <c r="E530" s="1" t="s">
        <v>3968</v>
      </c>
      <c r="F530" t="s">
        <v>1399</v>
      </c>
      <c r="G530" t="s">
        <v>3895</v>
      </c>
      <c r="H530" t="s">
        <v>1345</v>
      </c>
      <c r="I530" s="1" t="s">
        <v>5081</v>
      </c>
      <c r="J530" t="s">
        <v>3969</v>
      </c>
      <c r="K530">
        <v>1</v>
      </c>
      <c r="L530">
        <v>5</v>
      </c>
      <c r="M530">
        <v>249793</v>
      </c>
      <c r="N530" t="s">
        <v>3970</v>
      </c>
      <c r="O530" s="7" t="s">
        <v>70</v>
      </c>
      <c r="P530">
        <v>31</v>
      </c>
      <c r="Q530" t="s">
        <v>3971</v>
      </c>
      <c r="R530" t="s">
        <v>68</v>
      </c>
      <c r="S530" t="s">
        <v>1336</v>
      </c>
      <c r="V530" s="7"/>
    </row>
    <row r="531" spans="1:22" x14ac:dyDescent="0.3">
      <c r="A531" t="s">
        <v>1400</v>
      </c>
      <c r="B531" t="s">
        <v>1401</v>
      </c>
      <c r="C531" t="s">
        <v>3895</v>
      </c>
      <c r="D531" t="s">
        <v>1345</v>
      </c>
      <c r="E531" s="1" t="s">
        <v>3933</v>
      </c>
      <c r="F531" t="s">
        <v>1367</v>
      </c>
      <c r="G531" t="s">
        <v>3895</v>
      </c>
      <c r="H531" t="s">
        <v>1345</v>
      </c>
      <c r="I531" s="1">
        <v>39943</v>
      </c>
      <c r="J531" t="s">
        <v>3934</v>
      </c>
      <c r="K531">
        <v>1</v>
      </c>
      <c r="L531">
        <v>9</v>
      </c>
      <c r="M531">
        <v>187600</v>
      </c>
      <c r="N531" t="s">
        <v>3972</v>
      </c>
      <c r="O531" s="7" t="s">
        <v>70</v>
      </c>
      <c r="P531">
        <v>33</v>
      </c>
      <c r="Q531" t="s">
        <v>3973</v>
      </c>
      <c r="R531" t="s">
        <v>68</v>
      </c>
      <c r="S531" t="s">
        <v>1336</v>
      </c>
      <c r="V531" s="7"/>
    </row>
    <row r="532" spans="1:22" x14ac:dyDescent="0.3">
      <c r="A532" t="s">
        <v>1402</v>
      </c>
      <c r="B532" t="s">
        <v>1403</v>
      </c>
      <c r="C532" t="s">
        <v>3895</v>
      </c>
      <c r="D532" t="s">
        <v>1345</v>
      </c>
      <c r="E532" s="1" t="s">
        <v>3909</v>
      </c>
      <c r="F532" t="s">
        <v>1348</v>
      </c>
      <c r="G532" t="s">
        <v>3895</v>
      </c>
      <c r="H532" t="s">
        <v>1345</v>
      </c>
      <c r="I532" s="1">
        <v>41062</v>
      </c>
      <c r="J532" t="s">
        <v>3910</v>
      </c>
      <c r="K532">
        <v>1</v>
      </c>
      <c r="L532">
        <v>5</v>
      </c>
      <c r="M532">
        <v>214257</v>
      </c>
      <c r="N532" t="s">
        <v>3974</v>
      </c>
      <c r="O532" s="7" t="s">
        <v>70</v>
      </c>
      <c r="P532">
        <v>33</v>
      </c>
      <c r="Q532" t="s">
        <v>3975</v>
      </c>
      <c r="R532" t="s">
        <v>68</v>
      </c>
      <c r="S532" t="s">
        <v>1336</v>
      </c>
      <c r="V532" s="7"/>
    </row>
    <row r="533" spans="1:22" x14ac:dyDescent="0.3">
      <c r="A533" t="s">
        <v>1404</v>
      </c>
      <c r="B533" t="s">
        <v>1405</v>
      </c>
      <c r="C533" t="s">
        <v>3895</v>
      </c>
      <c r="D533" t="s">
        <v>1345</v>
      </c>
      <c r="E533" s="1" t="s">
        <v>3901</v>
      </c>
      <c r="F533" t="s">
        <v>1340</v>
      </c>
      <c r="G533" t="s">
        <v>3895</v>
      </c>
      <c r="H533" t="s">
        <v>1345</v>
      </c>
      <c r="I533" s="1" t="s">
        <v>5076</v>
      </c>
      <c r="J533" t="s">
        <v>3902</v>
      </c>
      <c r="K533">
        <v>1</v>
      </c>
      <c r="L533">
        <v>3</v>
      </c>
      <c r="M533">
        <v>145000</v>
      </c>
      <c r="N533" t="s">
        <v>3976</v>
      </c>
      <c r="O533" s="7" t="s">
        <v>70</v>
      </c>
      <c r="P533">
        <v>38</v>
      </c>
      <c r="Q533" t="s">
        <v>3977</v>
      </c>
      <c r="R533" t="s">
        <v>68</v>
      </c>
      <c r="S533" t="s">
        <v>1336</v>
      </c>
    </row>
    <row r="534" spans="1:22" x14ac:dyDescent="0.3">
      <c r="A534" t="s">
        <v>1406</v>
      </c>
      <c r="B534" t="s">
        <v>1407</v>
      </c>
      <c r="C534" t="s">
        <v>3978</v>
      </c>
      <c r="D534" t="s">
        <v>3979</v>
      </c>
      <c r="E534" s="1" t="s">
        <v>3980</v>
      </c>
      <c r="F534" t="s">
        <v>1408</v>
      </c>
      <c r="G534" t="s">
        <v>3895</v>
      </c>
      <c r="H534" t="s">
        <v>1345</v>
      </c>
      <c r="I534" s="1" t="s">
        <v>5082</v>
      </c>
      <c r="J534" t="s">
        <v>3981</v>
      </c>
      <c r="K534">
        <v>1</v>
      </c>
      <c r="L534">
        <v>3</v>
      </c>
      <c r="M534">
        <v>331560</v>
      </c>
      <c r="N534" t="s">
        <v>3982</v>
      </c>
      <c r="O534" s="7" t="s">
        <v>70</v>
      </c>
      <c r="P534">
        <v>32</v>
      </c>
      <c r="Q534" t="s">
        <v>3983</v>
      </c>
      <c r="R534" t="s">
        <v>68</v>
      </c>
      <c r="S534" t="s">
        <v>1336</v>
      </c>
      <c r="V534" s="7"/>
    </row>
    <row r="535" spans="1:22" x14ac:dyDescent="0.3">
      <c r="A535" t="s">
        <v>1409</v>
      </c>
      <c r="B535" t="s">
        <v>1410</v>
      </c>
      <c r="C535" t="s">
        <v>3895</v>
      </c>
      <c r="D535" t="s">
        <v>1345</v>
      </c>
      <c r="E535" s="1" t="s">
        <v>3933</v>
      </c>
      <c r="F535" t="s">
        <v>1367</v>
      </c>
      <c r="G535" t="s">
        <v>3895</v>
      </c>
      <c r="H535" t="s">
        <v>1345</v>
      </c>
      <c r="I535" s="1">
        <v>39943</v>
      </c>
      <c r="J535" t="s">
        <v>3934</v>
      </c>
      <c r="K535">
        <v>1</v>
      </c>
      <c r="L535">
        <v>7</v>
      </c>
      <c r="M535">
        <v>233373</v>
      </c>
      <c r="N535" t="s">
        <v>3984</v>
      </c>
      <c r="O535" s="7" t="s">
        <v>70</v>
      </c>
      <c r="P535">
        <v>30</v>
      </c>
      <c r="Q535" t="s">
        <v>3985</v>
      </c>
      <c r="R535" t="s">
        <v>68</v>
      </c>
      <c r="S535" t="s">
        <v>1336</v>
      </c>
      <c r="V535" s="7"/>
    </row>
    <row r="536" spans="1:22" x14ac:dyDescent="0.3">
      <c r="A536" t="s">
        <v>1411</v>
      </c>
      <c r="B536" t="s">
        <v>3986</v>
      </c>
      <c r="C536" t="s">
        <v>3895</v>
      </c>
      <c r="D536" t="s">
        <v>1345</v>
      </c>
      <c r="E536" s="1" t="s">
        <v>3909</v>
      </c>
      <c r="F536" t="s">
        <v>1348</v>
      </c>
      <c r="G536" t="s">
        <v>3895</v>
      </c>
      <c r="H536" t="s">
        <v>1345</v>
      </c>
      <c r="I536" s="1">
        <v>41062</v>
      </c>
      <c r="J536" t="s">
        <v>3910</v>
      </c>
      <c r="K536">
        <v>1</v>
      </c>
      <c r="L536">
        <v>8</v>
      </c>
      <c r="M536">
        <v>97697</v>
      </c>
      <c r="N536" t="s">
        <v>3987</v>
      </c>
      <c r="O536" s="7" t="s">
        <v>70</v>
      </c>
      <c r="P536">
        <v>28</v>
      </c>
      <c r="Q536" t="s">
        <v>3988</v>
      </c>
      <c r="R536" t="s">
        <v>68</v>
      </c>
      <c r="S536" t="s">
        <v>1336</v>
      </c>
    </row>
    <row r="537" spans="1:22" x14ac:dyDescent="0.3">
      <c r="A537" t="s">
        <v>1413</v>
      </c>
      <c r="B537" t="s">
        <v>1414</v>
      </c>
      <c r="C537" t="s">
        <v>3895</v>
      </c>
      <c r="D537" t="s">
        <v>1345</v>
      </c>
      <c r="E537" s="1" t="s">
        <v>3901</v>
      </c>
      <c r="F537" t="s">
        <v>1340</v>
      </c>
      <c r="G537" t="s">
        <v>3895</v>
      </c>
      <c r="H537" t="s">
        <v>1345</v>
      </c>
      <c r="I537" s="1" t="s">
        <v>5076</v>
      </c>
      <c r="J537" t="s">
        <v>3902</v>
      </c>
      <c r="K537">
        <v>1</v>
      </c>
      <c r="L537">
        <v>4</v>
      </c>
      <c r="M537">
        <v>155500</v>
      </c>
      <c r="N537" t="s">
        <v>3989</v>
      </c>
      <c r="O537" s="7" t="s">
        <v>70</v>
      </c>
      <c r="P537">
        <v>35</v>
      </c>
      <c r="Q537" t="s">
        <v>3990</v>
      </c>
      <c r="R537" t="s">
        <v>68</v>
      </c>
      <c r="S537" t="s">
        <v>1336</v>
      </c>
      <c r="V537" s="7"/>
    </row>
    <row r="538" spans="1:22" x14ac:dyDescent="0.3">
      <c r="A538" t="s">
        <v>1415</v>
      </c>
      <c r="B538" t="s">
        <v>1416</v>
      </c>
      <c r="C538" t="s">
        <v>3895</v>
      </c>
      <c r="D538" t="s">
        <v>1345</v>
      </c>
      <c r="E538" s="1" t="s">
        <v>3927</v>
      </c>
      <c r="F538" t="s">
        <v>1362</v>
      </c>
      <c r="G538" t="s">
        <v>3895</v>
      </c>
      <c r="H538" t="s">
        <v>1345</v>
      </c>
      <c r="I538" s="1" t="s">
        <v>5079</v>
      </c>
      <c r="J538" t="s">
        <v>3928</v>
      </c>
      <c r="K538">
        <v>1</v>
      </c>
      <c r="L538">
        <v>9</v>
      </c>
      <c r="M538">
        <v>212226</v>
      </c>
      <c r="N538" t="s">
        <v>3991</v>
      </c>
      <c r="O538" s="7" t="s">
        <v>70</v>
      </c>
      <c r="P538">
        <v>30</v>
      </c>
      <c r="Q538" t="s">
        <v>3992</v>
      </c>
      <c r="R538" t="s">
        <v>68</v>
      </c>
      <c r="S538" t="s">
        <v>1336</v>
      </c>
    </row>
    <row r="539" spans="1:22" x14ac:dyDescent="0.3">
      <c r="A539" t="s">
        <v>1417</v>
      </c>
      <c r="B539" t="s">
        <v>1418</v>
      </c>
      <c r="C539" t="s">
        <v>3895</v>
      </c>
      <c r="D539" t="s">
        <v>1345</v>
      </c>
      <c r="E539" s="1" t="s">
        <v>3939</v>
      </c>
      <c r="F539" t="s">
        <v>1372</v>
      </c>
      <c r="G539" t="s">
        <v>3895</v>
      </c>
      <c r="H539" t="s">
        <v>1345</v>
      </c>
      <c r="I539" s="1" t="s">
        <v>5080</v>
      </c>
      <c r="J539" t="s">
        <v>3940</v>
      </c>
      <c r="K539">
        <v>1</v>
      </c>
      <c r="L539">
        <v>5</v>
      </c>
      <c r="M539">
        <v>457586</v>
      </c>
      <c r="N539" t="s">
        <v>3993</v>
      </c>
      <c r="O539" s="7" t="s">
        <v>70</v>
      </c>
      <c r="P539">
        <v>33</v>
      </c>
      <c r="Q539" t="s">
        <v>3994</v>
      </c>
      <c r="R539" t="s">
        <v>68</v>
      </c>
      <c r="S539" t="s">
        <v>1336</v>
      </c>
    </row>
    <row r="540" spans="1:22" x14ac:dyDescent="0.3">
      <c r="A540" t="s">
        <v>1419</v>
      </c>
      <c r="B540" t="s">
        <v>1420</v>
      </c>
      <c r="C540" t="s">
        <v>3995</v>
      </c>
      <c r="D540" t="s">
        <v>3996</v>
      </c>
      <c r="E540" s="1" t="s">
        <v>3997</v>
      </c>
      <c r="F540" t="s">
        <v>1421</v>
      </c>
      <c r="G540" t="s">
        <v>3998</v>
      </c>
      <c r="H540" t="s">
        <v>3999</v>
      </c>
      <c r="I540" s="1">
        <v>35796</v>
      </c>
      <c r="J540" t="s">
        <v>4000</v>
      </c>
      <c r="K540">
        <v>1</v>
      </c>
      <c r="L540">
        <v>4</v>
      </c>
      <c r="M540">
        <v>324200</v>
      </c>
      <c r="N540" t="s">
        <v>4001</v>
      </c>
      <c r="O540" s="7" t="s">
        <v>70</v>
      </c>
      <c r="P540">
        <v>32</v>
      </c>
      <c r="Q540" t="s">
        <v>4002</v>
      </c>
      <c r="R540" t="s">
        <v>68</v>
      </c>
      <c r="S540" t="s">
        <v>1336</v>
      </c>
      <c r="V540" s="7"/>
    </row>
    <row r="541" spans="1:22" x14ac:dyDescent="0.3">
      <c r="A541" t="s">
        <v>1424</v>
      </c>
      <c r="B541" t="s">
        <v>1425</v>
      </c>
      <c r="C541" t="s">
        <v>3895</v>
      </c>
      <c r="D541" t="s">
        <v>1345</v>
      </c>
      <c r="E541" s="1" t="s">
        <v>3901</v>
      </c>
      <c r="F541" t="s">
        <v>1340</v>
      </c>
      <c r="G541" t="s">
        <v>3895</v>
      </c>
      <c r="H541" t="s">
        <v>1345</v>
      </c>
      <c r="I541" s="1" t="s">
        <v>5076</v>
      </c>
      <c r="J541" t="s">
        <v>3902</v>
      </c>
      <c r="K541">
        <v>1</v>
      </c>
      <c r="L541">
        <v>5</v>
      </c>
      <c r="M541">
        <v>148796</v>
      </c>
      <c r="N541" t="s">
        <v>4003</v>
      </c>
      <c r="O541" s="7" t="s">
        <v>70</v>
      </c>
      <c r="P541">
        <v>33</v>
      </c>
      <c r="Q541" t="s">
        <v>4004</v>
      </c>
      <c r="R541" t="s">
        <v>68</v>
      </c>
      <c r="S541" t="s">
        <v>1336</v>
      </c>
      <c r="V541" s="7"/>
    </row>
    <row r="542" spans="1:22" x14ac:dyDescent="0.3">
      <c r="A542" t="s">
        <v>1426</v>
      </c>
      <c r="B542" t="s">
        <v>1427</v>
      </c>
      <c r="C542" t="s">
        <v>3895</v>
      </c>
      <c r="D542" t="s">
        <v>1345</v>
      </c>
      <c r="E542" s="1" t="s">
        <v>3927</v>
      </c>
      <c r="F542" t="s">
        <v>1362</v>
      </c>
      <c r="G542" t="s">
        <v>3895</v>
      </c>
      <c r="H542" t="s">
        <v>1345</v>
      </c>
      <c r="I542" s="1" t="s">
        <v>5079</v>
      </c>
      <c r="J542" t="s">
        <v>3928</v>
      </c>
      <c r="K542">
        <v>1</v>
      </c>
      <c r="L542">
        <v>2</v>
      </c>
      <c r="M542">
        <v>302226</v>
      </c>
      <c r="N542" t="s">
        <v>4005</v>
      </c>
      <c r="O542" s="7" t="s">
        <v>70</v>
      </c>
      <c r="P542">
        <v>31</v>
      </c>
      <c r="Q542" t="s">
        <v>4006</v>
      </c>
      <c r="R542" t="s">
        <v>68</v>
      </c>
      <c r="S542" t="s">
        <v>1336</v>
      </c>
    </row>
    <row r="543" spans="1:22" x14ac:dyDescent="0.3">
      <c r="A543" t="s">
        <v>1428</v>
      </c>
      <c r="B543" t="s">
        <v>1429</v>
      </c>
      <c r="C543" t="s">
        <v>3895</v>
      </c>
      <c r="D543" t="s">
        <v>1345</v>
      </c>
      <c r="E543" s="1" t="s">
        <v>3939</v>
      </c>
      <c r="F543" t="s">
        <v>1372</v>
      </c>
      <c r="G543" t="s">
        <v>3895</v>
      </c>
      <c r="H543" t="s">
        <v>1345</v>
      </c>
      <c r="I543" s="1" t="s">
        <v>5080</v>
      </c>
      <c r="J543" t="s">
        <v>3940</v>
      </c>
      <c r="K543">
        <v>1</v>
      </c>
      <c r="L543">
        <v>1</v>
      </c>
      <c r="M543">
        <v>336360</v>
      </c>
      <c r="N543" t="s">
        <v>4007</v>
      </c>
      <c r="O543" s="7" t="s">
        <v>70</v>
      </c>
      <c r="P543">
        <v>33</v>
      </c>
      <c r="Q543" t="s">
        <v>4008</v>
      </c>
      <c r="R543" t="s">
        <v>68</v>
      </c>
      <c r="S543" t="s">
        <v>1336</v>
      </c>
      <c r="V543" s="7"/>
    </row>
    <row r="544" spans="1:22" x14ac:dyDescent="0.3">
      <c r="A544" t="s">
        <v>1430</v>
      </c>
      <c r="B544" t="s">
        <v>1431</v>
      </c>
      <c r="C544" t="s">
        <v>3895</v>
      </c>
      <c r="D544" t="s">
        <v>1345</v>
      </c>
      <c r="E544" s="1" t="s">
        <v>4009</v>
      </c>
      <c r="F544" t="s">
        <v>1432</v>
      </c>
      <c r="G544" t="s">
        <v>3895</v>
      </c>
      <c r="H544" t="s">
        <v>1345</v>
      </c>
      <c r="I544" s="1" t="s">
        <v>5083</v>
      </c>
      <c r="J544" t="s">
        <v>4010</v>
      </c>
      <c r="K544">
        <v>1</v>
      </c>
      <c r="L544">
        <v>5</v>
      </c>
      <c r="M544">
        <v>284146</v>
      </c>
      <c r="N544" t="s">
        <v>4011</v>
      </c>
      <c r="O544" s="7" t="s">
        <v>70</v>
      </c>
      <c r="P544">
        <v>29</v>
      </c>
      <c r="Q544" t="s">
        <v>4012</v>
      </c>
      <c r="R544" t="s">
        <v>68</v>
      </c>
      <c r="S544" t="s">
        <v>1336</v>
      </c>
      <c r="V544" s="7"/>
    </row>
    <row r="545" spans="1:22" x14ac:dyDescent="0.3">
      <c r="A545" t="s">
        <v>1433</v>
      </c>
      <c r="B545" t="s">
        <v>1434</v>
      </c>
      <c r="C545" t="s">
        <v>4013</v>
      </c>
      <c r="D545" t="s">
        <v>4014</v>
      </c>
      <c r="E545" s="1" t="s">
        <v>4015</v>
      </c>
      <c r="F545" t="s">
        <v>1435</v>
      </c>
      <c r="G545" t="s">
        <v>3895</v>
      </c>
      <c r="H545" t="s">
        <v>1345</v>
      </c>
      <c r="I545" s="1" t="s">
        <v>5084</v>
      </c>
      <c r="J545" t="s">
        <v>4016</v>
      </c>
      <c r="K545">
        <v>1</v>
      </c>
      <c r="L545">
        <v>3</v>
      </c>
      <c r="M545">
        <v>255106</v>
      </c>
      <c r="N545" t="s">
        <v>4017</v>
      </c>
      <c r="O545" s="7" t="s">
        <v>70</v>
      </c>
      <c r="P545">
        <v>30</v>
      </c>
      <c r="Q545" t="s">
        <v>4018</v>
      </c>
      <c r="R545" t="s">
        <v>68</v>
      </c>
      <c r="S545" t="s">
        <v>1336</v>
      </c>
      <c r="V545" s="7"/>
    </row>
    <row r="546" spans="1:22" x14ac:dyDescent="0.3">
      <c r="A546" t="s">
        <v>1437</v>
      </c>
      <c r="B546" t="s">
        <v>1438</v>
      </c>
      <c r="C546" t="s">
        <v>3895</v>
      </c>
      <c r="D546" t="s">
        <v>1345</v>
      </c>
      <c r="E546" s="1" t="s">
        <v>3927</v>
      </c>
      <c r="F546" t="s">
        <v>1362</v>
      </c>
      <c r="G546" t="s">
        <v>3895</v>
      </c>
      <c r="H546" t="s">
        <v>1345</v>
      </c>
      <c r="I546" s="1" t="s">
        <v>5079</v>
      </c>
      <c r="J546" t="s">
        <v>3928</v>
      </c>
      <c r="K546">
        <v>1</v>
      </c>
      <c r="L546">
        <v>4</v>
      </c>
      <c r="M546">
        <v>207320</v>
      </c>
      <c r="N546" t="s">
        <v>4019</v>
      </c>
      <c r="O546" s="7" t="s">
        <v>70</v>
      </c>
      <c r="P546">
        <v>29</v>
      </c>
      <c r="Q546" t="s">
        <v>4020</v>
      </c>
      <c r="R546" t="s">
        <v>68</v>
      </c>
      <c r="S546" t="s">
        <v>1336</v>
      </c>
      <c r="V546" s="7"/>
    </row>
    <row r="547" spans="1:22" x14ac:dyDescent="0.3">
      <c r="A547" t="s">
        <v>1439</v>
      </c>
      <c r="B547" t="s">
        <v>1440</v>
      </c>
      <c r="C547" t="s">
        <v>3895</v>
      </c>
      <c r="D547" t="s">
        <v>1345</v>
      </c>
      <c r="E547" s="1" t="s">
        <v>3968</v>
      </c>
      <c r="F547" t="s">
        <v>1399</v>
      </c>
      <c r="G547" t="s">
        <v>3895</v>
      </c>
      <c r="H547" t="s">
        <v>1345</v>
      </c>
      <c r="I547" s="1" t="s">
        <v>5081</v>
      </c>
      <c r="J547" t="s">
        <v>3969</v>
      </c>
      <c r="K547">
        <v>1</v>
      </c>
      <c r="L547">
        <v>1</v>
      </c>
      <c r="M547">
        <v>263691</v>
      </c>
      <c r="N547" t="s">
        <v>4021</v>
      </c>
      <c r="O547" s="7" t="s">
        <v>70</v>
      </c>
      <c r="P547">
        <v>29</v>
      </c>
      <c r="Q547" t="s">
        <v>4022</v>
      </c>
      <c r="R547" t="s">
        <v>68</v>
      </c>
      <c r="S547" t="s">
        <v>1336</v>
      </c>
      <c r="V547" s="7"/>
    </row>
    <row r="548" spans="1:22" x14ac:dyDescent="0.3">
      <c r="A548" t="s">
        <v>1441</v>
      </c>
      <c r="B548" t="s">
        <v>1442</v>
      </c>
      <c r="C548" t="s">
        <v>3895</v>
      </c>
      <c r="D548" t="s">
        <v>1345</v>
      </c>
      <c r="E548" s="1" t="s">
        <v>3933</v>
      </c>
      <c r="F548" t="s">
        <v>1367</v>
      </c>
      <c r="G548" t="s">
        <v>3895</v>
      </c>
      <c r="H548" t="s">
        <v>1345</v>
      </c>
      <c r="I548" s="1">
        <v>39943</v>
      </c>
      <c r="J548" t="s">
        <v>3934</v>
      </c>
      <c r="K548">
        <v>1</v>
      </c>
      <c r="L548">
        <v>11</v>
      </c>
      <c r="M548">
        <v>251360</v>
      </c>
      <c r="N548" t="s">
        <v>4023</v>
      </c>
      <c r="O548" s="7" t="s">
        <v>70</v>
      </c>
      <c r="P548">
        <v>27</v>
      </c>
      <c r="Q548" t="s">
        <v>4024</v>
      </c>
      <c r="R548" t="s">
        <v>68</v>
      </c>
      <c r="S548" t="s">
        <v>1336</v>
      </c>
      <c r="V548" s="7"/>
    </row>
    <row r="549" spans="1:22" x14ac:dyDescent="0.3">
      <c r="A549" t="s">
        <v>1443</v>
      </c>
      <c r="B549" t="s">
        <v>1444</v>
      </c>
      <c r="C549" t="s">
        <v>3895</v>
      </c>
      <c r="D549" t="s">
        <v>1345</v>
      </c>
      <c r="E549" s="1" t="s">
        <v>3939</v>
      </c>
      <c r="F549" t="s">
        <v>1372</v>
      </c>
      <c r="G549" t="s">
        <v>3895</v>
      </c>
      <c r="H549" t="s">
        <v>1345</v>
      </c>
      <c r="I549" s="1" t="s">
        <v>5080</v>
      </c>
      <c r="J549" t="s">
        <v>3940</v>
      </c>
      <c r="K549">
        <v>1</v>
      </c>
      <c r="L549">
        <v>10</v>
      </c>
      <c r="M549">
        <v>378840</v>
      </c>
      <c r="N549" t="s">
        <v>4025</v>
      </c>
      <c r="O549" s="7" t="s">
        <v>70</v>
      </c>
      <c r="P549">
        <v>31</v>
      </c>
      <c r="Q549" t="s">
        <v>4026</v>
      </c>
      <c r="R549" t="s">
        <v>68</v>
      </c>
      <c r="S549" t="s">
        <v>1336</v>
      </c>
      <c r="V549" s="7"/>
    </row>
    <row r="550" spans="1:22" x14ac:dyDescent="0.3">
      <c r="A550" t="s">
        <v>1445</v>
      </c>
      <c r="B550" t="s">
        <v>1446</v>
      </c>
      <c r="C550" t="s">
        <v>3895</v>
      </c>
      <c r="D550" t="s">
        <v>1345</v>
      </c>
      <c r="E550" s="1" t="s">
        <v>3968</v>
      </c>
      <c r="F550" t="s">
        <v>1399</v>
      </c>
      <c r="G550" t="s">
        <v>3895</v>
      </c>
      <c r="H550" t="s">
        <v>1345</v>
      </c>
      <c r="I550" s="1" t="s">
        <v>5081</v>
      </c>
      <c r="J550" t="s">
        <v>3969</v>
      </c>
      <c r="K550">
        <v>1</v>
      </c>
      <c r="L550">
        <v>4</v>
      </c>
      <c r="M550">
        <v>443953</v>
      </c>
      <c r="N550" t="s">
        <v>4027</v>
      </c>
      <c r="O550" s="7" t="s">
        <v>70</v>
      </c>
      <c r="P550">
        <v>29</v>
      </c>
      <c r="Q550" t="s">
        <v>4028</v>
      </c>
      <c r="R550" t="s">
        <v>68</v>
      </c>
      <c r="S550" t="s">
        <v>1336</v>
      </c>
      <c r="V550" s="7"/>
    </row>
    <row r="551" spans="1:22" x14ac:dyDescent="0.3">
      <c r="A551" t="s">
        <v>1447</v>
      </c>
      <c r="B551" t="s">
        <v>4029</v>
      </c>
      <c r="C551" t="s">
        <v>3895</v>
      </c>
      <c r="D551" t="s">
        <v>1345</v>
      </c>
      <c r="E551" s="1" t="s">
        <v>3933</v>
      </c>
      <c r="F551" t="s">
        <v>1367</v>
      </c>
      <c r="G551" t="s">
        <v>3895</v>
      </c>
      <c r="H551" t="s">
        <v>1345</v>
      </c>
      <c r="I551" s="1">
        <v>39943</v>
      </c>
      <c r="J551" t="s">
        <v>3934</v>
      </c>
      <c r="K551">
        <v>1</v>
      </c>
      <c r="L551">
        <v>13</v>
      </c>
      <c r="M551">
        <v>121880</v>
      </c>
      <c r="N551" t="s">
        <v>4030</v>
      </c>
      <c r="O551" s="7" t="s">
        <v>70</v>
      </c>
      <c r="P551">
        <v>25</v>
      </c>
      <c r="Q551" t="s">
        <v>4031</v>
      </c>
      <c r="R551" t="s">
        <v>68</v>
      </c>
      <c r="S551" t="s">
        <v>1336</v>
      </c>
      <c r="V551" s="7"/>
    </row>
    <row r="552" spans="1:22" x14ac:dyDescent="0.3">
      <c r="A552" t="s">
        <v>1449</v>
      </c>
      <c r="B552" t="s">
        <v>1450</v>
      </c>
      <c r="C552" t="s">
        <v>3895</v>
      </c>
      <c r="D552" t="s">
        <v>1345</v>
      </c>
      <c r="E552" s="1" t="s">
        <v>3939</v>
      </c>
      <c r="F552" t="s">
        <v>1372</v>
      </c>
      <c r="G552" t="s">
        <v>3895</v>
      </c>
      <c r="H552" t="s">
        <v>1345</v>
      </c>
      <c r="I552" s="1" t="s">
        <v>5080</v>
      </c>
      <c r="J552" t="s">
        <v>3940</v>
      </c>
      <c r="K552">
        <v>1</v>
      </c>
      <c r="L552">
        <v>8</v>
      </c>
      <c r="M552">
        <v>297200</v>
      </c>
      <c r="N552" t="s">
        <v>4032</v>
      </c>
      <c r="O552" s="7" t="s">
        <v>70</v>
      </c>
      <c r="P552">
        <v>28</v>
      </c>
      <c r="Q552" t="s">
        <v>4033</v>
      </c>
      <c r="R552" t="s">
        <v>68</v>
      </c>
      <c r="S552" t="s">
        <v>1336</v>
      </c>
      <c r="V552" s="7"/>
    </row>
    <row r="553" spans="1:22" x14ac:dyDescent="0.3">
      <c r="A553" t="s">
        <v>1451</v>
      </c>
      <c r="B553" t="s">
        <v>1452</v>
      </c>
      <c r="C553" t="s">
        <v>3895</v>
      </c>
      <c r="D553" t="s">
        <v>1345</v>
      </c>
      <c r="E553" s="1" t="s">
        <v>3894</v>
      </c>
      <c r="F553" t="s">
        <v>1335</v>
      </c>
      <c r="G553" t="s">
        <v>3895</v>
      </c>
      <c r="H553" t="s">
        <v>1345</v>
      </c>
      <c r="I553" s="1" t="s">
        <v>5075</v>
      </c>
      <c r="J553" t="s">
        <v>3896</v>
      </c>
      <c r="K553">
        <v>1</v>
      </c>
      <c r="L553">
        <v>6</v>
      </c>
      <c r="M553">
        <v>154293</v>
      </c>
      <c r="N553" t="s">
        <v>4034</v>
      </c>
      <c r="O553" s="7" t="s">
        <v>70</v>
      </c>
      <c r="P553">
        <v>43</v>
      </c>
      <c r="Q553" t="s">
        <v>4035</v>
      </c>
      <c r="R553" t="s">
        <v>68</v>
      </c>
      <c r="S553" t="s">
        <v>1453</v>
      </c>
      <c r="V553" s="7"/>
    </row>
    <row r="554" spans="1:22" x14ac:dyDescent="0.3">
      <c r="A554" t="s">
        <v>1454</v>
      </c>
      <c r="B554" t="s">
        <v>1455</v>
      </c>
      <c r="C554" t="s">
        <v>3892</v>
      </c>
      <c r="D554" t="s">
        <v>3893</v>
      </c>
      <c r="E554" s="1" t="s">
        <v>3894</v>
      </c>
      <c r="F554" t="s">
        <v>1335</v>
      </c>
      <c r="G554" t="s">
        <v>3895</v>
      </c>
      <c r="H554" t="s">
        <v>1345</v>
      </c>
      <c r="I554" s="1" t="s">
        <v>5075</v>
      </c>
      <c r="J554" t="s">
        <v>3896</v>
      </c>
      <c r="K554">
        <v>1</v>
      </c>
      <c r="L554">
        <v>7</v>
      </c>
      <c r="M554">
        <v>241533</v>
      </c>
      <c r="N554" t="s">
        <v>4036</v>
      </c>
      <c r="O554" s="7" t="s">
        <v>70</v>
      </c>
      <c r="P554">
        <v>47</v>
      </c>
      <c r="Q554" t="s">
        <v>4037</v>
      </c>
      <c r="R554" t="s">
        <v>68</v>
      </c>
      <c r="S554" t="s">
        <v>1453</v>
      </c>
      <c r="V554" s="7"/>
    </row>
    <row r="555" spans="1:22" x14ac:dyDescent="0.3">
      <c r="A555" t="s">
        <v>1456</v>
      </c>
      <c r="B555" t="s">
        <v>1457</v>
      </c>
      <c r="C555" t="s">
        <v>3895</v>
      </c>
      <c r="D555" t="s">
        <v>1345</v>
      </c>
      <c r="E555" s="1" t="s">
        <v>3894</v>
      </c>
      <c r="F555" t="s">
        <v>1335</v>
      </c>
      <c r="G555" t="s">
        <v>3895</v>
      </c>
      <c r="H555" t="s">
        <v>1345</v>
      </c>
      <c r="I555" s="1" t="s">
        <v>5075</v>
      </c>
      <c r="J555" t="s">
        <v>3896</v>
      </c>
      <c r="K555">
        <v>1</v>
      </c>
      <c r="L555">
        <v>9</v>
      </c>
      <c r="M555">
        <v>340600</v>
      </c>
      <c r="N555" t="s">
        <v>4038</v>
      </c>
      <c r="O555" s="7" t="s">
        <v>70</v>
      </c>
      <c r="P555">
        <v>43</v>
      </c>
      <c r="Q555" t="s">
        <v>4039</v>
      </c>
      <c r="R555" t="s">
        <v>68</v>
      </c>
      <c r="S555" t="s">
        <v>1453</v>
      </c>
      <c r="V555" s="7"/>
    </row>
    <row r="556" spans="1:22" x14ac:dyDescent="0.3">
      <c r="A556" t="s">
        <v>1458</v>
      </c>
      <c r="B556" t="s">
        <v>4040</v>
      </c>
      <c r="C556" t="s">
        <v>3895</v>
      </c>
      <c r="D556" t="s">
        <v>1345</v>
      </c>
      <c r="E556" s="1" t="s">
        <v>3894</v>
      </c>
      <c r="F556" t="s">
        <v>1335</v>
      </c>
      <c r="G556" t="s">
        <v>3895</v>
      </c>
      <c r="H556" t="s">
        <v>1345</v>
      </c>
      <c r="I556" s="1" t="s">
        <v>5075</v>
      </c>
      <c r="J556" t="s">
        <v>3896</v>
      </c>
      <c r="K556">
        <v>1</v>
      </c>
      <c r="L556">
        <v>10</v>
      </c>
      <c r="M556">
        <v>190866</v>
      </c>
      <c r="N556" t="s">
        <v>4041</v>
      </c>
      <c r="O556" s="7" t="s">
        <v>70</v>
      </c>
      <c r="P556">
        <v>47</v>
      </c>
      <c r="Q556" t="s">
        <v>4042</v>
      </c>
      <c r="R556" t="s">
        <v>68</v>
      </c>
      <c r="S556" t="s">
        <v>1453</v>
      </c>
      <c r="V556" s="7"/>
    </row>
    <row r="557" spans="1:22" x14ac:dyDescent="0.3">
      <c r="A557" t="s">
        <v>1460</v>
      </c>
      <c r="B557" t="s">
        <v>1461</v>
      </c>
      <c r="C557" t="s">
        <v>4043</v>
      </c>
      <c r="D557" t="s">
        <v>4044</v>
      </c>
      <c r="E557" s="1" t="s">
        <v>4045</v>
      </c>
      <c r="F557" t="s">
        <v>1462</v>
      </c>
      <c r="G557" t="s">
        <v>4046</v>
      </c>
      <c r="H557" t="s">
        <v>1487</v>
      </c>
      <c r="I557" s="1">
        <v>42498</v>
      </c>
      <c r="J557" t="s">
        <v>4047</v>
      </c>
      <c r="K557">
        <v>1</v>
      </c>
      <c r="L557">
        <v>13</v>
      </c>
      <c r="M557">
        <v>205946</v>
      </c>
      <c r="N557" t="s">
        <v>4048</v>
      </c>
      <c r="O557" s="7" t="s">
        <v>70</v>
      </c>
      <c r="P557">
        <v>83</v>
      </c>
      <c r="Q557" t="s">
        <v>4049</v>
      </c>
      <c r="R557" t="s">
        <v>68</v>
      </c>
      <c r="S557" t="s">
        <v>1463</v>
      </c>
      <c r="V557" s="7"/>
    </row>
    <row r="558" spans="1:22" x14ac:dyDescent="0.3">
      <c r="A558" t="s">
        <v>1465</v>
      </c>
      <c r="B558" t="s">
        <v>1466</v>
      </c>
      <c r="C558" t="s">
        <v>4050</v>
      </c>
      <c r="D558" t="s">
        <v>4051</v>
      </c>
      <c r="E558" s="1" t="s">
        <v>4045</v>
      </c>
      <c r="F558" t="s">
        <v>1462</v>
      </c>
      <c r="G558" t="s">
        <v>4046</v>
      </c>
      <c r="H558" t="s">
        <v>1487</v>
      </c>
      <c r="I558" s="1">
        <v>42498</v>
      </c>
      <c r="J558" t="s">
        <v>4047</v>
      </c>
      <c r="K558">
        <v>1</v>
      </c>
      <c r="L558">
        <v>2</v>
      </c>
      <c r="M558">
        <v>220573</v>
      </c>
      <c r="N558" t="s">
        <v>4052</v>
      </c>
      <c r="O558" s="7" t="s">
        <v>70</v>
      </c>
      <c r="P558">
        <v>73</v>
      </c>
      <c r="Q558" t="s">
        <v>4053</v>
      </c>
      <c r="R558" t="s">
        <v>68</v>
      </c>
      <c r="S558" t="s">
        <v>1463</v>
      </c>
      <c r="V558" s="7"/>
    </row>
    <row r="559" spans="1:22" x14ac:dyDescent="0.3">
      <c r="A559" t="s">
        <v>1467</v>
      </c>
      <c r="B559" t="s">
        <v>1468</v>
      </c>
      <c r="C559" t="s">
        <v>4054</v>
      </c>
      <c r="D559" t="s">
        <v>4055</v>
      </c>
      <c r="E559" s="1" t="s">
        <v>4056</v>
      </c>
      <c r="F559" t="s">
        <v>1468</v>
      </c>
      <c r="G559" t="s">
        <v>4054</v>
      </c>
      <c r="H559" t="s">
        <v>4055</v>
      </c>
      <c r="I559" s="1" t="s">
        <v>5085</v>
      </c>
      <c r="J559" t="s">
        <v>4057</v>
      </c>
      <c r="K559">
        <v>1</v>
      </c>
      <c r="L559">
        <v>1</v>
      </c>
      <c r="M559">
        <v>213733</v>
      </c>
      <c r="N559" t="s">
        <v>4058</v>
      </c>
      <c r="O559" t="s">
        <v>70</v>
      </c>
      <c r="P559">
        <v>67</v>
      </c>
      <c r="Q559" t="s">
        <v>4059</v>
      </c>
      <c r="R559" t="s">
        <v>68</v>
      </c>
      <c r="S559" t="s">
        <v>1463</v>
      </c>
      <c r="V559" s="7"/>
    </row>
    <row r="560" spans="1:22" x14ac:dyDescent="0.3">
      <c r="A560" t="s">
        <v>1470</v>
      </c>
      <c r="B560" t="s">
        <v>1471</v>
      </c>
      <c r="C560" t="s">
        <v>4060</v>
      </c>
      <c r="D560" t="s">
        <v>4061</v>
      </c>
      <c r="E560" s="1" t="s">
        <v>4062</v>
      </c>
      <c r="F560" t="s">
        <v>1471</v>
      </c>
      <c r="G560" t="s">
        <v>4060</v>
      </c>
      <c r="H560" t="s">
        <v>4061</v>
      </c>
      <c r="I560" s="1" t="s">
        <v>5086</v>
      </c>
      <c r="J560" t="s">
        <v>4063</v>
      </c>
      <c r="K560">
        <v>1</v>
      </c>
      <c r="L560">
        <v>1</v>
      </c>
      <c r="M560">
        <v>247266</v>
      </c>
      <c r="N560" t="s">
        <v>4064</v>
      </c>
      <c r="O560" s="7" t="s">
        <v>70</v>
      </c>
      <c r="P560">
        <v>70</v>
      </c>
      <c r="Q560" t="s">
        <v>4065</v>
      </c>
      <c r="R560" t="s">
        <v>68</v>
      </c>
      <c r="S560" t="s">
        <v>1463</v>
      </c>
      <c r="V560" s="7"/>
    </row>
    <row r="561" spans="1:22" x14ac:dyDescent="0.3">
      <c r="A561" t="s">
        <v>1473</v>
      </c>
      <c r="B561" t="s">
        <v>1474</v>
      </c>
      <c r="C561" t="s">
        <v>4066</v>
      </c>
      <c r="D561" t="s">
        <v>4067</v>
      </c>
      <c r="E561" s="1" t="s">
        <v>4068</v>
      </c>
      <c r="F561" t="s">
        <v>1474</v>
      </c>
      <c r="G561" t="s">
        <v>4069</v>
      </c>
      <c r="H561" t="s">
        <v>4070</v>
      </c>
      <c r="I561" s="1" t="s">
        <v>93</v>
      </c>
      <c r="J561" t="s">
        <v>4071</v>
      </c>
      <c r="K561">
        <v>1</v>
      </c>
      <c r="L561">
        <v>1</v>
      </c>
      <c r="M561">
        <v>225600</v>
      </c>
      <c r="N561" t="s">
        <v>4072</v>
      </c>
      <c r="O561" s="7" t="s">
        <v>80</v>
      </c>
      <c r="P561">
        <v>64</v>
      </c>
      <c r="Q561" t="s">
        <v>4073</v>
      </c>
      <c r="R561" t="s">
        <v>68</v>
      </c>
      <c r="S561" t="s">
        <v>1463</v>
      </c>
      <c r="V561" s="7"/>
    </row>
    <row r="562" spans="1:22" x14ac:dyDescent="0.3">
      <c r="A562" t="s">
        <v>1477</v>
      </c>
      <c r="B562" t="s">
        <v>1478</v>
      </c>
      <c r="C562" t="s">
        <v>4074</v>
      </c>
      <c r="D562" t="s">
        <v>4075</v>
      </c>
      <c r="E562" s="1" t="s">
        <v>4076</v>
      </c>
      <c r="F562" t="s">
        <v>1479</v>
      </c>
      <c r="G562" t="s">
        <v>4046</v>
      </c>
      <c r="H562" t="s">
        <v>1487</v>
      </c>
      <c r="I562" s="1" t="s">
        <v>5087</v>
      </c>
      <c r="J562" t="s">
        <v>4077</v>
      </c>
      <c r="K562">
        <v>1</v>
      </c>
      <c r="L562">
        <v>10</v>
      </c>
      <c r="M562">
        <v>185194</v>
      </c>
      <c r="N562" t="s">
        <v>4078</v>
      </c>
      <c r="O562" s="7" t="s">
        <v>70</v>
      </c>
      <c r="P562">
        <v>71</v>
      </c>
      <c r="Q562" t="s">
        <v>4079</v>
      </c>
      <c r="R562" t="s">
        <v>68</v>
      </c>
      <c r="S562" t="s">
        <v>1463</v>
      </c>
      <c r="V562" s="7"/>
    </row>
    <row r="563" spans="1:22" x14ac:dyDescent="0.3">
      <c r="A563" t="s">
        <v>1481</v>
      </c>
      <c r="B563" t="s">
        <v>1482</v>
      </c>
      <c r="C563" t="s">
        <v>4080</v>
      </c>
      <c r="D563" t="s">
        <v>4081</v>
      </c>
      <c r="E563" s="1" t="s">
        <v>4082</v>
      </c>
      <c r="F563" t="s">
        <v>1482</v>
      </c>
      <c r="G563" t="s">
        <v>4083</v>
      </c>
      <c r="H563" t="s">
        <v>4084</v>
      </c>
      <c r="I563" s="1" t="s">
        <v>76</v>
      </c>
      <c r="J563" t="s">
        <v>4085</v>
      </c>
      <c r="K563">
        <v>1</v>
      </c>
      <c r="L563">
        <v>1</v>
      </c>
      <c r="M563">
        <v>212500</v>
      </c>
      <c r="N563" t="s">
        <v>4086</v>
      </c>
      <c r="O563" s="7" t="s">
        <v>80</v>
      </c>
      <c r="P563">
        <v>69</v>
      </c>
      <c r="Q563" t="s">
        <v>4087</v>
      </c>
      <c r="R563" t="s">
        <v>68</v>
      </c>
      <c r="S563" t="s">
        <v>1463</v>
      </c>
      <c r="V563" s="7"/>
    </row>
    <row r="564" spans="1:22" x14ac:dyDescent="0.3">
      <c r="A564" t="s">
        <v>1485</v>
      </c>
      <c r="B564" t="s">
        <v>1486</v>
      </c>
      <c r="C564" t="s">
        <v>4046</v>
      </c>
      <c r="D564" t="s">
        <v>1487</v>
      </c>
      <c r="E564" s="1" t="s">
        <v>4076</v>
      </c>
      <c r="F564" t="s">
        <v>1479</v>
      </c>
      <c r="G564" t="s">
        <v>4046</v>
      </c>
      <c r="H564" t="s">
        <v>1487</v>
      </c>
      <c r="I564" s="1" t="s">
        <v>5087</v>
      </c>
      <c r="J564" t="s">
        <v>4077</v>
      </c>
      <c r="K564">
        <v>1</v>
      </c>
      <c r="L564">
        <v>13</v>
      </c>
      <c r="M564">
        <v>194490</v>
      </c>
      <c r="N564" t="s">
        <v>4088</v>
      </c>
      <c r="O564" t="s">
        <v>70</v>
      </c>
      <c r="P564">
        <v>58</v>
      </c>
      <c r="Q564" t="s">
        <v>4089</v>
      </c>
      <c r="R564" t="s">
        <v>68</v>
      </c>
      <c r="S564" t="s">
        <v>1463</v>
      </c>
      <c r="V564" s="7"/>
    </row>
    <row r="565" spans="1:22" x14ac:dyDescent="0.3">
      <c r="A565" t="s">
        <v>1488</v>
      </c>
      <c r="B565" t="s">
        <v>1489</v>
      </c>
      <c r="C565" t="s">
        <v>4090</v>
      </c>
      <c r="D565" t="s">
        <v>4091</v>
      </c>
      <c r="E565" s="1" t="s">
        <v>4092</v>
      </c>
      <c r="F565" t="s">
        <v>1489</v>
      </c>
      <c r="G565" t="s">
        <v>4090</v>
      </c>
      <c r="H565" t="s">
        <v>4091</v>
      </c>
      <c r="I565" s="1" t="s">
        <v>5088</v>
      </c>
      <c r="J565" t="s">
        <v>4093</v>
      </c>
      <c r="K565">
        <v>1</v>
      </c>
      <c r="L565">
        <v>1</v>
      </c>
      <c r="M565">
        <v>198285</v>
      </c>
      <c r="N565" t="s">
        <v>4094</v>
      </c>
      <c r="O565" s="7" t="s">
        <v>70</v>
      </c>
      <c r="P565">
        <v>62</v>
      </c>
      <c r="Q565" t="s">
        <v>4095</v>
      </c>
      <c r="R565" t="s">
        <v>68</v>
      </c>
      <c r="S565" t="s">
        <v>1463</v>
      </c>
      <c r="V565" s="7"/>
    </row>
    <row r="566" spans="1:22" x14ac:dyDescent="0.3">
      <c r="A566" t="s">
        <v>1491</v>
      </c>
      <c r="B566" t="s">
        <v>1492</v>
      </c>
      <c r="C566" t="s">
        <v>4046</v>
      </c>
      <c r="D566" t="s">
        <v>1487</v>
      </c>
      <c r="E566" s="1" t="s">
        <v>4096</v>
      </c>
      <c r="F566" t="s">
        <v>1492</v>
      </c>
      <c r="G566" t="s">
        <v>4046</v>
      </c>
      <c r="H566" t="s">
        <v>1487</v>
      </c>
      <c r="I566" s="1" t="s">
        <v>5089</v>
      </c>
      <c r="J566" t="s">
        <v>4097</v>
      </c>
      <c r="K566">
        <v>1</v>
      </c>
      <c r="L566">
        <v>1</v>
      </c>
      <c r="M566">
        <v>184799</v>
      </c>
      <c r="N566" t="s">
        <v>4098</v>
      </c>
      <c r="O566" t="s">
        <v>70</v>
      </c>
      <c r="P566">
        <v>49</v>
      </c>
      <c r="Q566" t="s">
        <v>4099</v>
      </c>
      <c r="R566" t="s">
        <v>68</v>
      </c>
      <c r="S566" t="s">
        <v>1463</v>
      </c>
      <c r="V566" s="7"/>
    </row>
    <row r="567" spans="1:22" x14ac:dyDescent="0.3">
      <c r="A567" t="s">
        <v>1493</v>
      </c>
      <c r="B567" t="s">
        <v>4100</v>
      </c>
      <c r="C567" t="s">
        <v>4101</v>
      </c>
      <c r="D567" t="s">
        <v>4102</v>
      </c>
      <c r="E567" s="1" t="s">
        <v>4103</v>
      </c>
      <c r="F567" t="s">
        <v>1494</v>
      </c>
      <c r="G567" t="s">
        <v>4104</v>
      </c>
      <c r="H567" t="s">
        <v>4105</v>
      </c>
      <c r="I567" s="1" t="s">
        <v>5044</v>
      </c>
      <c r="J567" t="s">
        <v>4106</v>
      </c>
      <c r="K567">
        <v>1</v>
      </c>
      <c r="L567">
        <v>4</v>
      </c>
      <c r="M567">
        <v>176561</v>
      </c>
      <c r="N567" t="s">
        <v>4107</v>
      </c>
      <c r="O567" s="7" t="s">
        <v>70</v>
      </c>
      <c r="P567">
        <v>68</v>
      </c>
      <c r="Q567" t="s">
        <v>4108</v>
      </c>
      <c r="R567" t="s">
        <v>68</v>
      </c>
      <c r="S567" t="s">
        <v>1463</v>
      </c>
      <c r="V567" s="7"/>
    </row>
    <row r="568" spans="1:22" x14ac:dyDescent="0.3">
      <c r="A568" t="s">
        <v>1496</v>
      </c>
      <c r="B568" t="s">
        <v>1497</v>
      </c>
      <c r="C568" t="s">
        <v>4109</v>
      </c>
      <c r="D568" t="s">
        <v>4110</v>
      </c>
      <c r="E568" s="1" t="s">
        <v>4045</v>
      </c>
      <c r="F568" t="s">
        <v>1462</v>
      </c>
      <c r="G568" t="s">
        <v>4046</v>
      </c>
      <c r="H568" t="s">
        <v>1487</v>
      </c>
      <c r="I568" s="1">
        <v>42498</v>
      </c>
      <c r="J568" t="s">
        <v>4047</v>
      </c>
      <c r="K568">
        <v>1</v>
      </c>
      <c r="L568">
        <v>14</v>
      </c>
      <c r="M568">
        <v>286880</v>
      </c>
      <c r="N568" t="s">
        <v>4111</v>
      </c>
      <c r="O568" s="7" t="s">
        <v>80</v>
      </c>
      <c r="P568">
        <v>42</v>
      </c>
      <c r="Q568" t="s">
        <v>4112</v>
      </c>
      <c r="R568" t="s">
        <v>68</v>
      </c>
      <c r="S568" t="s">
        <v>1463</v>
      </c>
      <c r="V568" s="7"/>
    </row>
    <row r="569" spans="1:22" x14ac:dyDescent="0.3">
      <c r="A569" t="s">
        <v>1498</v>
      </c>
      <c r="B569" t="s">
        <v>1499</v>
      </c>
      <c r="C569" t="s">
        <v>4046</v>
      </c>
      <c r="D569" t="s">
        <v>1487</v>
      </c>
      <c r="E569" s="1" t="s">
        <v>4045</v>
      </c>
      <c r="F569" t="s">
        <v>1462</v>
      </c>
      <c r="G569" t="s">
        <v>4046</v>
      </c>
      <c r="H569" t="s">
        <v>1487</v>
      </c>
      <c r="I569" s="1">
        <v>42498</v>
      </c>
      <c r="J569" t="s">
        <v>4047</v>
      </c>
      <c r="K569">
        <v>1</v>
      </c>
      <c r="L569">
        <v>10</v>
      </c>
      <c r="M569">
        <v>249600</v>
      </c>
      <c r="N569" t="s">
        <v>4113</v>
      </c>
      <c r="O569" s="7" t="s">
        <v>70</v>
      </c>
      <c r="P569">
        <v>45</v>
      </c>
      <c r="Q569" t="s">
        <v>4114</v>
      </c>
      <c r="R569" t="s">
        <v>68</v>
      </c>
      <c r="S569" t="s">
        <v>1463</v>
      </c>
      <c r="V569" s="7"/>
    </row>
    <row r="570" spans="1:22" x14ac:dyDescent="0.3">
      <c r="A570" t="s">
        <v>1500</v>
      </c>
      <c r="B570" t="s">
        <v>1501</v>
      </c>
      <c r="C570" t="s">
        <v>4080</v>
      </c>
      <c r="D570" t="s">
        <v>4081</v>
      </c>
      <c r="E570" s="1" t="s">
        <v>4076</v>
      </c>
      <c r="F570" t="s">
        <v>1479</v>
      </c>
      <c r="G570" t="s">
        <v>4046</v>
      </c>
      <c r="H570" t="s">
        <v>1487</v>
      </c>
      <c r="I570" s="1" t="s">
        <v>5087</v>
      </c>
      <c r="J570" t="s">
        <v>4077</v>
      </c>
      <c r="K570">
        <v>1</v>
      </c>
      <c r="L570">
        <v>11</v>
      </c>
      <c r="M570">
        <v>212500</v>
      </c>
      <c r="N570" t="s">
        <v>4115</v>
      </c>
      <c r="O570" s="7" t="s">
        <v>80</v>
      </c>
      <c r="P570">
        <v>70</v>
      </c>
      <c r="Q570" t="s">
        <v>4116</v>
      </c>
      <c r="R570" t="s">
        <v>68</v>
      </c>
      <c r="S570" t="s">
        <v>1463</v>
      </c>
      <c r="V570" s="7"/>
    </row>
    <row r="571" spans="1:22" x14ac:dyDescent="0.3">
      <c r="A571" t="s">
        <v>1502</v>
      </c>
      <c r="B571" t="s">
        <v>1503</v>
      </c>
      <c r="C571" t="s">
        <v>4046</v>
      </c>
      <c r="D571" t="s">
        <v>1487</v>
      </c>
      <c r="E571" s="1" t="s">
        <v>4117</v>
      </c>
      <c r="F571" t="s">
        <v>1503</v>
      </c>
      <c r="G571" t="s">
        <v>4046</v>
      </c>
      <c r="H571" t="s">
        <v>1487</v>
      </c>
      <c r="I571" s="1" t="s">
        <v>5090</v>
      </c>
      <c r="J571" t="s">
        <v>4118</v>
      </c>
      <c r="K571">
        <v>1</v>
      </c>
      <c r="L571">
        <v>1</v>
      </c>
      <c r="M571">
        <v>180480</v>
      </c>
      <c r="N571" t="s">
        <v>4119</v>
      </c>
      <c r="O571" s="7" t="s">
        <v>70</v>
      </c>
      <c r="P571">
        <v>59</v>
      </c>
      <c r="Q571" t="s">
        <v>4120</v>
      </c>
      <c r="R571" t="s">
        <v>68</v>
      </c>
      <c r="S571" t="s">
        <v>1463</v>
      </c>
      <c r="V571" s="7"/>
    </row>
    <row r="572" spans="1:22" x14ac:dyDescent="0.3">
      <c r="A572" t="s">
        <v>1504</v>
      </c>
      <c r="B572" t="s">
        <v>1505</v>
      </c>
      <c r="C572" t="s">
        <v>4046</v>
      </c>
      <c r="D572" t="s">
        <v>1487</v>
      </c>
      <c r="E572" s="1" t="s">
        <v>4121</v>
      </c>
      <c r="F572" t="s">
        <v>1505</v>
      </c>
      <c r="G572" t="s">
        <v>4046</v>
      </c>
      <c r="H572" t="s">
        <v>1487</v>
      </c>
      <c r="I572" s="1" t="s">
        <v>5091</v>
      </c>
      <c r="J572" t="s">
        <v>4122</v>
      </c>
      <c r="K572">
        <v>1</v>
      </c>
      <c r="L572">
        <v>1</v>
      </c>
      <c r="M572">
        <v>211200</v>
      </c>
      <c r="N572" t="s">
        <v>4123</v>
      </c>
      <c r="O572" s="7" t="s">
        <v>70</v>
      </c>
      <c r="P572">
        <v>41</v>
      </c>
      <c r="Q572" t="s">
        <v>4124</v>
      </c>
      <c r="R572" t="s">
        <v>68</v>
      </c>
      <c r="S572" t="s">
        <v>1463</v>
      </c>
      <c r="V572" s="7"/>
    </row>
    <row r="573" spans="1:22" x14ac:dyDescent="0.3">
      <c r="A573" t="s">
        <v>1506</v>
      </c>
      <c r="B573" t="s">
        <v>1507</v>
      </c>
      <c r="C573" t="s">
        <v>4125</v>
      </c>
      <c r="D573" t="s">
        <v>4126</v>
      </c>
      <c r="E573" s="1" t="s">
        <v>4127</v>
      </c>
      <c r="F573" t="s">
        <v>1508</v>
      </c>
      <c r="G573" t="s">
        <v>4128</v>
      </c>
      <c r="H573" t="s">
        <v>4129</v>
      </c>
      <c r="I573" s="1" t="s">
        <v>5092</v>
      </c>
      <c r="J573" t="s">
        <v>4130</v>
      </c>
      <c r="K573">
        <v>1</v>
      </c>
      <c r="L573">
        <v>2</v>
      </c>
      <c r="M573">
        <v>212773</v>
      </c>
      <c r="N573" t="s">
        <v>4131</v>
      </c>
      <c r="O573" s="7" t="s">
        <v>70</v>
      </c>
      <c r="P573">
        <v>57</v>
      </c>
      <c r="Q573" t="s">
        <v>4132</v>
      </c>
      <c r="R573" t="s">
        <v>68</v>
      </c>
      <c r="S573" t="s">
        <v>1463</v>
      </c>
      <c r="V573" s="7"/>
    </row>
    <row r="574" spans="1:22" x14ac:dyDescent="0.3">
      <c r="A574" t="s">
        <v>1510</v>
      </c>
      <c r="B574" t="s">
        <v>1511</v>
      </c>
      <c r="C574" t="s">
        <v>4133</v>
      </c>
      <c r="D574" t="s">
        <v>4134</v>
      </c>
      <c r="E574" s="1" t="s">
        <v>4135</v>
      </c>
      <c r="F574" t="s">
        <v>1511</v>
      </c>
      <c r="G574" t="s">
        <v>4133</v>
      </c>
      <c r="H574" t="s">
        <v>4134</v>
      </c>
      <c r="I574" s="1">
        <v>44289</v>
      </c>
      <c r="J574" t="s">
        <v>4136</v>
      </c>
      <c r="K574">
        <v>1</v>
      </c>
      <c r="L574">
        <v>1</v>
      </c>
      <c r="M574">
        <v>168648</v>
      </c>
      <c r="N574" t="s">
        <v>4137</v>
      </c>
      <c r="O574" s="7" t="s">
        <v>70</v>
      </c>
      <c r="P574">
        <v>51</v>
      </c>
      <c r="Q574" t="s">
        <v>4138</v>
      </c>
      <c r="R574" t="s">
        <v>68</v>
      </c>
      <c r="S574" t="s">
        <v>1463</v>
      </c>
      <c r="V574" s="7"/>
    </row>
    <row r="575" spans="1:22" x14ac:dyDescent="0.3">
      <c r="A575" t="s">
        <v>1513</v>
      </c>
      <c r="B575" t="s">
        <v>1514</v>
      </c>
      <c r="C575" t="s">
        <v>4139</v>
      </c>
      <c r="D575" t="s">
        <v>4140</v>
      </c>
      <c r="E575" s="1" t="s">
        <v>4045</v>
      </c>
      <c r="F575" t="s">
        <v>1462</v>
      </c>
      <c r="G575" t="s">
        <v>4046</v>
      </c>
      <c r="H575" t="s">
        <v>1487</v>
      </c>
      <c r="I575" s="1">
        <v>42498</v>
      </c>
      <c r="J575" t="s">
        <v>4047</v>
      </c>
      <c r="K575">
        <v>1</v>
      </c>
      <c r="L575">
        <v>3</v>
      </c>
      <c r="M575">
        <v>258346</v>
      </c>
      <c r="N575" t="s">
        <v>4141</v>
      </c>
      <c r="O575" s="7" t="s">
        <v>70</v>
      </c>
      <c r="P575">
        <v>40</v>
      </c>
      <c r="Q575" t="s">
        <v>4142</v>
      </c>
      <c r="R575" t="s">
        <v>68</v>
      </c>
      <c r="S575" t="s">
        <v>1463</v>
      </c>
      <c r="V575" s="7"/>
    </row>
    <row r="576" spans="1:22" x14ac:dyDescent="0.3">
      <c r="A576" t="s">
        <v>1516</v>
      </c>
      <c r="B576" t="s">
        <v>1517</v>
      </c>
      <c r="C576" t="s">
        <v>4143</v>
      </c>
      <c r="D576" t="s">
        <v>4144</v>
      </c>
      <c r="E576" s="1" t="s">
        <v>4076</v>
      </c>
      <c r="F576" t="s">
        <v>1479</v>
      </c>
      <c r="G576" t="s">
        <v>4046</v>
      </c>
      <c r="H576" t="s">
        <v>1487</v>
      </c>
      <c r="I576" s="1" t="s">
        <v>5087</v>
      </c>
      <c r="J576" t="s">
        <v>4077</v>
      </c>
      <c r="K576">
        <v>1</v>
      </c>
      <c r="L576">
        <v>16</v>
      </c>
      <c r="M576">
        <v>185600</v>
      </c>
      <c r="N576" t="s">
        <v>4145</v>
      </c>
      <c r="O576" s="7" t="s">
        <v>80</v>
      </c>
      <c r="P576">
        <v>35</v>
      </c>
      <c r="Q576" t="s">
        <v>4146</v>
      </c>
      <c r="R576" t="s">
        <v>68</v>
      </c>
      <c r="S576" t="s">
        <v>1463</v>
      </c>
    </row>
    <row r="577" spans="1:22" x14ac:dyDescent="0.3">
      <c r="A577" t="s">
        <v>1519</v>
      </c>
      <c r="B577" t="s">
        <v>1520</v>
      </c>
      <c r="C577" t="s">
        <v>4046</v>
      </c>
      <c r="D577" t="s">
        <v>1487</v>
      </c>
      <c r="E577" s="1" t="s">
        <v>4076</v>
      </c>
      <c r="F577" t="s">
        <v>1479</v>
      </c>
      <c r="G577" t="s">
        <v>4046</v>
      </c>
      <c r="H577" t="s">
        <v>1487</v>
      </c>
      <c r="I577" s="1" t="s">
        <v>5087</v>
      </c>
      <c r="J577" t="s">
        <v>4077</v>
      </c>
      <c r="K577">
        <v>1</v>
      </c>
      <c r="L577">
        <v>3</v>
      </c>
      <c r="M577">
        <v>231037</v>
      </c>
      <c r="N577" t="s">
        <v>4147</v>
      </c>
      <c r="O577" s="7" t="s">
        <v>70</v>
      </c>
      <c r="P577">
        <v>33</v>
      </c>
      <c r="Q577" t="s">
        <v>4148</v>
      </c>
      <c r="R577" t="s">
        <v>68</v>
      </c>
      <c r="S577" t="s">
        <v>1463</v>
      </c>
      <c r="V577" s="7"/>
    </row>
    <row r="578" spans="1:22" x14ac:dyDescent="0.3">
      <c r="A578" t="s">
        <v>1521</v>
      </c>
      <c r="B578" t="s">
        <v>1522</v>
      </c>
      <c r="C578" t="s">
        <v>4046</v>
      </c>
      <c r="D578" t="s">
        <v>1487</v>
      </c>
      <c r="E578" s="1" t="s">
        <v>4076</v>
      </c>
      <c r="F578" t="s">
        <v>1479</v>
      </c>
      <c r="G578" t="s">
        <v>4046</v>
      </c>
      <c r="H578" t="s">
        <v>1487</v>
      </c>
      <c r="I578" s="1" t="s">
        <v>5087</v>
      </c>
      <c r="J578" t="s">
        <v>4077</v>
      </c>
      <c r="K578">
        <v>1</v>
      </c>
      <c r="L578">
        <v>1</v>
      </c>
      <c r="M578">
        <v>204800</v>
      </c>
      <c r="N578" t="s">
        <v>4149</v>
      </c>
      <c r="O578" s="7" t="s">
        <v>70</v>
      </c>
      <c r="P578">
        <v>31</v>
      </c>
      <c r="Q578" t="s">
        <v>4150</v>
      </c>
      <c r="R578" t="s">
        <v>68</v>
      </c>
      <c r="S578" t="s">
        <v>1463</v>
      </c>
      <c r="V578" s="7"/>
    </row>
    <row r="579" spans="1:22" x14ac:dyDescent="0.3">
      <c r="A579" t="s">
        <v>1523</v>
      </c>
      <c r="B579" t="s">
        <v>1524</v>
      </c>
      <c r="C579" t="s">
        <v>4151</v>
      </c>
      <c r="D579" t="s">
        <v>4152</v>
      </c>
      <c r="E579" s="1" t="s">
        <v>4045</v>
      </c>
      <c r="F579" t="s">
        <v>1462</v>
      </c>
      <c r="G579" t="s">
        <v>4046</v>
      </c>
      <c r="H579" t="s">
        <v>1487</v>
      </c>
      <c r="I579" s="1">
        <v>42498</v>
      </c>
      <c r="J579" t="s">
        <v>4047</v>
      </c>
      <c r="K579">
        <v>1</v>
      </c>
      <c r="L579">
        <v>7</v>
      </c>
      <c r="M579">
        <v>222000</v>
      </c>
      <c r="N579" t="s">
        <v>4153</v>
      </c>
      <c r="O579" s="7" t="s">
        <v>80</v>
      </c>
      <c r="P579">
        <v>39</v>
      </c>
      <c r="Q579" t="s">
        <v>4154</v>
      </c>
      <c r="R579" t="s">
        <v>68</v>
      </c>
      <c r="S579" t="s">
        <v>1463</v>
      </c>
      <c r="V579" s="7"/>
    </row>
    <row r="580" spans="1:22" x14ac:dyDescent="0.3">
      <c r="A580" t="s">
        <v>1526</v>
      </c>
      <c r="B580" t="s">
        <v>1527</v>
      </c>
      <c r="C580" t="s">
        <v>4155</v>
      </c>
      <c r="D580" t="s">
        <v>4156</v>
      </c>
      <c r="E580" s="1" t="s">
        <v>4076</v>
      </c>
      <c r="F580" t="s">
        <v>1479</v>
      </c>
      <c r="G580" t="s">
        <v>4046</v>
      </c>
      <c r="H580" t="s">
        <v>1487</v>
      </c>
      <c r="I580" s="1" t="s">
        <v>5087</v>
      </c>
      <c r="J580" t="s">
        <v>4077</v>
      </c>
      <c r="K580">
        <v>1</v>
      </c>
      <c r="L580">
        <v>2</v>
      </c>
      <c r="M580">
        <v>225600</v>
      </c>
      <c r="N580" t="s">
        <v>4157</v>
      </c>
      <c r="O580" s="7" t="s">
        <v>70</v>
      </c>
      <c r="P580">
        <v>39</v>
      </c>
      <c r="Q580" t="s">
        <v>4158</v>
      </c>
      <c r="R580" t="s">
        <v>68</v>
      </c>
      <c r="S580" t="s">
        <v>1463</v>
      </c>
      <c r="V580" s="7"/>
    </row>
    <row r="581" spans="1:22" x14ac:dyDescent="0.3">
      <c r="A581" t="s">
        <v>1529</v>
      </c>
      <c r="B581" t="s">
        <v>1530</v>
      </c>
      <c r="C581" t="s">
        <v>4159</v>
      </c>
      <c r="D581" t="s">
        <v>4160</v>
      </c>
      <c r="E581" s="1" t="s">
        <v>4076</v>
      </c>
      <c r="F581" t="s">
        <v>1479</v>
      </c>
      <c r="G581" t="s">
        <v>4046</v>
      </c>
      <c r="H581" t="s">
        <v>1487</v>
      </c>
      <c r="I581" s="1" t="s">
        <v>5087</v>
      </c>
      <c r="J581" t="s">
        <v>4077</v>
      </c>
      <c r="K581">
        <v>1</v>
      </c>
      <c r="L581">
        <v>6</v>
      </c>
      <c r="M581">
        <v>251428</v>
      </c>
      <c r="N581" t="s">
        <v>4161</v>
      </c>
      <c r="O581" s="7" t="s">
        <v>70</v>
      </c>
      <c r="P581">
        <v>43</v>
      </c>
      <c r="Q581" t="s">
        <v>4162</v>
      </c>
      <c r="R581" t="s">
        <v>68</v>
      </c>
      <c r="S581" t="s">
        <v>1463</v>
      </c>
      <c r="V581" s="7"/>
    </row>
    <row r="582" spans="1:22" x14ac:dyDescent="0.3">
      <c r="A582" t="s">
        <v>1532</v>
      </c>
      <c r="B582" t="s">
        <v>1533</v>
      </c>
      <c r="C582" t="s">
        <v>4163</v>
      </c>
      <c r="D582" t="s">
        <v>4164</v>
      </c>
      <c r="E582" s="1" t="s">
        <v>4076</v>
      </c>
      <c r="F582" t="s">
        <v>1479</v>
      </c>
      <c r="G582" t="s">
        <v>4046</v>
      </c>
      <c r="H582" t="s">
        <v>1487</v>
      </c>
      <c r="I582" s="1" t="s">
        <v>5087</v>
      </c>
      <c r="J582" t="s">
        <v>4077</v>
      </c>
      <c r="K582">
        <v>1</v>
      </c>
      <c r="L582">
        <v>17</v>
      </c>
      <c r="M582">
        <v>225000</v>
      </c>
      <c r="N582" t="s">
        <v>4165</v>
      </c>
      <c r="O582" s="7" t="s">
        <v>70</v>
      </c>
      <c r="P582">
        <v>35</v>
      </c>
      <c r="Q582" t="s">
        <v>4166</v>
      </c>
      <c r="R582" t="s">
        <v>68</v>
      </c>
      <c r="S582" t="s">
        <v>1463</v>
      </c>
    </row>
    <row r="583" spans="1:22" x14ac:dyDescent="0.3">
      <c r="A583" t="s">
        <v>1534</v>
      </c>
      <c r="B583" t="s">
        <v>1535</v>
      </c>
      <c r="C583" t="s">
        <v>4167</v>
      </c>
      <c r="D583" t="s">
        <v>4168</v>
      </c>
      <c r="E583" s="1" t="s">
        <v>4045</v>
      </c>
      <c r="F583" t="s">
        <v>1462</v>
      </c>
      <c r="G583" t="s">
        <v>4046</v>
      </c>
      <c r="H583" t="s">
        <v>1487</v>
      </c>
      <c r="I583" s="1">
        <v>42498</v>
      </c>
      <c r="J583" t="s">
        <v>4047</v>
      </c>
      <c r="K583">
        <v>1</v>
      </c>
      <c r="L583">
        <v>5</v>
      </c>
      <c r="M583">
        <v>263106</v>
      </c>
      <c r="N583" t="s">
        <v>4169</v>
      </c>
      <c r="O583" s="7" t="s">
        <v>70</v>
      </c>
      <c r="P583">
        <v>35</v>
      </c>
      <c r="Q583" t="s">
        <v>4170</v>
      </c>
      <c r="R583" t="s">
        <v>68</v>
      </c>
      <c r="S583" t="s">
        <v>1463</v>
      </c>
      <c r="V583" s="7"/>
    </row>
    <row r="584" spans="1:22" x14ac:dyDescent="0.3">
      <c r="A584" t="s">
        <v>1537</v>
      </c>
      <c r="B584" t="s">
        <v>1538</v>
      </c>
      <c r="C584" t="s">
        <v>4171</v>
      </c>
      <c r="D584" t="s">
        <v>4172</v>
      </c>
      <c r="E584" s="1" t="s">
        <v>4076</v>
      </c>
      <c r="F584" t="s">
        <v>1479</v>
      </c>
      <c r="G584" t="s">
        <v>4046</v>
      </c>
      <c r="H584" t="s">
        <v>1487</v>
      </c>
      <c r="I584" s="1" t="s">
        <v>5087</v>
      </c>
      <c r="J584" t="s">
        <v>4077</v>
      </c>
      <c r="K584">
        <v>1</v>
      </c>
      <c r="L584">
        <v>12</v>
      </c>
      <c r="M584">
        <v>195428</v>
      </c>
      <c r="N584" t="s">
        <v>4173</v>
      </c>
      <c r="O584" s="7" t="s">
        <v>70</v>
      </c>
      <c r="P584">
        <v>51</v>
      </c>
      <c r="Q584" t="s">
        <v>4174</v>
      </c>
      <c r="R584" t="s">
        <v>68</v>
      </c>
      <c r="S584" t="s">
        <v>1463</v>
      </c>
      <c r="V584" s="7"/>
    </row>
    <row r="585" spans="1:22" x14ac:dyDescent="0.3">
      <c r="A585" t="s">
        <v>1540</v>
      </c>
      <c r="B585" t="s">
        <v>1541</v>
      </c>
      <c r="C585" t="s">
        <v>4175</v>
      </c>
      <c r="D585" t="s">
        <v>4176</v>
      </c>
      <c r="E585" s="1" t="s">
        <v>4045</v>
      </c>
      <c r="F585" t="s">
        <v>1462</v>
      </c>
      <c r="G585" t="s">
        <v>4046</v>
      </c>
      <c r="H585" t="s">
        <v>1487</v>
      </c>
      <c r="I585" s="1">
        <v>42498</v>
      </c>
      <c r="J585" t="s">
        <v>4047</v>
      </c>
      <c r="K585">
        <v>1</v>
      </c>
      <c r="L585">
        <v>6</v>
      </c>
      <c r="M585">
        <v>237960</v>
      </c>
      <c r="N585" t="s">
        <v>4177</v>
      </c>
      <c r="O585" s="7" t="s">
        <v>70</v>
      </c>
      <c r="P585">
        <v>45</v>
      </c>
      <c r="Q585" t="s">
        <v>4178</v>
      </c>
      <c r="R585" t="s">
        <v>68</v>
      </c>
      <c r="S585" t="s">
        <v>1463</v>
      </c>
    </row>
    <row r="586" spans="1:22" x14ac:dyDescent="0.3">
      <c r="A586" t="s">
        <v>1542</v>
      </c>
      <c r="B586" t="s">
        <v>1543</v>
      </c>
      <c r="C586" t="s">
        <v>4179</v>
      </c>
      <c r="D586" t="s">
        <v>4180</v>
      </c>
      <c r="E586" s="1" t="s">
        <v>4045</v>
      </c>
      <c r="F586" t="s">
        <v>1462</v>
      </c>
      <c r="G586" t="s">
        <v>4046</v>
      </c>
      <c r="H586" t="s">
        <v>1487</v>
      </c>
      <c r="I586" s="1">
        <v>42498</v>
      </c>
      <c r="J586" t="s">
        <v>4047</v>
      </c>
      <c r="K586">
        <v>1</v>
      </c>
      <c r="L586">
        <v>8</v>
      </c>
      <c r="M586">
        <v>217373</v>
      </c>
      <c r="N586" t="s">
        <v>4181</v>
      </c>
      <c r="O586" s="7" t="s">
        <v>80</v>
      </c>
      <c r="P586">
        <v>44</v>
      </c>
      <c r="Q586" t="s">
        <v>4182</v>
      </c>
      <c r="R586" t="s">
        <v>68</v>
      </c>
      <c r="S586" t="s">
        <v>1463</v>
      </c>
      <c r="V586" s="7"/>
    </row>
    <row r="587" spans="1:22" x14ac:dyDescent="0.3">
      <c r="A587" t="s">
        <v>1545</v>
      </c>
      <c r="B587" t="s">
        <v>1546</v>
      </c>
      <c r="C587" t="s">
        <v>4101</v>
      </c>
      <c r="D587" t="s">
        <v>4102</v>
      </c>
      <c r="E587" s="1" t="s">
        <v>4183</v>
      </c>
      <c r="F587" t="s">
        <v>1547</v>
      </c>
      <c r="G587" t="s">
        <v>4104</v>
      </c>
      <c r="H587" t="s">
        <v>4105</v>
      </c>
      <c r="I587" s="1">
        <v>42010</v>
      </c>
      <c r="J587" t="s">
        <v>4184</v>
      </c>
      <c r="K587">
        <v>1</v>
      </c>
      <c r="L587">
        <v>4</v>
      </c>
      <c r="M587">
        <v>176561</v>
      </c>
      <c r="N587" t="s">
        <v>4107</v>
      </c>
      <c r="O587" s="7" t="s">
        <v>70</v>
      </c>
      <c r="P587">
        <v>1</v>
      </c>
      <c r="Q587" t="s">
        <v>4108</v>
      </c>
      <c r="R587" t="s">
        <v>68</v>
      </c>
      <c r="S587" t="s">
        <v>1463</v>
      </c>
      <c r="V587" s="7"/>
    </row>
    <row r="588" spans="1:22" x14ac:dyDescent="0.3">
      <c r="A588" t="s">
        <v>1549</v>
      </c>
      <c r="B588" t="s">
        <v>1550</v>
      </c>
      <c r="C588" t="s">
        <v>4046</v>
      </c>
      <c r="D588" t="s">
        <v>1487</v>
      </c>
      <c r="E588" s="1" t="s">
        <v>4076</v>
      </c>
      <c r="F588" t="s">
        <v>1479</v>
      </c>
      <c r="G588" t="s">
        <v>4046</v>
      </c>
      <c r="H588" t="s">
        <v>1487</v>
      </c>
      <c r="I588" s="1" t="s">
        <v>5087</v>
      </c>
      <c r="J588" t="s">
        <v>4077</v>
      </c>
      <c r="K588">
        <v>1</v>
      </c>
      <c r="L588">
        <v>14</v>
      </c>
      <c r="M588">
        <v>266666</v>
      </c>
      <c r="N588" t="s">
        <v>4185</v>
      </c>
      <c r="O588" s="7" t="s">
        <v>70</v>
      </c>
      <c r="P588">
        <v>37</v>
      </c>
      <c r="Q588" t="s">
        <v>4186</v>
      </c>
      <c r="R588" t="s">
        <v>68</v>
      </c>
      <c r="S588" t="s">
        <v>1463</v>
      </c>
      <c r="V588" s="7"/>
    </row>
    <row r="589" spans="1:22" x14ac:dyDescent="0.3">
      <c r="A589" t="s">
        <v>1551</v>
      </c>
      <c r="B589" t="s">
        <v>1552</v>
      </c>
      <c r="C589" t="s">
        <v>4187</v>
      </c>
      <c r="D589" t="s">
        <v>4188</v>
      </c>
      <c r="E589" s="1" t="s">
        <v>4076</v>
      </c>
      <c r="F589" t="s">
        <v>1479</v>
      </c>
      <c r="G589" t="s">
        <v>4046</v>
      </c>
      <c r="H589" t="s">
        <v>1487</v>
      </c>
      <c r="I589" s="1" t="s">
        <v>5087</v>
      </c>
      <c r="J589" t="s">
        <v>4077</v>
      </c>
      <c r="K589">
        <v>1</v>
      </c>
      <c r="L589">
        <v>9</v>
      </c>
      <c r="M589">
        <v>198405</v>
      </c>
      <c r="N589" t="s">
        <v>4189</v>
      </c>
      <c r="O589" t="s">
        <v>70</v>
      </c>
      <c r="P589">
        <v>38</v>
      </c>
      <c r="Q589" t="s">
        <v>4190</v>
      </c>
      <c r="R589" t="s">
        <v>68</v>
      </c>
      <c r="S589" t="s">
        <v>1463</v>
      </c>
      <c r="V589" s="7"/>
    </row>
    <row r="590" spans="1:22" x14ac:dyDescent="0.3">
      <c r="A590" t="s">
        <v>1553</v>
      </c>
      <c r="B590" t="s">
        <v>1554</v>
      </c>
      <c r="C590" t="s">
        <v>4191</v>
      </c>
      <c r="D590" t="s">
        <v>4192</v>
      </c>
      <c r="E590" s="1" t="s">
        <v>4193</v>
      </c>
      <c r="F590" t="s">
        <v>1554</v>
      </c>
      <c r="G590" t="s">
        <v>4191</v>
      </c>
      <c r="H590" t="s">
        <v>4192</v>
      </c>
      <c r="I590" s="1">
        <v>43255</v>
      </c>
      <c r="J590" t="s">
        <v>4194</v>
      </c>
      <c r="K590">
        <v>1</v>
      </c>
      <c r="L590">
        <v>1</v>
      </c>
      <c r="M590">
        <v>236800</v>
      </c>
      <c r="N590" t="s">
        <v>4195</v>
      </c>
      <c r="O590" t="s">
        <v>70</v>
      </c>
      <c r="P590">
        <v>0</v>
      </c>
      <c r="Q590" t="s">
        <v>4196</v>
      </c>
      <c r="R590" t="s">
        <v>68</v>
      </c>
      <c r="S590" t="s">
        <v>1463</v>
      </c>
      <c r="V590" s="7"/>
    </row>
    <row r="591" spans="1:22" x14ac:dyDescent="0.3">
      <c r="A591" t="s">
        <v>1557</v>
      </c>
      <c r="B591" t="s">
        <v>1558</v>
      </c>
      <c r="C591" t="s">
        <v>4197</v>
      </c>
      <c r="D591" t="s">
        <v>4198</v>
      </c>
      <c r="E591" s="1" t="s">
        <v>4076</v>
      </c>
      <c r="F591" t="s">
        <v>1479</v>
      </c>
      <c r="G591" t="s">
        <v>4046</v>
      </c>
      <c r="H591" t="s">
        <v>1487</v>
      </c>
      <c r="I591" s="1" t="s">
        <v>5087</v>
      </c>
      <c r="J591" t="s">
        <v>4077</v>
      </c>
      <c r="K591">
        <v>1</v>
      </c>
      <c r="L591">
        <v>5</v>
      </c>
      <c r="M591">
        <v>166000</v>
      </c>
      <c r="N591" t="s">
        <v>4199</v>
      </c>
      <c r="O591" s="7" t="s">
        <v>80</v>
      </c>
      <c r="P591">
        <v>40</v>
      </c>
      <c r="Q591" t="s">
        <v>4200</v>
      </c>
      <c r="R591" t="s">
        <v>68</v>
      </c>
      <c r="S591" t="s">
        <v>1463</v>
      </c>
      <c r="V591" s="7"/>
    </row>
    <row r="592" spans="1:22" x14ac:dyDescent="0.3">
      <c r="A592" t="s">
        <v>1560</v>
      </c>
      <c r="B592" t="s">
        <v>1561</v>
      </c>
      <c r="C592" t="s">
        <v>4201</v>
      </c>
      <c r="D592" t="s">
        <v>4202</v>
      </c>
      <c r="E592" s="1" t="s">
        <v>4203</v>
      </c>
      <c r="F592" t="s">
        <v>1561</v>
      </c>
      <c r="G592" t="s">
        <v>4201</v>
      </c>
      <c r="H592" t="s">
        <v>4202</v>
      </c>
      <c r="I592" s="1" t="s">
        <v>82</v>
      </c>
      <c r="J592" t="s">
        <v>4204</v>
      </c>
      <c r="K592">
        <v>1</v>
      </c>
      <c r="L592">
        <v>1</v>
      </c>
      <c r="M592">
        <v>256874</v>
      </c>
      <c r="N592" t="s">
        <v>4205</v>
      </c>
      <c r="O592" s="7" t="s">
        <v>70</v>
      </c>
      <c r="P592">
        <v>40</v>
      </c>
      <c r="Q592" t="s">
        <v>4206</v>
      </c>
      <c r="R592" t="s">
        <v>68</v>
      </c>
      <c r="S592" t="s">
        <v>1463</v>
      </c>
      <c r="V592" s="7"/>
    </row>
    <row r="593" spans="1:22" x14ac:dyDescent="0.3">
      <c r="A593" t="s">
        <v>1563</v>
      </c>
      <c r="B593" t="s">
        <v>1564</v>
      </c>
      <c r="C593" t="s">
        <v>4207</v>
      </c>
      <c r="D593" t="s">
        <v>4208</v>
      </c>
      <c r="E593" s="1" t="s">
        <v>4209</v>
      </c>
      <c r="F593" t="s">
        <v>1564</v>
      </c>
      <c r="G593" t="s">
        <v>4207</v>
      </c>
      <c r="H593" t="s">
        <v>4208</v>
      </c>
      <c r="I593" s="1" t="s">
        <v>5093</v>
      </c>
      <c r="J593" t="s">
        <v>4210</v>
      </c>
      <c r="K593">
        <v>1</v>
      </c>
      <c r="L593">
        <v>1</v>
      </c>
      <c r="M593">
        <v>215625</v>
      </c>
      <c r="N593" t="s">
        <v>4211</v>
      </c>
      <c r="O593" s="7" t="s">
        <v>80</v>
      </c>
      <c r="P593">
        <v>25</v>
      </c>
      <c r="Q593" t="s">
        <v>4212</v>
      </c>
      <c r="R593" t="s">
        <v>68</v>
      </c>
      <c r="S593" t="s">
        <v>1463</v>
      </c>
    </row>
    <row r="594" spans="1:22" x14ac:dyDescent="0.3">
      <c r="A594" t="s">
        <v>1566</v>
      </c>
      <c r="B594" t="s">
        <v>1567</v>
      </c>
      <c r="C594" t="s">
        <v>4213</v>
      </c>
      <c r="D594" t="s">
        <v>4214</v>
      </c>
      <c r="E594" s="1" t="s">
        <v>4076</v>
      </c>
      <c r="F594" t="s">
        <v>1479</v>
      </c>
      <c r="G594" t="s">
        <v>4046</v>
      </c>
      <c r="H594" t="s">
        <v>1487</v>
      </c>
      <c r="I594" s="1" t="s">
        <v>5087</v>
      </c>
      <c r="J594" t="s">
        <v>4077</v>
      </c>
      <c r="K594">
        <v>1</v>
      </c>
      <c r="L594">
        <v>15</v>
      </c>
      <c r="M594">
        <v>252800</v>
      </c>
      <c r="N594" t="s">
        <v>4215</v>
      </c>
      <c r="O594" s="7" t="s">
        <v>70</v>
      </c>
      <c r="P594">
        <v>36</v>
      </c>
      <c r="Q594" t="s">
        <v>4216</v>
      </c>
      <c r="R594" t="s">
        <v>68</v>
      </c>
      <c r="S594" t="s">
        <v>1463</v>
      </c>
      <c r="V594" s="7"/>
    </row>
    <row r="595" spans="1:22" x14ac:dyDescent="0.3">
      <c r="A595" t="s">
        <v>1569</v>
      </c>
      <c r="B595" t="s">
        <v>1570</v>
      </c>
      <c r="C595" t="s">
        <v>4050</v>
      </c>
      <c r="D595" t="s">
        <v>4051</v>
      </c>
      <c r="E595" s="1" t="s">
        <v>4045</v>
      </c>
      <c r="F595" t="s">
        <v>1462</v>
      </c>
      <c r="G595" t="s">
        <v>4046</v>
      </c>
      <c r="H595" t="s">
        <v>1487</v>
      </c>
      <c r="I595" s="1">
        <v>42498</v>
      </c>
      <c r="J595" t="s">
        <v>4047</v>
      </c>
      <c r="K595">
        <v>1</v>
      </c>
      <c r="L595">
        <v>12</v>
      </c>
      <c r="M595">
        <v>222413</v>
      </c>
      <c r="N595" t="s">
        <v>4217</v>
      </c>
      <c r="O595" s="7" t="s">
        <v>70</v>
      </c>
      <c r="P595">
        <v>33</v>
      </c>
      <c r="Q595" t="s">
        <v>4218</v>
      </c>
      <c r="R595" t="s">
        <v>68</v>
      </c>
      <c r="S595" t="s">
        <v>1463</v>
      </c>
      <c r="V595" s="7"/>
    </row>
    <row r="596" spans="1:22" x14ac:dyDescent="0.3">
      <c r="A596" t="s">
        <v>1571</v>
      </c>
      <c r="B596" t="s">
        <v>1572</v>
      </c>
      <c r="C596" t="s">
        <v>4219</v>
      </c>
      <c r="D596" t="s">
        <v>4220</v>
      </c>
      <c r="E596" s="1" t="s">
        <v>4045</v>
      </c>
      <c r="F596" t="s">
        <v>1462</v>
      </c>
      <c r="G596" t="s">
        <v>4046</v>
      </c>
      <c r="H596" t="s">
        <v>1487</v>
      </c>
      <c r="I596" s="1">
        <v>42498</v>
      </c>
      <c r="J596" t="s">
        <v>4047</v>
      </c>
      <c r="K596">
        <v>1</v>
      </c>
      <c r="L596">
        <v>4</v>
      </c>
      <c r="M596">
        <v>206666</v>
      </c>
      <c r="N596" t="s">
        <v>4221</v>
      </c>
      <c r="O596" s="7" t="s">
        <v>70</v>
      </c>
      <c r="P596">
        <v>35</v>
      </c>
      <c r="Q596" t="s">
        <v>4222</v>
      </c>
      <c r="R596" t="s">
        <v>68</v>
      </c>
      <c r="S596" t="s">
        <v>1463</v>
      </c>
      <c r="V596" s="7"/>
    </row>
    <row r="597" spans="1:22" x14ac:dyDescent="0.3">
      <c r="A597" t="s">
        <v>1573</v>
      </c>
      <c r="B597" t="s">
        <v>1574</v>
      </c>
      <c r="C597" t="s">
        <v>4223</v>
      </c>
      <c r="D597" t="s">
        <v>4224</v>
      </c>
      <c r="E597" s="1" t="s">
        <v>4225</v>
      </c>
      <c r="F597" t="s">
        <v>1574</v>
      </c>
      <c r="G597" t="s">
        <v>4223</v>
      </c>
      <c r="H597" t="s">
        <v>4224</v>
      </c>
      <c r="I597" s="1" t="s">
        <v>5094</v>
      </c>
      <c r="J597" t="s">
        <v>4226</v>
      </c>
      <c r="K597">
        <v>1</v>
      </c>
      <c r="L597">
        <v>1</v>
      </c>
      <c r="M597">
        <v>171733</v>
      </c>
      <c r="N597" t="s">
        <v>4227</v>
      </c>
      <c r="O597" s="7" t="s">
        <v>70</v>
      </c>
      <c r="P597">
        <v>37</v>
      </c>
      <c r="Q597" t="s">
        <v>4228</v>
      </c>
      <c r="R597" t="s">
        <v>68</v>
      </c>
      <c r="S597" t="s">
        <v>1463</v>
      </c>
      <c r="V597" s="7"/>
    </row>
    <row r="598" spans="1:22" x14ac:dyDescent="0.3">
      <c r="A598" t="s">
        <v>1576</v>
      </c>
      <c r="B598" t="s">
        <v>1577</v>
      </c>
      <c r="C598" t="s">
        <v>4046</v>
      </c>
      <c r="D598" t="s">
        <v>1487</v>
      </c>
      <c r="E598" s="1" t="s">
        <v>4045</v>
      </c>
      <c r="F598" t="s">
        <v>1462</v>
      </c>
      <c r="G598" t="s">
        <v>4046</v>
      </c>
      <c r="H598" t="s">
        <v>1487</v>
      </c>
      <c r="I598" s="1">
        <v>42498</v>
      </c>
      <c r="J598" t="s">
        <v>4047</v>
      </c>
      <c r="K598">
        <v>1</v>
      </c>
      <c r="L598">
        <v>1</v>
      </c>
      <c r="M598">
        <v>83400</v>
      </c>
      <c r="N598" t="s">
        <v>4229</v>
      </c>
      <c r="O598" s="7" t="s">
        <v>70</v>
      </c>
      <c r="P598">
        <v>30</v>
      </c>
      <c r="Q598" t="s">
        <v>4230</v>
      </c>
      <c r="R598" t="s">
        <v>68</v>
      </c>
      <c r="S598" t="s">
        <v>1463</v>
      </c>
    </row>
    <row r="599" spans="1:22" x14ac:dyDescent="0.3">
      <c r="A599" t="s">
        <v>1578</v>
      </c>
      <c r="B599" t="s">
        <v>1579</v>
      </c>
      <c r="C599" t="s">
        <v>4231</v>
      </c>
      <c r="D599" t="s">
        <v>4232</v>
      </c>
      <c r="E599" s="1" t="s">
        <v>4233</v>
      </c>
      <c r="F599" t="s">
        <v>1579</v>
      </c>
      <c r="G599" t="s">
        <v>4231</v>
      </c>
      <c r="H599" t="s">
        <v>4232</v>
      </c>
      <c r="I599" s="1" t="s">
        <v>5095</v>
      </c>
      <c r="J599" t="s">
        <v>4234</v>
      </c>
      <c r="K599">
        <v>1</v>
      </c>
      <c r="L599">
        <v>1</v>
      </c>
      <c r="M599">
        <v>194777</v>
      </c>
      <c r="N599" t="s">
        <v>4235</v>
      </c>
      <c r="O599" s="7" t="s">
        <v>70</v>
      </c>
      <c r="P599">
        <v>49</v>
      </c>
      <c r="Q599" t="s">
        <v>4236</v>
      </c>
      <c r="R599" t="s">
        <v>68</v>
      </c>
      <c r="S599" t="s">
        <v>1463</v>
      </c>
      <c r="V599" s="7"/>
    </row>
    <row r="600" spans="1:22" x14ac:dyDescent="0.3">
      <c r="A600" t="s">
        <v>1581</v>
      </c>
      <c r="B600" t="s">
        <v>1582</v>
      </c>
      <c r="C600" t="s">
        <v>4237</v>
      </c>
      <c r="D600" t="s">
        <v>4238</v>
      </c>
      <c r="E600" s="1" t="s">
        <v>4045</v>
      </c>
      <c r="F600" t="s">
        <v>1462</v>
      </c>
      <c r="G600" t="s">
        <v>4046</v>
      </c>
      <c r="H600" t="s">
        <v>1487</v>
      </c>
      <c r="I600" s="1">
        <v>42498</v>
      </c>
      <c r="J600" t="s">
        <v>4047</v>
      </c>
      <c r="K600">
        <v>1</v>
      </c>
      <c r="L600">
        <v>9</v>
      </c>
      <c r="M600">
        <v>256320</v>
      </c>
      <c r="N600" t="s">
        <v>4239</v>
      </c>
      <c r="O600" s="7" t="s">
        <v>80</v>
      </c>
      <c r="P600">
        <v>38</v>
      </c>
      <c r="Q600" t="s">
        <v>4240</v>
      </c>
      <c r="R600" t="s">
        <v>68</v>
      </c>
      <c r="S600" t="s">
        <v>1463</v>
      </c>
    </row>
    <row r="601" spans="1:22" x14ac:dyDescent="0.3">
      <c r="A601" t="s">
        <v>1584</v>
      </c>
      <c r="B601" t="s">
        <v>1585</v>
      </c>
      <c r="C601" t="s">
        <v>4207</v>
      </c>
      <c r="D601" t="s">
        <v>4208</v>
      </c>
      <c r="E601" s="1" t="s">
        <v>4241</v>
      </c>
      <c r="F601" t="s">
        <v>1585</v>
      </c>
      <c r="G601" t="s">
        <v>4207</v>
      </c>
      <c r="H601" t="s">
        <v>4208</v>
      </c>
      <c r="I601" s="1">
        <v>44206</v>
      </c>
      <c r="J601" t="s">
        <v>4242</v>
      </c>
      <c r="K601">
        <v>1</v>
      </c>
      <c r="L601">
        <v>1</v>
      </c>
      <c r="M601">
        <v>202380</v>
      </c>
      <c r="N601" t="s">
        <v>4243</v>
      </c>
      <c r="O601" s="7" t="s">
        <v>70</v>
      </c>
      <c r="P601">
        <v>25</v>
      </c>
      <c r="Q601" t="s">
        <v>4244</v>
      </c>
      <c r="R601" t="s">
        <v>68</v>
      </c>
      <c r="S601" t="s">
        <v>1463</v>
      </c>
    </row>
    <row r="602" spans="1:22" x14ac:dyDescent="0.3">
      <c r="A602" t="s">
        <v>1586</v>
      </c>
      <c r="B602" t="s">
        <v>1587</v>
      </c>
      <c r="C602" t="s">
        <v>4245</v>
      </c>
      <c r="D602" t="s">
        <v>4246</v>
      </c>
      <c r="E602" s="1" t="s">
        <v>4076</v>
      </c>
      <c r="F602" t="s">
        <v>1479</v>
      </c>
      <c r="G602" t="s">
        <v>4046</v>
      </c>
      <c r="H602" t="s">
        <v>1487</v>
      </c>
      <c r="I602" s="1" t="s">
        <v>5087</v>
      </c>
      <c r="J602" t="s">
        <v>4077</v>
      </c>
      <c r="K602">
        <v>1</v>
      </c>
      <c r="L602">
        <v>4</v>
      </c>
      <c r="M602">
        <v>214736</v>
      </c>
      <c r="N602" t="s">
        <v>4247</v>
      </c>
      <c r="O602" s="7" t="s">
        <v>70</v>
      </c>
      <c r="P602">
        <v>30</v>
      </c>
      <c r="Q602" t="s">
        <v>4248</v>
      </c>
      <c r="R602" t="s">
        <v>68</v>
      </c>
      <c r="S602" t="s">
        <v>1463</v>
      </c>
      <c r="V602" s="7"/>
    </row>
    <row r="603" spans="1:22" x14ac:dyDescent="0.3">
      <c r="A603" t="s">
        <v>1588</v>
      </c>
      <c r="B603" t="s">
        <v>1589</v>
      </c>
      <c r="C603" t="s">
        <v>4249</v>
      </c>
      <c r="D603" t="s">
        <v>4250</v>
      </c>
      <c r="E603" s="1" t="s">
        <v>4251</v>
      </c>
      <c r="F603" t="s">
        <v>1589</v>
      </c>
      <c r="G603" t="s">
        <v>4249</v>
      </c>
      <c r="H603" t="s">
        <v>4250</v>
      </c>
      <c r="I603" s="1" t="s">
        <v>5096</v>
      </c>
      <c r="J603" t="s">
        <v>4252</v>
      </c>
      <c r="K603">
        <v>1</v>
      </c>
      <c r="L603">
        <v>1</v>
      </c>
      <c r="M603">
        <v>163389</v>
      </c>
      <c r="N603" t="s">
        <v>4253</v>
      </c>
      <c r="O603" s="7" t="s">
        <v>70</v>
      </c>
      <c r="P603">
        <v>1</v>
      </c>
      <c r="Q603" t="s">
        <v>4254</v>
      </c>
      <c r="R603" t="s">
        <v>68</v>
      </c>
      <c r="S603" t="s">
        <v>1463</v>
      </c>
      <c r="V603" s="7"/>
    </row>
    <row r="604" spans="1:22" x14ac:dyDescent="0.3">
      <c r="A604" t="s">
        <v>1592</v>
      </c>
      <c r="B604" t="s">
        <v>1593</v>
      </c>
      <c r="C604" t="s">
        <v>4255</v>
      </c>
      <c r="D604" t="s">
        <v>4256</v>
      </c>
      <c r="E604" s="1" t="s">
        <v>4257</v>
      </c>
      <c r="F604" t="s">
        <v>1593</v>
      </c>
      <c r="G604" t="s">
        <v>4258</v>
      </c>
      <c r="H604" t="s">
        <v>4259</v>
      </c>
      <c r="I604" s="1" t="s">
        <v>5097</v>
      </c>
      <c r="J604" t="s">
        <v>4260</v>
      </c>
      <c r="K604">
        <v>1</v>
      </c>
      <c r="L604">
        <v>1</v>
      </c>
      <c r="M604">
        <v>167058</v>
      </c>
      <c r="N604" t="s">
        <v>4261</v>
      </c>
      <c r="O604" s="7" t="s">
        <v>70</v>
      </c>
      <c r="P604">
        <v>34</v>
      </c>
      <c r="Q604" t="s">
        <v>4262</v>
      </c>
      <c r="R604" t="s">
        <v>68</v>
      </c>
      <c r="S604" t="s">
        <v>1463</v>
      </c>
      <c r="V604" s="7"/>
    </row>
    <row r="605" spans="1:22" x14ac:dyDescent="0.3">
      <c r="A605" t="s">
        <v>1596</v>
      </c>
      <c r="B605" t="s">
        <v>1597</v>
      </c>
      <c r="C605" t="s">
        <v>4263</v>
      </c>
      <c r="D605" t="s">
        <v>4264</v>
      </c>
      <c r="E605" s="1" t="s">
        <v>4076</v>
      </c>
      <c r="F605" t="s">
        <v>1479</v>
      </c>
      <c r="G605" t="s">
        <v>4046</v>
      </c>
      <c r="H605" t="s">
        <v>1487</v>
      </c>
      <c r="I605" s="1" t="s">
        <v>5087</v>
      </c>
      <c r="J605" t="s">
        <v>4077</v>
      </c>
      <c r="K605">
        <v>1</v>
      </c>
      <c r="L605">
        <v>7</v>
      </c>
      <c r="M605">
        <v>248053</v>
      </c>
      <c r="N605" t="s">
        <v>4265</v>
      </c>
      <c r="O605" s="7" t="s">
        <v>80</v>
      </c>
      <c r="P605">
        <v>44</v>
      </c>
      <c r="Q605" t="s">
        <v>4266</v>
      </c>
      <c r="R605" t="s">
        <v>68</v>
      </c>
      <c r="S605" t="s">
        <v>1463</v>
      </c>
      <c r="V605" s="7"/>
    </row>
    <row r="606" spans="1:22" x14ac:dyDescent="0.3">
      <c r="A606" t="s">
        <v>1599</v>
      </c>
      <c r="B606" t="s">
        <v>1600</v>
      </c>
      <c r="C606" t="s">
        <v>4163</v>
      </c>
      <c r="D606" t="s">
        <v>4164</v>
      </c>
      <c r="E606" s="1" t="s">
        <v>4045</v>
      </c>
      <c r="F606" t="s">
        <v>1462</v>
      </c>
      <c r="G606" t="s">
        <v>4046</v>
      </c>
      <c r="H606" t="s">
        <v>1487</v>
      </c>
      <c r="I606" s="1">
        <v>42498</v>
      </c>
      <c r="J606" t="s">
        <v>4047</v>
      </c>
      <c r="K606">
        <v>1</v>
      </c>
      <c r="L606">
        <v>11</v>
      </c>
      <c r="M606">
        <v>213240</v>
      </c>
      <c r="N606" t="s">
        <v>4267</v>
      </c>
      <c r="O606" s="7" t="s">
        <v>80</v>
      </c>
      <c r="P606">
        <v>29</v>
      </c>
      <c r="Q606" t="s">
        <v>4268</v>
      </c>
      <c r="R606" t="s">
        <v>68</v>
      </c>
      <c r="S606" t="s">
        <v>1463</v>
      </c>
      <c r="V606" s="7"/>
    </row>
    <row r="607" spans="1:22" x14ac:dyDescent="0.3">
      <c r="A607" t="s">
        <v>1601</v>
      </c>
      <c r="B607" t="s">
        <v>1602</v>
      </c>
      <c r="C607" t="s">
        <v>4269</v>
      </c>
      <c r="D607" t="s">
        <v>4270</v>
      </c>
      <c r="E607" s="1" t="s">
        <v>4271</v>
      </c>
      <c r="F607" t="s">
        <v>1602</v>
      </c>
      <c r="G607" t="s">
        <v>4269</v>
      </c>
      <c r="H607" t="s">
        <v>4270</v>
      </c>
      <c r="I607" s="1">
        <v>44267</v>
      </c>
      <c r="J607" t="s">
        <v>4272</v>
      </c>
      <c r="K607">
        <v>1</v>
      </c>
      <c r="L607">
        <v>1</v>
      </c>
      <c r="M607">
        <v>211200</v>
      </c>
      <c r="N607" t="s">
        <v>4273</v>
      </c>
      <c r="O607" s="7" t="s">
        <v>70</v>
      </c>
      <c r="P607">
        <v>70</v>
      </c>
      <c r="Q607" t="s">
        <v>4274</v>
      </c>
      <c r="R607" t="s">
        <v>68</v>
      </c>
      <c r="S607" t="s">
        <v>1463</v>
      </c>
      <c r="V607" s="7"/>
    </row>
    <row r="608" spans="1:22" x14ac:dyDescent="0.3">
      <c r="A608" t="s">
        <v>1604</v>
      </c>
      <c r="B608" t="s">
        <v>1605</v>
      </c>
      <c r="C608" t="s">
        <v>4275</v>
      </c>
      <c r="D608" t="s">
        <v>4276</v>
      </c>
      <c r="E608" s="1" t="s">
        <v>4277</v>
      </c>
      <c r="F608" t="s">
        <v>1605</v>
      </c>
      <c r="G608" t="s">
        <v>4275</v>
      </c>
      <c r="H608" t="s">
        <v>4276</v>
      </c>
      <c r="I608" s="1">
        <v>44084</v>
      </c>
      <c r="J608" t="s">
        <v>4278</v>
      </c>
      <c r="K608">
        <v>1</v>
      </c>
      <c r="L608">
        <v>1</v>
      </c>
      <c r="M608">
        <v>186666</v>
      </c>
      <c r="N608" t="s">
        <v>4279</v>
      </c>
      <c r="O608" s="7" t="s">
        <v>80</v>
      </c>
      <c r="P608">
        <v>38</v>
      </c>
      <c r="Q608" t="s">
        <v>4280</v>
      </c>
      <c r="R608" t="s">
        <v>68</v>
      </c>
      <c r="S608" t="s">
        <v>1463</v>
      </c>
      <c r="V608" s="7"/>
    </row>
    <row r="609" spans="1:22" x14ac:dyDescent="0.3">
      <c r="A609" t="s">
        <v>1608</v>
      </c>
      <c r="B609" t="s">
        <v>1609</v>
      </c>
      <c r="C609" t="s">
        <v>4281</v>
      </c>
      <c r="D609" t="s">
        <v>4282</v>
      </c>
      <c r="E609" s="1" t="s">
        <v>4283</v>
      </c>
      <c r="F609" t="s">
        <v>1610</v>
      </c>
      <c r="G609" t="s">
        <v>4284</v>
      </c>
      <c r="H609" t="s">
        <v>4285</v>
      </c>
      <c r="I609" s="1" t="s">
        <v>5098</v>
      </c>
      <c r="J609" t="s">
        <v>4286</v>
      </c>
      <c r="K609">
        <v>1</v>
      </c>
      <c r="L609">
        <v>4</v>
      </c>
      <c r="M609">
        <v>249600</v>
      </c>
      <c r="N609" t="s">
        <v>4287</v>
      </c>
      <c r="O609" s="7" t="s">
        <v>70</v>
      </c>
      <c r="P609">
        <v>45</v>
      </c>
      <c r="Q609" t="s">
        <v>4288</v>
      </c>
      <c r="R609" t="s">
        <v>68</v>
      </c>
      <c r="S609" t="s">
        <v>1463</v>
      </c>
      <c r="V609" s="7"/>
    </row>
    <row r="610" spans="1:22" x14ac:dyDescent="0.3">
      <c r="A610" t="s">
        <v>1611</v>
      </c>
      <c r="B610" t="s">
        <v>1612</v>
      </c>
      <c r="C610" t="s">
        <v>4289</v>
      </c>
      <c r="D610" t="s">
        <v>4290</v>
      </c>
      <c r="E610" s="1" t="s">
        <v>4076</v>
      </c>
      <c r="F610" t="s">
        <v>1479</v>
      </c>
      <c r="G610" t="s">
        <v>4046</v>
      </c>
      <c r="H610" t="s">
        <v>1487</v>
      </c>
      <c r="I610" s="1" t="s">
        <v>5087</v>
      </c>
      <c r="J610" t="s">
        <v>4077</v>
      </c>
      <c r="K610">
        <v>1</v>
      </c>
      <c r="L610">
        <v>8</v>
      </c>
      <c r="M610">
        <v>198303</v>
      </c>
      <c r="N610" t="s">
        <v>4291</v>
      </c>
      <c r="O610" s="7" t="s">
        <v>80</v>
      </c>
      <c r="P610">
        <v>33</v>
      </c>
      <c r="Q610" t="s">
        <v>4292</v>
      </c>
      <c r="R610" t="s">
        <v>68</v>
      </c>
      <c r="S610" t="s">
        <v>1463</v>
      </c>
      <c r="V610" s="7"/>
    </row>
    <row r="611" spans="1:22" x14ac:dyDescent="0.3">
      <c r="A611" t="s">
        <v>1614</v>
      </c>
      <c r="B611" t="s">
        <v>1615</v>
      </c>
      <c r="C611" t="s">
        <v>4293</v>
      </c>
      <c r="D611" t="s">
        <v>4294</v>
      </c>
      <c r="E611" s="1" t="s">
        <v>4295</v>
      </c>
      <c r="F611" t="s">
        <v>1615</v>
      </c>
      <c r="G611" t="s">
        <v>4293</v>
      </c>
      <c r="H611" t="s">
        <v>4294</v>
      </c>
      <c r="I611" s="1">
        <v>43441</v>
      </c>
      <c r="J611" t="s">
        <v>4296</v>
      </c>
      <c r="K611">
        <v>1</v>
      </c>
      <c r="L611">
        <v>1</v>
      </c>
      <c r="M611">
        <v>197288</v>
      </c>
      <c r="N611" t="s">
        <v>4297</v>
      </c>
      <c r="O611" s="7" t="s">
        <v>70</v>
      </c>
      <c r="P611">
        <v>34</v>
      </c>
      <c r="Q611" t="s">
        <v>4298</v>
      </c>
      <c r="R611" t="s">
        <v>68</v>
      </c>
      <c r="S611" t="s">
        <v>1463</v>
      </c>
      <c r="V611" s="7"/>
    </row>
    <row r="612" spans="1:22" x14ac:dyDescent="0.3">
      <c r="A612" t="s">
        <v>1617</v>
      </c>
      <c r="B612" t="s">
        <v>1618</v>
      </c>
      <c r="C612" t="s">
        <v>4299</v>
      </c>
      <c r="D612" t="s">
        <v>4300</v>
      </c>
      <c r="E612" s="1" t="s">
        <v>4301</v>
      </c>
      <c r="F612" t="s">
        <v>1619</v>
      </c>
      <c r="G612" t="s">
        <v>4302</v>
      </c>
      <c r="H612" t="s">
        <v>4303</v>
      </c>
      <c r="I612" s="1" t="s">
        <v>4988</v>
      </c>
      <c r="J612" t="s">
        <v>4304</v>
      </c>
      <c r="K612">
        <v>1</v>
      </c>
      <c r="L612">
        <v>1</v>
      </c>
      <c r="M612">
        <v>222400</v>
      </c>
      <c r="N612" t="s">
        <v>4305</v>
      </c>
      <c r="O612" t="s">
        <v>70</v>
      </c>
      <c r="P612">
        <v>31</v>
      </c>
      <c r="Q612" t="s">
        <v>4306</v>
      </c>
      <c r="R612" t="s">
        <v>68</v>
      </c>
      <c r="S612" t="s">
        <v>1463</v>
      </c>
      <c r="V612" s="7"/>
    </row>
    <row r="613" spans="1:22" x14ac:dyDescent="0.3">
      <c r="A613" t="s">
        <v>1621</v>
      </c>
      <c r="B613" t="s">
        <v>1622</v>
      </c>
      <c r="C613" t="s">
        <v>4307</v>
      </c>
      <c r="D613" t="s">
        <v>4308</v>
      </c>
      <c r="E613" s="1" t="s">
        <v>4309</v>
      </c>
      <c r="F613" t="s">
        <v>1623</v>
      </c>
      <c r="G613" t="s">
        <v>4307</v>
      </c>
      <c r="H613" t="s">
        <v>4308</v>
      </c>
      <c r="I613" s="1">
        <v>44777</v>
      </c>
      <c r="J613" t="s">
        <v>4310</v>
      </c>
      <c r="K613">
        <v>1</v>
      </c>
      <c r="L613">
        <v>1</v>
      </c>
      <c r="M613">
        <v>156800</v>
      </c>
      <c r="N613" t="s">
        <v>4311</v>
      </c>
      <c r="O613" s="7" t="s">
        <v>80</v>
      </c>
      <c r="P613">
        <v>24</v>
      </c>
      <c r="Q613" t="s">
        <v>4312</v>
      </c>
      <c r="R613" t="s">
        <v>68</v>
      </c>
      <c r="S613" t="s">
        <v>1463</v>
      </c>
      <c r="V613" s="7"/>
    </row>
    <row r="614" spans="1:22" x14ac:dyDescent="0.3">
      <c r="A614" t="s">
        <v>1626</v>
      </c>
      <c r="B614" t="s">
        <v>1627</v>
      </c>
      <c r="C614" t="s">
        <v>4213</v>
      </c>
      <c r="D614" t="s">
        <v>4214</v>
      </c>
      <c r="E614" s="1" t="s">
        <v>4313</v>
      </c>
      <c r="F614" t="s">
        <v>1627</v>
      </c>
      <c r="G614" t="s">
        <v>4213</v>
      </c>
      <c r="H614" t="s">
        <v>4214</v>
      </c>
      <c r="I614" s="1" t="s">
        <v>5099</v>
      </c>
      <c r="J614" t="s">
        <v>4314</v>
      </c>
      <c r="K614">
        <v>1</v>
      </c>
      <c r="L614">
        <v>1</v>
      </c>
      <c r="M614">
        <v>252800</v>
      </c>
      <c r="N614" t="s">
        <v>4215</v>
      </c>
      <c r="O614" s="7" t="s">
        <v>70</v>
      </c>
      <c r="P614">
        <v>0</v>
      </c>
      <c r="Q614" t="s">
        <v>4216</v>
      </c>
      <c r="R614" t="s">
        <v>68</v>
      </c>
      <c r="S614" t="s">
        <v>1463</v>
      </c>
      <c r="V614" s="7"/>
    </row>
    <row r="615" spans="1:22" x14ac:dyDescent="0.3">
      <c r="A615" t="s">
        <v>1628</v>
      </c>
      <c r="B615" t="s">
        <v>1629</v>
      </c>
      <c r="C615" t="s">
        <v>4074</v>
      </c>
      <c r="D615" t="s">
        <v>4075</v>
      </c>
      <c r="E615" s="1" t="s">
        <v>4315</v>
      </c>
      <c r="F615" t="s">
        <v>1629</v>
      </c>
      <c r="G615" t="s">
        <v>4074</v>
      </c>
      <c r="H615" t="s">
        <v>4075</v>
      </c>
      <c r="I615" s="1" t="s">
        <v>5100</v>
      </c>
      <c r="J615" t="s">
        <v>4316</v>
      </c>
      <c r="K615">
        <v>1</v>
      </c>
      <c r="L615">
        <v>1</v>
      </c>
      <c r="M615">
        <v>185194</v>
      </c>
      <c r="N615" t="s">
        <v>4078</v>
      </c>
      <c r="O615" t="s">
        <v>70</v>
      </c>
      <c r="P615">
        <v>1</v>
      </c>
      <c r="Q615" t="s">
        <v>4079</v>
      </c>
      <c r="R615" t="s">
        <v>68</v>
      </c>
      <c r="S615" t="s">
        <v>1463</v>
      </c>
      <c r="V615" s="7"/>
    </row>
    <row r="616" spans="1:22" x14ac:dyDescent="0.3">
      <c r="A616" t="s">
        <v>1631</v>
      </c>
      <c r="B616" t="s">
        <v>1632</v>
      </c>
      <c r="C616" t="s">
        <v>4317</v>
      </c>
      <c r="D616" t="s">
        <v>1633</v>
      </c>
      <c r="E616" s="1" t="s">
        <v>4318</v>
      </c>
      <c r="F616" t="s">
        <v>1632</v>
      </c>
      <c r="G616" t="s">
        <v>4317</v>
      </c>
      <c r="H616" t="s">
        <v>1633</v>
      </c>
      <c r="I616" s="1">
        <v>45515</v>
      </c>
      <c r="J616" t="s">
        <v>4319</v>
      </c>
      <c r="K616">
        <v>1</v>
      </c>
      <c r="L616">
        <v>1</v>
      </c>
      <c r="M616">
        <v>218346</v>
      </c>
      <c r="N616" t="s">
        <v>4320</v>
      </c>
      <c r="O616" s="7" t="s">
        <v>70</v>
      </c>
      <c r="P616">
        <v>27</v>
      </c>
      <c r="Q616" t="s">
        <v>4321</v>
      </c>
      <c r="R616" t="s">
        <v>68</v>
      </c>
      <c r="S616" t="s">
        <v>1463</v>
      </c>
      <c r="V616" s="7"/>
    </row>
    <row r="617" spans="1:22" x14ac:dyDescent="0.3">
      <c r="A617" t="s">
        <v>1635</v>
      </c>
      <c r="B617" t="s">
        <v>1636</v>
      </c>
      <c r="C617" t="s">
        <v>4317</v>
      </c>
      <c r="D617" t="s">
        <v>1633</v>
      </c>
      <c r="E617" s="1" t="s">
        <v>4322</v>
      </c>
      <c r="F617" t="s">
        <v>1636</v>
      </c>
      <c r="G617" t="s">
        <v>4317</v>
      </c>
      <c r="H617" t="s">
        <v>1633</v>
      </c>
      <c r="I617" s="1" t="s">
        <v>5101</v>
      </c>
      <c r="J617" t="s">
        <v>4323</v>
      </c>
      <c r="K617">
        <v>1</v>
      </c>
      <c r="L617">
        <v>1</v>
      </c>
      <c r="M617">
        <v>215548</v>
      </c>
      <c r="N617" t="s">
        <v>4324</v>
      </c>
      <c r="O617" s="7" t="s">
        <v>70</v>
      </c>
      <c r="P617">
        <v>29</v>
      </c>
      <c r="Q617" t="s">
        <v>4325</v>
      </c>
      <c r="R617" t="s">
        <v>68</v>
      </c>
      <c r="S617" t="s">
        <v>1463</v>
      </c>
      <c r="V617" s="7"/>
    </row>
    <row r="618" spans="1:22" x14ac:dyDescent="0.3">
      <c r="A618" t="s">
        <v>1637</v>
      </c>
      <c r="B618" t="s">
        <v>1638</v>
      </c>
      <c r="C618" t="s">
        <v>4326</v>
      </c>
      <c r="D618" t="s">
        <v>4327</v>
      </c>
      <c r="E618" s="1" t="s">
        <v>4328</v>
      </c>
      <c r="F618" t="s">
        <v>1638</v>
      </c>
      <c r="G618" t="s">
        <v>4317</v>
      </c>
      <c r="H618" t="s">
        <v>1633</v>
      </c>
      <c r="I618" s="1" t="s">
        <v>5102</v>
      </c>
      <c r="J618" t="s">
        <v>4329</v>
      </c>
      <c r="K618">
        <v>1</v>
      </c>
      <c r="L618">
        <v>1</v>
      </c>
      <c r="M618">
        <v>229073</v>
      </c>
      <c r="N618" t="s">
        <v>4330</v>
      </c>
      <c r="O618" s="7" t="s">
        <v>70</v>
      </c>
      <c r="P618">
        <v>36</v>
      </c>
      <c r="Q618" t="s">
        <v>4331</v>
      </c>
      <c r="R618" t="s">
        <v>68</v>
      </c>
      <c r="S618" t="s">
        <v>1463</v>
      </c>
      <c r="V618" s="7"/>
    </row>
    <row r="619" spans="1:22" x14ac:dyDescent="0.3">
      <c r="A619" t="s">
        <v>1639</v>
      </c>
      <c r="B619" t="s">
        <v>1640</v>
      </c>
      <c r="C619" t="s">
        <v>4317</v>
      </c>
      <c r="D619" t="s">
        <v>1633</v>
      </c>
      <c r="E619" s="1" t="s">
        <v>4332</v>
      </c>
      <c r="F619" t="s">
        <v>1640</v>
      </c>
      <c r="G619" t="s">
        <v>4317</v>
      </c>
      <c r="H619" t="s">
        <v>1633</v>
      </c>
      <c r="I619" s="1">
        <v>45630</v>
      </c>
      <c r="J619" t="s">
        <v>4333</v>
      </c>
      <c r="K619">
        <v>1</v>
      </c>
      <c r="L619">
        <v>1</v>
      </c>
      <c r="M619">
        <v>254720</v>
      </c>
      <c r="N619" t="s">
        <v>4334</v>
      </c>
      <c r="O619" t="s">
        <v>70</v>
      </c>
      <c r="P619">
        <v>24</v>
      </c>
      <c r="Q619" t="s">
        <v>4335</v>
      </c>
      <c r="R619" t="s">
        <v>68</v>
      </c>
      <c r="S619" t="s">
        <v>1463</v>
      </c>
      <c r="V619" s="7"/>
    </row>
    <row r="620" spans="1:22" x14ac:dyDescent="0.3">
      <c r="A620" t="s">
        <v>1641</v>
      </c>
      <c r="B620" t="s">
        <v>1642</v>
      </c>
      <c r="C620" t="s">
        <v>4317</v>
      </c>
      <c r="D620" t="s">
        <v>1633</v>
      </c>
      <c r="E620" s="1" t="s">
        <v>4336</v>
      </c>
      <c r="F620" t="s">
        <v>1642</v>
      </c>
      <c r="G620" t="s">
        <v>4317</v>
      </c>
      <c r="H620" t="s">
        <v>1633</v>
      </c>
      <c r="I620" s="1">
        <v>45087</v>
      </c>
      <c r="J620" t="s">
        <v>4337</v>
      </c>
      <c r="K620">
        <v>1</v>
      </c>
      <c r="L620">
        <v>1</v>
      </c>
      <c r="M620">
        <v>193653</v>
      </c>
      <c r="N620" t="s">
        <v>4338</v>
      </c>
      <c r="O620" t="s">
        <v>70</v>
      </c>
      <c r="P620">
        <v>29</v>
      </c>
      <c r="Q620" t="s">
        <v>4339</v>
      </c>
      <c r="R620" t="s">
        <v>68</v>
      </c>
      <c r="S620" t="s">
        <v>1463</v>
      </c>
      <c r="V620" s="7"/>
    </row>
    <row r="621" spans="1:22" x14ac:dyDescent="0.3">
      <c r="A621" t="s">
        <v>1643</v>
      </c>
      <c r="B621" t="s">
        <v>1644</v>
      </c>
      <c r="C621" t="s">
        <v>4317</v>
      </c>
      <c r="D621" t="s">
        <v>1633</v>
      </c>
      <c r="E621" s="1" t="s">
        <v>4340</v>
      </c>
      <c r="F621" t="s">
        <v>1644</v>
      </c>
      <c r="G621" t="s">
        <v>4317</v>
      </c>
      <c r="H621" t="s">
        <v>1633</v>
      </c>
      <c r="I621" s="1" t="s">
        <v>5012</v>
      </c>
      <c r="J621" t="s">
        <v>4341</v>
      </c>
      <c r="K621">
        <v>1</v>
      </c>
      <c r="L621">
        <v>1</v>
      </c>
      <c r="M621">
        <v>191296</v>
      </c>
      <c r="N621" t="s">
        <v>4342</v>
      </c>
      <c r="O621" s="7" t="s">
        <v>70</v>
      </c>
      <c r="P621">
        <v>26</v>
      </c>
      <c r="Q621" t="s">
        <v>4343</v>
      </c>
      <c r="R621" t="s">
        <v>68</v>
      </c>
      <c r="S621" t="s">
        <v>1463</v>
      </c>
      <c r="V621" s="7"/>
    </row>
    <row r="622" spans="1:22" x14ac:dyDescent="0.3">
      <c r="A622" t="s">
        <v>1645</v>
      </c>
      <c r="B622" t="s">
        <v>1646</v>
      </c>
      <c r="C622" t="s">
        <v>4317</v>
      </c>
      <c r="D622" t="s">
        <v>1633</v>
      </c>
      <c r="E622" s="1" t="s">
        <v>4344</v>
      </c>
      <c r="F622" t="s">
        <v>1646</v>
      </c>
      <c r="G622" t="s">
        <v>4317</v>
      </c>
      <c r="H622" t="s">
        <v>1633</v>
      </c>
      <c r="I622" s="1" t="s">
        <v>5049</v>
      </c>
      <c r="J622" t="s">
        <v>4345</v>
      </c>
      <c r="K622">
        <v>1</v>
      </c>
      <c r="L622">
        <v>1</v>
      </c>
      <c r="M622">
        <v>208486</v>
      </c>
      <c r="N622" t="s">
        <v>4346</v>
      </c>
      <c r="O622" s="7" t="s">
        <v>70</v>
      </c>
      <c r="P622">
        <v>32</v>
      </c>
      <c r="Q622" t="s">
        <v>4347</v>
      </c>
      <c r="R622" t="s">
        <v>68</v>
      </c>
      <c r="S622" t="s">
        <v>1463</v>
      </c>
      <c r="V622" s="7"/>
    </row>
    <row r="623" spans="1:22" x14ac:dyDescent="0.3">
      <c r="A623" t="s">
        <v>1647</v>
      </c>
      <c r="B623" t="s">
        <v>1648</v>
      </c>
      <c r="C623" t="s">
        <v>4348</v>
      </c>
      <c r="D623" t="s">
        <v>1649</v>
      </c>
      <c r="E623" t="s">
        <v>4349</v>
      </c>
      <c r="F623" t="s">
        <v>1648</v>
      </c>
      <c r="G623" t="s">
        <v>4348</v>
      </c>
      <c r="H623" t="s">
        <v>1649</v>
      </c>
      <c r="I623" s="1">
        <v>1865</v>
      </c>
      <c r="J623" t="s">
        <v>4350</v>
      </c>
      <c r="K623">
        <v>1</v>
      </c>
      <c r="L623">
        <v>1</v>
      </c>
      <c r="M623">
        <v>258413</v>
      </c>
      <c r="N623" t="s">
        <v>4351</v>
      </c>
      <c r="O623" s="7" t="s">
        <v>70</v>
      </c>
      <c r="P623">
        <v>0</v>
      </c>
      <c r="Q623" t="s">
        <v>4352</v>
      </c>
      <c r="R623" t="s">
        <v>68</v>
      </c>
      <c r="S623" t="s">
        <v>1650</v>
      </c>
      <c r="V623" s="7"/>
    </row>
    <row r="624" spans="1:22" x14ac:dyDescent="0.3">
      <c r="A624" t="s">
        <v>1653</v>
      </c>
      <c r="B624" t="s">
        <v>1654</v>
      </c>
      <c r="C624" t="s">
        <v>4348</v>
      </c>
      <c r="D624" t="s">
        <v>1649</v>
      </c>
      <c r="E624" s="1" t="s">
        <v>4353</v>
      </c>
      <c r="F624" t="s">
        <v>1655</v>
      </c>
      <c r="G624" t="s">
        <v>4348</v>
      </c>
      <c r="H624" t="s">
        <v>1649</v>
      </c>
      <c r="I624" s="1">
        <v>41275</v>
      </c>
      <c r="J624" t="s">
        <v>4354</v>
      </c>
      <c r="K624">
        <v>1</v>
      </c>
      <c r="L624">
        <v>12</v>
      </c>
      <c r="M624">
        <v>224386</v>
      </c>
      <c r="N624" t="s">
        <v>4355</v>
      </c>
      <c r="O624" s="7" t="s">
        <v>70</v>
      </c>
      <c r="P624">
        <v>49</v>
      </c>
      <c r="Q624" t="s">
        <v>4356</v>
      </c>
      <c r="R624" t="s">
        <v>68</v>
      </c>
      <c r="S624" t="s">
        <v>1650</v>
      </c>
    </row>
    <row r="625" spans="1:22" x14ac:dyDescent="0.3">
      <c r="A625" t="s">
        <v>1657</v>
      </c>
      <c r="B625" t="s">
        <v>1658</v>
      </c>
      <c r="C625" t="s">
        <v>4348</v>
      </c>
      <c r="D625" t="s">
        <v>1649</v>
      </c>
      <c r="E625" s="1" t="s">
        <v>4353</v>
      </c>
      <c r="F625" t="s">
        <v>1655</v>
      </c>
      <c r="G625" t="s">
        <v>4348</v>
      </c>
      <c r="H625" t="s">
        <v>1649</v>
      </c>
      <c r="I625" s="1">
        <v>41275</v>
      </c>
      <c r="J625" t="s">
        <v>4354</v>
      </c>
      <c r="K625">
        <v>1</v>
      </c>
      <c r="L625">
        <v>4</v>
      </c>
      <c r="M625">
        <v>289773</v>
      </c>
      <c r="N625" t="s">
        <v>4357</v>
      </c>
      <c r="O625" t="s">
        <v>70</v>
      </c>
      <c r="P625">
        <v>41</v>
      </c>
      <c r="Q625" t="s">
        <v>4358</v>
      </c>
      <c r="R625" t="s">
        <v>68</v>
      </c>
      <c r="S625" t="s">
        <v>1650</v>
      </c>
      <c r="V625" s="7"/>
    </row>
    <row r="626" spans="1:22" x14ac:dyDescent="0.3">
      <c r="A626" t="s">
        <v>1659</v>
      </c>
      <c r="B626" t="s">
        <v>1660</v>
      </c>
      <c r="C626" t="s">
        <v>4348</v>
      </c>
      <c r="D626" t="s">
        <v>1649</v>
      </c>
      <c r="E626" s="1" t="s">
        <v>4353</v>
      </c>
      <c r="F626" t="s">
        <v>1655</v>
      </c>
      <c r="G626" t="s">
        <v>4348</v>
      </c>
      <c r="H626" t="s">
        <v>1649</v>
      </c>
      <c r="I626" s="1">
        <v>41275</v>
      </c>
      <c r="J626" t="s">
        <v>4354</v>
      </c>
      <c r="K626">
        <v>1</v>
      </c>
      <c r="L626">
        <v>3</v>
      </c>
      <c r="M626">
        <v>205426</v>
      </c>
      <c r="N626" t="s">
        <v>4359</v>
      </c>
      <c r="O626" s="7" t="s">
        <v>70</v>
      </c>
      <c r="P626">
        <v>39</v>
      </c>
      <c r="Q626" t="s">
        <v>4360</v>
      </c>
      <c r="R626" t="s">
        <v>68</v>
      </c>
      <c r="S626" t="s">
        <v>1650</v>
      </c>
      <c r="V626" s="7"/>
    </row>
    <row r="627" spans="1:22" x14ac:dyDescent="0.3">
      <c r="A627" t="s">
        <v>1661</v>
      </c>
      <c r="B627" t="s">
        <v>1662</v>
      </c>
      <c r="C627" t="s">
        <v>4348</v>
      </c>
      <c r="D627" t="s">
        <v>1649</v>
      </c>
      <c r="E627" s="1" t="s">
        <v>4353</v>
      </c>
      <c r="F627" t="s">
        <v>1655</v>
      </c>
      <c r="G627" t="s">
        <v>4348</v>
      </c>
      <c r="H627" t="s">
        <v>1649</v>
      </c>
      <c r="I627" s="1">
        <v>41275</v>
      </c>
      <c r="J627" t="s">
        <v>4354</v>
      </c>
      <c r="K627">
        <v>1</v>
      </c>
      <c r="L627">
        <v>7</v>
      </c>
      <c r="M627">
        <v>217720</v>
      </c>
      <c r="N627" t="s">
        <v>4361</v>
      </c>
      <c r="O627" s="7" t="s">
        <v>70</v>
      </c>
      <c r="P627">
        <v>33</v>
      </c>
      <c r="Q627" t="s">
        <v>4362</v>
      </c>
      <c r="R627" t="s">
        <v>68</v>
      </c>
      <c r="S627" t="s">
        <v>1650</v>
      </c>
      <c r="V627" s="7"/>
    </row>
    <row r="628" spans="1:22" x14ac:dyDescent="0.3">
      <c r="A628" t="s">
        <v>1663</v>
      </c>
      <c r="B628" t="s">
        <v>1664</v>
      </c>
      <c r="C628" t="s">
        <v>4348</v>
      </c>
      <c r="D628" t="s">
        <v>1649</v>
      </c>
      <c r="E628" s="1" t="s">
        <v>4353</v>
      </c>
      <c r="F628" t="s">
        <v>1655</v>
      </c>
      <c r="G628" t="s">
        <v>4348</v>
      </c>
      <c r="H628" t="s">
        <v>1649</v>
      </c>
      <c r="I628" s="1">
        <v>41275</v>
      </c>
      <c r="J628" t="s">
        <v>4354</v>
      </c>
      <c r="K628">
        <v>1</v>
      </c>
      <c r="L628">
        <v>5</v>
      </c>
      <c r="M628">
        <v>175653</v>
      </c>
      <c r="N628" t="s">
        <v>4363</v>
      </c>
      <c r="O628" s="7" t="s">
        <v>70</v>
      </c>
      <c r="P628">
        <v>40</v>
      </c>
      <c r="Q628" t="s">
        <v>4364</v>
      </c>
      <c r="R628" t="s">
        <v>68</v>
      </c>
      <c r="S628" t="s">
        <v>1650</v>
      </c>
      <c r="V628" s="7"/>
    </row>
    <row r="629" spans="1:22" x14ac:dyDescent="0.3">
      <c r="A629" t="s">
        <v>1665</v>
      </c>
      <c r="B629" t="s">
        <v>1666</v>
      </c>
      <c r="C629" t="s">
        <v>4348</v>
      </c>
      <c r="D629" t="s">
        <v>1649</v>
      </c>
      <c r="E629" s="1" t="s">
        <v>4353</v>
      </c>
      <c r="F629" t="s">
        <v>1655</v>
      </c>
      <c r="G629" t="s">
        <v>4348</v>
      </c>
      <c r="H629" t="s">
        <v>1649</v>
      </c>
      <c r="I629" s="1">
        <v>41275</v>
      </c>
      <c r="J629" t="s">
        <v>4354</v>
      </c>
      <c r="K629">
        <v>1</v>
      </c>
      <c r="L629">
        <v>11</v>
      </c>
      <c r="M629">
        <v>184706</v>
      </c>
      <c r="N629" t="s">
        <v>4365</v>
      </c>
      <c r="O629" s="7" t="s">
        <v>70</v>
      </c>
      <c r="P629">
        <v>37</v>
      </c>
      <c r="Q629" t="s">
        <v>4366</v>
      </c>
      <c r="R629" t="s">
        <v>68</v>
      </c>
      <c r="S629" t="s">
        <v>1650</v>
      </c>
    </row>
    <row r="630" spans="1:22" x14ac:dyDescent="0.3">
      <c r="A630" t="s">
        <v>1667</v>
      </c>
      <c r="B630" t="s">
        <v>1668</v>
      </c>
      <c r="C630" t="s">
        <v>4348</v>
      </c>
      <c r="D630" t="s">
        <v>1649</v>
      </c>
      <c r="E630" s="1" t="s">
        <v>4353</v>
      </c>
      <c r="F630" t="s">
        <v>1655</v>
      </c>
      <c r="G630" t="s">
        <v>4348</v>
      </c>
      <c r="H630" t="s">
        <v>1649</v>
      </c>
      <c r="I630" s="1">
        <v>41275</v>
      </c>
      <c r="J630" t="s">
        <v>4354</v>
      </c>
      <c r="K630">
        <v>1</v>
      </c>
      <c r="L630">
        <v>13</v>
      </c>
      <c r="M630">
        <v>179133</v>
      </c>
      <c r="N630" t="s">
        <v>4367</v>
      </c>
      <c r="O630" s="7" t="s">
        <v>70</v>
      </c>
      <c r="P630">
        <v>27</v>
      </c>
      <c r="Q630" t="s">
        <v>4368</v>
      </c>
      <c r="R630" t="s">
        <v>68</v>
      </c>
      <c r="S630" t="s">
        <v>1650</v>
      </c>
      <c r="V630" s="7"/>
    </row>
    <row r="631" spans="1:22" x14ac:dyDescent="0.3">
      <c r="A631" t="s">
        <v>1669</v>
      </c>
      <c r="B631" t="s">
        <v>1670</v>
      </c>
      <c r="C631" t="s">
        <v>4348</v>
      </c>
      <c r="D631" t="s">
        <v>1649</v>
      </c>
      <c r="E631" t="s">
        <v>4349</v>
      </c>
      <c r="F631" t="s">
        <v>1648</v>
      </c>
      <c r="G631" t="s">
        <v>4348</v>
      </c>
      <c r="H631" t="s">
        <v>1649</v>
      </c>
      <c r="I631" s="1">
        <v>1865</v>
      </c>
      <c r="J631" t="s">
        <v>4350</v>
      </c>
      <c r="K631">
        <v>1</v>
      </c>
      <c r="L631">
        <v>2</v>
      </c>
      <c r="M631">
        <v>344266</v>
      </c>
      <c r="N631" t="s">
        <v>4369</v>
      </c>
      <c r="O631" s="7" t="s">
        <v>70</v>
      </c>
      <c r="P631">
        <v>0</v>
      </c>
      <c r="Q631" t="s">
        <v>4370</v>
      </c>
      <c r="R631" t="s">
        <v>68</v>
      </c>
      <c r="S631" t="s">
        <v>1650</v>
      </c>
      <c r="V631" s="7"/>
    </row>
    <row r="632" spans="1:22" x14ac:dyDescent="0.3">
      <c r="A632" t="s">
        <v>1671</v>
      </c>
      <c r="B632" t="s">
        <v>1672</v>
      </c>
      <c r="C632" t="s">
        <v>4371</v>
      </c>
      <c r="D632" t="s">
        <v>1674</v>
      </c>
      <c r="E632" s="1" t="s">
        <v>4372</v>
      </c>
      <c r="F632" t="s">
        <v>1673</v>
      </c>
      <c r="G632" t="s">
        <v>4371</v>
      </c>
      <c r="H632" t="s">
        <v>1674</v>
      </c>
      <c r="I632" s="1" t="s">
        <v>5103</v>
      </c>
      <c r="J632" t="s">
        <v>4373</v>
      </c>
      <c r="K632">
        <v>1</v>
      </c>
      <c r="L632">
        <v>1</v>
      </c>
      <c r="M632">
        <v>222407</v>
      </c>
      <c r="N632" t="s">
        <v>4374</v>
      </c>
      <c r="O632" t="s">
        <v>70</v>
      </c>
      <c r="P632">
        <v>52</v>
      </c>
      <c r="Q632" t="s">
        <v>4375</v>
      </c>
      <c r="R632" t="s">
        <v>68</v>
      </c>
      <c r="S632" t="s">
        <v>1675</v>
      </c>
      <c r="V632" s="7"/>
    </row>
    <row r="633" spans="1:22" x14ac:dyDescent="0.3">
      <c r="A633" t="s">
        <v>1677</v>
      </c>
      <c r="B633" t="s">
        <v>1678</v>
      </c>
      <c r="C633" t="s">
        <v>4371</v>
      </c>
      <c r="D633" t="s">
        <v>1674</v>
      </c>
      <c r="E633" t="s">
        <v>4376</v>
      </c>
      <c r="F633" t="s">
        <v>1679</v>
      </c>
      <c r="G633" t="s">
        <v>4371</v>
      </c>
      <c r="H633" t="s">
        <v>1674</v>
      </c>
      <c r="I633" s="1" t="s">
        <v>72</v>
      </c>
      <c r="J633" t="s">
        <v>4377</v>
      </c>
      <c r="K633">
        <v>1</v>
      </c>
      <c r="L633">
        <v>1</v>
      </c>
      <c r="M633">
        <v>167493</v>
      </c>
      <c r="N633" t="s">
        <v>4378</v>
      </c>
      <c r="O633" s="7" t="s">
        <v>70</v>
      </c>
      <c r="P633">
        <v>49</v>
      </c>
      <c r="Q633" t="s">
        <v>4379</v>
      </c>
      <c r="R633" t="s">
        <v>68</v>
      </c>
      <c r="S633" t="s">
        <v>1675</v>
      </c>
      <c r="V633" s="7"/>
    </row>
    <row r="634" spans="1:22" x14ac:dyDescent="0.3">
      <c r="A634" t="s">
        <v>1681</v>
      </c>
      <c r="B634" t="s">
        <v>1682</v>
      </c>
      <c r="C634" t="s">
        <v>4371</v>
      </c>
      <c r="D634" t="s">
        <v>1674</v>
      </c>
      <c r="E634" t="s">
        <v>4380</v>
      </c>
      <c r="F634" t="s">
        <v>1683</v>
      </c>
      <c r="G634" t="s">
        <v>4371</v>
      </c>
      <c r="H634" t="s">
        <v>1674</v>
      </c>
      <c r="I634" s="1" t="s">
        <v>71</v>
      </c>
      <c r="J634" t="s">
        <v>4381</v>
      </c>
      <c r="K634">
        <v>1</v>
      </c>
      <c r="L634">
        <v>16</v>
      </c>
      <c r="M634">
        <v>221733</v>
      </c>
      <c r="N634" t="s">
        <v>4382</v>
      </c>
      <c r="O634" s="7" t="s">
        <v>70</v>
      </c>
      <c r="P634">
        <v>49</v>
      </c>
      <c r="Q634" t="s">
        <v>4383</v>
      </c>
      <c r="R634" t="s">
        <v>68</v>
      </c>
      <c r="S634" t="s">
        <v>1675</v>
      </c>
      <c r="V634" s="7"/>
    </row>
    <row r="635" spans="1:22" x14ac:dyDescent="0.3">
      <c r="A635" t="s">
        <v>1684</v>
      </c>
      <c r="B635" t="s">
        <v>1685</v>
      </c>
      <c r="C635" t="s">
        <v>4384</v>
      </c>
      <c r="D635" t="s">
        <v>4385</v>
      </c>
      <c r="E635" t="s">
        <v>4386</v>
      </c>
      <c r="F635" t="s">
        <v>4387</v>
      </c>
      <c r="G635" t="s">
        <v>4371</v>
      </c>
      <c r="H635" t="s">
        <v>1674</v>
      </c>
      <c r="I635" s="1" t="s">
        <v>74</v>
      </c>
      <c r="J635" t="s">
        <v>4388</v>
      </c>
      <c r="K635">
        <v>1</v>
      </c>
      <c r="L635">
        <v>17</v>
      </c>
      <c r="M635">
        <v>312293</v>
      </c>
      <c r="N635" t="s">
        <v>4389</v>
      </c>
      <c r="O635" s="7" t="s">
        <v>70</v>
      </c>
      <c r="P635">
        <v>41</v>
      </c>
      <c r="Q635" t="s">
        <v>4390</v>
      </c>
      <c r="R635" t="s">
        <v>68</v>
      </c>
      <c r="S635" t="s">
        <v>1675</v>
      </c>
      <c r="V635" s="7"/>
    </row>
    <row r="636" spans="1:22" x14ac:dyDescent="0.3">
      <c r="A636" t="s">
        <v>1688</v>
      </c>
      <c r="B636" t="s">
        <v>1689</v>
      </c>
      <c r="C636" t="s">
        <v>4391</v>
      </c>
      <c r="D636" t="s">
        <v>4392</v>
      </c>
      <c r="E636" s="1" t="s">
        <v>4393</v>
      </c>
      <c r="F636" t="s">
        <v>1690</v>
      </c>
      <c r="G636" t="s">
        <v>4371</v>
      </c>
      <c r="H636" t="s">
        <v>1674</v>
      </c>
      <c r="I636" s="1" t="s">
        <v>5104</v>
      </c>
      <c r="J636" t="s">
        <v>4394</v>
      </c>
      <c r="K636">
        <v>1</v>
      </c>
      <c r="L636">
        <v>5</v>
      </c>
      <c r="M636">
        <v>223853</v>
      </c>
      <c r="N636" t="s">
        <v>4395</v>
      </c>
      <c r="O636" s="7" t="s">
        <v>70</v>
      </c>
      <c r="P636">
        <v>32</v>
      </c>
      <c r="Q636" t="s">
        <v>4396</v>
      </c>
      <c r="R636" t="s">
        <v>68</v>
      </c>
      <c r="S636" t="s">
        <v>1675</v>
      </c>
    </row>
    <row r="637" spans="1:22" x14ac:dyDescent="0.3">
      <c r="A637" t="s">
        <v>1692</v>
      </c>
      <c r="B637" t="s">
        <v>1693</v>
      </c>
      <c r="C637" t="s">
        <v>4397</v>
      </c>
      <c r="D637" t="s">
        <v>4398</v>
      </c>
      <c r="E637" s="1" t="s">
        <v>4399</v>
      </c>
      <c r="F637" t="s">
        <v>1694</v>
      </c>
      <c r="G637" t="s">
        <v>4371</v>
      </c>
      <c r="H637" t="s">
        <v>1674</v>
      </c>
      <c r="I637" s="1" t="s">
        <v>5015</v>
      </c>
      <c r="J637" t="s">
        <v>4400</v>
      </c>
      <c r="K637">
        <v>1</v>
      </c>
      <c r="L637">
        <v>3</v>
      </c>
      <c r="M637">
        <v>431960</v>
      </c>
      <c r="N637" t="s">
        <v>4401</v>
      </c>
      <c r="O637" s="7" t="s">
        <v>70</v>
      </c>
      <c r="P637">
        <v>37</v>
      </c>
      <c r="Q637" t="s">
        <v>4402</v>
      </c>
      <c r="R637" t="s">
        <v>68</v>
      </c>
      <c r="S637" t="s">
        <v>1675</v>
      </c>
    </row>
    <row r="638" spans="1:22" x14ac:dyDescent="0.3">
      <c r="A638" t="s">
        <v>1696</v>
      </c>
      <c r="B638" t="s">
        <v>1697</v>
      </c>
      <c r="C638" t="s">
        <v>4371</v>
      </c>
      <c r="D638" t="s">
        <v>1674</v>
      </c>
      <c r="E638" t="s">
        <v>4380</v>
      </c>
      <c r="F638" t="s">
        <v>1683</v>
      </c>
      <c r="G638" t="s">
        <v>4371</v>
      </c>
      <c r="H638" t="s">
        <v>1674</v>
      </c>
      <c r="I638" s="1" t="s">
        <v>71</v>
      </c>
      <c r="J638" t="s">
        <v>4381</v>
      </c>
      <c r="K638">
        <v>1</v>
      </c>
      <c r="L638">
        <v>2</v>
      </c>
      <c r="M638">
        <v>277800</v>
      </c>
      <c r="N638" t="s">
        <v>4403</v>
      </c>
      <c r="O638" s="7" t="s">
        <v>70</v>
      </c>
      <c r="P638">
        <v>46</v>
      </c>
      <c r="Q638" t="s">
        <v>4404</v>
      </c>
      <c r="R638" t="s">
        <v>68</v>
      </c>
      <c r="S638" t="s">
        <v>1675</v>
      </c>
      <c r="V638" s="7"/>
    </row>
    <row r="639" spans="1:22" x14ac:dyDescent="0.3">
      <c r="A639" t="s">
        <v>1698</v>
      </c>
      <c r="B639" t="s">
        <v>1699</v>
      </c>
      <c r="C639" t="s">
        <v>4405</v>
      </c>
      <c r="D639" t="s">
        <v>4406</v>
      </c>
      <c r="E639" s="1" t="s">
        <v>4407</v>
      </c>
      <c r="F639" t="s">
        <v>1699</v>
      </c>
      <c r="G639" t="s">
        <v>4408</v>
      </c>
      <c r="H639" t="s">
        <v>4409</v>
      </c>
      <c r="I639" s="1">
        <v>42412</v>
      </c>
      <c r="J639" t="s">
        <v>4410</v>
      </c>
      <c r="K639">
        <v>1</v>
      </c>
      <c r="L639">
        <v>3</v>
      </c>
      <c r="M639">
        <v>218946</v>
      </c>
      <c r="N639" t="s">
        <v>4411</v>
      </c>
      <c r="O639" s="7" t="s">
        <v>70</v>
      </c>
      <c r="P639">
        <v>32</v>
      </c>
      <c r="Q639" t="s">
        <v>4412</v>
      </c>
      <c r="R639" t="s">
        <v>68</v>
      </c>
      <c r="S639" t="s">
        <v>1675</v>
      </c>
      <c r="V639" s="7"/>
    </row>
    <row r="640" spans="1:22" x14ac:dyDescent="0.3">
      <c r="A640" t="s">
        <v>1702</v>
      </c>
      <c r="B640" t="s">
        <v>1703</v>
      </c>
      <c r="C640" t="s">
        <v>4413</v>
      </c>
      <c r="D640" t="s">
        <v>4414</v>
      </c>
      <c r="E640" s="1" t="s">
        <v>4415</v>
      </c>
      <c r="F640" t="s">
        <v>1704</v>
      </c>
      <c r="G640" t="s">
        <v>4416</v>
      </c>
      <c r="H640" t="s">
        <v>4417</v>
      </c>
      <c r="I640" s="1">
        <v>43195</v>
      </c>
      <c r="J640" t="s">
        <v>4418</v>
      </c>
      <c r="K640">
        <v>1</v>
      </c>
      <c r="L640">
        <v>1</v>
      </c>
      <c r="M640">
        <v>233703</v>
      </c>
      <c r="N640" t="s">
        <v>4419</v>
      </c>
      <c r="O640" s="7" t="s">
        <v>70</v>
      </c>
      <c r="P640">
        <v>30</v>
      </c>
      <c r="Q640" t="s">
        <v>4420</v>
      </c>
      <c r="R640" t="s">
        <v>68</v>
      </c>
      <c r="S640" t="s">
        <v>1675</v>
      </c>
      <c r="V640" s="7"/>
    </row>
    <row r="641" spans="1:22" x14ac:dyDescent="0.3">
      <c r="A641" t="s">
        <v>1707</v>
      </c>
      <c r="B641" t="s">
        <v>1708</v>
      </c>
      <c r="C641" t="s">
        <v>4421</v>
      </c>
      <c r="D641" t="s">
        <v>4422</v>
      </c>
      <c r="E641" s="1" t="s">
        <v>4423</v>
      </c>
      <c r="F641" t="s">
        <v>1709</v>
      </c>
      <c r="G641" t="s">
        <v>4371</v>
      </c>
      <c r="H641" t="s">
        <v>1674</v>
      </c>
      <c r="I641" s="1" t="s">
        <v>5105</v>
      </c>
      <c r="J641" t="s">
        <v>4424</v>
      </c>
      <c r="K641">
        <v>1</v>
      </c>
      <c r="L641">
        <v>7</v>
      </c>
      <c r="M641">
        <v>305600</v>
      </c>
      <c r="N641" t="s">
        <v>4425</v>
      </c>
      <c r="O641" s="7" t="s">
        <v>70</v>
      </c>
      <c r="P641">
        <v>26</v>
      </c>
      <c r="Q641" t="s">
        <v>4426</v>
      </c>
      <c r="R641" t="s">
        <v>68</v>
      </c>
      <c r="S641" t="s">
        <v>1675</v>
      </c>
    </row>
    <row r="642" spans="1:22" x14ac:dyDescent="0.3">
      <c r="A642" t="s">
        <v>1711</v>
      </c>
      <c r="B642" t="s">
        <v>1712</v>
      </c>
      <c r="C642" t="s">
        <v>4371</v>
      </c>
      <c r="D642" t="s">
        <v>1674</v>
      </c>
      <c r="E642" s="1" t="s">
        <v>4393</v>
      </c>
      <c r="F642" t="s">
        <v>1690</v>
      </c>
      <c r="G642" t="s">
        <v>4371</v>
      </c>
      <c r="H642" t="s">
        <v>1674</v>
      </c>
      <c r="I642" s="1" t="s">
        <v>5104</v>
      </c>
      <c r="J642" t="s">
        <v>4394</v>
      </c>
      <c r="K642">
        <v>1</v>
      </c>
      <c r="L642">
        <v>4</v>
      </c>
      <c r="M642">
        <v>248013</v>
      </c>
      <c r="N642" t="s">
        <v>4427</v>
      </c>
      <c r="O642" s="7" t="s">
        <v>70</v>
      </c>
      <c r="P642">
        <v>25</v>
      </c>
      <c r="Q642" t="s">
        <v>4428</v>
      </c>
      <c r="R642" t="s">
        <v>68</v>
      </c>
      <c r="S642" t="s">
        <v>1675</v>
      </c>
      <c r="V642" s="7"/>
    </row>
    <row r="643" spans="1:22" x14ac:dyDescent="0.3">
      <c r="A643" t="s">
        <v>1713</v>
      </c>
      <c r="B643" t="s">
        <v>1714</v>
      </c>
      <c r="C643" t="s">
        <v>4371</v>
      </c>
      <c r="D643" t="s">
        <v>1674</v>
      </c>
      <c r="E643" s="1" t="s">
        <v>4372</v>
      </c>
      <c r="F643" t="s">
        <v>1673</v>
      </c>
      <c r="G643" t="s">
        <v>4371</v>
      </c>
      <c r="H643" t="s">
        <v>1674</v>
      </c>
      <c r="I643" s="1" t="s">
        <v>5103</v>
      </c>
      <c r="J643" t="s">
        <v>4373</v>
      </c>
      <c r="K643">
        <v>1</v>
      </c>
      <c r="L643">
        <v>2</v>
      </c>
      <c r="M643">
        <v>243442</v>
      </c>
      <c r="N643" t="s">
        <v>4429</v>
      </c>
      <c r="O643" s="7" t="s">
        <v>70</v>
      </c>
      <c r="P643">
        <v>24</v>
      </c>
      <c r="Q643" t="s">
        <v>4430</v>
      </c>
      <c r="R643" t="s">
        <v>68</v>
      </c>
      <c r="S643" t="s">
        <v>1675</v>
      </c>
      <c r="V643" s="7"/>
    </row>
    <row r="644" spans="1:22" x14ac:dyDescent="0.3">
      <c r="A644" t="s">
        <v>1715</v>
      </c>
      <c r="B644" t="s">
        <v>1716</v>
      </c>
      <c r="C644" t="s">
        <v>4431</v>
      </c>
      <c r="D644" t="s">
        <v>4432</v>
      </c>
      <c r="E644" t="s">
        <v>4380</v>
      </c>
      <c r="F644" t="s">
        <v>1683</v>
      </c>
      <c r="G644" t="s">
        <v>4371</v>
      </c>
      <c r="H644" t="s">
        <v>1674</v>
      </c>
      <c r="I644" s="1" t="s">
        <v>71</v>
      </c>
      <c r="J644" t="s">
        <v>4381</v>
      </c>
      <c r="K644">
        <v>1</v>
      </c>
      <c r="L644">
        <v>19</v>
      </c>
      <c r="M644">
        <v>538066</v>
      </c>
      <c r="N644" t="s">
        <v>4433</v>
      </c>
      <c r="O644" s="7" t="s">
        <v>70</v>
      </c>
      <c r="P644">
        <v>29</v>
      </c>
      <c r="Q644" t="s">
        <v>4434</v>
      </c>
      <c r="R644" t="s">
        <v>68</v>
      </c>
      <c r="S644" t="s">
        <v>1675</v>
      </c>
      <c r="V644" s="7"/>
    </row>
    <row r="645" spans="1:22" x14ac:dyDescent="0.3">
      <c r="A645" t="s">
        <v>1718</v>
      </c>
      <c r="B645" t="s">
        <v>1719</v>
      </c>
      <c r="C645" t="s">
        <v>4435</v>
      </c>
      <c r="D645" t="s">
        <v>4436</v>
      </c>
      <c r="E645" s="1" t="s">
        <v>4437</v>
      </c>
      <c r="F645" t="s">
        <v>1720</v>
      </c>
      <c r="G645" t="s">
        <v>4438</v>
      </c>
      <c r="H645" t="s">
        <v>4439</v>
      </c>
      <c r="I645" s="1" t="s">
        <v>5106</v>
      </c>
      <c r="J645" t="s">
        <v>4440</v>
      </c>
      <c r="K645">
        <v>1</v>
      </c>
      <c r="L645">
        <v>4</v>
      </c>
      <c r="M645">
        <v>233643</v>
      </c>
      <c r="N645" t="s">
        <v>4441</v>
      </c>
      <c r="O645" s="7" t="s">
        <v>70</v>
      </c>
      <c r="P645">
        <v>21</v>
      </c>
      <c r="Q645" t="s">
        <v>4442</v>
      </c>
      <c r="R645" t="s">
        <v>68</v>
      </c>
      <c r="S645" t="s">
        <v>1675</v>
      </c>
      <c r="V645" s="7"/>
    </row>
    <row r="646" spans="1:22" x14ac:dyDescent="0.3">
      <c r="A646" t="s">
        <v>1722</v>
      </c>
      <c r="B646" t="s">
        <v>1723</v>
      </c>
      <c r="C646" t="s">
        <v>4371</v>
      </c>
      <c r="D646" t="s">
        <v>1674</v>
      </c>
      <c r="E646" t="s">
        <v>4376</v>
      </c>
      <c r="F646" t="s">
        <v>1679</v>
      </c>
      <c r="G646" t="s">
        <v>4371</v>
      </c>
      <c r="H646" t="s">
        <v>1674</v>
      </c>
      <c r="I646" s="1" t="s">
        <v>72</v>
      </c>
      <c r="J646" t="s">
        <v>4377</v>
      </c>
      <c r="K646">
        <v>1</v>
      </c>
      <c r="L646">
        <v>7</v>
      </c>
      <c r="M646">
        <v>231746</v>
      </c>
      <c r="N646" t="s">
        <v>4443</v>
      </c>
      <c r="O646" s="7" t="s">
        <v>70</v>
      </c>
      <c r="P646">
        <v>21</v>
      </c>
      <c r="Q646" t="s">
        <v>4444</v>
      </c>
      <c r="R646" t="s">
        <v>68</v>
      </c>
      <c r="S646" t="s">
        <v>1675</v>
      </c>
      <c r="V646" s="7"/>
    </row>
    <row r="647" spans="1:22" x14ac:dyDescent="0.3">
      <c r="A647" t="s">
        <v>1724</v>
      </c>
      <c r="B647" t="s">
        <v>1725</v>
      </c>
      <c r="C647" t="s">
        <v>4371</v>
      </c>
      <c r="D647" t="s">
        <v>1674</v>
      </c>
      <c r="E647" s="1" t="s">
        <v>4393</v>
      </c>
      <c r="F647" t="s">
        <v>1690</v>
      </c>
      <c r="G647" t="s">
        <v>4371</v>
      </c>
      <c r="H647" t="s">
        <v>1674</v>
      </c>
      <c r="I647" s="1" t="s">
        <v>5104</v>
      </c>
      <c r="J647" t="s">
        <v>4394</v>
      </c>
      <c r="K647">
        <v>1</v>
      </c>
      <c r="L647">
        <v>6</v>
      </c>
      <c r="M647">
        <v>184986</v>
      </c>
      <c r="N647" t="s">
        <v>4445</v>
      </c>
      <c r="O647" s="7" t="s">
        <v>70</v>
      </c>
      <c r="P647">
        <v>18</v>
      </c>
      <c r="Q647" t="s">
        <v>4446</v>
      </c>
      <c r="R647" t="s">
        <v>68</v>
      </c>
      <c r="S647" t="s">
        <v>1675</v>
      </c>
      <c r="V647" s="7"/>
    </row>
    <row r="648" spans="1:22" x14ac:dyDescent="0.3">
      <c r="A648" t="s">
        <v>1726</v>
      </c>
      <c r="B648" t="s">
        <v>1727</v>
      </c>
      <c r="C648" t="s">
        <v>4371</v>
      </c>
      <c r="D648" t="s">
        <v>1674</v>
      </c>
      <c r="E648" s="1" t="s">
        <v>4447</v>
      </c>
      <c r="F648" t="s">
        <v>1727</v>
      </c>
      <c r="G648" t="s">
        <v>4371</v>
      </c>
      <c r="H648" t="s">
        <v>1674</v>
      </c>
      <c r="I648" s="1" t="s">
        <v>5107</v>
      </c>
      <c r="J648" t="s">
        <v>4448</v>
      </c>
      <c r="K648">
        <v>1</v>
      </c>
      <c r="L648">
        <v>1</v>
      </c>
      <c r="M648">
        <v>238080</v>
      </c>
      <c r="N648" t="s">
        <v>4449</v>
      </c>
      <c r="O648" t="s">
        <v>70</v>
      </c>
      <c r="P648">
        <v>20</v>
      </c>
      <c r="Q648" t="s">
        <v>4450</v>
      </c>
      <c r="R648" t="s">
        <v>68</v>
      </c>
      <c r="S648" t="s">
        <v>1675</v>
      </c>
      <c r="V648" s="7"/>
    </row>
    <row r="649" spans="1:22" x14ac:dyDescent="0.3">
      <c r="A649" t="s">
        <v>1728</v>
      </c>
      <c r="B649" t="s">
        <v>1729</v>
      </c>
      <c r="C649" t="s">
        <v>4371</v>
      </c>
      <c r="D649" t="s">
        <v>1674</v>
      </c>
      <c r="E649" t="s">
        <v>4380</v>
      </c>
      <c r="F649" t="s">
        <v>1683</v>
      </c>
      <c r="G649" t="s">
        <v>4371</v>
      </c>
      <c r="H649" t="s">
        <v>1674</v>
      </c>
      <c r="I649" s="1" t="s">
        <v>71</v>
      </c>
      <c r="J649" t="s">
        <v>4381</v>
      </c>
      <c r="K649">
        <v>1</v>
      </c>
      <c r="L649">
        <v>6</v>
      </c>
      <c r="M649">
        <v>367373</v>
      </c>
      <c r="N649" t="s">
        <v>4451</v>
      </c>
      <c r="O649" s="7" t="s">
        <v>70</v>
      </c>
      <c r="P649">
        <v>22</v>
      </c>
      <c r="Q649" t="s">
        <v>4452</v>
      </c>
      <c r="R649" t="s">
        <v>68</v>
      </c>
      <c r="S649" t="s">
        <v>1675</v>
      </c>
      <c r="V649" s="7"/>
    </row>
    <row r="650" spans="1:22" x14ac:dyDescent="0.3">
      <c r="A650" t="s">
        <v>1730</v>
      </c>
      <c r="B650" t="s">
        <v>1731</v>
      </c>
      <c r="C650" t="s">
        <v>4453</v>
      </c>
      <c r="D650" t="s">
        <v>4454</v>
      </c>
      <c r="E650" s="1" t="s">
        <v>4423</v>
      </c>
      <c r="F650" t="s">
        <v>1709</v>
      </c>
      <c r="G650" t="s">
        <v>4371</v>
      </c>
      <c r="H650" t="s">
        <v>1674</v>
      </c>
      <c r="I650" s="1" t="s">
        <v>5105</v>
      </c>
      <c r="J650" t="s">
        <v>4424</v>
      </c>
      <c r="K650">
        <v>1</v>
      </c>
      <c r="L650">
        <v>3</v>
      </c>
      <c r="M650">
        <v>534813</v>
      </c>
      <c r="N650" t="s">
        <v>4455</v>
      </c>
      <c r="O650" s="7" t="s">
        <v>70</v>
      </c>
      <c r="P650">
        <v>17</v>
      </c>
      <c r="Q650" t="s">
        <v>4456</v>
      </c>
      <c r="R650" t="s">
        <v>68</v>
      </c>
      <c r="S650" t="s">
        <v>1675</v>
      </c>
      <c r="V650" s="7"/>
    </row>
    <row r="651" spans="1:22" x14ac:dyDescent="0.3">
      <c r="A651" t="s">
        <v>1732</v>
      </c>
      <c r="B651" t="s">
        <v>1733</v>
      </c>
      <c r="C651" t="s">
        <v>4371</v>
      </c>
      <c r="D651" t="s">
        <v>1674</v>
      </c>
      <c r="E651" s="1" t="s">
        <v>4393</v>
      </c>
      <c r="F651" t="s">
        <v>1690</v>
      </c>
      <c r="G651" t="s">
        <v>4371</v>
      </c>
      <c r="H651" t="s">
        <v>1674</v>
      </c>
      <c r="I651" s="1" t="s">
        <v>5104</v>
      </c>
      <c r="J651" t="s">
        <v>4394</v>
      </c>
      <c r="K651">
        <v>1</v>
      </c>
      <c r="L651">
        <v>1</v>
      </c>
      <c r="M651">
        <v>180386</v>
      </c>
      <c r="N651" t="s">
        <v>4457</v>
      </c>
      <c r="O651" s="7" t="s">
        <v>70</v>
      </c>
      <c r="P651">
        <v>17</v>
      </c>
      <c r="Q651" t="s">
        <v>4458</v>
      </c>
      <c r="R651" t="s">
        <v>68</v>
      </c>
      <c r="S651" t="s">
        <v>1675</v>
      </c>
      <c r="V651" s="7"/>
    </row>
    <row r="652" spans="1:22" x14ac:dyDescent="0.3">
      <c r="A652" t="s">
        <v>1734</v>
      </c>
      <c r="B652" t="s">
        <v>1735</v>
      </c>
      <c r="C652" t="s">
        <v>4371</v>
      </c>
      <c r="D652" t="s">
        <v>1674</v>
      </c>
      <c r="E652" t="s">
        <v>4376</v>
      </c>
      <c r="F652" t="s">
        <v>1679</v>
      </c>
      <c r="G652" t="s">
        <v>4371</v>
      </c>
      <c r="H652" t="s">
        <v>1674</v>
      </c>
      <c r="I652" s="1" t="s">
        <v>72</v>
      </c>
      <c r="J652" t="s">
        <v>4377</v>
      </c>
      <c r="K652">
        <v>1</v>
      </c>
      <c r="L652">
        <v>2</v>
      </c>
      <c r="M652">
        <v>215733</v>
      </c>
      <c r="N652" t="s">
        <v>4459</v>
      </c>
      <c r="O652" s="7" t="s">
        <v>70</v>
      </c>
      <c r="P652">
        <v>17</v>
      </c>
      <c r="Q652" t="s">
        <v>4460</v>
      </c>
      <c r="R652" t="s">
        <v>68</v>
      </c>
      <c r="S652" t="s">
        <v>1675</v>
      </c>
      <c r="V652" s="7"/>
    </row>
    <row r="653" spans="1:22" x14ac:dyDescent="0.3">
      <c r="A653" t="s">
        <v>1736</v>
      </c>
      <c r="B653" t="s">
        <v>1737</v>
      </c>
      <c r="C653" t="s">
        <v>4371</v>
      </c>
      <c r="D653" t="s">
        <v>1674</v>
      </c>
      <c r="E653" t="s">
        <v>4380</v>
      </c>
      <c r="F653" t="s">
        <v>1683</v>
      </c>
      <c r="G653" t="s">
        <v>4371</v>
      </c>
      <c r="H653" t="s">
        <v>1674</v>
      </c>
      <c r="I653" s="1" t="s">
        <v>71</v>
      </c>
      <c r="J653" t="s">
        <v>4381</v>
      </c>
      <c r="K653">
        <v>1</v>
      </c>
      <c r="L653">
        <v>7</v>
      </c>
      <c r="M653">
        <v>166760</v>
      </c>
      <c r="N653" t="s">
        <v>4461</v>
      </c>
      <c r="O653" s="7" t="s">
        <v>70</v>
      </c>
      <c r="P653">
        <v>17</v>
      </c>
      <c r="Q653" t="s">
        <v>4462</v>
      </c>
      <c r="R653" t="s">
        <v>68</v>
      </c>
      <c r="S653" t="s">
        <v>1675</v>
      </c>
      <c r="V653" s="7"/>
    </row>
    <row r="654" spans="1:22" x14ac:dyDescent="0.3">
      <c r="A654" t="s">
        <v>1738</v>
      </c>
      <c r="B654" t="s">
        <v>1739</v>
      </c>
      <c r="C654" t="s">
        <v>4371</v>
      </c>
      <c r="D654" t="s">
        <v>1674</v>
      </c>
      <c r="E654" t="s">
        <v>4386</v>
      </c>
      <c r="F654" t="s">
        <v>4387</v>
      </c>
      <c r="G654" t="s">
        <v>4371</v>
      </c>
      <c r="H654" t="s">
        <v>1674</v>
      </c>
      <c r="I654" s="1" t="s">
        <v>74</v>
      </c>
      <c r="J654" t="s">
        <v>4388</v>
      </c>
      <c r="K654">
        <v>1</v>
      </c>
      <c r="L654">
        <v>7</v>
      </c>
      <c r="M654">
        <v>262973</v>
      </c>
      <c r="N654" t="s">
        <v>4463</v>
      </c>
      <c r="O654" s="7" t="s">
        <v>70</v>
      </c>
      <c r="P654">
        <v>16</v>
      </c>
      <c r="Q654" t="s">
        <v>4464</v>
      </c>
      <c r="R654" t="s">
        <v>68</v>
      </c>
      <c r="S654" t="s">
        <v>1675</v>
      </c>
      <c r="V654" s="7"/>
    </row>
    <row r="655" spans="1:22" x14ac:dyDescent="0.3">
      <c r="A655" t="s">
        <v>1740</v>
      </c>
      <c r="B655" t="s">
        <v>1741</v>
      </c>
      <c r="C655" t="s">
        <v>4371</v>
      </c>
      <c r="D655" t="s">
        <v>1674</v>
      </c>
      <c r="E655" s="1" t="s">
        <v>4393</v>
      </c>
      <c r="F655" t="s">
        <v>1690</v>
      </c>
      <c r="G655" t="s">
        <v>4371</v>
      </c>
      <c r="H655" t="s">
        <v>1674</v>
      </c>
      <c r="I655" s="1" t="s">
        <v>5104</v>
      </c>
      <c r="J655" t="s">
        <v>4394</v>
      </c>
      <c r="K655">
        <v>1</v>
      </c>
      <c r="L655">
        <v>3</v>
      </c>
      <c r="M655">
        <v>156733</v>
      </c>
      <c r="N655" t="s">
        <v>4465</v>
      </c>
      <c r="O655" s="7" t="s">
        <v>70</v>
      </c>
      <c r="P655">
        <v>16</v>
      </c>
      <c r="Q655" t="s">
        <v>4466</v>
      </c>
      <c r="R655" t="s">
        <v>68</v>
      </c>
      <c r="S655" t="s">
        <v>1675</v>
      </c>
    </row>
    <row r="656" spans="1:22" x14ac:dyDescent="0.3">
      <c r="A656" t="s">
        <v>1742</v>
      </c>
      <c r="B656" t="s">
        <v>1743</v>
      </c>
      <c r="C656" t="s">
        <v>4467</v>
      </c>
      <c r="D656" t="s">
        <v>4468</v>
      </c>
      <c r="E656" s="1" t="s">
        <v>4423</v>
      </c>
      <c r="F656" t="s">
        <v>1709</v>
      </c>
      <c r="G656" t="s">
        <v>4371</v>
      </c>
      <c r="H656" t="s">
        <v>1674</v>
      </c>
      <c r="I656" s="1" t="s">
        <v>5105</v>
      </c>
      <c r="J656" t="s">
        <v>4424</v>
      </c>
      <c r="K656">
        <v>1</v>
      </c>
      <c r="L656">
        <v>1</v>
      </c>
      <c r="M656">
        <v>252373</v>
      </c>
      <c r="N656" t="s">
        <v>4469</v>
      </c>
      <c r="O656" s="7" t="s">
        <v>70</v>
      </c>
      <c r="P656">
        <v>15</v>
      </c>
      <c r="Q656" t="s">
        <v>4470</v>
      </c>
      <c r="R656" t="s">
        <v>68</v>
      </c>
      <c r="S656" t="s">
        <v>1675</v>
      </c>
      <c r="V656" s="7"/>
    </row>
    <row r="657" spans="1:22" x14ac:dyDescent="0.3">
      <c r="A657" t="s">
        <v>1744</v>
      </c>
      <c r="B657" t="s">
        <v>1745</v>
      </c>
      <c r="C657" t="s">
        <v>4371</v>
      </c>
      <c r="D657" t="s">
        <v>1674</v>
      </c>
      <c r="E657" t="s">
        <v>4380</v>
      </c>
      <c r="F657" t="s">
        <v>1683</v>
      </c>
      <c r="G657" t="s">
        <v>4371</v>
      </c>
      <c r="H657" t="s">
        <v>1674</v>
      </c>
      <c r="I657" s="1" t="s">
        <v>71</v>
      </c>
      <c r="J657" t="s">
        <v>4381</v>
      </c>
      <c r="K657">
        <v>1</v>
      </c>
      <c r="L657">
        <v>5</v>
      </c>
      <c r="M657">
        <v>118893</v>
      </c>
      <c r="N657" t="s">
        <v>4471</v>
      </c>
      <c r="O657" s="7" t="s">
        <v>70</v>
      </c>
      <c r="P657">
        <v>16</v>
      </c>
      <c r="Q657" t="s">
        <v>4472</v>
      </c>
      <c r="R657" t="s">
        <v>68</v>
      </c>
      <c r="S657" t="s">
        <v>1675</v>
      </c>
    </row>
    <row r="658" spans="1:22" x14ac:dyDescent="0.3">
      <c r="A658" t="s">
        <v>1746</v>
      </c>
      <c r="B658" t="s">
        <v>1747</v>
      </c>
      <c r="C658" t="s">
        <v>4371</v>
      </c>
      <c r="D658" t="s">
        <v>1674</v>
      </c>
      <c r="E658" t="s">
        <v>4386</v>
      </c>
      <c r="F658" t="s">
        <v>4387</v>
      </c>
      <c r="G658" t="s">
        <v>4371</v>
      </c>
      <c r="H658" t="s">
        <v>1674</v>
      </c>
      <c r="I658" s="1" t="s">
        <v>74</v>
      </c>
      <c r="J658" t="s">
        <v>4388</v>
      </c>
      <c r="K658">
        <v>1</v>
      </c>
      <c r="L658">
        <v>3</v>
      </c>
      <c r="M658">
        <v>314493</v>
      </c>
      <c r="N658" t="s">
        <v>4473</v>
      </c>
      <c r="O658" s="7" t="s">
        <v>70</v>
      </c>
      <c r="P658">
        <v>17</v>
      </c>
      <c r="Q658" t="s">
        <v>4474</v>
      </c>
      <c r="R658" t="s">
        <v>68</v>
      </c>
      <c r="S658" t="s">
        <v>1675</v>
      </c>
      <c r="V658" s="7"/>
    </row>
    <row r="659" spans="1:22" x14ac:dyDescent="0.3">
      <c r="A659" t="s">
        <v>1748</v>
      </c>
      <c r="B659" t="s">
        <v>1749</v>
      </c>
      <c r="C659" t="s">
        <v>4475</v>
      </c>
      <c r="D659" t="s">
        <v>4476</v>
      </c>
      <c r="E659" s="1" t="s">
        <v>4393</v>
      </c>
      <c r="F659" t="s">
        <v>1690</v>
      </c>
      <c r="G659" t="s">
        <v>4371</v>
      </c>
      <c r="H659" t="s">
        <v>1674</v>
      </c>
      <c r="I659" s="1" t="s">
        <v>5104</v>
      </c>
      <c r="J659" t="s">
        <v>4394</v>
      </c>
      <c r="K659">
        <v>1</v>
      </c>
      <c r="L659">
        <v>2</v>
      </c>
      <c r="M659">
        <v>259386</v>
      </c>
      <c r="N659" t="s">
        <v>4477</v>
      </c>
      <c r="O659" s="7" t="s">
        <v>70</v>
      </c>
      <c r="P659">
        <v>15</v>
      </c>
      <c r="Q659" t="s">
        <v>4478</v>
      </c>
      <c r="R659" t="s">
        <v>68</v>
      </c>
      <c r="S659" t="s">
        <v>1675</v>
      </c>
      <c r="V659" s="7"/>
    </row>
    <row r="660" spans="1:22" x14ac:dyDescent="0.3">
      <c r="A660" t="s">
        <v>1750</v>
      </c>
      <c r="B660" t="s">
        <v>1751</v>
      </c>
      <c r="C660" t="s">
        <v>4479</v>
      </c>
      <c r="D660" t="s">
        <v>4480</v>
      </c>
      <c r="E660" s="1" t="s">
        <v>4481</v>
      </c>
      <c r="F660" t="s">
        <v>1751</v>
      </c>
      <c r="G660" t="s">
        <v>4482</v>
      </c>
      <c r="H660" t="s">
        <v>4483</v>
      </c>
      <c r="I660" s="1" t="s">
        <v>5108</v>
      </c>
      <c r="J660" t="s">
        <v>4484</v>
      </c>
      <c r="K660">
        <v>1</v>
      </c>
      <c r="L660">
        <v>1</v>
      </c>
      <c r="M660">
        <v>242546</v>
      </c>
      <c r="N660" t="s">
        <v>4485</v>
      </c>
      <c r="O660" s="7" t="s">
        <v>70</v>
      </c>
      <c r="P660">
        <v>18</v>
      </c>
      <c r="Q660" t="s">
        <v>4486</v>
      </c>
      <c r="R660" t="s">
        <v>68</v>
      </c>
      <c r="S660" t="s">
        <v>1675</v>
      </c>
      <c r="V660" s="7"/>
    </row>
    <row r="661" spans="1:22" x14ac:dyDescent="0.3">
      <c r="A661" t="s">
        <v>1754</v>
      </c>
      <c r="B661" t="s">
        <v>1755</v>
      </c>
      <c r="C661" t="s">
        <v>4487</v>
      </c>
      <c r="D661" t="s">
        <v>4488</v>
      </c>
      <c r="E661" s="1" t="s">
        <v>4372</v>
      </c>
      <c r="F661" t="s">
        <v>1673</v>
      </c>
      <c r="G661" t="s">
        <v>4371</v>
      </c>
      <c r="H661" t="s">
        <v>1674</v>
      </c>
      <c r="I661" s="1" t="s">
        <v>5103</v>
      </c>
      <c r="J661" t="s">
        <v>4373</v>
      </c>
      <c r="K661">
        <v>1</v>
      </c>
      <c r="L661">
        <v>10</v>
      </c>
      <c r="M661">
        <v>427935</v>
      </c>
      <c r="N661" t="s">
        <v>4489</v>
      </c>
      <c r="O661" s="7" t="s">
        <v>70</v>
      </c>
      <c r="P661">
        <v>16</v>
      </c>
      <c r="Q661" t="s">
        <v>4490</v>
      </c>
      <c r="R661" t="s">
        <v>68</v>
      </c>
      <c r="S661" t="s">
        <v>1675</v>
      </c>
      <c r="V661" s="7"/>
    </row>
    <row r="662" spans="1:22" x14ac:dyDescent="0.3">
      <c r="A662" t="s">
        <v>1756</v>
      </c>
      <c r="B662" t="s">
        <v>4491</v>
      </c>
      <c r="C662" t="s">
        <v>4371</v>
      </c>
      <c r="D662" t="s">
        <v>1674</v>
      </c>
      <c r="E662" t="s">
        <v>4386</v>
      </c>
      <c r="F662" t="s">
        <v>4387</v>
      </c>
      <c r="G662" t="s">
        <v>4371</v>
      </c>
      <c r="H662" t="s">
        <v>1674</v>
      </c>
      <c r="I662" s="1" t="s">
        <v>74</v>
      </c>
      <c r="J662" t="s">
        <v>4388</v>
      </c>
      <c r="K662">
        <v>1</v>
      </c>
      <c r="L662">
        <v>14</v>
      </c>
      <c r="M662">
        <v>459213</v>
      </c>
      <c r="N662" t="s">
        <v>4492</v>
      </c>
      <c r="O662" s="7" t="s">
        <v>70</v>
      </c>
      <c r="P662">
        <v>13</v>
      </c>
      <c r="Q662" t="s">
        <v>4493</v>
      </c>
      <c r="R662" t="s">
        <v>68</v>
      </c>
      <c r="S662" t="s">
        <v>1675</v>
      </c>
      <c r="V662" s="7"/>
    </row>
    <row r="663" spans="1:22" x14ac:dyDescent="0.3">
      <c r="A663" t="s">
        <v>1758</v>
      </c>
      <c r="B663" t="s">
        <v>1759</v>
      </c>
      <c r="C663" t="s">
        <v>4371</v>
      </c>
      <c r="D663" t="s">
        <v>1674</v>
      </c>
      <c r="E663" t="s">
        <v>4376</v>
      </c>
      <c r="F663" t="s">
        <v>1679</v>
      </c>
      <c r="G663" t="s">
        <v>4371</v>
      </c>
      <c r="H663" t="s">
        <v>1674</v>
      </c>
      <c r="I663" s="1" t="s">
        <v>72</v>
      </c>
      <c r="J663" t="s">
        <v>4377</v>
      </c>
      <c r="K663">
        <v>1</v>
      </c>
      <c r="L663">
        <v>11</v>
      </c>
      <c r="M663">
        <v>354306</v>
      </c>
      <c r="N663" t="s">
        <v>4494</v>
      </c>
      <c r="O663" s="7" t="s">
        <v>70</v>
      </c>
      <c r="P663">
        <v>11</v>
      </c>
      <c r="Q663" t="s">
        <v>4495</v>
      </c>
      <c r="R663" t="s">
        <v>68</v>
      </c>
      <c r="S663" t="s">
        <v>1675</v>
      </c>
      <c r="V663" s="7"/>
    </row>
    <row r="664" spans="1:22" x14ac:dyDescent="0.3">
      <c r="A664" t="s">
        <v>1760</v>
      </c>
      <c r="B664" t="s">
        <v>1761</v>
      </c>
      <c r="C664" t="s">
        <v>4496</v>
      </c>
      <c r="D664" t="s">
        <v>4497</v>
      </c>
      <c r="E664" s="1" t="s">
        <v>4498</v>
      </c>
      <c r="F664" t="s">
        <v>1762</v>
      </c>
      <c r="G664" t="s">
        <v>4371</v>
      </c>
      <c r="H664" t="s">
        <v>1674</v>
      </c>
      <c r="I664" s="1">
        <v>45606</v>
      </c>
      <c r="J664" t="s">
        <v>4499</v>
      </c>
      <c r="K664">
        <v>1</v>
      </c>
      <c r="L664">
        <v>18</v>
      </c>
      <c r="M664">
        <v>340370</v>
      </c>
      <c r="N664" t="s">
        <v>4500</v>
      </c>
      <c r="O664" s="7" t="s">
        <v>70</v>
      </c>
      <c r="P664">
        <v>11</v>
      </c>
      <c r="Q664" t="s">
        <v>4501</v>
      </c>
      <c r="R664" t="s">
        <v>68</v>
      </c>
      <c r="S664" t="s">
        <v>1675</v>
      </c>
      <c r="V664" s="7"/>
    </row>
    <row r="665" spans="1:22" x14ac:dyDescent="0.3">
      <c r="A665" t="s">
        <v>1763</v>
      </c>
      <c r="B665" t="s">
        <v>1764</v>
      </c>
      <c r="C665" t="s">
        <v>4371</v>
      </c>
      <c r="D665" t="s">
        <v>1674</v>
      </c>
      <c r="E665" s="1" t="s">
        <v>4372</v>
      </c>
      <c r="F665" t="s">
        <v>1673</v>
      </c>
      <c r="G665" t="s">
        <v>4371</v>
      </c>
      <c r="H665" t="s">
        <v>1674</v>
      </c>
      <c r="I665" s="1" t="s">
        <v>5103</v>
      </c>
      <c r="J665" t="s">
        <v>4373</v>
      </c>
      <c r="K665">
        <v>1</v>
      </c>
      <c r="L665">
        <v>4</v>
      </c>
      <c r="M665">
        <v>276892</v>
      </c>
      <c r="N665" t="s">
        <v>4502</v>
      </c>
      <c r="O665" s="7" t="s">
        <v>70</v>
      </c>
      <c r="P665">
        <v>11</v>
      </c>
      <c r="Q665" t="s">
        <v>4503</v>
      </c>
      <c r="R665" t="s">
        <v>68</v>
      </c>
      <c r="S665" t="s">
        <v>1675</v>
      </c>
      <c r="V665" s="7"/>
    </row>
    <row r="666" spans="1:22" x14ac:dyDescent="0.3">
      <c r="A666" t="s">
        <v>1765</v>
      </c>
      <c r="B666" t="s">
        <v>1766</v>
      </c>
      <c r="C666" t="s">
        <v>4371</v>
      </c>
      <c r="D666" t="s">
        <v>1674</v>
      </c>
      <c r="E666" s="1" t="s">
        <v>4423</v>
      </c>
      <c r="F666" t="s">
        <v>1709</v>
      </c>
      <c r="G666" t="s">
        <v>4371</v>
      </c>
      <c r="H666" t="s">
        <v>1674</v>
      </c>
      <c r="I666" s="1" t="s">
        <v>5105</v>
      </c>
      <c r="J666" t="s">
        <v>4424</v>
      </c>
      <c r="K666">
        <v>1</v>
      </c>
      <c r="L666">
        <v>10</v>
      </c>
      <c r="M666">
        <v>347066</v>
      </c>
      <c r="N666" t="s">
        <v>4504</v>
      </c>
      <c r="O666" t="s">
        <v>70</v>
      </c>
      <c r="P666">
        <v>7</v>
      </c>
      <c r="Q666" t="s">
        <v>4505</v>
      </c>
      <c r="R666" t="s">
        <v>68</v>
      </c>
      <c r="S666" t="s">
        <v>1675</v>
      </c>
      <c r="V666" s="7"/>
    </row>
    <row r="667" spans="1:22" x14ac:dyDescent="0.3">
      <c r="A667" t="s">
        <v>1767</v>
      </c>
      <c r="B667" t="s">
        <v>1768</v>
      </c>
      <c r="C667" t="s">
        <v>4371</v>
      </c>
      <c r="D667" t="s">
        <v>1674</v>
      </c>
      <c r="E667" t="s">
        <v>4376</v>
      </c>
      <c r="F667" t="s">
        <v>1679</v>
      </c>
      <c r="G667" t="s">
        <v>4371</v>
      </c>
      <c r="H667" t="s">
        <v>1674</v>
      </c>
      <c r="I667" s="1" t="s">
        <v>72</v>
      </c>
      <c r="J667" t="s">
        <v>4377</v>
      </c>
      <c r="K667">
        <v>1</v>
      </c>
      <c r="L667">
        <v>9</v>
      </c>
      <c r="M667">
        <v>569693</v>
      </c>
      <c r="N667" t="s">
        <v>4506</v>
      </c>
      <c r="O667" s="7" t="s">
        <v>70</v>
      </c>
      <c r="P667">
        <v>13</v>
      </c>
      <c r="Q667" t="s">
        <v>4507</v>
      </c>
      <c r="R667" t="s">
        <v>68</v>
      </c>
      <c r="S667" t="s">
        <v>1675</v>
      </c>
      <c r="V667" s="7"/>
    </row>
    <row r="668" spans="1:22" x14ac:dyDescent="0.3">
      <c r="A668" t="s">
        <v>1769</v>
      </c>
      <c r="B668" t="s">
        <v>1770</v>
      </c>
      <c r="C668" t="s">
        <v>4371</v>
      </c>
      <c r="D668" t="s">
        <v>1674</v>
      </c>
      <c r="E668" s="1" t="s">
        <v>4498</v>
      </c>
      <c r="F668" t="s">
        <v>1762</v>
      </c>
      <c r="G668" t="s">
        <v>4371</v>
      </c>
      <c r="H668" t="s">
        <v>1674</v>
      </c>
      <c r="I668" s="1">
        <v>45606</v>
      </c>
      <c r="J668" t="s">
        <v>4499</v>
      </c>
      <c r="K668">
        <v>1</v>
      </c>
      <c r="L668">
        <v>17</v>
      </c>
      <c r="M668">
        <v>236440</v>
      </c>
      <c r="N668" t="s">
        <v>4508</v>
      </c>
      <c r="O668" s="7" t="s">
        <v>70</v>
      </c>
      <c r="P668">
        <v>10</v>
      </c>
      <c r="Q668" t="s">
        <v>4509</v>
      </c>
      <c r="R668" t="s">
        <v>68</v>
      </c>
      <c r="S668" t="s">
        <v>1675</v>
      </c>
    </row>
    <row r="669" spans="1:22" x14ac:dyDescent="0.3">
      <c r="A669" t="s">
        <v>1771</v>
      </c>
      <c r="B669" t="s">
        <v>1772</v>
      </c>
      <c r="C669" t="s">
        <v>4371</v>
      </c>
      <c r="D669" t="s">
        <v>1674</v>
      </c>
      <c r="E669" t="s">
        <v>4386</v>
      </c>
      <c r="F669" t="s">
        <v>4387</v>
      </c>
      <c r="G669" t="s">
        <v>4371</v>
      </c>
      <c r="H669" t="s">
        <v>1674</v>
      </c>
      <c r="I669" s="1" t="s">
        <v>74</v>
      </c>
      <c r="J669" t="s">
        <v>4388</v>
      </c>
      <c r="K669">
        <v>1</v>
      </c>
      <c r="L669">
        <v>9</v>
      </c>
      <c r="M669">
        <v>353533</v>
      </c>
      <c r="N669" t="s">
        <v>4510</v>
      </c>
      <c r="O669" s="7" t="s">
        <v>70</v>
      </c>
      <c r="P669">
        <v>11</v>
      </c>
      <c r="Q669" t="s">
        <v>4511</v>
      </c>
      <c r="R669" t="s">
        <v>68</v>
      </c>
      <c r="S669" t="s">
        <v>1675</v>
      </c>
      <c r="V669" s="7"/>
    </row>
    <row r="670" spans="1:22" x14ac:dyDescent="0.3">
      <c r="A670" t="s">
        <v>1773</v>
      </c>
      <c r="B670" t="s">
        <v>1774</v>
      </c>
      <c r="C670" t="s">
        <v>4512</v>
      </c>
      <c r="D670" t="s">
        <v>4513</v>
      </c>
      <c r="E670" s="1" t="s">
        <v>4514</v>
      </c>
      <c r="F670" t="s">
        <v>1775</v>
      </c>
      <c r="G670" t="s">
        <v>4515</v>
      </c>
      <c r="H670" t="s">
        <v>4516</v>
      </c>
      <c r="I670" s="1">
        <v>43743</v>
      </c>
      <c r="J670" t="s">
        <v>4517</v>
      </c>
      <c r="K670">
        <v>1</v>
      </c>
      <c r="L670">
        <v>4</v>
      </c>
      <c r="M670">
        <v>653564</v>
      </c>
      <c r="N670" t="s">
        <v>4518</v>
      </c>
      <c r="O670" s="7" t="s">
        <v>70</v>
      </c>
      <c r="P670">
        <v>9</v>
      </c>
      <c r="Q670" t="s">
        <v>4519</v>
      </c>
      <c r="R670" t="s">
        <v>68</v>
      </c>
      <c r="S670" t="s">
        <v>1675</v>
      </c>
      <c r="V670" s="7"/>
    </row>
    <row r="671" spans="1:22" x14ac:dyDescent="0.3">
      <c r="A671" t="s">
        <v>1778</v>
      </c>
      <c r="B671" t="s">
        <v>1779</v>
      </c>
      <c r="C671" t="s">
        <v>4371</v>
      </c>
      <c r="D671" t="s">
        <v>1674</v>
      </c>
      <c r="E671" t="s">
        <v>4376</v>
      </c>
      <c r="F671" t="s">
        <v>1679</v>
      </c>
      <c r="G671" t="s">
        <v>4371</v>
      </c>
      <c r="H671" t="s">
        <v>1674</v>
      </c>
      <c r="I671" s="1" t="s">
        <v>72</v>
      </c>
      <c r="J671" t="s">
        <v>4377</v>
      </c>
      <c r="K671">
        <v>1</v>
      </c>
      <c r="L671">
        <v>5</v>
      </c>
      <c r="M671">
        <v>234733</v>
      </c>
      <c r="N671" t="s">
        <v>4520</v>
      </c>
      <c r="O671" t="s">
        <v>70</v>
      </c>
      <c r="P671">
        <v>10</v>
      </c>
      <c r="Q671" t="s">
        <v>4521</v>
      </c>
      <c r="R671" t="s">
        <v>68</v>
      </c>
      <c r="S671" t="s">
        <v>1675</v>
      </c>
      <c r="V671" s="7"/>
    </row>
    <row r="672" spans="1:22" x14ac:dyDescent="0.3">
      <c r="A672" t="s">
        <v>1780</v>
      </c>
      <c r="B672" t="s">
        <v>1781</v>
      </c>
      <c r="C672" t="s">
        <v>4475</v>
      </c>
      <c r="D672" t="s">
        <v>4476</v>
      </c>
      <c r="E672" s="1" t="s">
        <v>4423</v>
      </c>
      <c r="F672" t="s">
        <v>1709</v>
      </c>
      <c r="G672" t="s">
        <v>4371</v>
      </c>
      <c r="H672" t="s">
        <v>1674</v>
      </c>
      <c r="I672" s="1" t="s">
        <v>5105</v>
      </c>
      <c r="J672" t="s">
        <v>4424</v>
      </c>
      <c r="K672">
        <v>1</v>
      </c>
      <c r="L672">
        <v>8</v>
      </c>
      <c r="M672">
        <v>242053</v>
      </c>
      <c r="N672" t="s">
        <v>4522</v>
      </c>
      <c r="O672" s="7" t="s">
        <v>70</v>
      </c>
      <c r="P672">
        <v>8</v>
      </c>
      <c r="Q672" t="s">
        <v>4523</v>
      </c>
      <c r="R672" t="s">
        <v>68</v>
      </c>
      <c r="S672" t="s">
        <v>1675</v>
      </c>
      <c r="V672" s="7"/>
    </row>
    <row r="673" spans="1:22" x14ac:dyDescent="0.3">
      <c r="A673" t="s">
        <v>1782</v>
      </c>
      <c r="B673" t="s">
        <v>1783</v>
      </c>
      <c r="C673" t="s">
        <v>4371</v>
      </c>
      <c r="D673" t="s">
        <v>1674</v>
      </c>
      <c r="E673" t="s">
        <v>4386</v>
      </c>
      <c r="F673" t="s">
        <v>4387</v>
      </c>
      <c r="G673" t="s">
        <v>4371</v>
      </c>
      <c r="H673" t="s">
        <v>1674</v>
      </c>
      <c r="I673" s="1" t="s">
        <v>74</v>
      </c>
      <c r="J673" t="s">
        <v>4388</v>
      </c>
      <c r="K673">
        <v>1</v>
      </c>
      <c r="L673">
        <v>4</v>
      </c>
      <c r="M673">
        <v>64493</v>
      </c>
      <c r="N673" t="s">
        <v>4524</v>
      </c>
      <c r="O673" s="7" t="s">
        <v>70</v>
      </c>
      <c r="P673">
        <v>8</v>
      </c>
      <c r="Q673" t="s">
        <v>4525</v>
      </c>
      <c r="R673" t="s">
        <v>68</v>
      </c>
      <c r="S673" t="s">
        <v>1675</v>
      </c>
      <c r="V673" s="7"/>
    </row>
    <row r="674" spans="1:22" x14ac:dyDescent="0.3">
      <c r="A674" t="s">
        <v>1784</v>
      </c>
      <c r="B674" t="s">
        <v>1785</v>
      </c>
      <c r="C674" t="s">
        <v>4371</v>
      </c>
      <c r="D674" t="s">
        <v>1674</v>
      </c>
      <c r="E674" s="1" t="s">
        <v>4372</v>
      </c>
      <c r="F674" t="s">
        <v>1673</v>
      </c>
      <c r="G674" t="s">
        <v>4371</v>
      </c>
      <c r="H674" t="s">
        <v>1674</v>
      </c>
      <c r="I674" s="1" t="s">
        <v>5103</v>
      </c>
      <c r="J674" t="s">
        <v>4373</v>
      </c>
      <c r="K674">
        <v>1</v>
      </c>
      <c r="L674">
        <v>6</v>
      </c>
      <c r="M674">
        <v>241982</v>
      </c>
      <c r="N674" t="s">
        <v>4526</v>
      </c>
      <c r="O674" s="7" t="s">
        <v>70</v>
      </c>
      <c r="P674">
        <v>8</v>
      </c>
      <c r="Q674" t="s">
        <v>4527</v>
      </c>
      <c r="R674" t="s">
        <v>68</v>
      </c>
      <c r="S674" t="s">
        <v>1675</v>
      </c>
      <c r="V674" s="7"/>
    </row>
    <row r="675" spans="1:22" x14ac:dyDescent="0.3">
      <c r="A675" t="s">
        <v>1786</v>
      </c>
      <c r="B675" t="s">
        <v>1787</v>
      </c>
      <c r="C675" t="s">
        <v>4371</v>
      </c>
      <c r="D675" t="s">
        <v>1674</v>
      </c>
      <c r="E675" s="1" t="s">
        <v>4498</v>
      </c>
      <c r="F675" t="s">
        <v>1762</v>
      </c>
      <c r="G675" t="s">
        <v>4371</v>
      </c>
      <c r="H675" t="s">
        <v>1674</v>
      </c>
      <c r="I675" s="1">
        <v>45606</v>
      </c>
      <c r="J675" t="s">
        <v>4499</v>
      </c>
      <c r="K675">
        <v>1</v>
      </c>
      <c r="L675">
        <v>20</v>
      </c>
      <c r="M675">
        <v>476373</v>
      </c>
      <c r="N675" t="s">
        <v>4528</v>
      </c>
      <c r="O675" s="7" t="s">
        <v>70</v>
      </c>
      <c r="P675">
        <v>10</v>
      </c>
      <c r="Q675" t="s">
        <v>4529</v>
      </c>
      <c r="R675" t="s">
        <v>68</v>
      </c>
      <c r="S675" t="s">
        <v>1675</v>
      </c>
      <c r="V675" s="7"/>
    </row>
    <row r="676" spans="1:22" x14ac:dyDescent="0.3">
      <c r="A676" t="s">
        <v>1788</v>
      </c>
      <c r="B676" t="s">
        <v>1789</v>
      </c>
      <c r="C676" t="s">
        <v>4530</v>
      </c>
      <c r="D676" t="s">
        <v>4531</v>
      </c>
      <c r="E676" s="1" t="s">
        <v>4423</v>
      </c>
      <c r="F676" t="s">
        <v>1709</v>
      </c>
      <c r="G676" t="s">
        <v>4371</v>
      </c>
      <c r="H676" t="s">
        <v>1674</v>
      </c>
      <c r="I676" s="1" t="s">
        <v>5105</v>
      </c>
      <c r="J676" t="s">
        <v>4424</v>
      </c>
      <c r="K676">
        <v>1</v>
      </c>
      <c r="L676">
        <v>6</v>
      </c>
      <c r="M676">
        <v>216440</v>
      </c>
      <c r="N676" t="s">
        <v>4532</v>
      </c>
      <c r="O676" t="s">
        <v>70</v>
      </c>
      <c r="P676">
        <v>9</v>
      </c>
      <c r="Q676" t="s">
        <v>4533</v>
      </c>
      <c r="R676" t="s">
        <v>68</v>
      </c>
      <c r="S676" t="s">
        <v>1675</v>
      </c>
      <c r="V676" s="7"/>
    </row>
    <row r="677" spans="1:22" x14ac:dyDescent="0.3">
      <c r="A677" t="s">
        <v>1790</v>
      </c>
      <c r="B677" t="s">
        <v>1791</v>
      </c>
      <c r="C677" t="s">
        <v>4534</v>
      </c>
      <c r="D677" t="s">
        <v>4535</v>
      </c>
      <c r="E677" s="1" t="s">
        <v>4536</v>
      </c>
      <c r="F677" t="s">
        <v>1792</v>
      </c>
      <c r="G677" t="s">
        <v>69</v>
      </c>
      <c r="H677" t="s">
        <v>13</v>
      </c>
      <c r="I677" s="1" t="s">
        <v>5109</v>
      </c>
      <c r="J677" t="s">
        <v>4537</v>
      </c>
      <c r="K677">
        <v>1</v>
      </c>
      <c r="L677">
        <v>7</v>
      </c>
      <c r="M677">
        <v>285704</v>
      </c>
      <c r="N677" t="s">
        <v>4538</v>
      </c>
      <c r="O677" s="7" t="s">
        <v>70</v>
      </c>
      <c r="P677">
        <v>5</v>
      </c>
      <c r="Q677" t="s">
        <v>4539</v>
      </c>
      <c r="R677" t="s">
        <v>68</v>
      </c>
      <c r="S677" t="s">
        <v>1675</v>
      </c>
      <c r="V677" s="7"/>
    </row>
    <row r="678" spans="1:22" x14ac:dyDescent="0.3">
      <c r="A678" t="s">
        <v>1794</v>
      </c>
      <c r="B678" t="s">
        <v>1795</v>
      </c>
      <c r="C678" t="s">
        <v>4371</v>
      </c>
      <c r="D678" t="s">
        <v>1674</v>
      </c>
      <c r="E678" s="1" t="s">
        <v>4372</v>
      </c>
      <c r="F678" t="s">
        <v>1673</v>
      </c>
      <c r="G678" t="s">
        <v>4371</v>
      </c>
      <c r="H678" t="s">
        <v>1674</v>
      </c>
      <c r="I678" s="1" t="s">
        <v>5103</v>
      </c>
      <c r="J678" t="s">
        <v>4373</v>
      </c>
      <c r="K678">
        <v>1</v>
      </c>
      <c r="L678">
        <v>5</v>
      </c>
      <c r="M678">
        <v>503328</v>
      </c>
      <c r="N678" t="s">
        <v>4540</v>
      </c>
      <c r="O678" s="7" t="s">
        <v>70</v>
      </c>
      <c r="P678">
        <v>9</v>
      </c>
      <c r="Q678" t="s">
        <v>4541</v>
      </c>
      <c r="R678" t="s">
        <v>68</v>
      </c>
      <c r="S678" t="s">
        <v>1675</v>
      </c>
      <c r="V678" s="7"/>
    </row>
    <row r="679" spans="1:22" x14ac:dyDescent="0.3">
      <c r="A679" t="s">
        <v>1796</v>
      </c>
      <c r="B679" t="s">
        <v>1797</v>
      </c>
      <c r="C679" t="s">
        <v>4542</v>
      </c>
      <c r="D679" t="s">
        <v>4543</v>
      </c>
      <c r="E679" s="1" t="s">
        <v>4544</v>
      </c>
      <c r="F679" t="s">
        <v>1797</v>
      </c>
      <c r="G679" t="s">
        <v>4545</v>
      </c>
      <c r="H679" t="s">
        <v>4546</v>
      </c>
      <c r="I679" s="1" t="s">
        <v>5039</v>
      </c>
      <c r="J679" t="s">
        <v>4547</v>
      </c>
      <c r="K679">
        <v>1</v>
      </c>
      <c r="L679">
        <v>1</v>
      </c>
      <c r="M679">
        <v>144535</v>
      </c>
      <c r="N679" t="s">
        <v>4548</v>
      </c>
      <c r="O679" s="7" t="s">
        <v>70</v>
      </c>
      <c r="P679">
        <v>6</v>
      </c>
      <c r="Q679" t="s">
        <v>4549</v>
      </c>
      <c r="R679" t="s">
        <v>68</v>
      </c>
      <c r="S679" t="s">
        <v>1675</v>
      </c>
      <c r="V679" s="7"/>
    </row>
    <row r="680" spans="1:22" x14ac:dyDescent="0.3">
      <c r="A680" t="s">
        <v>1800</v>
      </c>
      <c r="B680" t="s">
        <v>1801</v>
      </c>
      <c r="C680" t="s">
        <v>4371</v>
      </c>
      <c r="D680" t="s">
        <v>1674</v>
      </c>
      <c r="E680" s="1" t="s">
        <v>4550</v>
      </c>
      <c r="F680" t="s">
        <v>1802</v>
      </c>
      <c r="G680" t="s">
        <v>4371</v>
      </c>
      <c r="H680" t="s">
        <v>1674</v>
      </c>
      <c r="I680" s="1">
        <v>40179</v>
      </c>
      <c r="J680" t="s">
        <v>4551</v>
      </c>
      <c r="K680">
        <v>1</v>
      </c>
      <c r="L680">
        <v>3</v>
      </c>
      <c r="M680">
        <v>303506</v>
      </c>
      <c r="O680" s="7" t="s">
        <v>70</v>
      </c>
      <c r="P680">
        <v>2</v>
      </c>
      <c r="Q680" t="s">
        <v>4552</v>
      </c>
      <c r="R680" t="s">
        <v>68</v>
      </c>
      <c r="S680" t="s">
        <v>1675</v>
      </c>
      <c r="V680" s="7"/>
    </row>
    <row r="681" spans="1:22" x14ac:dyDescent="0.3">
      <c r="A681" t="s">
        <v>1804</v>
      </c>
      <c r="B681" t="s">
        <v>1694</v>
      </c>
      <c r="C681" t="s">
        <v>4553</v>
      </c>
      <c r="D681" t="s">
        <v>4554</v>
      </c>
      <c r="E681" s="1" t="s">
        <v>4423</v>
      </c>
      <c r="F681" t="s">
        <v>1709</v>
      </c>
      <c r="G681" t="s">
        <v>4371</v>
      </c>
      <c r="H681" t="s">
        <v>1674</v>
      </c>
      <c r="I681" s="1" t="s">
        <v>5105</v>
      </c>
      <c r="J681" t="s">
        <v>4424</v>
      </c>
      <c r="K681">
        <v>1</v>
      </c>
      <c r="L681">
        <v>4</v>
      </c>
      <c r="M681">
        <v>332546</v>
      </c>
      <c r="N681" t="s">
        <v>4555</v>
      </c>
      <c r="O681" s="7" t="s">
        <v>70</v>
      </c>
      <c r="P681">
        <v>25</v>
      </c>
      <c r="Q681" t="s">
        <v>4556</v>
      </c>
      <c r="R681" t="s">
        <v>68</v>
      </c>
      <c r="S681" t="s">
        <v>1805</v>
      </c>
      <c r="V681" s="7"/>
    </row>
    <row r="682" spans="1:22" x14ac:dyDescent="0.3">
      <c r="A682" t="s">
        <v>1806</v>
      </c>
      <c r="B682" t="s">
        <v>1807</v>
      </c>
      <c r="C682" t="s">
        <v>4557</v>
      </c>
      <c r="D682" t="s">
        <v>9</v>
      </c>
      <c r="E682" s="1" t="s">
        <v>4558</v>
      </c>
      <c r="F682" t="s">
        <v>1808</v>
      </c>
      <c r="G682" t="s">
        <v>4557</v>
      </c>
      <c r="H682" t="s">
        <v>9</v>
      </c>
      <c r="I682" s="1" t="s">
        <v>5110</v>
      </c>
      <c r="J682" t="s">
        <v>4559</v>
      </c>
      <c r="K682">
        <v>1</v>
      </c>
      <c r="L682">
        <v>1</v>
      </c>
      <c r="M682">
        <v>164560</v>
      </c>
      <c r="N682" t="s">
        <v>4560</v>
      </c>
      <c r="O682" s="7" t="s">
        <v>70</v>
      </c>
      <c r="P682">
        <v>45</v>
      </c>
      <c r="Q682" t="s">
        <v>4561</v>
      </c>
      <c r="R682" t="s">
        <v>68</v>
      </c>
      <c r="S682" t="s">
        <v>1809</v>
      </c>
      <c r="V682" s="7"/>
    </row>
    <row r="683" spans="1:22" x14ac:dyDescent="0.3">
      <c r="A683" t="s">
        <v>1812</v>
      </c>
      <c r="B683" t="s">
        <v>1813</v>
      </c>
      <c r="C683" t="s">
        <v>4557</v>
      </c>
      <c r="D683" t="s">
        <v>9</v>
      </c>
      <c r="E683" s="1" t="s">
        <v>4558</v>
      </c>
      <c r="F683" t="s">
        <v>1808</v>
      </c>
      <c r="G683" t="s">
        <v>4557</v>
      </c>
      <c r="H683" t="s">
        <v>9</v>
      </c>
      <c r="I683" s="1" t="s">
        <v>5110</v>
      </c>
      <c r="J683" t="s">
        <v>4559</v>
      </c>
      <c r="K683">
        <v>1</v>
      </c>
      <c r="L683">
        <v>2</v>
      </c>
      <c r="M683">
        <v>28333</v>
      </c>
      <c r="N683" t="s">
        <v>4562</v>
      </c>
      <c r="O683" s="7" t="s">
        <v>70</v>
      </c>
      <c r="P683">
        <v>8</v>
      </c>
      <c r="Q683" t="s">
        <v>4563</v>
      </c>
      <c r="R683" t="s">
        <v>68</v>
      </c>
      <c r="S683" t="s">
        <v>1809</v>
      </c>
      <c r="V683" s="7"/>
    </row>
    <row r="684" spans="1:22" x14ac:dyDescent="0.3">
      <c r="A684" t="s">
        <v>1814</v>
      </c>
      <c r="B684" t="s">
        <v>1815</v>
      </c>
      <c r="C684" t="s">
        <v>4557</v>
      </c>
      <c r="D684" t="s">
        <v>9</v>
      </c>
      <c r="E684" s="1" t="s">
        <v>4558</v>
      </c>
      <c r="F684" t="s">
        <v>1808</v>
      </c>
      <c r="G684" t="s">
        <v>4557</v>
      </c>
      <c r="H684" t="s">
        <v>9</v>
      </c>
      <c r="I684" s="1" t="s">
        <v>5110</v>
      </c>
      <c r="J684" t="s">
        <v>4559</v>
      </c>
      <c r="K684">
        <v>1</v>
      </c>
      <c r="L684">
        <v>3</v>
      </c>
      <c r="M684">
        <v>335026</v>
      </c>
      <c r="N684" t="s">
        <v>4564</v>
      </c>
      <c r="O684" s="7" t="s">
        <v>70</v>
      </c>
      <c r="P684">
        <v>52</v>
      </c>
      <c r="Q684" t="s">
        <v>4565</v>
      </c>
      <c r="R684" t="s">
        <v>68</v>
      </c>
      <c r="S684" t="s">
        <v>1809</v>
      </c>
      <c r="V684" s="7"/>
    </row>
    <row r="685" spans="1:22" x14ac:dyDescent="0.3">
      <c r="A685" t="s">
        <v>1816</v>
      </c>
      <c r="B685" t="s">
        <v>1817</v>
      </c>
      <c r="C685" t="s">
        <v>4557</v>
      </c>
      <c r="D685" t="s">
        <v>9</v>
      </c>
      <c r="E685" s="1" t="s">
        <v>4558</v>
      </c>
      <c r="F685" t="s">
        <v>1808</v>
      </c>
      <c r="G685" t="s">
        <v>4557</v>
      </c>
      <c r="H685" t="s">
        <v>9</v>
      </c>
      <c r="I685" s="1" t="s">
        <v>5110</v>
      </c>
      <c r="J685" t="s">
        <v>4559</v>
      </c>
      <c r="K685">
        <v>1</v>
      </c>
      <c r="L685">
        <v>4</v>
      </c>
      <c r="M685">
        <v>328680</v>
      </c>
      <c r="N685" t="s">
        <v>4566</v>
      </c>
      <c r="O685" s="7" t="s">
        <v>70</v>
      </c>
      <c r="P685">
        <v>61</v>
      </c>
      <c r="Q685" t="s">
        <v>4567</v>
      </c>
      <c r="R685" t="s">
        <v>68</v>
      </c>
      <c r="S685" t="s">
        <v>1809</v>
      </c>
      <c r="V685" s="7"/>
    </row>
    <row r="686" spans="1:22" x14ac:dyDescent="0.3">
      <c r="A686" t="s">
        <v>1818</v>
      </c>
      <c r="B686" t="s">
        <v>1819</v>
      </c>
      <c r="C686" t="s">
        <v>4557</v>
      </c>
      <c r="D686" t="s">
        <v>9</v>
      </c>
      <c r="E686" s="1" t="s">
        <v>4558</v>
      </c>
      <c r="F686" t="s">
        <v>1808</v>
      </c>
      <c r="G686" t="s">
        <v>4557</v>
      </c>
      <c r="H686" t="s">
        <v>9</v>
      </c>
      <c r="I686" s="1" t="s">
        <v>5110</v>
      </c>
      <c r="J686" t="s">
        <v>4559</v>
      </c>
      <c r="K686">
        <v>1</v>
      </c>
      <c r="L686">
        <v>5</v>
      </c>
      <c r="M686">
        <v>297106</v>
      </c>
      <c r="N686" t="s">
        <v>4568</v>
      </c>
      <c r="O686" s="7" t="s">
        <v>70</v>
      </c>
      <c r="P686">
        <v>44</v>
      </c>
      <c r="Q686" t="s">
        <v>4569</v>
      </c>
      <c r="R686" t="s">
        <v>68</v>
      </c>
      <c r="S686" t="s">
        <v>1809</v>
      </c>
      <c r="V686" s="7"/>
    </row>
    <row r="687" spans="1:22" x14ac:dyDescent="0.3">
      <c r="A687" t="s">
        <v>1820</v>
      </c>
      <c r="B687" t="s">
        <v>1821</v>
      </c>
      <c r="C687" t="s">
        <v>4557</v>
      </c>
      <c r="D687" t="s">
        <v>9</v>
      </c>
      <c r="E687" s="1" t="s">
        <v>4558</v>
      </c>
      <c r="F687" t="s">
        <v>1808</v>
      </c>
      <c r="G687" t="s">
        <v>4557</v>
      </c>
      <c r="H687" t="s">
        <v>9</v>
      </c>
      <c r="I687" s="1" t="s">
        <v>5110</v>
      </c>
      <c r="J687" t="s">
        <v>4559</v>
      </c>
      <c r="K687">
        <v>1</v>
      </c>
      <c r="L687">
        <v>6</v>
      </c>
      <c r="M687">
        <v>244400</v>
      </c>
      <c r="N687" t="s">
        <v>4570</v>
      </c>
      <c r="O687" s="7" t="s">
        <v>70</v>
      </c>
      <c r="P687">
        <v>46</v>
      </c>
      <c r="Q687" t="s">
        <v>4571</v>
      </c>
      <c r="R687" t="s">
        <v>68</v>
      </c>
      <c r="S687" t="s">
        <v>1809</v>
      </c>
      <c r="V687" s="7"/>
    </row>
    <row r="688" spans="1:22" x14ac:dyDescent="0.3">
      <c r="A688" t="s">
        <v>1822</v>
      </c>
      <c r="B688" t="s">
        <v>1823</v>
      </c>
      <c r="C688" t="s">
        <v>4557</v>
      </c>
      <c r="D688" t="s">
        <v>9</v>
      </c>
      <c r="E688" s="1" t="s">
        <v>4558</v>
      </c>
      <c r="F688" t="s">
        <v>1808</v>
      </c>
      <c r="G688" t="s">
        <v>4557</v>
      </c>
      <c r="H688" t="s">
        <v>9</v>
      </c>
      <c r="I688" s="1" t="s">
        <v>5110</v>
      </c>
      <c r="J688" t="s">
        <v>4559</v>
      </c>
      <c r="K688">
        <v>1</v>
      </c>
      <c r="L688">
        <v>7</v>
      </c>
      <c r="M688">
        <v>429533</v>
      </c>
      <c r="N688" t="s">
        <v>4572</v>
      </c>
      <c r="O688" s="7" t="s">
        <v>70</v>
      </c>
      <c r="P688">
        <v>70</v>
      </c>
      <c r="Q688" t="s">
        <v>4573</v>
      </c>
      <c r="R688" t="s">
        <v>68</v>
      </c>
      <c r="S688" t="s">
        <v>1809</v>
      </c>
      <c r="V688" s="7"/>
    </row>
    <row r="689" spans="1:22" x14ac:dyDescent="0.3">
      <c r="A689" t="s">
        <v>1824</v>
      </c>
      <c r="B689" t="s">
        <v>1825</v>
      </c>
      <c r="C689" t="s">
        <v>4557</v>
      </c>
      <c r="D689" t="s">
        <v>9</v>
      </c>
      <c r="E689" s="1" t="s">
        <v>4558</v>
      </c>
      <c r="F689" t="s">
        <v>1808</v>
      </c>
      <c r="G689" t="s">
        <v>4557</v>
      </c>
      <c r="H689" t="s">
        <v>9</v>
      </c>
      <c r="I689" s="1" t="s">
        <v>5110</v>
      </c>
      <c r="J689" t="s">
        <v>4559</v>
      </c>
      <c r="K689">
        <v>1</v>
      </c>
      <c r="L689">
        <v>8</v>
      </c>
      <c r="M689">
        <v>448626</v>
      </c>
      <c r="N689" t="s">
        <v>4574</v>
      </c>
      <c r="O689" t="s">
        <v>70</v>
      </c>
      <c r="P689">
        <v>43</v>
      </c>
      <c r="Q689" t="s">
        <v>4575</v>
      </c>
      <c r="R689" t="s">
        <v>68</v>
      </c>
      <c r="S689" t="s">
        <v>1809</v>
      </c>
      <c r="V689" s="7"/>
    </row>
    <row r="690" spans="1:22" x14ac:dyDescent="0.3">
      <c r="A690" t="s">
        <v>1826</v>
      </c>
      <c r="B690" t="s">
        <v>1827</v>
      </c>
      <c r="C690" t="s">
        <v>4557</v>
      </c>
      <c r="D690" t="s">
        <v>9</v>
      </c>
      <c r="E690" s="1" t="s">
        <v>4558</v>
      </c>
      <c r="F690" t="s">
        <v>1808</v>
      </c>
      <c r="G690" t="s">
        <v>4557</v>
      </c>
      <c r="H690" t="s">
        <v>9</v>
      </c>
      <c r="I690" s="1" t="s">
        <v>5110</v>
      </c>
      <c r="J690" t="s">
        <v>4559</v>
      </c>
      <c r="K690">
        <v>1</v>
      </c>
      <c r="L690">
        <v>9</v>
      </c>
      <c r="M690">
        <v>173493</v>
      </c>
      <c r="N690" t="s">
        <v>4576</v>
      </c>
      <c r="O690" t="s">
        <v>70</v>
      </c>
      <c r="P690">
        <v>40</v>
      </c>
      <c r="Q690" t="s">
        <v>4577</v>
      </c>
      <c r="R690" t="s">
        <v>68</v>
      </c>
      <c r="S690" t="s">
        <v>1809</v>
      </c>
      <c r="V690" s="7"/>
    </row>
    <row r="691" spans="1:22" x14ac:dyDescent="0.3">
      <c r="A691" t="s">
        <v>1828</v>
      </c>
      <c r="B691" t="s">
        <v>1829</v>
      </c>
      <c r="C691" t="s">
        <v>4557</v>
      </c>
      <c r="D691" t="s">
        <v>9</v>
      </c>
      <c r="E691" s="1" t="s">
        <v>4558</v>
      </c>
      <c r="F691" t="s">
        <v>1808</v>
      </c>
      <c r="G691" t="s">
        <v>4557</v>
      </c>
      <c r="H691" t="s">
        <v>9</v>
      </c>
      <c r="I691" s="1" t="s">
        <v>5110</v>
      </c>
      <c r="J691" t="s">
        <v>4559</v>
      </c>
      <c r="K691">
        <v>1</v>
      </c>
      <c r="L691">
        <v>10</v>
      </c>
      <c r="M691">
        <v>362466</v>
      </c>
      <c r="N691" t="s">
        <v>4578</v>
      </c>
      <c r="O691" s="7" t="s">
        <v>70</v>
      </c>
      <c r="P691">
        <v>38</v>
      </c>
      <c r="Q691" t="s">
        <v>4579</v>
      </c>
      <c r="R691" t="s">
        <v>68</v>
      </c>
      <c r="S691" t="s">
        <v>1809</v>
      </c>
      <c r="V691" s="7"/>
    </row>
    <row r="692" spans="1:22" x14ac:dyDescent="0.3">
      <c r="A692" t="s">
        <v>1830</v>
      </c>
      <c r="B692" t="s">
        <v>1831</v>
      </c>
      <c r="C692" t="s">
        <v>4557</v>
      </c>
      <c r="D692" t="s">
        <v>9</v>
      </c>
      <c r="E692" s="1" t="s">
        <v>4558</v>
      </c>
      <c r="F692" t="s">
        <v>1808</v>
      </c>
      <c r="G692" t="s">
        <v>4557</v>
      </c>
      <c r="H692" t="s">
        <v>9</v>
      </c>
      <c r="I692" s="1" t="s">
        <v>5110</v>
      </c>
      <c r="J692" t="s">
        <v>4559</v>
      </c>
      <c r="K692">
        <v>1</v>
      </c>
      <c r="L692">
        <v>11</v>
      </c>
      <c r="M692">
        <v>453866</v>
      </c>
      <c r="N692" t="s">
        <v>4580</v>
      </c>
      <c r="O692" s="7" t="s">
        <v>70</v>
      </c>
      <c r="P692">
        <v>40</v>
      </c>
      <c r="Q692" t="s">
        <v>4581</v>
      </c>
      <c r="R692" t="s">
        <v>68</v>
      </c>
      <c r="S692" t="s">
        <v>1809</v>
      </c>
      <c r="V692" s="7"/>
    </row>
    <row r="693" spans="1:22" x14ac:dyDescent="0.3">
      <c r="A693" t="s">
        <v>1832</v>
      </c>
      <c r="B693" t="s">
        <v>1833</v>
      </c>
      <c r="C693" t="s">
        <v>4557</v>
      </c>
      <c r="D693" t="s">
        <v>9</v>
      </c>
      <c r="E693" s="1" t="s">
        <v>4558</v>
      </c>
      <c r="F693" t="s">
        <v>1808</v>
      </c>
      <c r="G693" t="s">
        <v>4557</v>
      </c>
      <c r="H693" t="s">
        <v>9</v>
      </c>
      <c r="I693" s="1" t="s">
        <v>5110</v>
      </c>
      <c r="J693" t="s">
        <v>4559</v>
      </c>
      <c r="K693">
        <v>1</v>
      </c>
      <c r="L693">
        <v>12</v>
      </c>
      <c r="M693">
        <v>121200</v>
      </c>
      <c r="N693" t="s">
        <v>4582</v>
      </c>
      <c r="O693" s="7" t="s">
        <v>70</v>
      </c>
      <c r="P693">
        <v>35</v>
      </c>
      <c r="Q693" t="s">
        <v>4583</v>
      </c>
      <c r="R693" t="s">
        <v>68</v>
      </c>
      <c r="S693" t="s">
        <v>1809</v>
      </c>
      <c r="V693" s="7"/>
    </row>
    <row r="694" spans="1:22" x14ac:dyDescent="0.3">
      <c r="A694" t="s">
        <v>1834</v>
      </c>
      <c r="B694" t="s">
        <v>1835</v>
      </c>
      <c r="C694" t="s">
        <v>4557</v>
      </c>
      <c r="D694" t="s">
        <v>9</v>
      </c>
      <c r="E694" s="1" t="s">
        <v>4558</v>
      </c>
      <c r="F694" t="s">
        <v>1808</v>
      </c>
      <c r="G694" t="s">
        <v>4557</v>
      </c>
      <c r="H694" t="s">
        <v>9</v>
      </c>
      <c r="I694" s="1" t="s">
        <v>5110</v>
      </c>
      <c r="J694" t="s">
        <v>4559</v>
      </c>
      <c r="K694">
        <v>1</v>
      </c>
      <c r="L694">
        <v>13</v>
      </c>
      <c r="M694">
        <v>414173</v>
      </c>
      <c r="N694" t="s">
        <v>4584</v>
      </c>
      <c r="O694" s="7" t="s">
        <v>70</v>
      </c>
      <c r="P694">
        <v>40</v>
      </c>
      <c r="Q694" t="s">
        <v>4585</v>
      </c>
      <c r="R694" t="s">
        <v>68</v>
      </c>
      <c r="S694" t="s">
        <v>1809</v>
      </c>
      <c r="V694" s="7"/>
    </row>
    <row r="695" spans="1:22" x14ac:dyDescent="0.3">
      <c r="A695" t="s">
        <v>1836</v>
      </c>
      <c r="B695" t="s">
        <v>1837</v>
      </c>
      <c r="C695" t="s">
        <v>4557</v>
      </c>
      <c r="D695" t="s">
        <v>9</v>
      </c>
      <c r="E695" s="1" t="s">
        <v>4558</v>
      </c>
      <c r="F695" t="s">
        <v>1808</v>
      </c>
      <c r="G695" t="s">
        <v>4557</v>
      </c>
      <c r="H695" t="s">
        <v>9</v>
      </c>
      <c r="I695" s="1" t="s">
        <v>5110</v>
      </c>
      <c r="J695" t="s">
        <v>4559</v>
      </c>
      <c r="K695">
        <v>1</v>
      </c>
      <c r="L695">
        <v>14</v>
      </c>
      <c r="M695">
        <v>274733</v>
      </c>
      <c r="N695" t="s">
        <v>4586</v>
      </c>
      <c r="O695" s="7" t="s">
        <v>70</v>
      </c>
      <c r="P695">
        <v>38</v>
      </c>
      <c r="Q695" t="s">
        <v>4587</v>
      </c>
      <c r="R695" t="s">
        <v>68</v>
      </c>
      <c r="S695" t="s">
        <v>1809</v>
      </c>
      <c r="V695" s="7"/>
    </row>
    <row r="696" spans="1:22" x14ac:dyDescent="0.3">
      <c r="A696" t="s">
        <v>1838</v>
      </c>
      <c r="B696" t="s">
        <v>1839</v>
      </c>
      <c r="C696" t="s">
        <v>4557</v>
      </c>
      <c r="D696" t="s">
        <v>9</v>
      </c>
      <c r="E696" s="1" t="s">
        <v>4558</v>
      </c>
      <c r="F696" t="s">
        <v>1808</v>
      </c>
      <c r="G696" t="s">
        <v>4557</v>
      </c>
      <c r="H696" t="s">
        <v>9</v>
      </c>
      <c r="I696" s="1" t="s">
        <v>5110</v>
      </c>
      <c r="J696" t="s">
        <v>4559</v>
      </c>
      <c r="K696">
        <v>1</v>
      </c>
      <c r="L696">
        <v>15</v>
      </c>
      <c r="M696">
        <v>316253</v>
      </c>
      <c r="N696" t="s">
        <v>4588</v>
      </c>
      <c r="O696" s="7" t="s">
        <v>70</v>
      </c>
      <c r="P696">
        <v>40</v>
      </c>
      <c r="Q696" t="s">
        <v>4589</v>
      </c>
      <c r="R696" t="s">
        <v>68</v>
      </c>
      <c r="S696" t="s">
        <v>1809</v>
      </c>
      <c r="V696" s="7"/>
    </row>
    <row r="697" spans="1:22" x14ac:dyDescent="0.3">
      <c r="A697" t="s">
        <v>1840</v>
      </c>
      <c r="B697" t="s">
        <v>1841</v>
      </c>
      <c r="C697" t="s">
        <v>4557</v>
      </c>
      <c r="D697" t="s">
        <v>9</v>
      </c>
      <c r="E697" s="1" t="s">
        <v>4558</v>
      </c>
      <c r="F697" t="s">
        <v>1808</v>
      </c>
      <c r="G697" t="s">
        <v>4557</v>
      </c>
      <c r="H697" t="s">
        <v>9</v>
      </c>
      <c r="I697" s="1" t="s">
        <v>5110</v>
      </c>
      <c r="J697" t="s">
        <v>4559</v>
      </c>
      <c r="K697">
        <v>1</v>
      </c>
      <c r="L697">
        <v>16</v>
      </c>
      <c r="M697">
        <v>51400</v>
      </c>
      <c r="N697" t="s">
        <v>4590</v>
      </c>
      <c r="O697" s="7" t="s">
        <v>70</v>
      </c>
      <c r="P697">
        <v>35</v>
      </c>
      <c r="Q697" t="s">
        <v>4591</v>
      </c>
      <c r="R697" t="s">
        <v>68</v>
      </c>
      <c r="S697" t="s">
        <v>1809</v>
      </c>
      <c r="V697" s="7"/>
    </row>
    <row r="698" spans="1:22" x14ac:dyDescent="0.3">
      <c r="A698" t="s">
        <v>1842</v>
      </c>
      <c r="B698" t="s">
        <v>1843</v>
      </c>
      <c r="C698" t="s">
        <v>4557</v>
      </c>
      <c r="D698" t="s">
        <v>9</v>
      </c>
      <c r="E698" s="1" t="s">
        <v>4592</v>
      </c>
      <c r="F698" t="s">
        <v>1844</v>
      </c>
      <c r="G698" t="s">
        <v>4557</v>
      </c>
      <c r="H698" t="s">
        <v>9</v>
      </c>
      <c r="I698" s="1">
        <v>37228</v>
      </c>
      <c r="J698" t="s">
        <v>4593</v>
      </c>
      <c r="K698">
        <v>1</v>
      </c>
      <c r="L698">
        <v>1</v>
      </c>
      <c r="M698">
        <v>320357</v>
      </c>
      <c r="N698" t="s">
        <v>4594</v>
      </c>
      <c r="O698" s="7" t="s">
        <v>70</v>
      </c>
      <c r="P698">
        <v>76</v>
      </c>
      <c r="Q698" t="s">
        <v>4595</v>
      </c>
      <c r="R698" t="s">
        <v>68</v>
      </c>
      <c r="S698" t="s">
        <v>1809</v>
      </c>
      <c r="V698" s="7"/>
    </row>
    <row r="699" spans="1:22" x14ac:dyDescent="0.3">
      <c r="A699" t="s">
        <v>1845</v>
      </c>
      <c r="B699" t="s">
        <v>1846</v>
      </c>
      <c r="C699" t="s">
        <v>4557</v>
      </c>
      <c r="D699" t="s">
        <v>9</v>
      </c>
      <c r="E699" s="1" t="s">
        <v>4592</v>
      </c>
      <c r="F699" t="s">
        <v>1844</v>
      </c>
      <c r="G699" t="s">
        <v>4557</v>
      </c>
      <c r="H699" t="s">
        <v>9</v>
      </c>
      <c r="I699" s="1">
        <v>37228</v>
      </c>
      <c r="J699" t="s">
        <v>4593</v>
      </c>
      <c r="K699">
        <v>1</v>
      </c>
      <c r="L699">
        <v>2</v>
      </c>
      <c r="M699">
        <v>212546</v>
      </c>
      <c r="N699" t="s">
        <v>4596</v>
      </c>
      <c r="O699" s="7" t="s">
        <v>70</v>
      </c>
      <c r="P699">
        <v>60</v>
      </c>
      <c r="Q699" t="s">
        <v>4597</v>
      </c>
      <c r="R699" t="s">
        <v>68</v>
      </c>
      <c r="S699" t="s">
        <v>1809</v>
      </c>
      <c r="V699" s="7"/>
    </row>
    <row r="700" spans="1:22" x14ac:dyDescent="0.3">
      <c r="A700" t="s">
        <v>1847</v>
      </c>
      <c r="B700" t="s">
        <v>1848</v>
      </c>
      <c r="C700" t="s">
        <v>4557</v>
      </c>
      <c r="D700" t="s">
        <v>9</v>
      </c>
      <c r="E700" s="1" t="s">
        <v>4592</v>
      </c>
      <c r="F700" t="s">
        <v>1844</v>
      </c>
      <c r="G700" t="s">
        <v>4557</v>
      </c>
      <c r="H700" t="s">
        <v>9</v>
      </c>
      <c r="I700" s="1">
        <v>37228</v>
      </c>
      <c r="J700" t="s">
        <v>4593</v>
      </c>
      <c r="K700">
        <v>1</v>
      </c>
      <c r="L700">
        <v>3</v>
      </c>
      <c r="M700">
        <v>301373</v>
      </c>
      <c r="N700" t="s">
        <v>4598</v>
      </c>
      <c r="O700" s="7" t="s">
        <v>70</v>
      </c>
      <c r="P700">
        <v>65</v>
      </c>
      <c r="Q700" t="s">
        <v>4599</v>
      </c>
      <c r="R700" t="s">
        <v>68</v>
      </c>
      <c r="S700" t="s">
        <v>1809</v>
      </c>
      <c r="V700" s="7"/>
    </row>
    <row r="701" spans="1:22" x14ac:dyDescent="0.3">
      <c r="A701" t="s">
        <v>1849</v>
      </c>
      <c r="B701" t="s">
        <v>1850</v>
      </c>
      <c r="C701" t="s">
        <v>4557</v>
      </c>
      <c r="D701" t="s">
        <v>9</v>
      </c>
      <c r="E701" s="1" t="s">
        <v>4592</v>
      </c>
      <c r="F701" t="s">
        <v>1844</v>
      </c>
      <c r="G701" t="s">
        <v>4557</v>
      </c>
      <c r="H701" t="s">
        <v>9</v>
      </c>
      <c r="I701" s="1">
        <v>37228</v>
      </c>
      <c r="J701" t="s">
        <v>4593</v>
      </c>
      <c r="K701">
        <v>1</v>
      </c>
      <c r="L701">
        <v>4</v>
      </c>
      <c r="M701">
        <v>226413</v>
      </c>
      <c r="N701" t="s">
        <v>4600</v>
      </c>
      <c r="O701" s="7" t="s">
        <v>70</v>
      </c>
      <c r="P701">
        <v>70</v>
      </c>
      <c r="Q701" t="s">
        <v>4601</v>
      </c>
      <c r="R701" t="s">
        <v>68</v>
      </c>
      <c r="S701" t="s">
        <v>1809</v>
      </c>
      <c r="V701" s="7"/>
    </row>
    <row r="702" spans="1:22" x14ac:dyDescent="0.3">
      <c r="A702" t="s">
        <v>1851</v>
      </c>
      <c r="B702" t="s">
        <v>1852</v>
      </c>
      <c r="C702" t="s">
        <v>4557</v>
      </c>
      <c r="D702" t="s">
        <v>9</v>
      </c>
      <c r="E702" s="1" t="s">
        <v>4592</v>
      </c>
      <c r="F702" t="s">
        <v>1844</v>
      </c>
      <c r="G702" t="s">
        <v>4557</v>
      </c>
      <c r="H702" t="s">
        <v>9</v>
      </c>
      <c r="I702" s="1">
        <v>37228</v>
      </c>
      <c r="J702" t="s">
        <v>4593</v>
      </c>
      <c r="K702">
        <v>1</v>
      </c>
      <c r="L702">
        <v>5</v>
      </c>
      <c r="M702">
        <v>211640</v>
      </c>
      <c r="N702" t="s">
        <v>4602</v>
      </c>
      <c r="O702" s="7" t="s">
        <v>70</v>
      </c>
      <c r="P702">
        <v>55</v>
      </c>
      <c r="Q702" t="s">
        <v>4603</v>
      </c>
      <c r="R702" t="s">
        <v>68</v>
      </c>
      <c r="S702" t="s">
        <v>1809</v>
      </c>
      <c r="V702" s="7"/>
    </row>
    <row r="703" spans="1:22" x14ac:dyDescent="0.3">
      <c r="A703" t="s">
        <v>1853</v>
      </c>
      <c r="B703" t="s">
        <v>1854</v>
      </c>
      <c r="C703" t="s">
        <v>4557</v>
      </c>
      <c r="D703" t="s">
        <v>9</v>
      </c>
      <c r="E703" s="1" t="s">
        <v>4592</v>
      </c>
      <c r="F703" t="s">
        <v>1844</v>
      </c>
      <c r="G703" t="s">
        <v>4557</v>
      </c>
      <c r="H703" t="s">
        <v>9</v>
      </c>
      <c r="I703" s="1">
        <v>37228</v>
      </c>
      <c r="J703" t="s">
        <v>4593</v>
      </c>
      <c r="K703">
        <v>1</v>
      </c>
      <c r="L703">
        <v>6</v>
      </c>
      <c r="M703">
        <v>104466</v>
      </c>
      <c r="N703" t="s">
        <v>4604</v>
      </c>
      <c r="O703" s="7" t="s">
        <v>70</v>
      </c>
      <c r="P703">
        <v>53</v>
      </c>
      <c r="Q703" t="s">
        <v>4605</v>
      </c>
      <c r="R703" t="s">
        <v>68</v>
      </c>
      <c r="S703" t="s">
        <v>1809</v>
      </c>
      <c r="V703" s="7"/>
    </row>
    <row r="704" spans="1:22" x14ac:dyDescent="0.3">
      <c r="A704" t="s">
        <v>1855</v>
      </c>
      <c r="B704" t="s">
        <v>1856</v>
      </c>
      <c r="C704" t="s">
        <v>4557</v>
      </c>
      <c r="D704" t="s">
        <v>9</v>
      </c>
      <c r="E704" s="1" t="s">
        <v>4592</v>
      </c>
      <c r="F704" t="s">
        <v>1844</v>
      </c>
      <c r="G704" t="s">
        <v>4557</v>
      </c>
      <c r="H704" t="s">
        <v>9</v>
      </c>
      <c r="I704" s="1">
        <v>37228</v>
      </c>
      <c r="J704" t="s">
        <v>4593</v>
      </c>
      <c r="K704">
        <v>1</v>
      </c>
      <c r="L704">
        <v>7</v>
      </c>
      <c r="M704">
        <v>237800</v>
      </c>
      <c r="N704" t="s">
        <v>4606</v>
      </c>
      <c r="O704" s="7" t="s">
        <v>70</v>
      </c>
      <c r="P704">
        <v>54</v>
      </c>
      <c r="Q704" t="s">
        <v>4607</v>
      </c>
      <c r="R704" t="s">
        <v>68</v>
      </c>
      <c r="S704" t="s">
        <v>1809</v>
      </c>
      <c r="V704" s="7"/>
    </row>
    <row r="705" spans="1:22" x14ac:dyDescent="0.3">
      <c r="A705" t="s">
        <v>1857</v>
      </c>
      <c r="B705" t="s">
        <v>1858</v>
      </c>
      <c r="C705" t="s">
        <v>4557</v>
      </c>
      <c r="D705" t="s">
        <v>9</v>
      </c>
      <c r="E705" s="1" t="s">
        <v>4592</v>
      </c>
      <c r="F705" t="s">
        <v>1844</v>
      </c>
      <c r="G705" t="s">
        <v>4557</v>
      </c>
      <c r="H705" t="s">
        <v>9</v>
      </c>
      <c r="I705" s="1">
        <v>37228</v>
      </c>
      <c r="J705" t="s">
        <v>4593</v>
      </c>
      <c r="K705">
        <v>1</v>
      </c>
      <c r="L705">
        <v>8</v>
      </c>
      <c r="M705">
        <v>201800</v>
      </c>
      <c r="N705" t="s">
        <v>4608</v>
      </c>
      <c r="O705" s="7" t="s">
        <v>70</v>
      </c>
      <c r="P705">
        <v>53</v>
      </c>
      <c r="Q705" t="s">
        <v>4609</v>
      </c>
      <c r="R705" t="s">
        <v>68</v>
      </c>
      <c r="S705" t="s">
        <v>1809</v>
      </c>
      <c r="V705" s="7"/>
    </row>
    <row r="706" spans="1:22" x14ac:dyDescent="0.3">
      <c r="A706" t="s">
        <v>1859</v>
      </c>
      <c r="B706" t="s">
        <v>1860</v>
      </c>
      <c r="C706" t="s">
        <v>4557</v>
      </c>
      <c r="D706" t="s">
        <v>9</v>
      </c>
      <c r="E706" s="1" t="s">
        <v>4592</v>
      </c>
      <c r="F706" t="s">
        <v>1844</v>
      </c>
      <c r="G706" t="s">
        <v>4557</v>
      </c>
      <c r="H706" t="s">
        <v>9</v>
      </c>
      <c r="I706" s="1">
        <v>37228</v>
      </c>
      <c r="J706" t="s">
        <v>4593</v>
      </c>
      <c r="K706">
        <v>1</v>
      </c>
      <c r="L706">
        <v>9</v>
      </c>
      <c r="M706">
        <v>232666</v>
      </c>
      <c r="N706" t="s">
        <v>4610</v>
      </c>
      <c r="O706" s="7" t="s">
        <v>70</v>
      </c>
      <c r="P706">
        <v>69</v>
      </c>
      <c r="Q706" t="s">
        <v>4611</v>
      </c>
      <c r="R706" t="s">
        <v>68</v>
      </c>
      <c r="S706" t="s">
        <v>1809</v>
      </c>
      <c r="V706" s="7"/>
    </row>
    <row r="707" spans="1:22" x14ac:dyDescent="0.3">
      <c r="A707" t="s">
        <v>1861</v>
      </c>
      <c r="B707" t="s">
        <v>1862</v>
      </c>
      <c r="C707" t="s">
        <v>4557</v>
      </c>
      <c r="D707" t="s">
        <v>9</v>
      </c>
      <c r="E707" s="1" t="s">
        <v>4592</v>
      </c>
      <c r="F707" t="s">
        <v>1844</v>
      </c>
      <c r="G707" t="s">
        <v>4557</v>
      </c>
      <c r="H707" t="s">
        <v>9</v>
      </c>
      <c r="I707" s="1">
        <v>37228</v>
      </c>
      <c r="J707" t="s">
        <v>4593</v>
      </c>
      <c r="K707">
        <v>1</v>
      </c>
      <c r="L707">
        <v>10</v>
      </c>
      <c r="M707">
        <v>227866</v>
      </c>
      <c r="N707" t="s">
        <v>4612</v>
      </c>
      <c r="O707" s="7" t="s">
        <v>70</v>
      </c>
      <c r="P707">
        <v>61</v>
      </c>
      <c r="Q707" t="s">
        <v>4613</v>
      </c>
      <c r="R707" t="s">
        <v>68</v>
      </c>
      <c r="S707" t="s">
        <v>1809</v>
      </c>
      <c r="V707" s="7"/>
    </row>
    <row r="708" spans="1:22" x14ac:dyDescent="0.3">
      <c r="A708" t="s">
        <v>1863</v>
      </c>
      <c r="B708" t="s">
        <v>1864</v>
      </c>
      <c r="C708" t="s">
        <v>4557</v>
      </c>
      <c r="D708" t="s">
        <v>9</v>
      </c>
      <c r="E708" s="1" t="s">
        <v>4592</v>
      </c>
      <c r="F708" t="s">
        <v>1844</v>
      </c>
      <c r="G708" t="s">
        <v>4557</v>
      </c>
      <c r="H708" t="s">
        <v>9</v>
      </c>
      <c r="I708" s="1">
        <v>37228</v>
      </c>
      <c r="J708" t="s">
        <v>4593</v>
      </c>
      <c r="K708">
        <v>1</v>
      </c>
      <c r="L708">
        <v>11</v>
      </c>
      <c r="M708">
        <v>345186</v>
      </c>
      <c r="N708" t="s">
        <v>4614</v>
      </c>
      <c r="O708" s="7" t="s">
        <v>70</v>
      </c>
      <c r="P708">
        <v>70</v>
      </c>
      <c r="Q708" t="s">
        <v>4615</v>
      </c>
      <c r="R708" t="s">
        <v>68</v>
      </c>
      <c r="S708" t="s">
        <v>1809</v>
      </c>
      <c r="V708" s="7"/>
    </row>
    <row r="709" spans="1:22" x14ac:dyDescent="0.3">
      <c r="A709" t="s">
        <v>1865</v>
      </c>
      <c r="B709" t="s">
        <v>1866</v>
      </c>
      <c r="C709" t="s">
        <v>4557</v>
      </c>
      <c r="D709" t="s">
        <v>9</v>
      </c>
      <c r="E709" s="1" t="s">
        <v>4592</v>
      </c>
      <c r="F709" t="s">
        <v>1844</v>
      </c>
      <c r="G709" t="s">
        <v>4557</v>
      </c>
      <c r="H709" t="s">
        <v>9</v>
      </c>
      <c r="I709" s="1">
        <v>37228</v>
      </c>
      <c r="J709" t="s">
        <v>4593</v>
      </c>
      <c r="K709">
        <v>1</v>
      </c>
      <c r="L709">
        <v>12</v>
      </c>
      <c r="M709">
        <v>206866</v>
      </c>
      <c r="N709" t="s">
        <v>4616</v>
      </c>
      <c r="O709" s="7" t="s">
        <v>70</v>
      </c>
      <c r="P709">
        <v>51</v>
      </c>
      <c r="Q709" t="s">
        <v>4617</v>
      </c>
      <c r="R709" t="s">
        <v>68</v>
      </c>
      <c r="S709" t="s">
        <v>1809</v>
      </c>
    </row>
    <row r="710" spans="1:22" x14ac:dyDescent="0.3">
      <c r="A710" t="s">
        <v>1867</v>
      </c>
      <c r="B710" t="s">
        <v>8</v>
      </c>
      <c r="C710" t="s">
        <v>4557</v>
      </c>
      <c r="D710" t="s">
        <v>9</v>
      </c>
      <c r="E710" s="1" t="s">
        <v>4592</v>
      </c>
      <c r="F710" t="s">
        <v>1844</v>
      </c>
      <c r="G710" t="s">
        <v>4557</v>
      </c>
      <c r="H710" t="s">
        <v>9</v>
      </c>
      <c r="I710" s="1">
        <v>37228</v>
      </c>
      <c r="J710" t="s">
        <v>4593</v>
      </c>
      <c r="K710">
        <v>1</v>
      </c>
      <c r="L710">
        <v>13</v>
      </c>
      <c r="M710">
        <v>240173</v>
      </c>
      <c r="N710" t="s">
        <v>4618</v>
      </c>
      <c r="O710" s="7" t="s">
        <v>70</v>
      </c>
      <c r="P710">
        <v>61</v>
      </c>
      <c r="Q710" t="s">
        <v>4619</v>
      </c>
      <c r="R710" t="s">
        <v>68</v>
      </c>
      <c r="S710" t="s">
        <v>1809</v>
      </c>
      <c r="V710" s="7"/>
    </row>
    <row r="711" spans="1:22" x14ac:dyDescent="0.3">
      <c r="A711" t="s">
        <v>1868</v>
      </c>
      <c r="B711" t="s">
        <v>1869</v>
      </c>
      <c r="C711" t="s">
        <v>4557</v>
      </c>
      <c r="D711" t="s">
        <v>9</v>
      </c>
      <c r="E711" s="1" t="s">
        <v>4592</v>
      </c>
      <c r="F711" t="s">
        <v>1844</v>
      </c>
      <c r="G711" t="s">
        <v>4557</v>
      </c>
      <c r="H711" t="s">
        <v>9</v>
      </c>
      <c r="I711" s="1">
        <v>37228</v>
      </c>
      <c r="J711" t="s">
        <v>4593</v>
      </c>
      <c r="K711">
        <v>1</v>
      </c>
      <c r="L711">
        <v>14</v>
      </c>
      <c r="M711">
        <v>600293</v>
      </c>
      <c r="N711" t="s">
        <v>4620</v>
      </c>
      <c r="O711" s="7" t="s">
        <v>70</v>
      </c>
      <c r="P711">
        <v>52</v>
      </c>
      <c r="Q711" t="s">
        <v>4621</v>
      </c>
      <c r="R711" t="s">
        <v>68</v>
      </c>
      <c r="S711" t="s">
        <v>1809</v>
      </c>
      <c r="V711" s="7"/>
    </row>
    <row r="712" spans="1:22" x14ac:dyDescent="0.3">
      <c r="A712" t="s">
        <v>1870</v>
      </c>
      <c r="B712" t="s">
        <v>1871</v>
      </c>
      <c r="C712" t="s">
        <v>4557</v>
      </c>
      <c r="D712" t="s">
        <v>9</v>
      </c>
      <c r="E712" s="1" t="s">
        <v>4622</v>
      </c>
      <c r="F712" t="s">
        <v>1872</v>
      </c>
      <c r="G712" t="s">
        <v>4557</v>
      </c>
      <c r="H712" t="s">
        <v>9</v>
      </c>
      <c r="I712" s="1">
        <v>37633</v>
      </c>
      <c r="J712" t="s">
        <v>4623</v>
      </c>
      <c r="K712">
        <v>1</v>
      </c>
      <c r="L712">
        <v>1</v>
      </c>
      <c r="M712">
        <v>160626</v>
      </c>
      <c r="N712" t="s">
        <v>4624</v>
      </c>
      <c r="O712" s="7" t="s">
        <v>70</v>
      </c>
      <c r="P712">
        <v>28</v>
      </c>
      <c r="Q712" t="s">
        <v>4625</v>
      </c>
      <c r="R712" t="s">
        <v>68</v>
      </c>
      <c r="S712" t="s">
        <v>1809</v>
      </c>
      <c r="V712" s="7"/>
    </row>
    <row r="713" spans="1:22" x14ac:dyDescent="0.3">
      <c r="A713" t="s">
        <v>1873</v>
      </c>
      <c r="B713" t="s">
        <v>1874</v>
      </c>
      <c r="C713" t="s">
        <v>4557</v>
      </c>
      <c r="D713" t="s">
        <v>9</v>
      </c>
      <c r="E713" s="1" t="s">
        <v>4622</v>
      </c>
      <c r="F713" t="s">
        <v>1872</v>
      </c>
      <c r="G713" t="s">
        <v>4557</v>
      </c>
      <c r="H713" t="s">
        <v>9</v>
      </c>
      <c r="I713" s="1">
        <v>37633</v>
      </c>
      <c r="J713" t="s">
        <v>4623</v>
      </c>
      <c r="K713">
        <v>1</v>
      </c>
      <c r="L713">
        <v>12</v>
      </c>
      <c r="M713">
        <v>468427</v>
      </c>
      <c r="N713" t="s">
        <v>4626</v>
      </c>
      <c r="O713" s="7" t="s">
        <v>70</v>
      </c>
      <c r="P713">
        <v>32</v>
      </c>
      <c r="Q713" t="s">
        <v>4627</v>
      </c>
      <c r="R713" t="s">
        <v>68</v>
      </c>
      <c r="S713" t="s">
        <v>1809</v>
      </c>
      <c r="V713" s="7"/>
    </row>
    <row r="714" spans="1:22" x14ac:dyDescent="0.3">
      <c r="A714" t="s">
        <v>1875</v>
      </c>
      <c r="B714" t="s">
        <v>1876</v>
      </c>
      <c r="C714" t="s">
        <v>4557</v>
      </c>
      <c r="D714" t="s">
        <v>9</v>
      </c>
      <c r="E714" s="1" t="s">
        <v>4628</v>
      </c>
      <c r="F714" t="s">
        <v>1876</v>
      </c>
      <c r="G714" t="s">
        <v>4557</v>
      </c>
      <c r="H714" t="s">
        <v>9</v>
      </c>
      <c r="I714" s="1" t="s">
        <v>5111</v>
      </c>
      <c r="J714" t="s">
        <v>4629</v>
      </c>
      <c r="K714">
        <v>1</v>
      </c>
      <c r="L714">
        <v>1</v>
      </c>
      <c r="M714">
        <v>319879</v>
      </c>
      <c r="N714" t="s">
        <v>4630</v>
      </c>
      <c r="O714" s="7" t="s">
        <v>70</v>
      </c>
      <c r="P714">
        <v>42</v>
      </c>
      <c r="Q714" t="s">
        <v>4631</v>
      </c>
      <c r="R714" t="s">
        <v>68</v>
      </c>
      <c r="S714" t="s">
        <v>1809</v>
      </c>
      <c r="V714" s="7"/>
    </row>
    <row r="715" spans="1:22" x14ac:dyDescent="0.3">
      <c r="A715" t="s">
        <v>1877</v>
      </c>
      <c r="B715" t="s">
        <v>1878</v>
      </c>
      <c r="C715" t="s">
        <v>4557</v>
      </c>
      <c r="D715" t="s">
        <v>9</v>
      </c>
      <c r="E715" s="1" t="s">
        <v>4628</v>
      </c>
      <c r="F715" t="s">
        <v>1876</v>
      </c>
      <c r="G715" t="s">
        <v>4557</v>
      </c>
      <c r="H715" t="s">
        <v>9</v>
      </c>
      <c r="I715" s="1" t="s">
        <v>5111</v>
      </c>
      <c r="J715" t="s">
        <v>4629</v>
      </c>
      <c r="K715">
        <v>1</v>
      </c>
      <c r="L715">
        <v>2</v>
      </c>
      <c r="M715">
        <v>263240</v>
      </c>
      <c r="N715" t="s">
        <v>4632</v>
      </c>
      <c r="O715" s="7" t="s">
        <v>70</v>
      </c>
      <c r="P715">
        <v>33</v>
      </c>
      <c r="Q715" t="s">
        <v>4633</v>
      </c>
      <c r="R715" t="s">
        <v>68</v>
      </c>
      <c r="S715" t="s">
        <v>1809</v>
      </c>
      <c r="V715" s="7"/>
    </row>
    <row r="716" spans="1:22" x14ac:dyDescent="0.3">
      <c r="A716" t="s">
        <v>1879</v>
      </c>
      <c r="B716" t="s">
        <v>1880</v>
      </c>
      <c r="C716" t="s">
        <v>4557</v>
      </c>
      <c r="D716" t="s">
        <v>9</v>
      </c>
      <c r="E716" s="1" t="s">
        <v>4628</v>
      </c>
      <c r="F716" t="s">
        <v>1876</v>
      </c>
      <c r="G716" t="s">
        <v>4557</v>
      </c>
      <c r="H716" t="s">
        <v>9</v>
      </c>
      <c r="I716" s="1" t="s">
        <v>5111</v>
      </c>
      <c r="J716" t="s">
        <v>4629</v>
      </c>
      <c r="K716">
        <v>1</v>
      </c>
      <c r="L716">
        <v>3</v>
      </c>
      <c r="M716">
        <v>287720</v>
      </c>
      <c r="N716" t="s">
        <v>4634</v>
      </c>
      <c r="O716" s="7" t="s">
        <v>70</v>
      </c>
      <c r="P716">
        <v>50</v>
      </c>
      <c r="Q716" t="s">
        <v>4635</v>
      </c>
      <c r="R716" t="s">
        <v>68</v>
      </c>
      <c r="S716" t="s">
        <v>1809</v>
      </c>
      <c r="V716" s="7"/>
    </row>
    <row r="717" spans="1:22" x14ac:dyDescent="0.3">
      <c r="A717" t="s">
        <v>1881</v>
      </c>
      <c r="B717" t="s">
        <v>1882</v>
      </c>
      <c r="C717" t="s">
        <v>4557</v>
      </c>
      <c r="D717" t="s">
        <v>9</v>
      </c>
      <c r="E717" s="1" t="s">
        <v>4628</v>
      </c>
      <c r="F717" t="s">
        <v>1876</v>
      </c>
      <c r="G717" t="s">
        <v>4557</v>
      </c>
      <c r="H717" t="s">
        <v>9</v>
      </c>
      <c r="I717" s="1" t="s">
        <v>5111</v>
      </c>
      <c r="J717" t="s">
        <v>4629</v>
      </c>
      <c r="K717">
        <v>1</v>
      </c>
      <c r="L717">
        <v>4</v>
      </c>
      <c r="M717">
        <v>321186</v>
      </c>
      <c r="N717" t="s">
        <v>4636</v>
      </c>
      <c r="O717" s="7" t="s">
        <v>70</v>
      </c>
      <c r="P717">
        <v>30</v>
      </c>
      <c r="Q717" t="s">
        <v>4637</v>
      </c>
      <c r="R717" t="s">
        <v>68</v>
      </c>
      <c r="S717" t="s">
        <v>1809</v>
      </c>
    </row>
    <row r="718" spans="1:22" x14ac:dyDescent="0.3">
      <c r="A718" t="s">
        <v>1883</v>
      </c>
      <c r="B718" t="s">
        <v>1884</v>
      </c>
      <c r="C718" t="s">
        <v>4557</v>
      </c>
      <c r="D718" t="s">
        <v>9</v>
      </c>
      <c r="E718" s="1" t="s">
        <v>4628</v>
      </c>
      <c r="F718" t="s">
        <v>1876</v>
      </c>
      <c r="G718" t="s">
        <v>4557</v>
      </c>
      <c r="H718" t="s">
        <v>9</v>
      </c>
      <c r="I718" s="1" t="s">
        <v>5111</v>
      </c>
      <c r="J718" t="s">
        <v>4629</v>
      </c>
      <c r="K718">
        <v>1</v>
      </c>
      <c r="L718">
        <v>5</v>
      </c>
      <c r="M718">
        <v>289680</v>
      </c>
      <c r="N718" t="s">
        <v>4638</v>
      </c>
      <c r="O718" s="7" t="s">
        <v>70</v>
      </c>
      <c r="P718">
        <v>41</v>
      </c>
      <c r="Q718" t="s">
        <v>4639</v>
      </c>
      <c r="R718" t="s">
        <v>68</v>
      </c>
      <c r="S718" t="s">
        <v>1809</v>
      </c>
      <c r="V718" s="7"/>
    </row>
    <row r="719" spans="1:22" x14ac:dyDescent="0.3">
      <c r="A719" t="s">
        <v>1885</v>
      </c>
      <c r="B719" t="s">
        <v>1886</v>
      </c>
      <c r="C719" t="s">
        <v>4557</v>
      </c>
      <c r="D719" t="s">
        <v>9</v>
      </c>
      <c r="E719" s="1" t="s">
        <v>4628</v>
      </c>
      <c r="F719" t="s">
        <v>1876</v>
      </c>
      <c r="G719" t="s">
        <v>4557</v>
      </c>
      <c r="H719" t="s">
        <v>9</v>
      </c>
      <c r="I719" s="1" t="s">
        <v>5111</v>
      </c>
      <c r="J719" t="s">
        <v>4629</v>
      </c>
      <c r="K719">
        <v>1</v>
      </c>
      <c r="L719">
        <v>6</v>
      </c>
      <c r="M719">
        <v>248400</v>
      </c>
      <c r="N719" t="s">
        <v>4640</v>
      </c>
      <c r="O719" s="7" t="s">
        <v>70</v>
      </c>
      <c r="P719">
        <v>29</v>
      </c>
      <c r="Q719" t="s">
        <v>4641</v>
      </c>
      <c r="R719" t="s">
        <v>68</v>
      </c>
      <c r="S719" t="s">
        <v>1809</v>
      </c>
      <c r="V719" s="7"/>
    </row>
    <row r="720" spans="1:22" x14ac:dyDescent="0.3">
      <c r="A720" t="s">
        <v>1887</v>
      </c>
      <c r="B720" t="s">
        <v>1888</v>
      </c>
      <c r="C720" t="s">
        <v>4557</v>
      </c>
      <c r="D720" t="s">
        <v>9</v>
      </c>
      <c r="E720" s="1" t="s">
        <v>4628</v>
      </c>
      <c r="F720" t="s">
        <v>1876</v>
      </c>
      <c r="G720" t="s">
        <v>4557</v>
      </c>
      <c r="H720" t="s">
        <v>9</v>
      </c>
      <c r="I720" s="1" t="s">
        <v>5111</v>
      </c>
      <c r="J720" t="s">
        <v>4629</v>
      </c>
      <c r="K720">
        <v>1</v>
      </c>
      <c r="L720">
        <v>7</v>
      </c>
      <c r="M720">
        <v>19200</v>
      </c>
      <c r="N720" t="s">
        <v>4642</v>
      </c>
      <c r="O720" t="s">
        <v>70</v>
      </c>
      <c r="P720">
        <v>0</v>
      </c>
      <c r="Q720" t="s">
        <v>4643</v>
      </c>
      <c r="R720" t="s">
        <v>68</v>
      </c>
      <c r="S720" t="s">
        <v>1809</v>
      </c>
      <c r="V720" s="7"/>
    </row>
    <row r="721" spans="1:22" x14ac:dyDescent="0.3">
      <c r="A721" t="s">
        <v>1889</v>
      </c>
      <c r="B721" t="s">
        <v>1890</v>
      </c>
      <c r="C721" t="s">
        <v>4557</v>
      </c>
      <c r="D721" t="s">
        <v>9</v>
      </c>
      <c r="E721" s="1" t="s">
        <v>4628</v>
      </c>
      <c r="F721" t="s">
        <v>1876</v>
      </c>
      <c r="G721" t="s">
        <v>4557</v>
      </c>
      <c r="H721" t="s">
        <v>9</v>
      </c>
      <c r="I721" s="1" t="s">
        <v>5111</v>
      </c>
      <c r="J721" t="s">
        <v>4629</v>
      </c>
      <c r="K721">
        <v>1</v>
      </c>
      <c r="L721">
        <v>8</v>
      </c>
      <c r="M721">
        <v>287840</v>
      </c>
      <c r="N721" t="s">
        <v>4644</v>
      </c>
      <c r="O721" s="7" t="s">
        <v>70</v>
      </c>
      <c r="P721">
        <v>34</v>
      </c>
      <c r="Q721" t="s">
        <v>4645</v>
      </c>
      <c r="R721" t="s">
        <v>68</v>
      </c>
      <c r="S721" t="s">
        <v>1809</v>
      </c>
      <c r="V721" s="7"/>
    </row>
    <row r="722" spans="1:22" x14ac:dyDescent="0.3">
      <c r="A722" t="s">
        <v>1891</v>
      </c>
      <c r="B722" t="s">
        <v>1892</v>
      </c>
      <c r="C722" t="s">
        <v>4557</v>
      </c>
      <c r="D722" t="s">
        <v>9</v>
      </c>
      <c r="E722" s="1" t="s">
        <v>4628</v>
      </c>
      <c r="F722" t="s">
        <v>1876</v>
      </c>
      <c r="G722" t="s">
        <v>4557</v>
      </c>
      <c r="H722" t="s">
        <v>9</v>
      </c>
      <c r="I722" s="1" t="s">
        <v>5111</v>
      </c>
      <c r="J722" t="s">
        <v>4629</v>
      </c>
      <c r="K722">
        <v>1</v>
      </c>
      <c r="L722">
        <v>9</v>
      </c>
      <c r="M722">
        <v>284280</v>
      </c>
      <c r="N722" t="s">
        <v>4646</v>
      </c>
      <c r="O722" s="7" t="s">
        <v>70</v>
      </c>
      <c r="P722">
        <v>48</v>
      </c>
      <c r="Q722" t="s">
        <v>4647</v>
      </c>
      <c r="R722" t="s">
        <v>68</v>
      </c>
      <c r="S722" t="s">
        <v>1809</v>
      </c>
      <c r="V722" s="7"/>
    </row>
    <row r="723" spans="1:22" x14ac:dyDescent="0.3">
      <c r="A723" t="s">
        <v>1893</v>
      </c>
      <c r="B723" t="s">
        <v>1894</v>
      </c>
      <c r="C723" t="s">
        <v>4557</v>
      </c>
      <c r="D723" t="s">
        <v>9</v>
      </c>
      <c r="E723" s="1" t="s">
        <v>4628</v>
      </c>
      <c r="F723" t="s">
        <v>1876</v>
      </c>
      <c r="G723" t="s">
        <v>4557</v>
      </c>
      <c r="H723" t="s">
        <v>9</v>
      </c>
      <c r="I723" s="1" t="s">
        <v>5111</v>
      </c>
      <c r="J723" t="s">
        <v>4629</v>
      </c>
      <c r="K723">
        <v>1</v>
      </c>
      <c r="L723">
        <v>10</v>
      </c>
      <c r="M723">
        <v>417320</v>
      </c>
      <c r="N723" t="s">
        <v>4648</v>
      </c>
      <c r="O723" s="7" t="s">
        <v>70</v>
      </c>
      <c r="P723">
        <v>33</v>
      </c>
      <c r="Q723" t="s">
        <v>4649</v>
      </c>
      <c r="R723" t="s">
        <v>68</v>
      </c>
      <c r="S723" t="s">
        <v>1809</v>
      </c>
      <c r="V723" s="7"/>
    </row>
    <row r="724" spans="1:22" x14ac:dyDescent="0.3">
      <c r="A724" t="s">
        <v>1895</v>
      </c>
      <c r="B724" t="s">
        <v>16</v>
      </c>
      <c r="C724" t="s">
        <v>4557</v>
      </c>
      <c r="D724" t="s">
        <v>9</v>
      </c>
      <c r="E724" s="1" t="s">
        <v>4650</v>
      </c>
      <c r="F724" t="s">
        <v>1896</v>
      </c>
      <c r="G724" t="s">
        <v>4557</v>
      </c>
      <c r="H724" t="s">
        <v>9</v>
      </c>
      <c r="I724" s="1" t="s">
        <v>5112</v>
      </c>
      <c r="J724" t="s">
        <v>4651</v>
      </c>
      <c r="K724">
        <v>1</v>
      </c>
      <c r="L724">
        <v>1</v>
      </c>
      <c r="M724">
        <v>413600</v>
      </c>
      <c r="N724" t="s">
        <v>4652</v>
      </c>
      <c r="O724" s="7" t="s">
        <v>70</v>
      </c>
      <c r="P724">
        <v>29</v>
      </c>
      <c r="Q724" t="s">
        <v>4653</v>
      </c>
      <c r="R724" t="s">
        <v>68</v>
      </c>
      <c r="S724" t="s">
        <v>1809</v>
      </c>
      <c r="V724" s="7"/>
    </row>
    <row r="725" spans="1:22" x14ac:dyDescent="0.3">
      <c r="A725" t="s">
        <v>1897</v>
      </c>
      <c r="B725" t="s">
        <v>4654</v>
      </c>
      <c r="C725" t="s">
        <v>4557</v>
      </c>
      <c r="D725" t="s">
        <v>9</v>
      </c>
      <c r="E725" s="1" t="s">
        <v>4655</v>
      </c>
      <c r="F725" t="s">
        <v>1898</v>
      </c>
      <c r="G725" t="s">
        <v>4557</v>
      </c>
      <c r="H725" t="s">
        <v>9</v>
      </c>
      <c r="I725" s="1">
        <v>40249</v>
      </c>
      <c r="J725" t="s">
        <v>4656</v>
      </c>
      <c r="K725">
        <v>1</v>
      </c>
      <c r="L725">
        <v>1</v>
      </c>
      <c r="M725">
        <v>148013</v>
      </c>
      <c r="N725" t="s">
        <v>4657</v>
      </c>
      <c r="O725" s="7" t="s">
        <v>70</v>
      </c>
      <c r="P725">
        <v>42</v>
      </c>
      <c r="Q725" t="s">
        <v>4658</v>
      </c>
      <c r="R725" t="s">
        <v>68</v>
      </c>
      <c r="S725" t="s">
        <v>1809</v>
      </c>
      <c r="V725" s="7"/>
    </row>
    <row r="726" spans="1:22" x14ac:dyDescent="0.3">
      <c r="A726" t="s">
        <v>1899</v>
      </c>
      <c r="B726" t="s">
        <v>4659</v>
      </c>
      <c r="C726" t="s">
        <v>4557</v>
      </c>
      <c r="D726" t="s">
        <v>9</v>
      </c>
      <c r="E726" s="1" t="s">
        <v>4655</v>
      </c>
      <c r="F726" t="s">
        <v>1898</v>
      </c>
      <c r="G726" t="s">
        <v>4557</v>
      </c>
      <c r="H726" t="s">
        <v>9</v>
      </c>
      <c r="I726" s="1">
        <v>40249</v>
      </c>
      <c r="J726" t="s">
        <v>4656</v>
      </c>
      <c r="K726">
        <v>1</v>
      </c>
      <c r="L726">
        <v>2</v>
      </c>
      <c r="M726">
        <v>96746</v>
      </c>
      <c r="N726" t="s">
        <v>4660</v>
      </c>
      <c r="O726" s="7" t="s">
        <v>70</v>
      </c>
      <c r="P726">
        <v>39</v>
      </c>
      <c r="Q726" t="s">
        <v>4661</v>
      </c>
      <c r="R726" t="s">
        <v>68</v>
      </c>
      <c r="S726" t="s">
        <v>1809</v>
      </c>
      <c r="V726" s="7"/>
    </row>
    <row r="727" spans="1:22" x14ac:dyDescent="0.3">
      <c r="A727" t="s">
        <v>1900</v>
      </c>
      <c r="B727" t="s">
        <v>4662</v>
      </c>
      <c r="C727" t="s">
        <v>4557</v>
      </c>
      <c r="D727" t="s">
        <v>9</v>
      </c>
      <c r="E727" s="1" t="s">
        <v>4655</v>
      </c>
      <c r="F727" t="s">
        <v>1898</v>
      </c>
      <c r="G727" t="s">
        <v>4557</v>
      </c>
      <c r="H727" t="s">
        <v>9</v>
      </c>
      <c r="I727" s="1">
        <v>40249</v>
      </c>
      <c r="J727" t="s">
        <v>4656</v>
      </c>
      <c r="K727">
        <v>1</v>
      </c>
      <c r="L727">
        <v>3</v>
      </c>
      <c r="M727">
        <v>95226</v>
      </c>
      <c r="N727" t="s">
        <v>4663</v>
      </c>
      <c r="O727" s="7" t="s">
        <v>70</v>
      </c>
      <c r="P727">
        <v>52</v>
      </c>
      <c r="Q727" t="s">
        <v>4664</v>
      </c>
      <c r="R727" t="s">
        <v>68</v>
      </c>
      <c r="S727" t="s">
        <v>1809</v>
      </c>
      <c r="V727" s="7"/>
    </row>
    <row r="728" spans="1:22" x14ac:dyDescent="0.3">
      <c r="A728" t="s">
        <v>1901</v>
      </c>
      <c r="B728" t="s">
        <v>4665</v>
      </c>
      <c r="C728" t="s">
        <v>4557</v>
      </c>
      <c r="D728" t="s">
        <v>9</v>
      </c>
      <c r="E728" s="1" t="s">
        <v>4655</v>
      </c>
      <c r="F728" t="s">
        <v>1898</v>
      </c>
      <c r="G728" t="s">
        <v>4557</v>
      </c>
      <c r="H728" t="s">
        <v>9</v>
      </c>
      <c r="I728" s="1">
        <v>40249</v>
      </c>
      <c r="J728" t="s">
        <v>4656</v>
      </c>
      <c r="K728">
        <v>1</v>
      </c>
      <c r="L728">
        <v>4</v>
      </c>
      <c r="M728">
        <v>157706</v>
      </c>
      <c r="N728" t="s">
        <v>4666</v>
      </c>
      <c r="O728" s="7" t="s">
        <v>70</v>
      </c>
      <c r="P728">
        <v>39</v>
      </c>
      <c r="Q728" t="s">
        <v>4667</v>
      </c>
      <c r="R728" t="s">
        <v>68</v>
      </c>
      <c r="S728" t="s">
        <v>1809</v>
      </c>
      <c r="V728" s="7"/>
    </row>
    <row r="729" spans="1:22" x14ac:dyDescent="0.3">
      <c r="A729" t="s">
        <v>1902</v>
      </c>
      <c r="B729" t="s">
        <v>4668</v>
      </c>
      <c r="C729" t="s">
        <v>4557</v>
      </c>
      <c r="D729" t="s">
        <v>9</v>
      </c>
      <c r="E729" s="1" t="s">
        <v>4655</v>
      </c>
      <c r="F729" t="s">
        <v>1898</v>
      </c>
      <c r="G729" t="s">
        <v>4557</v>
      </c>
      <c r="H729" t="s">
        <v>9</v>
      </c>
      <c r="I729" s="1">
        <v>40249</v>
      </c>
      <c r="J729" t="s">
        <v>4656</v>
      </c>
      <c r="K729">
        <v>1</v>
      </c>
      <c r="L729">
        <v>5</v>
      </c>
      <c r="M729">
        <v>122986</v>
      </c>
      <c r="N729" t="s">
        <v>4669</v>
      </c>
      <c r="O729" s="7" t="s">
        <v>70</v>
      </c>
      <c r="P729">
        <v>35</v>
      </c>
      <c r="Q729" t="s">
        <v>4670</v>
      </c>
      <c r="R729" t="s">
        <v>68</v>
      </c>
      <c r="S729" t="s">
        <v>1809</v>
      </c>
      <c r="V729" s="7"/>
    </row>
    <row r="730" spans="1:22" x14ac:dyDescent="0.3">
      <c r="A730" t="s">
        <v>1903</v>
      </c>
      <c r="B730" t="s">
        <v>4671</v>
      </c>
      <c r="C730" t="s">
        <v>4557</v>
      </c>
      <c r="D730" t="s">
        <v>9</v>
      </c>
      <c r="E730" s="1" t="s">
        <v>4655</v>
      </c>
      <c r="F730" t="s">
        <v>1898</v>
      </c>
      <c r="G730" t="s">
        <v>4557</v>
      </c>
      <c r="H730" t="s">
        <v>9</v>
      </c>
      <c r="I730" s="1">
        <v>40249</v>
      </c>
      <c r="J730" t="s">
        <v>4656</v>
      </c>
      <c r="K730">
        <v>1</v>
      </c>
      <c r="L730">
        <v>6</v>
      </c>
      <c r="M730">
        <v>93226</v>
      </c>
      <c r="N730" t="s">
        <v>4672</v>
      </c>
      <c r="O730" s="7" t="s">
        <v>70</v>
      </c>
      <c r="P730">
        <v>36</v>
      </c>
      <c r="Q730" t="s">
        <v>4673</v>
      </c>
      <c r="R730" t="s">
        <v>68</v>
      </c>
      <c r="S730" t="s">
        <v>1809</v>
      </c>
      <c r="V730" s="7"/>
    </row>
    <row r="731" spans="1:22" x14ac:dyDescent="0.3">
      <c r="A731" t="s">
        <v>1904</v>
      </c>
      <c r="B731" t="s">
        <v>4674</v>
      </c>
      <c r="C731" t="s">
        <v>4557</v>
      </c>
      <c r="D731" t="s">
        <v>9</v>
      </c>
      <c r="E731" s="1" t="s">
        <v>4655</v>
      </c>
      <c r="F731" t="s">
        <v>1898</v>
      </c>
      <c r="G731" t="s">
        <v>4557</v>
      </c>
      <c r="H731" t="s">
        <v>9</v>
      </c>
      <c r="I731" s="1">
        <v>40249</v>
      </c>
      <c r="J731" t="s">
        <v>4656</v>
      </c>
      <c r="K731">
        <v>1</v>
      </c>
      <c r="L731">
        <v>7</v>
      </c>
      <c r="M731">
        <v>137640</v>
      </c>
      <c r="N731" t="s">
        <v>4675</v>
      </c>
      <c r="O731" s="7" t="s">
        <v>70</v>
      </c>
      <c r="P731">
        <v>38</v>
      </c>
      <c r="Q731" t="s">
        <v>4676</v>
      </c>
      <c r="R731" t="s">
        <v>68</v>
      </c>
      <c r="S731" t="s">
        <v>1809</v>
      </c>
      <c r="V731" s="7"/>
    </row>
    <row r="732" spans="1:22" x14ac:dyDescent="0.3">
      <c r="A732" t="s">
        <v>1905</v>
      </c>
      <c r="B732" t="s">
        <v>4677</v>
      </c>
      <c r="C732" t="s">
        <v>4557</v>
      </c>
      <c r="D732" t="s">
        <v>9</v>
      </c>
      <c r="E732" s="1" t="s">
        <v>4655</v>
      </c>
      <c r="F732" t="s">
        <v>1898</v>
      </c>
      <c r="G732" t="s">
        <v>4557</v>
      </c>
      <c r="H732" t="s">
        <v>9</v>
      </c>
      <c r="I732" s="1">
        <v>40249</v>
      </c>
      <c r="J732" t="s">
        <v>4656</v>
      </c>
      <c r="K732">
        <v>1</v>
      </c>
      <c r="L732">
        <v>8</v>
      </c>
      <c r="M732">
        <v>205480</v>
      </c>
      <c r="N732" t="s">
        <v>4678</v>
      </c>
      <c r="O732" s="7" t="s">
        <v>70</v>
      </c>
      <c r="P732">
        <v>40</v>
      </c>
      <c r="Q732" t="s">
        <v>4679</v>
      </c>
      <c r="R732" t="s">
        <v>68</v>
      </c>
      <c r="S732" t="s">
        <v>1809</v>
      </c>
      <c r="V732" s="7"/>
    </row>
    <row r="733" spans="1:22" x14ac:dyDescent="0.3">
      <c r="A733" t="s">
        <v>1906</v>
      </c>
      <c r="B733" t="s">
        <v>4680</v>
      </c>
      <c r="C733" t="s">
        <v>4557</v>
      </c>
      <c r="D733" t="s">
        <v>9</v>
      </c>
      <c r="E733" s="1" t="s">
        <v>4655</v>
      </c>
      <c r="F733" t="s">
        <v>1898</v>
      </c>
      <c r="G733" t="s">
        <v>4557</v>
      </c>
      <c r="H733" t="s">
        <v>9</v>
      </c>
      <c r="I733" s="1">
        <v>40249</v>
      </c>
      <c r="J733" t="s">
        <v>4656</v>
      </c>
      <c r="K733">
        <v>1</v>
      </c>
      <c r="L733">
        <v>9</v>
      </c>
      <c r="M733">
        <v>162480</v>
      </c>
      <c r="N733" t="s">
        <v>4681</v>
      </c>
      <c r="O733" s="7" t="s">
        <v>70</v>
      </c>
      <c r="P733">
        <v>36</v>
      </c>
      <c r="Q733" t="s">
        <v>4682</v>
      </c>
      <c r="R733" t="s">
        <v>68</v>
      </c>
      <c r="S733" t="s">
        <v>1809</v>
      </c>
      <c r="V733" s="7"/>
    </row>
    <row r="734" spans="1:22" x14ac:dyDescent="0.3">
      <c r="A734" t="s">
        <v>1907</v>
      </c>
      <c r="B734" t="s">
        <v>4683</v>
      </c>
      <c r="C734" t="s">
        <v>4557</v>
      </c>
      <c r="D734" t="s">
        <v>9</v>
      </c>
      <c r="E734" s="1" t="s">
        <v>4655</v>
      </c>
      <c r="F734" t="s">
        <v>1898</v>
      </c>
      <c r="G734" t="s">
        <v>4557</v>
      </c>
      <c r="H734" t="s">
        <v>9</v>
      </c>
      <c r="I734" s="1">
        <v>40249</v>
      </c>
      <c r="J734" t="s">
        <v>4656</v>
      </c>
      <c r="K734">
        <v>1</v>
      </c>
      <c r="L734">
        <v>10</v>
      </c>
      <c r="M734">
        <v>251093</v>
      </c>
      <c r="N734" t="s">
        <v>4684</v>
      </c>
      <c r="O734" s="7" t="s">
        <v>70</v>
      </c>
      <c r="P734">
        <v>37</v>
      </c>
      <c r="Q734" t="s">
        <v>4685</v>
      </c>
      <c r="R734" t="s">
        <v>68</v>
      </c>
      <c r="S734" t="s">
        <v>1809</v>
      </c>
      <c r="V734" s="7"/>
    </row>
    <row r="735" spans="1:22" x14ac:dyDescent="0.3">
      <c r="A735" t="s">
        <v>1908</v>
      </c>
      <c r="B735" t="s">
        <v>4686</v>
      </c>
      <c r="C735" t="s">
        <v>4557</v>
      </c>
      <c r="D735" t="s">
        <v>9</v>
      </c>
      <c r="E735" s="1" t="s">
        <v>4655</v>
      </c>
      <c r="F735" t="s">
        <v>1898</v>
      </c>
      <c r="G735" t="s">
        <v>4557</v>
      </c>
      <c r="H735" t="s">
        <v>9</v>
      </c>
      <c r="I735" s="1">
        <v>40249</v>
      </c>
      <c r="J735" t="s">
        <v>4656</v>
      </c>
      <c r="K735">
        <v>1</v>
      </c>
      <c r="L735">
        <v>11</v>
      </c>
      <c r="M735">
        <v>101680</v>
      </c>
      <c r="N735" t="s">
        <v>4687</v>
      </c>
      <c r="O735" s="7" t="s">
        <v>70</v>
      </c>
      <c r="P735">
        <v>32</v>
      </c>
      <c r="Q735" t="s">
        <v>4688</v>
      </c>
      <c r="R735" t="s">
        <v>68</v>
      </c>
      <c r="S735" t="s">
        <v>1809</v>
      </c>
      <c r="V735" s="7"/>
    </row>
    <row r="736" spans="1:22" x14ac:dyDescent="0.3">
      <c r="A736" t="s">
        <v>1909</v>
      </c>
      <c r="B736" t="s">
        <v>4689</v>
      </c>
      <c r="C736" t="s">
        <v>4557</v>
      </c>
      <c r="D736" t="s">
        <v>9</v>
      </c>
      <c r="E736" s="1" t="s">
        <v>4655</v>
      </c>
      <c r="F736" t="s">
        <v>1898</v>
      </c>
      <c r="G736" t="s">
        <v>4557</v>
      </c>
      <c r="H736" t="s">
        <v>9</v>
      </c>
      <c r="I736" s="1">
        <v>40249</v>
      </c>
      <c r="J736" t="s">
        <v>4656</v>
      </c>
      <c r="K736">
        <v>1</v>
      </c>
      <c r="L736">
        <v>12</v>
      </c>
      <c r="M736">
        <v>156480</v>
      </c>
      <c r="N736" t="s">
        <v>4690</v>
      </c>
      <c r="O736" s="7" t="s">
        <v>70</v>
      </c>
      <c r="P736">
        <v>41</v>
      </c>
      <c r="Q736" t="s">
        <v>4691</v>
      </c>
      <c r="R736" t="s">
        <v>68</v>
      </c>
      <c r="S736" t="s">
        <v>1809</v>
      </c>
      <c r="V736" s="7"/>
    </row>
    <row r="737" spans="1:22" x14ac:dyDescent="0.3">
      <c r="A737" t="s">
        <v>1910</v>
      </c>
      <c r="B737" t="s">
        <v>4692</v>
      </c>
      <c r="C737" t="s">
        <v>4557</v>
      </c>
      <c r="D737" t="s">
        <v>9</v>
      </c>
      <c r="E737" s="1" t="s">
        <v>4655</v>
      </c>
      <c r="F737" t="s">
        <v>1898</v>
      </c>
      <c r="G737" t="s">
        <v>4557</v>
      </c>
      <c r="H737" t="s">
        <v>9</v>
      </c>
      <c r="I737" s="1">
        <v>40249</v>
      </c>
      <c r="J737" t="s">
        <v>4656</v>
      </c>
      <c r="K737">
        <v>1</v>
      </c>
      <c r="L737">
        <v>13</v>
      </c>
      <c r="M737">
        <v>104120</v>
      </c>
      <c r="N737" t="s">
        <v>4693</v>
      </c>
      <c r="O737" s="7" t="s">
        <v>70</v>
      </c>
      <c r="P737">
        <v>51</v>
      </c>
      <c r="Q737" t="s">
        <v>4694</v>
      </c>
      <c r="R737" t="s">
        <v>68</v>
      </c>
      <c r="S737" t="s">
        <v>1809</v>
      </c>
      <c r="V737" s="7"/>
    </row>
    <row r="738" spans="1:22" x14ac:dyDescent="0.3">
      <c r="A738" t="s">
        <v>1911</v>
      </c>
      <c r="B738" t="s">
        <v>4695</v>
      </c>
      <c r="C738" t="s">
        <v>4557</v>
      </c>
      <c r="D738" t="s">
        <v>9</v>
      </c>
      <c r="E738" s="1" t="s">
        <v>4655</v>
      </c>
      <c r="F738" t="s">
        <v>1898</v>
      </c>
      <c r="G738" t="s">
        <v>4557</v>
      </c>
      <c r="H738" t="s">
        <v>9</v>
      </c>
      <c r="I738" s="1">
        <v>40249</v>
      </c>
      <c r="J738" t="s">
        <v>4656</v>
      </c>
      <c r="K738">
        <v>1</v>
      </c>
      <c r="L738">
        <v>14</v>
      </c>
      <c r="M738">
        <v>82613</v>
      </c>
      <c r="N738" t="s">
        <v>4696</v>
      </c>
      <c r="O738" s="7" t="s">
        <v>70</v>
      </c>
      <c r="P738">
        <v>36</v>
      </c>
      <c r="Q738" t="s">
        <v>4697</v>
      </c>
      <c r="R738" t="s">
        <v>68</v>
      </c>
      <c r="S738" t="s">
        <v>1809</v>
      </c>
      <c r="V738" s="7"/>
    </row>
    <row r="739" spans="1:22" x14ac:dyDescent="0.3">
      <c r="A739" t="s">
        <v>1912</v>
      </c>
      <c r="B739" t="s">
        <v>4698</v>
      </c>
      <c r="C739" t="s">
        <v>4557</v>
      </c>
      <c r="D739" t="s">
        <v>9</v>
      </c>
      <c r="E739" s="1" t="s">
        <v>4655</v>
      </c>
      <c r="F739" t="s">
        <v>1898</v>
      </c>
      <c r="G739" t="s">
        <v>4557</v>
      </c>
      <c r="H739" t="s">
        <v>9</v>
      </c>
      <c r="I739" s="1">
        <v>40249</v>
      </c>
      <c r="J739" t="s">
        <v>4656</v>
      </c>
      <c r="K739">
        <v>1</v>
      </c>
      <c r="L739">
        <v>15</v>
      </c>
      <c r="M739">
        <v>162120</v>
      </c>
      <c r="N739" t="s">
        <v>4699</v>
      </c>
      <c r="O739" s="7" t="s">
        <v>70</v>
      </c>
      <c r="P739">
        <v>50</v>
      </c>
      <c r="Q739" t="s">
        <v>4700</v>
      </c>
      <c r="R739" t="s">
        <v>68</v>
      </c>
      <c r="S739" t="s">
        <v>1809</v>
      </c>
      <c r="V739" s="7"/>
    </row>
    <row r="740" spans="1:22" x14ac:dyDescent="0.3">
      <c r="A740" t="s">
        <v>1913</v>
      </c>
      <c r="B740" t="s">
        <v>4701</v>
      </c>
      <c r="C740" t="s">
        <v>4557</v>
      </c>
      <c r="D740" t="s">
        <v>9</v>
      </c>
      <c r="E740" s="1" t="s">
        <v>4655</v>
      </c>
      <c r="F740" t="s">
        <v>1898</v>
      </c>
      <c r="G740" t="s">
        <v>4557</v>
      </c>
      <c r="H740" t="s">
        <v>9</v>
      </c>
      <c r="I740" s="1">
        <v>40249</v>
      </c>
      <c r="J740" t="s">
        <v>4656</v>
      </c>
      <c r="K740">
        <v>1</v>
      </c>
      <c r="L740">
        <v>16</v>
      </c>
      <c r="M740">
        <v>134053</v>
      </c>
      <c r="N740" t="s">
        <v>4702</v>
      </c>
      <c r="O740" s="7" t="s">
        <v>70</v>
      </c>
      <c r="P740">
        <v>31</v>
      </c>
      <c r="Q740" t="s">
        <v>4703</v>
      </c>
      <c r="R740" t="s">
        <v>68</v>
      </c>
      <c r="S740" t="s">
        <v>1809</v>
      </c>
      <c r="V740" s="7"/>
    </row>
    <row r="741" spans="1:22" x14ac:dyDescent="0.3">
      <c r="A741" t="s">
        <v>1914</v>
      </c>
      <c r="B741" t="s">
        <v>4704</v>
      </c>
      <c r="C741" t="s">
        <v>4557</v>
      </c>
      <c r="D741" t="s">
        <v>9</v>
      </c>
      <c r="E741" s="1" t="s">
        <v>4655</v>
      </c>
      <c r="F741" t="s">
        <v>1898</v>
      </c>
      <c r="G741" t="s">
        <v>4557</v>
      </c>
      <c r="H741" t="s">
        <v>9</v>
      </c>
      <c r="I741" s="1">
        <v>40249</v>
      </c>
      <c r="J741" t="s">
        <v>4656</v>
      </c>
      <c r="K741">
        <v>1</v>
      </c>
      <c r="L741">
        <v>17</v>
      </c>
      <c r="M741">
        <v>251440</v>
      </c>
      <c r="N741" t="s">
        <v>4705</v>
      </c>
      <c r="O741" s="7" t="s">
        <v>70</v>
      </c>
      <c r="P741">
        <v>35</v>
      </c>
      <c r="Q741" t="s">
        <v>4706</v>
      </c>
      <c r="R741" t="s">
        <v>68</v>
      </c>
      <c r="S741" t="s">
        <v>1809</v>
      </c>
      <c r="V741" s="7"/>
    </row>
    <row r="742" spans="1:22" x14ac:dyDescent="0.3">
      <c r="A742" t="s">
        <v>1915</v>
      </c>
      <c r="B742" t="s">
        <v>4707</v>
      </c>
      <c r="C742" t="s">
        <v>4557</v>
      </c>
      <c r="D742" t="s">
        <v>9</v>
      </c>
      <c r="E742" s="1" t="s">
        <v>4655</v>
      </c>
      <c r="F742" t="s">
        <v>1898</v>
      </c>
      <c r="G742" t="s">
        <v>4557</v>
      </c>
      <c r="H742" t="s">
        <v>9</v>
      </c>
      <c r="I742" s="1">
        <v>40249</v>
      </c>
      <c r="J742" t="s">
        <v>4656</v>
      </c>
      <c r="K742">
        <v>1</v>
      </c>
      <c r="L742">
        <v>18</v>
      </c>
      <c r="M742">
        <v>279320</v>
      </c>
      <c r="N742" t="s">
        <v>4708</v>
      </c>
      <c r="O742" s="7" t="s">
        <v>70</v>
      </c>
      <c r="P742">
        <v>33</v>
      </c>
      <c r="Q742" t="s">
        <v>4709</v>
      </c>
      <c r="R742" t="s">
        <v>68</v>
      </c>
      <c r="S742" t="s">
        <v>1809</v>
      </c>
      <c r="V742" s="7"/>
    </row>
    <row r="743" spans="1:22" x14ac:dyDescent="0.3">
      <c r="A743" t="s">
        <v>1916</v>
      </c>
      <c r="B743" t="s">
        <v>4710</v>
      </c>
      <c r="C743" t="s">
        <v>4557</v>
      </c>
      <c r="D743" t="s">
        <v>9</v>
      </c>
      <c r="E743" s="1" t="s">
        <v>4655</v>
      </c>
      <c r="F743" t="s">
        <v>1898</v>
      </c>
      <c r="G743" t="s">
        <v>4557</v>
      </c>
      <c r="H743" t="s">
        <v>9</v>
      </c>
      <c r="I743" s="1">
        <v>40249</v>
      </c>
      <c r="J743" t="s">
        <v>4656</v>
      </c>
      <c r="K743">
        <v>1</v>
      </c>
      <c r="L743">
        <v>19</v>
      </c>
      <c r="M743">
        <v>120493</v>
      </c>
      <c r="N743" t="s">
        <v>4711</v>
      </c>
      <c r="O743" t="s">
        <v>70</v>
      </c>
      <c r="P743">
        <v>32</v>
      </c>
      <c r="Q743" t="s">
        <v>4712</v>
      </c>
      <c r="R743" t="s">
        <v>68</v>
      </c>
      <c r="S743" t="s">
        <v>1809</v>
      </c>
      <c r="V743" s="7"/>
    </row>
    <row r="744" spans="1:22" x14ac:dyDescent="0.3">
      <c r="A744" t="s">
        <v>1917</v>
      </c>
      <c r="B744" t="s">
        <v>4713</v>
      </c>
      <c r="C744" t="s">
        <v>4557</v>
      </c>
      <c r="D744" t="s">
        <v>9</v>
      </c>
      <c r="E744" s="1" t="s">
        <v>4655</v>
      </c>
      <c r="F744" t="s">
        <v>1898</v>
      </c>
      <c r="G744" t="s">
        <v>4557</v>
      </c>
      <c r="H744" t="s">
        <v>9</v>
      </c>
      <c r="I744" s="1">
        <v>40249</v>
      </c>
      <c r="J744" t="s">
        <v>4656</v>
      </c>
      <c r="K744">
        <v>1</v>
      </c>
      <c r="L744">
        <v>20</v>
      </c>
      <c r="M744">
        <v>202146</v>
      </c>
      <c r="N744" t="s">
        <v>4714</v>
      </c>
      <c r="O744" s="7" t="s">
        <v>70</v>
      </c>
      <c r="P744">
        <v>39</v>
      </c>
      <c r="Q744" t="s">
        <v>4715</v>
      </c>
      <c r="R744" t="s">
        <v>68</v>
      </c>
      <c r="S744" t="s">
        <v>1809</v>
      </c>
      <c r="V744" s="7"/>
    </row>
    <row r="745" spans="1:22" x14ac:dyDescent="0.3">
      <c r="A745" t="s">
        <v>1918</v>
      </c>
      <c r="B745" t="s">
        <v>4716</v>
      </c>
      <c r="C745" t="s">
        <v>4557</v>
      </c>
      <c r="D745" t="s">
        <v>9</v>
      </c>
      <c r="E745" s="1" t="s">
        <v>4655</v>
      </c>
      <c r="F745" t="s">
        <v>1898</v>
      </c>
      <c r="G745" t="s">
        <v>4557</v>
      </c>
      <c r="H745" t="s">
        <v>9</v>
      </c>
      <c r="I745" s="1">
        <v>40249</v>
      </c>
      <c r="J745" t="s">
        <v>4656</v>
      </c>
      <c r="K745">
        <v>1</v>
      </c>
      <c r="L745">
        <v>21</v>
      </c>
      <c r="M745">
        <v>197826</v>
      </c>
      <c r="N745" t="s">
        <v>4717</v>
      </c>
      <c r="O745" s="7" t="s">
        <v>70</v>
      </c>
      <c r="P745">
        <v>44</v>
      </c>
      <c r="Q745" t="s">
        <v>4718</v>
      </c>
      <c r="R745" t="s">
        <v>68</v>
      </c>
      <c r="S745" t="s">
        <v>1809</v>
      </c>
      <c r="V745" s="7"/>
    </row>
    <row r="746" spans="1:22" x14ac:dyDescent="0.3">
      <c r="A746" t="s">
        <v>1919</v>
      </c>
      <c r="B746" t="s">
        <v>4719</v>
      </c>
      <c r="C746" t="s">
        <v>4557</v>
      </c>
      <c r="D746" t="s">
        <v>9</v>
      </c>
      <c r="E746" s="1" t="s">
        <v>4655</v>
      </c>
      <c r="F746" t="s">
        <v>1898</v>
      </c>
      <c r="G746" t="s">
        <v>4557</v>
      </c>
      <c r="H746" t="s">
        <v>9</v>
      </c>
      <c r="I746" s="1">
        <v>40249</v>
      </c>
      <c r="J746" t="s">
        <v>4656</v>
      </c>
      <c r="K746">
        <v>1</v>
      </c>
      <c r="L746">
        <v>22</v>
      </c>
      <c r="M746">
        <v>262786</v>
      </c>
      <c r="N746" t="s">
        <v>4720</v>
      </c>
      <c r="O746" s="7" t="s">
        <v>70</v>
      </c>
      <c r="P746">
        <v>30</v>
      </c>
      <c r="Q746" t="s">
        <v>4721</v>
      </c>
      <c r="R746" t="s">
        <v>68</v>
      </c>
      <c r="S746" t="s">
        <v>1809</v>
      </c>
      <c r="V746" s="7"/>
    </row>
    <row r="747" spans="1:22" x14ac:dyDescent="0.3">
      <c r="A747" t="s">
        <v>1920</v>
      </c>
      <c r="B747" t="s">
        <v>1921</v>
      </c>
      <c r="C747" t="s">
        <v>4557</v>
      </c>
      <c r="D747" t="s">
        <v>9</v>
      </c>
      <c r="E747" s="1" t="s">
        <v>4722</v>
      </c>
      <c r="F747" t="s">
        <v>1922</v>
      </c>
      <c r="G747" t="s">
        <v>4557</v>
      </c>
      <c r="H747" t="s">
        <v>9</v>
      </c>
      <c r="I747" s="1" t="s">
        <v>5113</v>
      </c>
      <c r="J747" t="s">
        <v>4723</v>
      </c>
      <c r="K747">
        <v>1</v>
      </c>
      <c r="L747">
        <v>1</v>
      </c>
      <c r="M747">
        <v>275386</v>
      </c>
      <c r="N747" t="s">
        <v>4724</v>
      </c>
      <c r="O747" s="7" t="s">
        <v>70</v>
      </c>
      <c r="P747">
        <v>60</v>
      </c>
      <c r="Q747" t="s">
        <v>4725</v>
      </c>
      <c r="R747" t="s">
        <v>68</v>
      </c>
      <c r="S747" t="s">
        <v>1809</v>
      </c>
      <c r="V747" s="7"/>
    </row>
    <row r="748" spans="1:22" x14ac:dyDescent="0.3">
      <c r="A748" t="s">
        <v>1923</v>
      </c>
      <c r="B748" t="s">
        <v>1924</v>
      </c>
      <c r="C748" t="s">
        <v>4557</v>
      </c>
      <c r="D748" t="s">
        <v>9</v>
      </c>
      <c r="E748" s="1" t="s">
        <v>4722</v>
      </c>
      <c r="F748" t="s">
        <v>1922</v>
      </c>
      <c r="G748" t="s">
        <v>4557</v>
      </c>
      <c r="H748" t="s">
        <v>9</v>
      </c>
      <c r="I748" s="1" t="s">
        <v>5113</v>
      </c>
      <c r="J748" t="s">
        <v>4723</v>
      </c>
      <c r="K748">
        <v>1</v>
      </c>
      <c r="L748">
        <v>2</v>
      </c>
      <c r="M748">
        <v>322146</v>
      </c>
      <c r="N748" t="s">
        <v>4726</v>
      </c>
      <c r="O748" s="7" t="s">
        <v>70</v>
      </c>
      <c r="P748">
        <v>54</v>
      </c>
      <c r="Q748" t="s">
        <v>4727</v>
      </c>
      <c r="R748" t="s">
        <v>68</v>
      </c>
      <c r="S748" t="s">
        <v>1809</v>
      </c>
      <c r="V748" s="7"/>
    </row>
    <row r="749" spans="1:22" x14ac:dyDescent="0.3">
      <c r="A749" t="s">
        <v>1925</v>
      </c>
      <c r="B749" t="s">
        <v>1926</v>
      </c>
      <c r="C749" t="s">
        <v>4557</v>
      </c>
      <c r="D749" t="s">
        <v>9</v>
      </c>
      <c r="E749" s="1" t="s">
        <v>4722</v>
      </c>
      <c r="F749" t="s">
        <v>1922</v>
      </c>
      <c r="G749" t="s">
        <v>4557</v>
      </c>
      <c r="H749" t="s">
        <v>9</v>
      </c>
      <c r="I749" s="1" t="s">
        <v>5113</v>
      </c>
      <c r="J749" t="s">
        <v>4723</v>
      </c>
      <c r="K749">
        <v>1</v>
      </c>
      <c r="L749">
        <v>3</v>
      </c>
      <c r="M749">
        <v>544626</v>
      </c>
      <c r="N749" t="s">
        <v>4728</v>
      </c>
      <c r="O749" t="s">
        <v>70</v>
      </c>
      <c r="P749">
        <v>60</v>
      </c>
      <c r="Q749" t="s">
        <v>4729</v>
      </c>
      <c r="R749" t="s">
        <v>68</v>
      </c>
      <c r="S749" t="s">
        <v>1809</v>
      </c>
      <c r="V749" s="7"/>
    </row>
    <row r="750" spans="1:22" x14ac:dyDescent="0.3">
      <c r="A750" t="s">
        <v>1927</v>
      </c>
      <c r="B750" t="s">
        <v>1928</v>
      </c>
      <c r="C750" t="s">
        <v>4557</v>
      </c>
      <c r="D750" t="s">
        <v>9</v>
      </c>
      <c r="E750" s="1" t="s">
        <v>4722</v>
      </c>
      <c r="F750" t="s">
        <v>1922</v>
      </c>
      <c r="G750" t="s">
        <v>4557</v>
      </c>
      <c r="H750" t="s">
        <v>9</v>
      </c>
      <c r="I750" s="1" t="s">
        <v>5113</v>
      </c>
      <c r="J750" t="s">
        <v>4723</v>
      </c>
      <c r="K750">
        <v>1</v>
      </c>
      <c r="L750">
        <v>4</v>
      </c>
      <c r="M750">
        <v>228506</v>
      </c>
      <c r="N750" t="s">
        <v>4730</v>
      </c>
      <c r="O750" s="7" t="s">
        <v>70</v>
      </c>
      <c r="P750">
        <v>54</v>
      </c>
      <c r="Q750" t="s">
        <v>4731</v>
      </c>
      <c r="R750" t="s">
        <v>68</v>
      </c>
      <c r="S750" t="s">
        <v>1809</v>
      </c>
      <c r="V750" s="7"/>
    </row>
    <row r="751" spans="1:22" x14ac:dyDescent="0.3">
      <c r="A751" t="s">
        <v>1929</v>
      </c>
      <c r="B751" t="s">
        <v>1930</v>
      </c>
      <c r="C751" t="s">
        <v>4732</v>
      </c>
      <c r="D751" t="s">
        <v>4733</v>
      </c>
      <c r="E751" s="1" t="s">
        <v>4722</v>
      </c>
      <c r="F751" t="s">
        <v>1922</v>
      </c>
      <c r="G751" t="s">
        <v>4557</v>
      </c>
      <c r="H751" t="s">
        <v>9</v>
      </c>
      <c r="I751" s="1" t="s">
        <v>5113</v>
      </c>
      <c r="J751" t="s">
        <v>4723</v>
      </c>
      <c r="K751">
        <v>1</v>
      </c>
      <c r="L751">
        <v>5</v>
      </c>
      <c r="M751">
        <v>337560</v>
      </c>
      <c r="N751" t="s">
        <v>4734</v>
      </c>
      <c r="O751" s="7" t="s">
        <v>70</v>
      </c>
      <c r="P751">
        <v>75</v>
      </c>
      <c r="Q751" t="s">
        <v>4735</v>
      </c>
      <c r="R751" t="s">
        <v>68</v>
      </c>
      <c r="S751" t="s">
        <v>1809</v>
      </c>
      <c r="V751" s="7"/>
    </row>
    <row r="752" spans="1:22" x14ac:dyDescent="0.3">
      <c r="A752" t="s">
        <v>1931</v>
      </c>
      <c r="B752" t="s">
        <v>1932</v>
      </c>
      <c r="C752" t="s">
        <v>4736</v>
      </c>
      <c r="D752" t="s">
        <v>4737</v>
      </c>
      <c r="E752" s="1" t="s">
        <v>4722</v>
      </c>
      <c r="F752" t="s">
        <v>1922</v>
      </c>
      <c r="G752" t="s">
        <v>4557</v>
      </c>
      <c r="H752" t="s">
        <v>9</v>
      </c>
      <c r="I752" s="1" t="s">
        <v>5113</v>
      </c>
      <c r="J752" t="s">
        <v>4723</v>
      </c>
      <c r="K752">
        <v>1</v>
      </c>
      <c r="L752">
        <v>6</v>
      </c>
      <c r="M752">
        <v>353893</v>
      </c>
      <c r="N752" t="s">
        <v>4738</v>
      </c>
      <c r="O752" s="7" t="s">
        <v>70</v>
      </c>
      <c r="P752">
        <v>66</v>
      </c>
      <c r="Q752" t="s">
        <v>4739</v>
      </c>
      <c r="R752" t="s">
        <v>68</v>
      </c>
      <c r="S752" t="s">
        <v>1809</v>
      </c>
      <c r="V752" s="7"/>
    </row>
    <row r="753" spans="1:22" x14ac:dyDescent="0.3">
      <c r="A753" t="s">
        <v>1933</v>
      </c>
      <c r="B753" t="s">
        <v>1934</v>
      </c>
      <c r="C753" t="s">
        <v>4740</v>
      </c>
      <c r="D753" t="s">
        <v>4741</v>
      </c>
      <c r="E753" s="1" t="s">
        <v>4722</v>
      </c>
      <c r="F753" t="s">
        <v>1922</v>
      </c>
      <c r="G753" t="s">
        <v>4557</v>
      </c>
      <c r="H753" t="s">
        <v>9</v>
      </c>
      <c r="I753" s="1" t="s">
        <v>5113</v>
      </c>
      <c r="J753" t="s">
        <v>4723</v>
      </c>
      <c r="K753">
        <v>1</v>
      </c>
      <c r="L753">
        <v>7</v>
      </c>
      <c r="M753">
        <v>498960</v>
      </c>
      <c r="N753" t="s">
        <v>4742</v>
      </c>
      <c r="O753" s="7" t="s">
        <v>70</v>
      </c>
      <c r="P753">
        <v>55</v>
      </c>
      <c r="Q753" t="s">
        <v>4743</v>
      </c>
      <c r="R753" t="s">
        <v>68</v>
      </c>
      <c r="S753" t="s">
        <v>1809</v>
      </c>
      <c r="V753" s="7"/>
    </row>
    <row r="754" spans="1:22" x14ac:dyDescent="0.3">
      <c r="A754" t="s">
        <v>1935</v>
      </c>
      <c r="B754" t="s">
        <v>1936</v>
      </c>
      <c r="C754" t="s">
        <v>4744</v>
      </c>
      <c r="D754" t="s">
        <v>4745</v>
      </c>
      <c r="E754" s="1" t="s">
        <v>4722</v>
      </c>
      <c r="F754" t="s">
        <v>1922</v>
      </c>
      <c r="G754" t="s">
        <v>4557</v>
      </c>
      <c r="H754" t="s">
        <v>9</v>
      </c>
      <c r="I754" s="1" t="s">
        <v>5113</v>
      </c>
      <c r="J754" t="s">
        <v>4723</v>
      </c>
      <c r="K754">
        <v>1</v>
      </c>
      <c r="L754">
        <v>8</v>
      </c>
      <c r="M754">
        <v>369626</v>
      </c>
      <c r="N754" t="s">
        <v>4746</v>
      </c>
      <c r="O754" s="7" t="s">
        <v>70</v>
      </c>
      <c r="P754">
        <v>71</v>
      </c>
      <c r="Q754" t="s">
        <v>4747</v>
      </c>
      <c r="R754" t="s">
        <v>68</v>
      </c>
      <c r="S754" t="s">
        <v>1809</v>
      </c>
    </row>
    <row r="755" spans="1:22" x14ac:dyDescent="0.3">
      <c r="A755" t="s">
        <v>1937</v>
      </c>
      <c r="B755" t="s">
        <v>1938</v>
      </c>
      <c r="C755" t="s">
        <v>4557</v>
      </c>
      <c r="D755" t="s">
        <v>9</v>
      </c>
      <c r="E755" s="1" t="s">
        <v>4722</v>
      </c>
      <c r="F755" t="s">
        <v>1922</v>
      </c>
      <c r="G755" t="s">
        <v>4557</v>
      </c>
      <c r="H755" t="s">
        <v>9</v>
      </c>
      <c r="I755" s="1" t="s">
        <v>5113</v>
      </c>
      <c r="J755" t="s">
        <v>4723</v>
      </c>
      <c r="K755">
        <v>1</v>
      </c>
      <c r="L755">
        <v>9</v>
      </c>
      <c r="M755">
        <v>290240</v>
      </c>
      <c r="N755" t="s">
        <v>4748</v>
      </c>
      <c r="O755" t="s">
        <v>70</v>
      </c>
      <c r="P755">
        <v>51</v>
      </c>
      <c r="Q755" t="s">
        <v>4749</v>
      </c>
      <c r="R755" t="s">
        <v>68</v>
      </c>
      <c r="S755" t="s">
        <v>1809</v>
      </c>
      <c r="V755" s="7"/>
    </row>
    <row r="756" spans="1:22" x14ac:dyDescent="0.3">
      <c r="A756" t="s">
        <v>1939</v>
      </c>
      <c r="B756" t="s">
        <v>1940</v>
      </c>
      <c r="C756" t="s">
        <v>4557</v>
      </c>
      <c r="D756" t="s">
        <v>9</v>
      </c>
      <c r="E756" s="1" t="s">
        <v>4722</v>
      </c>
      <c r="F756" t="s">
        <v>1922</v>
      </c>
      <c r="G756" t="s">
        <v>4557</v>
      </c>
      <c r="H756" t="s">
        <v>9</v>
      </c>
      <c r="I756" s="1" t="s">
        <v>5113</v>
      </c>
      <c r="J756" t="s">
        <v>4723</v>
      </c>
      <c r="K756">
        <v>1</v>
      </c>
      <c r="L756">
        <v>10</v>
      </c>
      <c r="M756">
        <v>341653</v>
      </c>
      <c r="N756" t="s">
        <v>4750</v>
      </c>
      <c r="O756" s="7" t="s">
        <v>70</v>
      </c>
      <c r="P756">
        <v>49</v>
      </c>
      <c r="Q756" t="s">
        <v>4751</v>
      </c>
      <c r="R756" t="s">
        <v>68</v>
      </c>
      <c r="S756" t="s">
        <v>1809</v>
      </c>
      <c r="V756" s="7"/>
    </row>
    <row r="757" spans="1:22" x14ac:dyDescent="0.3">
      <c r="A757" t="s">
        <v>1941</v>
      </c>
      <c r="B757" t="s">
        <v>1942</v>
      </c>
      <c r="C757" t="s">
        <v>4752</v>
      </c>
      <c r="D757" t="s">
        <v>4753</v>
      </c>
      <c r="E757" s="1" t="s">
        <v>4722</v>
      </c>
      <c r="F757" t="s">
        <v>1922</v>
      </c>
      <c r="G757" t="s">
        <v>4557</v>
      </c>
      <c r="H757" t="s">
        <v>9</v>
      </c>
      <c r="I757" s="1" t="s">
        <v>5113</v>
      </c>
      <c r="J757" t="s">
        <v>4723</v>
      </c>
      <c r="K757">
        <v>1</v>
      </c>
      <c r="L757">
        <v>11</v>
      </c>
      <c r="M757">
        <v>279773</v>
      </c>
      <c r="N757" t="s">
        <v>4754</v>
      </c>
      <c r="O757" s="7" t="s">
        <v>70</v>
      </c>
      <c r="P757">
        <v>57</v>
      </c>
      <c r="Q757" t="s">
        <v>4755</v>
      </c>
      <c r="R757" t="s">
        <v>68</v>
      </c>
      <c r="S757" t="s">
        <v>1809</v>
      </c>
      <c r="V757" s="7"/>
    </row>
    <row r="758" spans="1:22" x14ac:dyDescent="0.3">
      <c r="A758" t="s">
        <v>1944</v>
      </c>
      <c r="B758" t="s">
        <v>1945</v>
      </c>
      <c r="C758" t="s">
        <v>4756</v>
      </c>
      <c r="D758" t="s">
        <v>4757</v>
      </c>
      <c r="E758" s="1" t="s">
        <v>4722</v>
      </c>
      <c r="F758" t="s">
        <v>1922</v>
      </c>
      <c r="G758" t="s">
        <v>4557</v>
      </c>
      <c r="H758" t="s">
        <v>9</v>
      </c>
      <c r="I758" s="1" t="s">
        <v>5113</v>
      </c>
      <c r="J758" t="s">
        <v>4723</v>
      </c>
      <c r="K758">
        <v>1</v>
      </c>
      <c r="L758">
        <v>12</v>
      </c>
      <c r="M758">
        <v>251293</v>
      </c>
      <c r="N758" t="s">
        <v>4758</v>
      </c>
      <c r="O758" s="7" t="s">
        <v>70</v>
      </c>
      <c r="P758">
        <v>58</v>
      </c>
      <c r="Q758" t="s">
        <v>4759</v>
      </c>
      <c r="R758" t="s">
        <v>68</v>
      </c>
      <c r="S758" t="s">
        <v>1809</v>
      </c>
      <c r="V758" s="7"/>
    </row>
    <row r="759" spans="1:22" x14ac:dyDescent="0.3">
      <c r="A759" t="s">
        <v>1947</v>
      </c>
      <c r="B759" t="s">
        <v>1948</v>
      </c>
      <c r="C759" t="s">
        <v>4557</v>
      </c>
      <c r="D759" t="s">
        <v>9</v>
      </c>
      <c r="E759" s="1" t="s">
        <v>4722</v>
      </c>
      <c r="F759" t="s">
        <v>1922</v>
      </c>
      <c r="G759" t="s">
        <v>4557</v>
      </c>
      <c r="H759" t="s">
        <v>9</v>
      </c>
      <c r="I759" s="1" t="s">
        <v>5113</v>
      </c>
      <c r="J759" t="s">
        <v>4723</v>
      </c>
      <c r="K759">
        <v>1</v>
      </c>
      <c r="L759">
        <v>13</v>
      </c>
      <c r="M759">
        <v>383626</v>
      </c>
      <c r="N759" t="s">
        <v>4760</v>
      </c>
      <c r="O759" s="7" t="s">
        <v>70</v>
      </c>
      <c r="P759">
        <v>50</v>
      </c>
      <c r="Q759" t="s">
        <v>4761</v>
      </c>
      <c r="R759" t="s">
        <v>68</v>
      </c>
      <c r="S759" t="s">
        <v>1809</v>
      </c>
      <c r="V759" s="7"/>
    </row>
    <row r="760" spans="1:22" x14ac:dyDescent="0.3">
      <c r="A760" t="s">
        <v>1949</v>
      </c>
      <c r="B760" t="s">
        <v>1950</v>
      </c>
      <c r="C760" t="s">
        <v>4557</v>
      </c>
      <c r="D760" t="s">
        <v>9</v>
      </c>
      <c r="E760" s="1" t="s">
        <v>4762</v>
      </c>
      <c r="F760" t="s">
        <v>1951</v>
      </c>
      <c r="G760" t="s">
        <v>4557</v>
      </c>
      <c r="H760" t="s">
        <v>9</v>
      </c>
      <c r="I760" s="1" t="s">
        <v>5114</v>
      </c>
      <c r="J760" t="s">
        <v>4763</v>
      </c>
      <c r="K760">
        <v>1</v>
      </c>
      <c r="L760">
        <v>1</v>
      </c>
      <c r="M760">
        <v>387506</v>
      </c>
      <c r="N760" t="s">
        <v>4764</v>
      </c>
      <c r="O760" t="s">
        <v>70</v>
      </c>
      <c r="P760">
        <v>48</v>
      </c>
      <c r="Q760" t="s">
        <v>4765</v>
      </c>
      <c r="R760" t="s">
        <v>68</v>
      </c>
      <c r="S760" t="s">
        <v>1809</v>
      </c>
      <c r="V760" s="7"/>
    </row>
    <row r="761" spans="1:22" x14ac:dyDescent="0.3">
      <c r="A761" t="s">
        <v>1952</v>
      </c>
      <c r="B761" t="s">
        <v>1953</v>
      </c>
      <c r="C761" t="s">
        <v>4557</v>
      </c>
      <c r="D761" t="s">
        <v>9</v>
      </c>
      <c r="E761" s="1" t="s">
        <v>4762</v>
      </c>
      <c r="F761" t="s">
        <v>1951</v>
      </c>
      <c r="G761" t="s">
        <v>4557</v>
      </c>
      <c r="H761" t="s">
        <v>9</v>
      </c>
      <c r="I761" s="1" t="s">
        <v>5114</v>
      </c>
      <c r="J761" t="s">
        <v>4763</v>
      </c>
      <c r="K761">
        <v>1</v>
      </c>
      <c r="L761">
        <v>2</v>
      </c>
      <c r="M761">
        <v>329653</v>
      </c>
      <c r="N761" t="s">
        <v>4766</v>
      </c>
      <c r="O761" t="s">
        <v>70</v>
      </c>
      <c r="P761">
        <v>49</v>
      </c>
      <c r="Q761" t="s">
        <v>4767</v>
      </c>
      <c r="R761" t="s">
        <v>68</v>
      </c>
      <c r="S761" t="s">
        <v>1809</v>
      </c>
    </row>
    <row r="762" spans="1:22" x14ac:dyDescent="0.3">
      <c r="A762" t="s">
        <v>1954</v>
      </c>
      <c r="B762" t="s">
        <v>1955</v>
      </c>
      <c r="C762" t="s">
        <v>4557</v>
      </c>
      <c r="D762" t="s">
        <v>9</v>
      </c>
      <c r="E762" s="1" t="s">
        <v>4762</v>
      </c>
      <c r="F762" t="s">
        <v>1951</v>
      </c>
      <c r="G762" t="s">
        <v>4557</v>
      </c>
      <c r="H762" t="s">
        <v>9</v>
      </c>
      <c r="I762" s="1" t="s">
        <v>5114</v>
      </c>
      <c r="J762" t="s">
        <v>4763</v>
      </c>
      <c r="K762">
        <v>1</v>
      </c>
      <c r="L762">
        <v>3</v>
      </c>
      <c r="M762">
        <v>290840</v>
      </c>
      <c r="N762" t="s">
        <v>4768</v>
      </c>
      <c r="O762" s="7" t="s">
        <v>70</v>
      </c>
      <c r="P762">
        <v>51</v>
      </c>
      <c r="Q762" t="s">
        <v>4769</v>
      </c>
      <c r="R762" t="s">
        <v>68</v>
      </c>
      <c r="S762" t="s">
        <v>1809</v>
      </c>
      <c r="V762" s="7"/>
    </row>
    <row r="763" spans="1:22" x14ac:dyDescent="0.3">
      <c r="A763" t="s">
        <v>1956</v>
      </c>
      <c r="B763" t="s">
        <v>1957</v>
      </c>
      <c r="C763" t="s">
        <v>4557</v>
      </c>
      <c r="D763" t="s">
        <v>9</v>
      </c>
      <c r="E763" s="1" t="s">
        <v>4762</v>
      </c>
      <c r="F763" t="s">
        <v>1951</v>
      </c>
      <c r="G763" t="s">
        <v>4557</v>
      </c>
      <c r="H763" t="s">
        <v>9</v>
      </c>
      <c r="I763" s="1" t="s">
        <v>5114</v>
      </c>
      <c r="J763" t="s">
        <v>4763</v>
      </c>
      <c r="K763">
        <v>1</v>
      </c>
      <c r="L763">
        <v>4</v>
      </c>
      <c r="M763">
        <v>421600</v>
      </c>
      <c r="N763" t="s">
        <v>4770</v>
      </c>
      <c r="O763" s="7" t="s">
        <v>70</v>
      </c>
      <c r="P763">
        <v>48</v>
      </c>
      <c r="Q763" t="s">
        <v>4771</v>
      </c>
      <c r="R763" t="s">
        <v>68</v>
      </c>
      <c r="S763" t="s">
        <v>1809</v>
      </c>
      <c r="V763" s="7"/>
    </row>
    <row r="764" spans="1:22" x14ac:dyDescent="0.3">
      <c r="A764" t="s">
        <v>1958</v>
      </c>
      <c r="B764" t="s">
        <v>1959</v>
      </c>
      <c r="C764" t="s">
        <v>4557</v>
      </c>
      <c r="D764" t="s">
        <v>9</v>
      </c>
      <c r="E764" s="1" t="s">
        <v>4762</v>
      </c>
      <c r="F764" t="s">
        <v>1951</v>
      </c>
      <c r="G764" t="s">
        <v>4557</v>
      </c>
      <c r="H764" t="s">
        <v>9</v>
      </c>
      <c r="I764" s="1" t="s">
        <v>5114</v>
      </c>
      <c r="J764" t="s">
        <v>4763</v>
      </c>
      <c r="K764">
        <v>1</v>
      </c>
      <c r="L764">
        <v>5</v>
      </c>
      <c r="M764">
        <v>342626</v>
      </c>
      <c r="N764" t="s">
        <v>4772</v>
      </c>
      <c r="O764" s="7" t="s">
        <v>70</v>
      </c>
      <c r="P764">
        <v>54</v>
      </c>
      <c r="Q764" t="s">
        <v>4773</v>
      </c>
      <c r="R764" t="s">
        <v>68</v>
      </c>
      <c r="S764" t="s">
        <v>1809</v>
      </c>
      <c r="V764" s="7"/>
    </row>
    <row r="765" spans="1:22" x14ac:dyDescent="0.3">
      <c r="A765" t="s">
        <v>1960</v>
      </c>
      <c r="B765" t="s">
        <v>1961</v>
      </c>
      <c r="C765" t="s">
        <v>4557</v>
      </c>
      <c r="D765" t="s">
        <v>9</v>
      </c>
      <c r="E765" s="1" t="s">
        <v>4762</v>
      </c>
      <c r="F765" t="s">
        <v>1951</v>
      </c>
      <c r="G765" t="s">
        <v>4557</v>
      </c>
      <c r="H765" t="s">
        <v>9</v>
      </c>
      <c r="I765" s="1" t="s">
        <v>5114</v>
      </c>
      <c r="J765" t="s">
        <v>4763</v>
      </c>
      <c r="K765">
        <v>1</v>
      </c>
      <c r="L765">
        <v>6</v>
      </c>
      <c r="M765">
        <v>431506</v>
      </c>
      <c r="N765" t="s">
        <v>4774</v>
      </c>
      <c r="O765" s="7" t="s">
        <v>70</v>
      </c>
      <c r="P765">
        <v>43</v>
      </c>
      <c r="Q765" t="s">
        <v>4775</v>
      </c>
      <c r="R765" t="s">
        <v>68</v>
      </c>
      <c r="S765" t="s">
        <v>1809</v>
      </c>
      <c r="V765" s="7"/>
    </row>
    <row r="766" spans="1:22" x14ac:dyDescent="0.3">
      <c r="A766" t="s">
        <v>1962</v>
      </c>
      <c r="B766" t="s">
        <v>1963</v>
      </c>
      <c r="C766" t="s">
        <v>4557</v>
      </c>
      <c r="D766" t="s">
        <v>9</v>
      </c>
      <c r="E766" s="1" t="s">
        <v>4762</v>
      </c>
      <c r="F766" t="s">
        <v>1951</v>
      </c>
      <c r="G766" t="s">
        <v>4557</v>
      </c>
      <c r="H766" t="s">
        <v>9</v>
      </c>
      <c r="I766" s="1" t="s">
        <v>5114</v>
      </c>
      <c r="J766" t="s">
        <v>4763</v>
      </c>
      <c r="K766">
        <v>1</v>
      </c>
      <c r="L766">
        <v>7</v>
      </c>
      <c r="M766">
        <v>295226</v>
      </c>
      <c r="N766" t="s">
        <v>4776</v>
      </c>
      <c r="O766" s="7" t="s">
        <v>70</v>
      </c>
      <c r="P766">
        <v>42</v>
      </c>
      <c r="Q766" t="s">
        <v>4777</v>
      </c>
      <c r="R766" t="s">
        <v>68</v>
      </c>
      <c r="S766" t="s">
        <v>1809</v>
      </c>
      <c r="V766" s="7"/>
    </row>
    <row r="767" spans="1:22" x14ac:dyDescent="0.3">
      <c r="A767" t="s">
        <v>1964</v>
      </c>
      <c r="B767" t="s">
        <v>1965</v>
      </c>
      <c r="C767" t="s">
        <v>4557</v>
      </c>
      <c r="D767" t="s">
        <v>9</v>
      </c>
      <c r="E767" s="1" t="s">
        <v>4762</v>
      </c>
      <c r="F767" t="s">
        <v>1951</v>
      </c>
      <c r="G767" t="s">
        <v>4557</v>
      </c>
      <c r="H767" t="s">
        <v>9</v>
      </c>
      <c r="I767" s="1" t="s">
        <v>5114</v>
      </c>
      <c r="J767" t="s">
        <v>4763</v>
      </c>
      <c r="K767">
        <v>1</v>
      </c>
      <c r="L767">
        <v>8</v>
      </c>
      <c r="M767">
        <v>370533</v>
      </c>
      <c r="N767" t="s">
        <v>4778</v>
      </c>
      <c r="O767" s="7" t="s">
        <v>70</v>
      </c>
      <c r="P767">
        <v>48</v>
      </c>
      <c r="Q767" t="s">
        <v>4779</v>
      </c>
      <c r="R767" t="s">
        <v>68</v>
      </c>
      <c r="S767" t="s">
        <v>1809</v>
      </c>
      <c r="V767" s="7"/>
    </row>
    <row r="768" spans="1:22" x14ac:dyDescent="0.3">
      <c r="A768" t="s">
        <v>1966</v>
      </c>
      <c r="B768" t="s">
        <v>1967</v>
      </c>
      <c r="C768" t="s">
        <v>4557</v>
      </c>
      <c r="D768" t="s">
        <v>9</v>
      </c>
      <c r="E768" s="1" t="s">
        <v>4762</v>
      </c>
      <c r="F768" t="s">
        <v>1951</v>
      </c>
      <c r="G768" t="s">
        <v>4557</v>
      </c>
      <c r="H768" t="s">
        <v>9</v>
      </c>
      <c r="I768" s="1" t="s">
        <v>5114</v>
      </c>
      <c r="J768" t="s">
        <v>4763</v>
      </c>
      <c r="K768">
        <v>1</v>
      </c>
      <c r="L768">
        <v>9</v>
      </c>
      <c r="M768">
        <v>211760</v>
      </c>
      <c r="N768" t="s">
        <v>4780</v>
      </c>
      <c r="O768" s="7" t="s">
        <v>70</v>
      </c>
      <c r="P768">
        <v>41</v>
      </c>
      <c r="Q768" t="s">
        <v>4781</v>
      </c>
      <c r="R768" t="s">
        <v>68</v>
      </c>
      <c r="S768" t="s">
        <v>1809</v>
      </c>
      <c r="V768" s="7"/>
    </row>
    <row r="769" spans="1:22" x14ac:dyDescent="0.3">
      <c r="A769" t="s">
        <v>1968</v>
      </c>
      <c r="B769" t="s">
        <v>1969</v>
      </c>
      <c r="C769" t="s">
        <v>4557</v>
      </c>
      <c r="D769" t="s">
        <v>9</v>
      </c>
      <c r="E769" s="1" t="s">
        <v>4762</v>
      </c>
      <c r="F769" t="s">
        <v>1951</v>
      </c>
      <c r="G769" t="s">
        <v>4557</v>
      </c>
      <c r="H769" t="s">
        <v>9</v>
      </c>
      <c r="I769" s="1" t="s">
        <v>5114</v>
      </c>
      <c r="J769" t="s">
        <v>4763</v>
      </c>
      <c r="K769">
        <v>1</v>
      </c>
      <c r="L769">
        <v>10</v>
      </c>
      <c r="M769">
        <v>622480</v>
      </c>
      <c r="N769" t="s">
        <v>4782</v>
      </c>
      <c r="O769" s="7" t="s">
        <v>70</v>
      </c>
      <c r="P769">
        <v>42</v>
      </c>
      <c r="Q769" t="s">
        <v>4783</v>
      </c>
      <c r="R769" t="s">
        <v>68</v>
      </c>
      <c r="S769" t="s">
        <v>1809</v>
      </c>
      <c r="V769" s="7"/>
    </row>
    <row r="770" spans="1:22" x14ac:dyDescent="0.3">
      <c r="A770" t="s">
        <v>1970</v>
      </c>
      <c r="B770" t="s">
        <v>1971</v>
      </c>
      <c r="C770" t="s">
        <v>4557</v>
      </c>
      <c r="D770" t="s">
        <v>9</v>
      </c>
      <c r="E770" s="1" t="s">
        <v>4762</v>
      </c>
      <c r="F770" t="s">
        <v>1951</v>
      </c>
      <c r="G770" t="s">
        <v>4557</v>
      </c>
      <c r="H770" t="s">
        <v>9</v>
      </c>
      <c r="I770" s="1" t="s">
        <v>5114</v>
      </c>
      <c r="J770" t="s">
        <v>4763</v>
      </c>
      <c r="K770">
        <v>1</v>
      </c>
      <c r="L770">
        <v>11</v>
      </c>
      <c r="M770">
        <v>396973</v>
      </c>
      <c r="N770" t="s">
        <v>4784</v>
      </c>
      <c r="O770" s="7" t="s">
        <v>70</v>
      </c>
      <c r="P770">
        <v>41</v>
      </c>
      <c r="Q770" t="s">
        <v>4785</v>
      </c>
      <c r="R770" t="s">
        <v>68</v>
      </c>
      <c r="S770" t="s">
        <v>1809</v>
      </c>
      <c r="V770" s="7"/>
    </row>
    <row r="771" spans="1:22" x14ac:dyDescent="0.3">
      <c r="A771" t="s">
        <v>1972</v>
      </c>
      <c r="B771" t="s">
        <v>1973</v>
      </c>
      <c r="C771" t="s">
        <v>4557</v>
      </c>
      <c r="D771" t="s">
        <v>9</v>
      </c>
      <c r="E771" s="1" t="s">
        <v>4762</v>
      </c>
      <c r="F771" t="s">
        <v>1951</v>
      </c>
      <c r="G771" t="s">
        <v>4557</v>
      </c>
      <c r="H771" t="s">
        <v>9</v>
      </c>
      <c r="I771" s="1" t="s">
        <v>5114</v>
      </c>
      <c r="J771" t="s">
        <v>4763</v>
      </c>
      <c r="K771">
        <v>1</v>
      </c>
      <c r="L771">
        <v>12</v>
      </c>
      <c r="M771">
        <v>341106</v>
      </c>
      <c r="N771" t="s">
        <v>4786</v>
      </c>
      <c r="O771" s="7" t="s">
        <v>70</v>
      </c>
      <c r="P771">
        <v>40</v>
      </c>
      <c r="Q771" t="s">
        <v>4787</v>
      </c>
      <c r="R771" t="s">
        <v>68</v>
      </c>
      <c r="S771" t="s">
        <v>1809</v>
      </c>
      <c r="V771" s="7"/>
    </row>
    <row r="772" spans="1:22" x14ac:dyDescent="0.3">
      <c r="A772" t="s">
        <v>1974</v>
      </c>
      <c r="B772" t="s">
        <v>1975</v>
      </c>
      <c r="C772" t="s">
        <v>4557</v>
      </c>
      <c r="D772" t="s">
        <v>9</v>
      </c>
      <c r="E772" s="1" t="s">
        <v>4762</v>
      </c>
      <c r="F772" t="s">
        <v>1951</v>
      </c>
      <c r="G772" t="s">
        <v>4557</v>
      </c>
      <c r="H772" t="s">
        <v>9</v>
      </c>
      <c r="I772" s="1" t="s">
        <v>5114</v>
      </c>
      <c r="J772" t="s">
        <v>4763</v>
      </c>
      <c r="K772">
        <v>1</v>
      </c>
      <c r="L772">
        <v>13</v>
      </c>
      <c r="M772">
        <v>598666</v>
      </c>
      <c r="N772" t="s">
        <v>4788</v>
      </c>
      <c r="O772" s="7" t="s">
        <v>70</v>
      </c>
      <c r="P772">
        <v>42</v>
      </c>
      <c r="Q772" t="s">
        <v>4789</v>
      </c>
      <c r="R772" t="s">
        <v>68</v>
      </c>
      <c r="S772" t="s">
        <v>1809</v>
      </c>
      <c r="V772" s="7"/>
    </row>
    <row r="773" spans="1:22" x14ac:dyDescent="0.3">
      <c r="A773" t="s">
        <v>1976</v>
      </c>
      <c r="B773" t="s">
        <v>1977</v>
      </c>
      <c r="C773" t="s">
        <v>4790</v>
      </c>
      <c r="D773" t="s">
        <v>4791</v>
      </c>
      <c r="E773" s="1" t="s">
        <v>4792</v>
      </c>
      <c r="F773" t="s">
        <v>1978</v>
      </c>
      <c r="G773" t="s">
        <v>4557</v>
      </c>
      <c r="H773" t="s">
        <v>9</v>
      </c>
      <c r="I773" s="1">
        <v>45265</v>
      </c>
      <c r="J773" t="s">
        <v>4793</v>
      </c>
      <c r="K773">
        <v>2</v>
      </c>
      <c r="L773">
        <v>4</v>
      </c>
      <c r="M773">
        <v>239213</v>
      </c>
      <c r="N773" t="s">
        <v>4794</v>
      </c>
      <c r="O773" s="7" t="s">
        <v>70</v>
      </c>
      <c r="P773">
        <v>56</v>
      </c>
      <c r="Q773" t="s">
        <v>4795</v>
      </c>
      <c r="R773" t="s">
        <v>68</v>
      </c>
      <c r="S773" t="s">
        <v>1809</v>
      </c>
      <c r="V773" s="7"/>
    </row>
    <row r="774" spans="1:22" x14ac:dyDescent="0.3">
      <c r="A774" t="s">
        <v>1980</v>
      </c>
      <c r="B774" t="s">
        <v>1981</v>
      </c>
      <c r="C774" t="s">
        <v>4796</v>
      </c>
      <c r="D774" t="s">
        <v>4797</v>
      </c>
      <c r="E774" t="s">
        <v>4798</v>
      </c>
      <c r="F774" t="s">
        <v>1982</v>
      </c>
      <c r="G774" t="s">
        <v>4799</v>
      </c>
      <c r="H774" t="s">
        <v>52</v>
      </c>
      <c r="I774" s="1" t="s">
        <v>5115</v>
      </c>
      <c r="J774" t="s">
        <v>4800</v>
      </c>
      <c r="K774">
        <v>1</v>
      </c>
      <c r="L774">
        <v>13</v>
      </c>
      <c r="M774">
        <v>224013</v>
      </c>
      <c r="N774" t="s">
        <v>4801</v>
      </c>
      <c r="O774" t="s">
        <v>70</v>
      </c>
      <c r="P774">
        <v>37</v>
      </c>
      <c r="Q774" t="s">
        <v>4802</v>
      </c>
      <c r="R774" t="s">
        <v>68</v>
      </c>
      <c r="S774" t="s">
        <v>1983</v>
      </c>
    </row>
    <row r="775" spans="1:22" x14ac:dyDescent="0.3">
      <c r="A775" t="s">
        <v>1986</v>
      </c>
      <c r="B775" t="s">
        <v>1987</v>
      </c>
      <c r="C775" t="s">
        <v>4803</v>
      </c>
      <c r="D775" t="s">
        <v>4804</v>
      </c>
      <c r="E775" t="s">
        <v>4805</v>
      </c>
      <c r="F775" t="s">
        <v>1987</v>
      </c>
      <c r="G775" t="s">
        <v>4803</v>
      </c>
      <c r="H775" t="s">
        <v>4804</v>
      </c>
      <c r="I775" s="1" t="s">
        <v>5116</v>
      </c>
      <c r="J775" t="s">
        <v>4806</v>
      </c>
      <c r="K775">
        <v>1</v>
      </c>
      <c r="L775">
        <v>1</v>
      </c>
      <c r="M775">
        <v>166440</v>
      </c>
      <c r="N775" t="s">
        <v>4807</v>
      </c>
      <c r="O775" t="s">
        <v>70</v>
      </c>
      <c r="P775">
        <v>37</v>
      </c>
      <c r="Q775" t="s">
        <v>4808</v>
      </c>
      <c r="R775" t="s">
        <v>68</v>
      </c>
      <c r="S775" t="s">
        <v>1983</v>
      </c>
    </row>
    <row r="776" spans="1:22" x14ac:dyDescent="0.3">
      <c r="A776" t="s">
        <v>1990</v>
      </c>
      <c r="B776" t="s">
        <v>1991</v>
      </c>
      <c r="C776" t="s">
        <v>4809</v>
      </c>
      <c r="D776" t="s">
        <v>1993</v>
      </c>
      <c r="E776" t="s">
        <v>4810</v>
      </c>
      <c r="F776" t="s">
        <v>1992</v>
      </c>
      <c r="G776" t="s">
        <v>4809</v>
      </c>
      <c r="H776" t="s">
        <v>1993</v>
      </c>
      <c r="I776" s="1" t="s">
        <v>5117</v>
      </c>
      <c r="J776" t="s">
        <v>4811</v>
      </c>
      <c r="K776">
        <v>1</v>
      </c>
      <c r="L776">
        <v>8</v>
      </c>
      <c r="M776">
        <v>261920</v>
      </c>
      <c r="N776" t="s">
        <v>4812</v>
      </c>
      <c r="O776" t="s">
        <v>70</v>
      </c>
      <c r="P776">
        <v>43</v>
      </c>
      <c r="Q776" t="s">
        <v>4813</v>
      </c>
      <c r="R776" t="s">
        <v>68</v>
      </c>
      <c r="S776" t="s">
        <v>1983</v>
      </c>
    </row>
    <row r="777" spans="1:22" x14ac:dyDescent="0.3">
      <c r="A777" t="s">
        <v>1995</v>
      </c>
      <c r="B777" t="s">
        <v>1996</v>
      </c>
      <c r="C777" t="s">
        <v>4814</v>
      </c>
      <c r="D777" t="s">
        <v>4815</v>
      </c>
      <c r="E777" t="s">
        <v>4816</v>
      </c>
      <c r="F777" t="s">
        <v>1997</v>
      </c>
      <c r="G777" t="s">
        <v>4817</v>
      </c>
      <c r="H777" t="s">
        <v>4818</v>
      </c>
      <c r="I777" s="1">
        <v>45294</v>
      </c>
      <c r="J777" t="s">
        <v>4819</v>
      </c>
      <c r="K777">
        <v>1</v>
      </c>
      <c r="L777">
        <v>14</v>
      </c>
      <c r="M777">
        <v>316360</v>
      </c>
      <c r="N777" t="s">
        <v>4820</v>
      </c>
      <c r="O777" t="s">
        <v>70</v>
      </c>
      <c r="P777">
        <v>37</v>
      </c>
      <c r="Q777" t="s">
        <v>4821</v>
      </c>
      <c r="R777" t="s">
        <v>68</v>
      </c>
      <c r="S777" t="s">
        <v>1983</v>
      </c>
    </row>
    <row r="778" spans="1:22" x14ac:dyDescent="0.3">
      <c r="A778" t="s">
        <v>1999</v>
      </c>
      <c r="B778" t="s">
        <v>2000</v>
      </c>
      <c r="C778" t="s">
        <v>4809</v>
      </c>
      <c r="D778" t="s">
        <v>1993</v>
      </c>
      <c r="E778" t="s">
        <v>4822</v>
      </c>
      <c r="F778" t="s">
        <v>4823</v>
      </c>
      <c r="G778" t="s">
        <v>4809</v>
      </c>
      <c r="H778" t="s">
        <v>1993</v>
      </c>
      <c r="I778" s="1">
        <v>43930</v>
      </c>
      <c r="J778" t="s">
        <v>4824</v>
      </c>
      <c r="K778">
        <v>1</v>
      </c>
      <c r="L778">
        <v>3</v>
      </c>
      <c r="M778">
        <v>214636</v>
      </c>
      <c r="N778" t="s">
        <v>4825</v>
      </c>
      <c r="O778" t="s">
        <v>70</v>
      </c>
      <c r="P778">
        <v>34</v>
      </c>
      <c r="Q778" t="s">
        <v>4826</v>
      </c>
      <c r="R778" t="s">
        <v>68</v>
      </c>
      <c r="S778" t="s">
        <v>1983</v>
      </c>
    </row>
    <row r="779" spans="1:22" x14ac:dyDescent="0.3">
      <c r="A779" t="s">
        <v>2003</v>
      </c>
      <c r="B779" t="s">
        <v>2004</v>
      </c>
      <c r="C779" t="s">
        <v>4809</v>
      </c>
      <c r="D779" t="s">
        <v>1993</v>
      </c>
      <c r="E779" t="s">
        <v>4827</v>
      </c>
      <c r="F779" t="s">
        <v>2004</v>
      </c>
      <c r="G779" t="s">
        <v>4809</v>
      </c>
      <c r="H779" t="s">
        <v>1993</v>
      </c>
      <c r="I779" s="1" t="s">
        <v>5118</v>
      </c>
      <c r="J779" t="s">
        <v>4828</v>
      </c>
      <c r="K779">
        <v>1</v>
      </c>
      <c r="L779">
        <v>1</v>
      </c>
      <c r="M779">
        <v>214813</v>
      </c>
      <c r="N779" t="s">
        <v>4829</v>
      </c>
      <c r="O779" t="s">
        <v>70</v>
      </c>
      <c r="P779">
        <v>33</v>
      </c>
      <c r="Q779" t="s">
        <v>4830</v>
      </c>
      <c r="R779" t="s">
        <v>68</v>
      </c>
      <c r="S779" t="s">
        <v>1983</v>
      </c>
    </row>
    <row r="780" spans="1:22" x14ac:dyDescent="0.3">
      <c r="A780" t="s">
        <v>2005</v>
      </c>
      <c r="B780" t="s">
        <v>2006</v>
      </c>
      <c r="C780" t="s">
        <v>4809</v>
      </c>
      <c r="D780" t="s">
        <v>1993</v>
      </c>
      <c r="E780" t="s">
        <v>4810</v>
      </c>
      <c r="F780" t="s">
        <v>1992</v>
      </c>
      <c r="G780" t="s">
        <v>4809</v>
      </c>
      <c r="H780" t="s">
        <v>1993</v>
      </c>
      <c r="I780" s="1" t="s">
        <v>5117</v>
      </c>
      <c r="J780" t="s">
        <v>4811</v>
      </c>
      <c r="K780">
        <v>1</v>
      </c>
      <c r="L780">
        <v>1</v>
      </c>
      <c r="M780">
        <v>222600</v>
      </c>
      <c r="N780" t="s">
        <v>4831</v>
      </c>
      <c r="O780" t="s">
        <v>70</v>
      </c>
      <c r="P780">
        <v>34</v>
      </c>
      <c r="Q780" t="s">
        <v>4832</v>
      </c>
      <c r="R780" t="s">
        <v>68</v>
      </c>
      <c r="S780" t="s">
        <v>1983</v>
      </c>
    </row>
    <row r="781" spans="1:22" x14ac:dyDescent="0.3">
      <c r="A781" t="s">
        <v>2007</v>
      </c>
      <c r="B781" t="s">
        <v>2008</v>
      </c>
      <c r="C781" t="s">
        <v>4833</v>
      </c>
      <c r="D781" t="s">
        <v>4834</v>
      </c>
      <c r="E781" t="s">
        <v>4835</v>
      </c>
      <c r="F781" t="s">
        <v>2009</v>
      </c>
      <c r="G781" t="s">
        <v>4836</v>
      </c>
      <c r="H781" t="s">
        <v>4837</v>
      </c>
      <c r="I781" s="1" t="s">
        <v>5119</v>
      </c>
      <c r="J781" t="s">
        <v>4838</v>
      </c>
      <c r="K781">
        <v>1</v>
      </c>
      <c r="L781">
        <v>2</v>
      </c>
      <c r="M781">
        <v>175773</v>
      </c>
      <c r="N781" t="s">
        <v>4839</v>
      </c>
      <c r="O781" t="s">
        <v>70</v>
      </c>
      <c r="P781">
        <v>30</v>
      </c>
      <c r="Q781" t="s">
        <v>4840</v>
      </c>
      <c r="R781" t="s">
        <v>68</v>
      </c>
      <c r="S781" t="s">
        <v>1983</v>
      </c>
    </row>
    <row r="782" spans="1:22" x14ac:dyDescent="0.3">
      <c r="A782" t="s">
        <v>2011</v>
      </c>
      <c r="B782" t="s">
        <v>2012</v>
      </c>
      <c r="C782" t="s">
        <v>4841</v>
      </c>
      <c r="D782" t="s">
        <v>4842</v>
      </c>
      <c r="E782" t="s">
        <v>4843</v>
      </c>
      <c r="F782" t="s">
        <v>2012</v>
      </c>
      <c r="G782" t="s">
        <v>4841</v>
      </c>
      <c r="H782" t="s">
        <v>4842</v>
      </c>
      <c r="I782" s="1" t="s">
        <v>5120</v>
      </c>
      <c r="J782" t="s">
        <v>4844</v>
      </c>
      <c r="K782">
        <v>1</v>
      </c>
      <c r="L782">
        <v>1</v>
      </c>
      <c r="M782">
        <v>192250</v>
      </c>
      <c r="N782" t="s">
        <v>4845</v>
      </c>
      <c r="O782" t="s">
        <v>70</v>
      </c>
      <c r="P782">
        <v>30</v>
      </c>
      <c r="Q782" t="s">
        <v>4846</v>
      </c>
      <c r="R782" t="s">
        <v>68</v>
      </c>
      <c r="S782" t="s">
        <v>1983</v>
      </c>
    </row>
    <row r="783" spans="1:22" x14ac:dyDescent="0.3">
      <c r="A783" t="s">
        <v>2015</v>
      </c>
      <c r="B783" t="s">
        <v>2016</v>
      </c>
      <c r="C783" t="s">
        <v>4847</v>
      </c>
      <c r="D783" t="s">
        <v>4848</v>
      </c>
      <c r="E783" t="s">
        <v>4827</v>
      </c>
      <c r="F783" t="s">
        <v>2004</v>
      </c>
      <c r="G783" t="s">
        <v>4809</v>
      </c>
      <c r="H783" t="s">
        <v>1993</v>
      </c>
      <c r="I783" s="1" t="s">
        <v>5118</v>
      </c>
      <c r="J783" t="s">
        <v>4828</v>
      </c>
      <c r="K783">
        <v>1</v>
      </c>
      <c r="L783">
        <v>12</v>
      </c>
      <c r="M783">
        <v>238084</v>
      </c>
      <c r="N783" t="s">
        <v>4849</v>
      </c>
      <c r="O783" t="s">
        <v>70</v>
      </c>
      <c r="P783">
        <v>31</v>
      </c>
      <c r="Q783" t="s">
        <v>4850</v>
      </c>
      <c r="R783" t="s">
        <v>68</v>
      </c>
      <c r="S783" t="s">
        <v>1983</v>
      </c>
    </row>
    <row r="784" spans="1:22" x14ac:dyDescent="0.3">
      <c r="A784" t="s">
        <v>2018</v>
      </c>
      <c r="B784" t="s">
        <v>4851</v>
      </c>
      <c r="C784" t="s">
        <v>4809</v>
      </c>
      <c r="D784" t="s">
        <v>1993</v>
      </c>
      <c r="E784" t="s">
        <v>4810</v>
      </c>
      <c r="F784" t="s">
        <v>1992</v>
      </c>
      <c r="G784" t="s">
        <v>4809</v>
      </c>
      <c r="H784" t="s">
        <v>1993</v>
      </c>
      <c r="I784" s="1" t="s">
        <v>5117</v>
      </c>
      <c r="J784" t="s">
        <v>4811</v>
      </c>
      <c r="K784">
        <v>1</v>
      </c>
      <c r="L784">
        <v>2</v>
      </c>
      <c r="M784">
        <v>226253</v>
      </c>
      <c r="N784" t="s">
        <v>4852</v>
      </c>
      <c r="O784" t="s">
        <v>70</v>
      </c>
      <c r="P784">
        <v>35</v>
      </c>
      <c r="Q784" t="s">
        <v>4853</v>
      </c>
      <c r="R784" t="s">
        <v>68</v>
      </c>
      <c r="S784" t="s">
        <v>1983</v>
      </c>
    </row>
    <row r="785" spans="1:19" x14ac:dyDescent="0.3">
      <c r="A785" t="s">
        <v>2020</v>
      </c>
      <c r="B785" t="s">
        <v>4854</v>
      </c>
      <c r="C785" t="s">
        <v>4855</v>
      </c>
      <c r="D785" t="s">
        <v>4856</v>
      </c>
      <c r="E785" t="s">
        <v>4857</v>
      </c>
      <c r="F785" t="s">
        <v>4858</v>
      </c>
      <c r="G785" t="s">
        <v>69</v>
      </c>
      <c r="H785" t="s">
        <v>13</v>
      </c>
      <c r="I785" s="1">
        <v>39540</v>
      </c>
      <c r="J785" t="s">
        <v>4859</v>
      </c>
      <c r="K785">
        <v>1</v>
      </c>
      <c r="L785">
        <v>18</v>
      </c>
      <c r="M785">
        <v>172000</v>
      </c>
      <c r="N785" t="s">
        <v>4860</v>
      </c>
      <c r="O785" t="s">
        <v>70</v>
      </c>
      <c r="P785">
        <v>31</v>
      </c>
      <c r="Q785" t="s">
        <v>4861</v>
      </c>
      <c r="R785" t="s">
        <v>68</v>
      </c>
      <c r="S785" t="s">
        <v>1983</v>
      </c>
    </row>
    <row r="786" spans="1:19" x14ac:dyDescent="0.3">
      <c r="A786" t="s">
        <v>2023</v>
      </c>
      <c r="B786" t="s">
        <v>2024</v>
      </c>
      <c r="C786" t="s">
        <v>4862</v>
      </c>
      <c r="D786" t="s">
        <v>4863</v>
      </c>
      <c r="E786" t="s">
        <v>4864</v>
      </c>
      <c r="F786" t="s">
        <v>2025</v>
      </c>
      <c r="G786" t="s">
        <v>4865</v>
      </c>
      <c r="H786" t="s">
        <v>4866</v>
      </c>
      <c r="I786" s="1" t="s">
        <v>5121</v>
      </c>
      <c r="J786" t="s">
        <v>4867</v>
      </c>
      <c r="K786">
        <v>1</v>
      </c>
      <c r="L786">
        <v>9</v>
      </c>
      <c r="M786">
        <v>250866</v>
      </c>
      <c r="N786" t="s">
        <v>4868</v>
      </c>
      <c r="O786" t="s">
        <v>70</v>
      </c>
      <c r="P786">
        <v>26</v>
      </c>
      <c r="Q786" t="s">
        <v>4869</v>
      </c>
      <c r="R786" t="s">
        <v>68</v>
      </c>
      <c r="S786" t="s">
        <v>1983</v>
      </c>
    </row>
    <row r="787" spans="1:19" x14ac:dyDescent="0.3">
      <c r="A787" t="s">
        <v>2027</v>
      </c>
      <c r="B787" t="s">
        <v>4870</v>
      </c>
      <c r="C787" t="s">
        <v>4809</v>
      </c>
      <c r="D787" t="s">
        <v>1993</v>
      </c>
      <c r="E787" t="s">
        <v>4822</v>
      </c>
      <c r="F787" t="s">
        <v>4823</v>
      </c>
      <c r="G787" t="s">
        <v>4809</v>
      </c>
      <c r="H787" t="s">
        <v>1993</v>
      </c>
      <c r="I787" s="1">
        <v>43930</v>
      </c>
      <c r="J787" t="s">
        <v>4824</v>
      </c>
      <c r="K787">
        <v>1</v>
      </c>
      <c r="L787">
        <v>4</v>
      </c>
      <c r="M787">
        <v>178317</v>
      </c>
      <c r="N787" t="s">
        <v>4871</v>
      </c>
      <c r="O787" t="s">
        <v>70</v>
      </c>
      <c r="P787">
        <v>27</v>
      </c>
      <c r="Q787" t="s">
        <v>4872</v>
      </c>
      <c r="R787" t="s">
        <v>68</v>
      </c>
      <c r="S787" t="s">
        <v>1983</v>
      </c>
    </row>
    <row r="788" spans="1:19" x14ac:dyDescent="0.3">
      <c r="A788" t="s">
        <v>2029</v>
      </c>
      <c r="B788" t="s">
        <v>2030</v>
      </c>
      <c r="C788" t="s">
        <v>4833</v>
      </c>
      <c r="D788" t="s">
        <v>4834</v>
      </c>
      <c r="E788" t="s">
        <v>4835</v>
      </c>
      <c r="F788" t="s">
        <v>2009</v>
      </c>
      <c r="G788" t="s">
        <v>4836</v>
      </c>
      <c r="H788" t="s">
        <v>4837</v>
      </c>
      <c r="I788" s="1" t="s">
        <v>5119</v>
      </c>
      <c r="J788" t="s">
        <v>4838</v>
      </c>
      <c r="K788">
        <v>1</v>
      </c>
      <c r="L788">
        <v>17</v>
      </c>
      <c r="M788">
        <v>192813</v>
      </c>
      <c r="N788" t="s">
        <v>4873</v>
      </c>
      <c r="O788" t="s">
        <v>80</v>
      </c>
      <c r="P788">
        <v>23</v>
      </c>
      <c r="Q788" t="s">
        <v>4874</v>
      </c>
      <c r="R788" t="s">
        <v>68</v>
      </c>
      <c r="S788" t="s">
        <v>1983</v>
      </c>
    </row>
    <row r="789" spans="1:19" x14ac:dyDescent="0.3">
      <c r="A789" t="s">
        <v>2031</v>
      </c>
      <c r="B789" t="s">
        <v>4875</v>
      </c>
      <c r="C789" t="s">
        <v>4876</v>
      </c>
      <c r="D789" t="s">
        <v>4877</v>
      </c>
      <c r="E789" t="s">
        <v>4878</v>
      </c>
      <c r="F789" t="s">
        <v>2033</v>
      </c>
      <c r="G789" t="s">
        <v>4879</v>
      </c>
      <c r="H789" t="s">
        <v>4880</v>
      </c>
      <c r="I789" s="1">
        <v>45051</v>
      </c>
      <c r="J789" t="s">
        <v>4881</v>
      </c>
      <c r="K789">
        <v>1</v>
      </c>
      <c r="L789">
        <v>8</v>
      </c>
      <c r="M789">
        <v>167186</v>
      </c>
      <c r="N789" t="s">
        <v>4882</v>
      </c>
      <c r="O789" t="s">
        <v>70</v>
      </c>
      <c r="P789">
        <v>25</v>
      </c>
      <c r="Q789" t="s">
        <v>4883</v>
      </c>
      <c r="R789" t="s">
        <v>68</v>
      </c>
      <c r="S789" t="s">
        <v>1983</v>
      </c>
    </row>
    <row r="790" spans="1:19" x14ac:dyDescent="0.3">
      <c r="A790" t="s">
        <v>2035</v>
      </c>
      <c r="B790" t="s">
        <v>4884</v>
      </c>
      <c r="C790" t="s">
        <v>4809</v>
      </c>
      <c r="D790" t="s">
        <v>1993</v>
      </c>
      <c r="E790" t="s">
        <v>4885</v>
      </c>
      <c r="F790" t="s">
        <v>4884</v>
      </c>
      <c r="G790" t="s">
        <v>4809</v>
      </c>
      <c r="H790" t="s">
        <v>1993</v>
      </c>
      <c r="I790" s="1" t="s">
        <v>5122</v>
      </c>
      <c r="J790" t="s">
        <v>4886</v>
      </c>
      <c r="K790">
        <v>1</v>
      </c>
      <c r="L790">
        <v>1</v>
      </c>
      <c r="M790">
        <v>230466</v>
      </c>
      <c r="N790" t="s">
        <v>4887</v>
      </c>
      <c r="O790" t="s">
        <v>70</v>
      </c>
      <c r="P790">
        <v>27</v>
      </c>
      <c r="Q790" t="s">
        <v>4888</v>
      </c>
      <c r="R790" t="s">
        <v>68</v>
      </c>
      <c r="S790" t="s">
        <v>1983</v>
      </c>
    </row>
    <row r="791" spans="1:19" x14ac:dyDescent="0.3">
      <c r="A791" t="s">
        <v>2038</v>
      </c>
      <c r="B791" t="s">
        <v>2039</v>
      </c>
      <c r="C791" t="s">
        <v>4809</v>
      </c>
      <c r="D791" t="s">
        <v>1993</v>
      </c>
      <c r="E791" t="s">
        <v>4822</v>
      </c>
      <c r="F791" t="s">
        <v>4823</v>
      </c>
      <c r="G791" t="s">
        <v>4809</v>
      </c>
      <c r="H791" t="s">
        <v>1993</v>
      </c>
      <c r="I791" s="1">
        <v>43930</v>
      </c>
      <c r="J791" t="s">
        <v>4824</v>
      </c>
      <c r="K791">
        <v>1</v>
      </c>
      <c r="L791">
        <v>2</v>
      </c>
      <c r="M791">
        <v>195104</v>
      </c>
      <c r="N791" t="s">
        <v>4889</v>
      </c>
      <c r="O791" t="s">
        <v>70</v>
      </c>
      <c r="P791">
        <v>24</v>
      </c>
      <c r="Q791" t="s">
        <v>4890</v>
      </c>
      <c r="R791" t="s">
        <v>68</v>
      </c>
      <c r="S791" t="s">
        <v>1983</v>
      </c>
    </row>
    <row r="792" spans="1:19" x14ac:dyDescent="0.3">
      <c r="A792" t="s">
        <v>2040</v>
      </c>
      <c r="B792" t="s">
        <v>4891</v>
      </c>
      <c r="C792" t="s">
        <v>4892</v>
      </c>
      <c r="D792" t="s">
        <v>4893</v>
      </c>
      <c r="E792" t="s">
        <v>4894</v>
      </c>
      <c r="F792" t="s">
        <v>2041</v>
      </c>
      <c r="G792" t="s">
        <v>4895</v>
      </c>
      <c r="H792" t="s">
        <v>4896</v>
      </c>
      <c r="I792" s="1" t="s">
        <v>5123</v>
      </c>
      <c r="J792" t="s">
        <v>4897</v>
      </c>
      <c r="K792">
        <v>1</v>
      </c>
      <c r="L792">
        <v>17</v>
      </c>
      <c r="M792">
        <v>252733</v>
      </c>
      <c r="N792" t="s">
        <v>4898</v>
      </c>
      <c r="O792" t="s">
        <v>70</v>
      </c>
      <c r="P792">
        <v>30</v>
      </c>
      <c r="Q792" t="s">
        <v>4899</v>
      </c>
      <c r="R792" t="s">
        <v>68</v>
      </c>
      <c r="S792" t="s">
        <v>1983</v>
      </c>
    </row>
    <row r="793" spans="1:19" x14ac:dyDescent="0.3">
      <c r="A793" t="s">
        <v>2043</v>
      </c>
      <c r="B793" t="s">
        <v>2044</v>
      </c>
      <c r="C793" t="s">
        <v>4900</v>
      </c>
      <c r="D793" t="s">
        <v>4901</v>
      </c>
      <c r="E793" t="s">
        <v>4902</v>
      </c>
      <c r="F793" t="s">
        <v>2045</v>
      </c>
      <c r="G793" t="s">
        <v>4903</v>
      </c>
      <c r="H793" t="s">
        <v>2046</v>
      </c>
      <c r="I793" s="1">
        <v>43772</v>
      </c>
      <c r="J793" t="s">
        <v>4904</v>
      </c>
      <c r="K793">
        <v>1</v>
      </c>
      <c r="L793">
        <v>4</v>
      </c>
      <c r="M793">
        <v>150478</v>
      </c>
      <c r="N793" t="s">
        <v>4905</v>
      </c>
      <c r="O793" t="s">
        <v>70</v>
      </c>
      <c r="P793">
        <v>24</v>
      </c>
      <c r="Q793" t="s">
        <v>4906</v>
      </c>
      <c r="R793" t="s">
        <v>68</v>
      </c>
      <c r="S793" t="s">
        <v>1983</v>
      </c>
    </row>
    <row r="794" spans="1:19" x14ac:dyDescent="0.3">
      <c r="A794" t="s">
        <v>2047</v>
      </c>
      <c r="B794" t="s">
        <v>2048</v>
      </c>
      <c r="C794" t="s">
        <v>4809</v>
      </c>
      <c r="D794" t="s">
        <v>1993</v>
      </c>
      <c r="E794" t="s">
        <v>4885</v>
      </c>
      <c r="F794" t="s">
        <v>4884</v>
      </c>
      <c r="G794" t="s">
        <v>4809</v>
      </c>
      <c r="H794" t="s">
        <v>1993</v>
      </c>
      <c r="I794" s="1" t="s">
        <v>5122</v>
      </c>
      <c r="J794" t="s">
        <v>4886</v>
      </c>
      <c r="K794">
        <v>1</v>
      </c>
      <c r="L794">
        <v>2</v>
      </c>
      <c r="M794">
        <v>179373</v>
      </c>
      <c r="N794" t="s">
        <v>4907</v>
      </c>
      <c r="O794" t="s">
        <v>70</v>
      </c>
      <c r="P794">
        <v>25</v>
      </c>
      <c r="Q794" t="s">
        <v>4908</v>
      </c>
      <c r="R794" t="s">
        <v>68</v>
      </c>
      <c r="S794" t="s">
        <v>1983</v>
      </c>
    </row>
    <row r="795" spans="1:19" x14ac:dyDescent="0.3">
      <c r="A795" t="s">
        <v>2049</v>
      </c>
      <c r="B795" t="s">
        <v>2050</v>
      </c>
      <c r="C795" t="s">
        <v>4809</v>
      </c>
      <c r="D795" t="s">
        <v>1993</v>
      </c>
      <c r="E795" t="s">
        <v>4822</v>
      </c>
      <c r="F795" t="s">
        <v>4823</v>
      </c>
      <c r="G795" t="s">
        <v>4809</v>
      </c>
      <c r="H795" t="s">
        <v>1993</v>
      </c>
      <c r="I795" s="1">
        <v>43930</v>
      </c>
      <c r="J795" t="s">
        <v>4824</v>
      </c>
      <c r="K795">
        <v>1</v>
      </c>
      <c r="L795">
        <v>8</v>
      </c>
      <c r="M795">
        <v>192418</v>
      </c>
      <c r="N795" t="s">
        <v>4909</v>
      </c>
      <c r="O795" t="s">
        <v>70</v>
      </c>
      <c r="P795">
        <v>25</v>
      </c>
      <c r="Q795" t="s">
        <v>4910</v>
      </c>
      <c r="R795" t="s">
        <v>68</v>
      </c>
      <c r="S795" t="s">
        <v>1983</v>
      </c>
    </row>
    <row r="796" spans="1:19" x14ac:dyDescent="0.3">
      <c r="A796" t="s">
        <v>2051</v>
      </c>
      <c r="B796" t="s">
        <v>2052</v>
      </c>
      <c r="C796" t="s">
        <v>4809</v>
      </c>
      <c r="D796" t="s">
        <v>1993</v>
      </c>
      <c r="E796" t="s">
        <v>4911</v>
      </c>
      <c r="F796" t="s">
        <v>2052</v>
      </c>
      <c r="G796" t="s">
        <v>4809</v>
      </c>
      <c r="H796" t="s">
        <v>1993</v>
      </c>
      <c r="I796" s="1" t="s">
        <v>5124</v>
      </c>
      <c r="J796" t="s">
        <v>4912</v>
      </c>
      <c r="K796">
        <v>1</v>
      </c>
      <c r="L796">
        <v>1</v>
      </c>
      <c r="M796">
        <v>210329</v>
      </c>
      <c r="N796" t="s">
        <v>4913</v>
      </c>
      <c r="O796" t="s">
        <v>70</v>
      </c>
      <c r="P796">
        <v>22</v>
      </c>
      <c r="Q796" t="s">
        <v>4914</v>
      </c>
      <c r="R796" t="s">
        <v>68</v>
      </c>
      <c r="S796" t="s">
        <v>1983</v>
      </c>
    </row>
    <row r="797" spans="1:19" x14ac:dyDescent="0.3">
      <c r="A797" t="s">
        <v>2053</v>
      </c>
      <c r="B797" t="s">
        <v>2054</v>
      </c>
      <c r="C797" t="s">
        <v>4915</v>
      </c>
      <c r="D797" t="s">
        <v>4916</v>
      </c>
      <c r="E797" t="s">
        <v>4917</v>
      </c>
      <c r="F797" t="s">
        <v>4918</v>
      </c>
      <c r="G797" t="s">
        <v>69</v>
      </c>
      <c r="H797" t="s">
        <v>13</v>
      </c>
      <c r="I797" s="1" t="s">
        <v>5125</v>
      </c>
      <c r="J797" t="s">
        <v>4919</v>
      </c>
      <c r="K797">
        <v>1</v>
      </c>
      <c r="L797">
        <v>5</v>
      </c>
      <c r="M797">
        <v>282080</v>
      </c>
      <c r="N797" t="s">
        <v>4920</v>
      </c>
      <c r="O797" t="s">
        <v>70</v>
      </c>
      <c r="P797">
        <v>24</v>
      </c>
      <c r="Q797" t="s">
        <v>4921</v>
      </c>
      <c r="R797" t="s">
        <v>68</v>
      </c>
      <c r="S797" t="s">
        <v>1983</v>
      </c>
    </row>
    <row r="798" spans="1:19" x14ac:dyDescent="0.3">
      <c r="A798" t="s">
        <v>2056</v>
      </c>
      <c r="B798" t="s">
        <v>2057</v>
      </c>
      <c r="C798" t="s">
        <v>4809</v>
      </c>
      <c r="D798" t="s">
        <v>1993</v>
      </c>
      <c r="E798" t="s">
        <v>4827</v>
      </c>
      <c r="F798" t="s">
        <v>2004</v>
      </c>
      <c r="G798" t="s">
        <v>4809</v>
      </c>
      <c r="H798" t="s">
        <v>1993</v>
      </c>
      <c r="I798" s="1" t="s">
        <v>5118</v>
      </c>
      <c r="J798" t="s">
        <v>4828</v>
      </c>
      <c r="K798">
        <v>1</v>
      </c>
      <c r="L798">
        <v>4</v>
      </c>
      <c r="M798">
        <v>253573</v>
      </c>
      <c r="N798" t="s">
        <v>4922</v>
      </c>
      <c r="O798" t="s">
        <v>70</v>
      </c>
      <c r="P798">
        <v>23</v>
      </c>
      <c r="Q798" t="s">
        <v>4923</v>
      </c>
      <c r="R798" t="s">
        <v>68</v>
      </c>
      <c r="S798" t="s">
        <v>1983</v>
      </c>
    </row>
    <row r="799" spans="1:19" x14ac:dyDescent="0.3">
      <c r="A799" t="s">
        <v>2058</v>
      </c>
      <c r="B799" t="s">
        <v>2059</v>
      </c>
      <c r="C799" t="s">
        <v>4809</v>
      </c>
      <c r="D799" t="s">
        <v>1993</v>
      </c>
      <c r="E799" t="s">
        <v>4822</v>
      </c>
      <c r="F799" t="s">
        <v>4823</v>
      </c>
      <c r="G799" t="s">
        <v>4809</v>
      </c>
      <c r="H799" t="s">
        <v>1993</v>
      </c>
      <c r="I799" s="1">
        <v>43930</v>
      </c>
      <c r="J799" t="s">
        <v>4824</v>
      </c>
      <c r="K799">
        <v>1</v>
      </c>
      <c r="L799">
        <v>7</v>
      </c>
      <c r="M799">
        <v>202156</v>
      </c>
      <c r="N799" t="s">
        <v>4924</v>
      </c>
      <c r="O799" t="s">
        <v>70</v>
      </c>
      <c r="P799">
        <v>23</v>
      </c>
      <c r="Q799" t="s">
        <v>4925</v>
      </c>
      <c r="R799" t="s">
        <v>68</v>
      </c>
      <c r="S799" t="s">
        <v>1983</v>
      </c>
    </row>
    <row r="800" spans="1:19" x14ac:dyDescent="0.3">
      <c r="A800" t="s">
        <v>2060</v>
      </c>
      <c r="B800" t="s">
        <v>4926</v>
      </c>
      <c r="C800" t="s">
        <v>4927</v>
      </c>
      <c r="D800" t="s">
        <v>4928</v>
      </c>
      <c r="E800" t="s">
        <v>4929</v>
      </c>
      <c r="F800" t="s">
        <v>4930</v>
      </c>
      <c r="G800" t="s">
        <v>4931</v>
      </c>
      <c r="H800" t="s">
        <v>4932</v>
      </c>
      <c r="I800" s="1">
        <v>40544</v>
      </c>
      <c r="J800" t="s">
        <v>4933</v>
      </c>
      <c r="K800">
        <v>1</v>
      </c>
      <c r="L800">
        <v>7</v>
      </c>
      <c r="M800">
        <v>208173</v>
      </c>
      <c r="N800" t="s">
        <v>4934</v>
      </c>
      <c r="O800" t="s">
        <v>70</v>
      </c>
      <c r="P800">
        <v>18</v>
      </c>
      <c r="Q800" t="s">
        <v>4935</v>
      </c>
      <c r="R800" t="s">
        <v>68</v>
      </c>
      <c r="S800" t="s">
        <v>1983</v>
      </c>
    </row>
    <row r="801" spans="1:19" x14ac:dyDescent="0.3">
      <c r="A801" t="s">
        <v>2065</v>
      </c>
      <c r="B801" t="s">
        <v>2066</v>
      </c>
      <c r="C801" t="s">
        <v>4809</v>
      </c>
      <c r="D801" t="s">
        <v>1993</v>
      </c>
      <c r="E801" t="s">
        <v>4810</v>
      </c>
      <c r="F801" t="s">
        <v>1992</v>
      </c>
      <c r="G801" t="s">
        <v>4809</v>
      </c>
      <c r="H801" t="s">
        <v>1993</v>
      </c>
      <c r="I801" s="1" t="s">
        <v>5117</v>
      </c>
      <c r="J801" t="s">
        <v>4811</v>
      </c>
      <c r="K801">
        <v>1</v>
      </c>
      <c r="L801">
        <v>4</v>
      </c>
      <c r="M801">
        <v>349120</v>
      </c>
      <c r="N801" t="s">
        <v>4936</v>
      </c>
      <c r="O801" t="s">
        <v>70</v>
      </c>
      <c r="P801">
        <v>23</v>
      </c>
      <c r="Q801" t="s">
        <v>4937</v>
      </c>
      <c r="R801" t="s">
        <v>68</v>
      </c>
      <c r="S801" t="s">
        <v>1983</v>
      </c>
    </row>
    <row r="802" spans="1:19" x14ac:dyDescent="0.3">
      <c r="A802" t="s">
        <v>2067</v>
      </c>
      <c r="B802" t="s">
        <v>2068</v>
      </c>
      <c r="C802" t="s">
        <v>4809</v>
      </c>
      <c r="D802" t="s">
        <v>1993</v>
      </c>
      <c r="E802" t="s">
        <v>4938</v>
      </c>
      <c r="F802" t="s">
        <v>4939</v>
      </c>
      <c r="G802" t="s">
        <v>4809</v>
      </c>
      <c r="H802" t="s">
        <v>1993</v>
      </c>
      <c r="I802" s="1" t="s">
        <v>89</v>
      </c>
      <c r="J802" t="s">
        <v>4940</v>
      </c>
      <c r="K802">
        <v>1</v>
      </c>
      <c r="L802">
        <v>2</v>
      </c>
      <c r="M802">
        <v>178058</v>
      </c>
      <c r="N802" t="s">
        <v>4941</v>
      </c>
      <c r="O802" t="s">
        <v>70</v>
      </c>
      <c r="P802">
        <v>25</v>
      </c>
      <c r="Q802" t="s">
        <v>4942</v>
      </c>
      <c r="R802" t="s">
        <v>68</v>
      </c>
      <c r="S802" t="s">
        <v>1983</v>
      </c>
    </row>
    <row r="803" spans="1:19" x14ac:dyDescent="0.3">
      <c r="A803" t="s">
        <v>2070</v>
      </c>
      <c r="B803" t="s">
        <v>2071</v>
      </c>
      <c r="C803" t="s">
        <v>4809</v>
      </c>
      <c r="D803" t="s">
        <v>1993</v>
      </c>
      <c r="E803" t="s">
        <v>4822</v>
      </c>
      <c r="F803" t="s">
        <v>4823</v>
      </c>
      <c r="G803" t="s">
        <v>4809</v>
      </c>
      <c r="H803" t="s">
        <v>1993</v>
      </c>
      <c r="I803" s="1">
        <v>43930</v>
      </c>
      <c r="J803" t="s">
        <v>4824</v>
      </c>
      <c r="K803">
        <v>1</v>
      </c>
      <c r="L803">
        <v>1</v>
      </c>
      <c r="M803">
        <v>173554</v>
      </c>
      <c r="N803" t="s">
        <v>4943</v>
      </c>
      <c r="O803" t="s">
        <v>70</v>
      </c>
      <c r="P803">
        <v>22</v>
      </c>
      <c r="Q803" t="s">
        <v>4944</v>
      </c>
      <c r="R803" t="s">
        <v>68</v>
      </c>
      <c r="S803" t="s">
        <v>1983</v>
      </c>
    </row>
    <row r="804" spans="1:19" x14ac:dyDescent="0.3">
      <c r="A804" t="s">
        <v>2072</v>
      </c>
      <c r="B804" t="s">
        <v>2073</v>
      </c>
      <c r="C804" t="s">
        <v>4809</v>
      </c>
      <c r="D804" t="s">
        <v>1993</v>
      </c>
      <c r="E804" t="s">
        <v>4945</v>
      </c>
      <c r="F804" t="s">
        <v>2074</v>
      </c>
      <c r="G804" t="s">
        <v>4809</v>
      </c>
      <c r="H804" t="s">
        <v>1993</v>
      </c>
      <c r="I804" s="1">
        <v>42796</v>
      </c>
      <c r="J804" t="s">
        <v>4946</v>
      </c>
      <c r="K804">
        <v>1</v>
      </c>
      <c r="L804">
        <v>1</v>
      </c>
      <c r="M804">
        <v>230000</v>
      </c>
      <c r="N804" t="s">
        <v>4947</v>
      </c>
      <c r="O804" t="s">
        <v>70</v>
      </c>
      <c r="P804">
        <v>19</v>
      </c>
      <c r="Q804" t="s">
        <v>4948</v>
      </c>
      <c r="R804" t="s">
        <v>68</v>
      </c>
      <c r="S804" t="s">
        <v>1983</v>
      </c>
    </row>
    <row r="805" spans="1:19" x14ac:dyDescent="0.3">
      <c r="A805" t="s">
        <v>2075</v>
      </c>
      <c r="B805" t="s">
        <v>2076</v>
      </c>
      <c r="C805" t="s">
        <v>4809</v>
      </c>
      <c r="D805" t="s">
        <v>1993</v>
      </c>
      <c r="E805" t="s">
        <v>4810</v>
      </c>
      <c r="F805" t="s">
        <v>1992</v>
      </c>
      <c r="G805" t="s">
        <v>4809</v>
      </c>
      <c r="H805" t="s">
        <v>1993</v>
      </c>
      <c r="I805" s="1" t="s">
        <v>5117</v>
      </c>
      <c r="J805" t="s">
        <v>4811</v>
      </c>
      <c r="K805">
        <v>1</v>
      </c>
      <c r="L805">
        <v>7</v>
      </c>
      <c r="M805">
        <v>347280</v>
      </c>
      <c r="N805" t="s">
        <v>4949</v>
      </c>
      <c r="O805" t="s">
        <v>70</v>
      </c>
      <c r="P805">
        <v>25</v>
      </c>
      <c r="Q805" t="s">
        <v>4950</v>
      </c>
      <c r="R805" t="s">
        <v>68</v>
      </c>
      <c r="S805" t="s">
        <v>1983</v>
      </c>
    </row>
    <row r="806" spans="1:19" x14ac:dyDescent="0.3">
      <c r="A806" t="s">
        <v>2077</v>
      </c>
      <c r="B806" t="s">
        <v>2078</v>
      </c>
      <c r="C806" t="s">
        <v>4809</v>
      </c>
      <c r="D806" t="s">
        <v>1993</v>
      </c>
      <c r="E806" t="s">
        <v>4885</v>
      </c>
      <c r="F806" t="s">
        <v>4884</v>
      </c>
      <c r="G806" t="s">
        <v>4809</v>
      </c>
      <c r="H806" t="s">
        <v>1993</v>
      </c>
      <c r="I806" s="1" t="s">
        <v>5122</v>
      </c>
      <c r="J806" t="s">
        <v>4886</v>
      </c>
      <c r="K806">
        <v>1</v>
      </c>
      <c r="L806">
        <v>5</v>
      </c>
      <c r="M806">
        <v>135000</v>
      </c>
      <c r="N806" t="s">
        <v>4951</v>
      </c>
      <c r="O806" t="s">
        <v>70</v>
      </c>
      <c r="P806">
        <v>18</v>
      </c>
      <c r="Q806" t="s">
        <v>4952</v>
      </c>
      <c r="R806" t="s">
        <v>68</v>
      </c>
      <c r="S806" t="s">
        <v>1983</v>
      </c>
    </row>
    <row r="807" spans="1:19" x14ac:dyDescent="0.3">
      <c r="A807" t="s">
        <v>2079</v>
      </c>
      <c r="B807" t="s">
        <v>2080</v>
      </c>
      <c r="C807" t="s">
        <v>4809</v>
      </c>
      <c r="D807" t="s">
        <v>1993</v>
      </c>
      <c r="E807" t="s">
        <v>4953</v>
      </c>
      <c r="F807" t="s">
        <v>2080</v>
      </c>
      <c r="G807" t="s">
        <v>4809</v>
      </c>
      <c r="H807" t="s">
        <v>1993</v>
      </c>
      <c r="I807" s="1" t="s">
        <v>5126</v>
      </c>
      <c r="J807" t="s">
        <v>4954</v>
      </c>
      <c r="K807">
        <v>1</v>
      </c>
      <c r="L807">
        <v>1</v>
      </c>
      <c r="M807">
        <v>190648</v>
      </c>
      <c r="N807" t="s">
        <v>4955</v>
      </c>
      <c r="O807" t="s">
        <v>70</v>
      </c>
      <c r="P807">
        <v>18</v>
      </c>
      <c r="Q807" t="s">
        <v>4956</v>
      </c>
      <c r="R807" t="s">
        <v>68</v>
      </c>
      <c r="S807" t="s">
        <v>1983</v>
      </c>
    </row>
    <row r="808" spans="1:19" x14ac:dyDescent="0.3">
      <c r="A808" t="s">
        <v>2081</v>
      </c>
      <c r="B808" t="s">
        <v>2082</v>
      </c>
      <c r="C808" t="s">
        <v>4809</v>
      </c>
      <c r="D808" t="s">
        <v>1993</v>
      </c>
      <c r="E808" t="s">
        <v>4827</v>
      </c>
      <c r="F808" t="s">
        <v>2004</v>
      </c>
      <c r="G808" t="s">
        <v>4809</v>
      </c>
      <c r="H808" t="s">
        <v>1993</v>
      </c>
      <c r="I808" s="1" t="s">
        <v>5118</v>
      </c>
      <c r="J808" t="s">
        <v>4828</v>
      </c>
      <c r="K808">
        <v>1</v>
      </c>
      <c r="L808">
        <v>6</v>
      </c>
      <c r="M808">
        <v>218706</v>
      </c>
      <c r="N808" t="s">
        <v>4957</v>
      </c>
      <c r="O808" t="s">
        <v>70</v>
      </c>
      <c r="P808">
        <v>20</v>
      </c>
      <c r="Q808" t="s">
        <v>4958</v>
      </c>
      <c r="R808" t="s">
        <v>68</v>
      </c>
      <c r="S808" t="s">
        <v>1983</v>
      </c>
    </row>
    <row r="809" spans="1:19" x14ac:dyDescent="0.3">
      <c r="A809" t="s">
        <v>2083</v>
      </c>
      <c r="B809" t="s">
        <v>2084</v>
      </c>
      <c r="C809" t="s">
        <v>4809</v>
      </c>
      <c r="D809" t="s">
        <v>1993</v>
      </c>
      <c r="E809" t="s">
        <v>4810</v>
      </c>
      <c r="F809" t="s">
        <v>1992</v>
      </c>
      <c r="G809" t="s">
        <v>4809</v>
      </c>
      <c r="H809" t="s">
        <v>1993</v>
      </c>
      <c r="I809" s="1" t="s">
        <v>5117</v>
      </c>
      <c r="J809" t="s">
        <v>4811</v>
      </c>
      <c r="K809">
        <v>1</v>
      </c>
      <c r="L809">
        <v>6</v>
      </c>
      <c r="M809">
        <v>255586</v>
      </c>
      <c r="N809" t="s">
        <v>4959</v>
      </c>
      <c r="O809" t="s">
        <v>70</v>
      </c>
      <c r="P809">
        <v>18</v>
      </c>
      <c r="Q809" t="s">
        <v>4960</v>
      </c>
      <c r="R809" t="s">
        <v>68</v>
      </c>
      <c r="S809" t="s">
        <v>1983</v>
      </c>
    </row>
    <row r="810" spans="1:19" x14ac:dyDescent="0.3">
      <c r="A810" t="s">
        <v>2085</v>
      </c>
      <c r="B810" t="s">
        <v>2086</v>
      </c>
      <c r="C810" t="s">
        <v>4809</v>
      </c>
      <c r="D810" t="s">
        <v>1993</v>
      </c>
      <c r="E810" t="s">
        <v>4885</v>
      </c>
      <c r="F810" t="s">
        <v>4884</v>
      </c>
      <c r="G810" t="s">
        <v>4809</v>
      </c>
      <c r="H810" t="s">
        <v>1993</v>
      </c>
      <c r="I810" s="1" t="s">
        <v>5122</v>
      </c>
      <c r="J810" t="s">
        <v>4886</v>
      </c>
      <c r="K810">
        <v>1</v>
      </c>
      <c r="L810">
        <v>13</v>
      </c>
      <c r="M810">
        <v>254093</v>
      </c>
      <c r="N810" t="s">
        <v>4961</v>
      </c>
      <c r="O810" t="s">
        <v>70</v>
      </c>
      <c r="P810">
        <v>16</v>
      </c>
      <c r="Q810" t="s">
        <v>4962</v>
      </c>
      <c r="R810" t="s">
        <v>68</v>
      </c>
      <c r="S810" t="s">
        <v>1983</v>
      </c>
    </row>
    <row r="811" spans="1:19" x14ac:dyDescent="0.3">
      <c r="A811" t="s">
        <v>2087</v>
      </c>
      <c r="B811" t="s">
        <v>2088</v>
      </c>
      <c r="C811" t="s">
        <v>4809</v>
      </c>
      <c r="D811" t="s">
        <v>1993</v>
      </c>
      <c r="E811" t="s">
        <v>4963</v>
      </c>
      <c r="F811" t="s">
        <v>2088</v>
      </c>
      <c r="G811" t="s">
        <v>4809</v>
      </c>
      <c r="H811" t="s">
        <v>1993</v>
      </c>
      <c r="I811" s="1" t="s">
        <v>5127</v>
      </c>
      <c r="J811" t="s">
        <v>4964</v>
      </c>
      <c r="K811">
        <v>1</v>
      </c>
      <c r="L811">
        <v>1</v>
      </c>
      <c r="M811">
        <v>265500</v>
      </c>
      <c r="N811" t="s">
        <v>4965</v>
      </c>
      <c r="O811" t="s">
        <v>70</v>
      </c>
      <c r="P811">
        <v>17</v>
      </c>
      <c r="Q811" t="s">
        <v>4966</v>
      </c>
      <c r="R811" t="s">
        <v>68</v>
      </c>
      <c r="S811" t="s">
        <v>1983</v>
      </c>
    </row>
    <row r="812" spans="1:19" x14ac:dyDescent="0.3">
      <c r="A812" t="s">
        <v>2089</v>
      </c>
      <c r="B812" t="s">
        <v>2090</v>
      </c>
      <c r="C812" t="s">
        <v>4809</v>
      </c>
      <c r="D812" t="s">
        <v>1993</v>
      </c>
      <c r="E812" t="s">
        <v>4827</v>
      </c>
      <c r="F812" t="s">
        <v>2004</v>
      </c>
      <c r="G812" t="s">
        <v>4809</v>
      </c>
      <c r="H812" t="s">
        <v>1993</v>
      </c>
      <c r="I812" s="1" t="s">
        <v>5118</v>
      </c>
      <c r="J812" t="s">
        <v>4828</v>
      </c>
      <c r="K812">
        <v>1</v>
      </c>
      <c r="L812">
        <v>5</v>
      </c>
      <c r="M812">
        <v>234453</v>
      </c>
      <c r="N812" t="s">
        <v>4967</v>
      </c>
      <c r="O812" t="s">
        <v>70</v>
      </c>
      <c r="P812">
        <v>17</v>
      </c>
      <c r="Q812" t="s">
        <v>4968</v>
      </c>
      <c r="R812" t="s">
        <v>68</v>
      </c>
      <c r="S812" t="s">
        <v>1983</v>
      </c>
    </row>
    <row r="813" spans="1:19" x14ac:dyDescent="0.3">
      <c r="A813" t="s">
        <v>2091</v>
      </c>
      <c r="B813" t="s">
        <v>2092</v>
      </c>
      <c r="C813" t="s">
        <v>4809</v>
      </c>
      <c r="D813" t="s">
        <v>1993</v>
      </c>
      <c r="E813" t="s">
        <v>4969</v>
      </c>
      <c r="F813" t="s">
        <v>2092</v>
      </c>
      <c r="G813" t="s">
        <v>4809</v>
      </c>
      <c r="H813" t="s">
        <v>1993</v>
      </c>
      <c r="I813" s="1">
        <v>42920</v>
      </c>
      <c r="J813" t="s">
        <v>4970</v>
      </c>
      <c r="K813">
        <v>1</v>
      </c>
      <c r="L813">
        <v>1</v>
      </c>
      <c r="M813">
        <v>188246</v>
      </c>
      <c r="N813" t="s">
        <v>4971</v>
      </c>
      <c r="O813" t="s">
        <v>70</v>
      </c>
      <c r="P813">
        <v>16</v>
      </c>
      <c r="Q813" t="s">
        <v>4972</v>
      </c>
      <c r="R813" t="s">
        <v>68</v>
      </c>
      <c r="S813" t="s">
        <v>1983</v>
      </c>
    </row>
    <row r="814" spans="1:19" x14ac:dyDescent="0.3">
      <c r="A814" t="s">
        <v>2093</v>
      </c>
      <c r="B814" t="s">
        <v>2094</v>
      </c>
      <c r="C814" t="s">
        <v>4809</v>
      </c>
      <c r="D814" t="s">
        <v>1993</v>
      </c>
      <c r="E814" t="s">
        <v>4885</v>
      </c>
      <c r="F814" t="s">
        <v>4884</v>
      </c>
      <c r="G814" t="s">
        <v>4809</v>
      </c>
      <c r="H814" t="s">
        <v>1993</v>
      </c>
      <c r="I814" s="1" t="s">
        <v>5122</v>
      </c>
      <c r="J814" t="s">
        <v>4886</v>
      </c>
      <c r="K814">
        <v>1</v>
      </c>
      <c r="L814">
        <v>3</v>
      </c>
      <c r="M814">
        <v>218146</v>
      </c>
      <c r="N814" t="s">
        <v>4973</v>
      </c>
      <c r="O814" t="s">
        <v>70</v>
      </c>
      <c r="P814">
        <v>18</v>
      </c>
      <c r="Q814" t="s">
        <v>4974</v>
      </c>
      <c r="R814" t="s">
        <v>68</v>
      </c>
      <c r="S814" t="s">
        <v>1983</v>
      </c>
    </row>
    <row r="815" spans="1:19" x14ac:dyDescent="0.3">
      <c r="A815" t="s">
        <v>2095</v>
      </c>
      <c r="B815" t="s">
        <v>2096</v>
      </c>
      <c r="C815" t="s">
        <v>4809</v>
      </c>
      <c r="D815" t="s">
        <v>1993</v>
      </c>
      <c r="E815" t="s">
        <v>4975</v>
      </c>
      <c r="F815" t="s">
        <v>2096</v>
      </c>
      <c r="G815" t="s">
        <v>4809</v>
      </c>
      <c r="H815" t="s">
        <v>1993</v>
      </c>
      <c r="I815" s="1">
        <v>41396</v>
      </c>
      <c r="J815" t="s">
        <v>4976</v>
      </c>
      <c r="K815">
        <v>1</v>
      </c>
      <c r="L815">
        <v>1</v>
      </c>
      <c r="M815">
        <v>234993</v>
      </c>
      <c r="N815" t="s">
        <v>4977</v>
      </c>
      <c r="O815" t="s">
        <v>70</v>
      </c>
      <c r="P815">
        <v>14</v>
      </c>
      <c r="Q815" t="s">
        <v>4978</v>
      </c>
      <c r="R815" t="s">
        <v>68</v>
      </c>
      <c r="S815" t="s">
        <v>1983</v>
      </c>
    </row>
    <row r="816" spans="1:19" x14ac:dyDescent="0.3">
      <c r="A816" t="s">
        <v>2097</v>
      </c>
      <c r="B816" t="s">
        <v>2098</v>
      </c>
      <c r="C816" t="s">
        <v>4809</v>
      </c>
      <c r="D816" t="s">
        <v>1993</v>
      </c>
      <c r="E816" t="s">
        <v>4827</v>
      </c>
      <c r="F816" t="s">
        <v>2004</v>
      </c>
      <c r="G816" t="s">
        <v>4809</v>
      </c>
      <c r="H816" t="s">
        <v>1993</v>
      </c>
      <c r="I816" s="1" t="s">
        <v>5118</v>
      </c>
      <c r="J816" t="s">
        <v>4828</v>
      </c>
      <c r="K816">
        <v>1</v>
      </c>
      <c r="L816">
        <v>3</v>
      </c>
      <c r="M816">
        <v>214186</v>
      </c>
      <c r="N816" t="s">
        <v>4979</v>
      </c>
      <c r="O816" t="s">
        <v>70</v>
      </c>
      <c r="P816">
        <v>17</v>
      </c>
      <c r="Q816" t="s">
        <v>4980</v>
      </c>
      <c r="R816" t="s">
        <v>68</v>
      </c>
      <c r="S816" t="s">
        <v>1983</v>
      </c>
    </row>
    <row r="817" spans="1:19" x14ac:dyDescent="0.3">
      <c r="A817" t="s">
        <v>2099</v>
      </c>
      <c r="B817" t="s">
        <v>2100</v>
      </c>
      <c r="C817" t="s">
        <v>4809</v>
      </c>
      <c r="D817" t="s">
        <v>1993</v>
      </c>
      <c r="E817" t="s">
        <v>4981</v>
      </c>
      <c r="F817" t="s">
        <v>2100</v>
      </c>
      <c r="G817" t="s">
        <v>4809</v>
      </c>
      <c r="H817" t="s">
        <v>1993</v>
      </c>
      <c r="I817" s="1" t="s">
        <v>5128</v>
      </c>
      <c r="J817" t="s">
        <v>4982</v>
      </c>
      <c r="K817">
        <v>1</v>
      </c>
      <c r="L817">
        <v>1</v>
      </c>
      <c r="M817">
        <v>188002</v>
      </c>
      <c r="N817" t="s">
        <v>4983</v>
      </c>
      <c r="O817" t="s">
        <v>70</v>
      </c>
      <c r="P817">
        <v>15</v>
      </c>
      <c r="Q817" t="s">
        <v>4984</v>
      </c>
      <c r="R817" t="s">
        <v>68</v>
      </c>
      <c r="S817" t="s">
        <v>1983</v>
      </c>
    </row>
    <row r="818" spans="1:19" x14ac:dyDescent="0.3">
      <c r="A818" t="s">
        <v>2101</v>
      </c>
      <c r="B818" t="s">
        <v>2102</v>
      </c>
      <c r="C818" t="s">
        <v>4809</v>
      </c>
      <c r="D818" t="s">
        <v>1993</v>
      </c>
      <c r="E818" t="s">
        <v>4885</v>
      </c>
      <c r="F818" t="s">
        <v>4884</v>
      </c>
      <c r="G818" t="s">
        <v>4809</v>
      </c>
      <c r="H818" t="s">
        <v>1993</v>
      </c>
      <c r="I818" s="1" t="s">
        <v>5122</v>
      </c>
      <c r="J818" t="s">
        <v>4886</v>
      </c>
      <c r="K818">
        <v>1</v>
      </c>
      <c r="L818">
        <v>10</v>
      </c>
      <c r="M818">
        <v>79706</v>
      </c>
      <c r="N818" t="s">
        <v>4985</v>
      </c>
      <c r="O818" t="s">
        <v>70</v>
      </c>
      <c r="P818">
        <v>15</v>
      </c>
      <c r="Q818" t="s">
        <v>4986</v>
      </c>
      <c r="R818" t="s">
        <v>68</v>
      </c>
      <c r="S818" t="s">
        <v>1983</v>
      </c>
    </row>
    <row r="819" spans="1:19" x14ac:dyDescent="0.3">
      <c r="I819" s="1"/>
    </row>
    <row r="820" spans="1:19" x14ac:dyDescent="0.3">
      <c r="I820" s="1"/>
    </row>
    <row r="821" spans="1:19" x14ac:dyDescent="0.3">
      <c r="I821" s="1"/>
    </row>
    <row r="822" spans="1:19" x14ac:dyDescent="0.3">
      <c r="I822" s="1"/>
    </row>
    <row r="823" spans="1:19" x14ac:dyDescent="0.3">
      <c r="I823" s="1"/>
    </row>
    <row r="824" spans="1:19" x14ac:dyDescent="0.3">
      <c r="I824" s="1"/>
    </row>
    <row r="825" spans="1:19" x14ac:dyDescent="0.3">
      <c r="I825" s="1"/>
    </row>
    <row r="826" spans="1:19" x14ac:dyDescent="0.3">
      <c r="I826" s="1"/>
    </row>
    <row r="827" spans="1:19" x14ac:dyDescent="0.3">
      <c r="I827" s="1"/>
    </row>
    <row r="828" spans="1:19" x14ac:dyDescent="0.3">
      <c r="I828" s="1"/>
    </row>
    <row r="829" spans="1:19" x14ac:dyDescent="0.3">
      <c r="I829" s="1"/>
    </row>
    <row r="830" spans="1:19" x14ac:dyDescent="0.3">
      <c r="I830" s="1"/>
    </row>
    <row r="831" spans="1:19" x14ac:dyDescent="0.3">
      <c r="I831" s="1"/>
    </row>
    <row r="832" spans="1:19" x14ac:dyDescent="0.3">
      <c r="I832" s="1"/>
    </row>
    <row r="833" spans="9:9" x14ac:dyDescent="0.3">
      <c r="I833" s="1"/>
    </row>
    <row r="834" spans="9:9" x14ac:dyDescent="0.3">
      <c r="I834" s="1"/>
    </row>
    <row r="835" spans="9:9" x14ac:dyDescent="0.3">
      <c r="I835" s="1"/>
    </row>
    <row r="836" spans="9:9" x14ac:dyDescent="0.3">
      <c r="I836" s="1"/>
    </row>
    <row r="837" spans="9:9" x14ac:dyDescent="0.3">
      <c r="I837" s="1"/>
    </row>
    <row r="838" spans="9:9" x14ac:dyDescent="0.3">
      <c r="I838" s="1"/>
    </row>
    <row r="839" spans="9:9" x14ac:dyDescent="0.3">
      <c r="I839" s="1"/>
    </row>
    <row r="840" spans="9:9" x14ac:dyDescent="0.3">
      <c r="I840" s="1"/>
    </row>
    <row r="841" spans="9:9" x14ac:dyDescent="0.3">
      <c r="I841" s="1"/>
    </row>
    <row r="842" spans="9:9" x14ac:dyDescent="0.3">
      <c r="I842" s="1"/>
    </row>
    <row r="843" spans="9:9" x14ac:dyDescent="0.3">
      <c r="I843" s="1"/>
    </row>
    <row r="844" spans="9:9" x14ac:dyDescent="0.3">
      <c r="I844" s="1"/>
    </row>
    <row r="845" spans="9:9" x14ac:dyDescent="0.3">
      <c r="I845" s="1"/>
    </row>
    <row r="846" spans="9:9" x14ac:dyDescent="0.3">
      <c r="I846" s="1"/>
    </row>
    <row r="847" spans="9:9" x14ac:dyDescent="0.3">
      <c r="I847" s="1"/>
    </row>
    <row r="848" spans="9:9" x14ac:dyDescent="0.3">
      <c r="I848" s="1"/>
    </row>
    <row r="849" spans="9:9" x14ac:dyDescent="0.3">
      <c r="I849" s="1"/>
    </row>
    <row r="850" spans="9:9" x14ac:dyDescent="0.3">
      <c r="I850" s="1"/>
    </row>
    <row r="851" spans="9:9" x14ac:dyDescent="0.3">
      <c r="I851" s="1"/>
    </row>
    <row r="852" spans="9:9" x14ac:dyDescent="0.3">
      <c r="I852" s="1"/>
    </row>
    <row r="853" spans="9:9" x14ac:dyDescent="0.3">
      <c r="I853" s="1"/>
    </row>
    <row r="854" spans="9:9" x14ac:dyDescent="0.3">
      <c r="I854" s="1"/>
    </row>
    <row r="855" spans="9:9" x14ac:dyDescent="0.3">
      <c r="I855" s="1"/>
    </row>
    <row r="856" spans="9:9" x14ac:dyDescent="0.3">
      <c r="I856" s="1"/>
    </row>
    <row r="857" spans="9:9" x14ac:dyDescent="0.3">
      <c r="I857" s="1"/>
    </row>
    <row r="858" spans="9:9" x14ac:dyDescent="0.3">
      <c r="I858" s="1"/>
    </row>
    <row r="859" spans="9:9" x14ac:dyDescent="0.3">
      <c r="I859" s="1"/>
    </row>
    <row r="860" spans="9:9" x14ac:dyDescent="0.3">
      <c r="I860" s="1"/>
    </row>
    <row r="861" spans="9:9" x14ac:dyDescent="0.3">
      <c r="I861" s="1"/>
    </row>
    <row r="862" spans="9:9" x14ac:dyDescent="0.3">
      <c r="I862" s="1"/>
    </row>
    <row r="863" spans="9:9" x14ac:dyDescent="0.3">
      <c r="I863" s="1"/>
    </row>
    <row r="864" spans="9:9" x14ac:dyDescent="0.3">
      <c r="I864" s="1"/>
    </row>
    <row r="865" spans="9:9" x14ac:dyDescent="0.3">
      <c r="I865" s="1"/>
    </row>
    <row r="866" spans="9:9" x14ac:dyDescent="0.3">
      <c r="I866" s="1"/>
    </row>
    <row r="867" spans="9:9" x14ac:dyDescent="0.3">
      <c r="I867" s="1"/>
    </row>
    <row r="868" spans="9:9" x14ac:dyDescent="0.3">
      <c r="I868" s="1"/>
    </row>
    <row r="869" spans="9:9" x14ac:dyDescent="0.3">
      <c r="I869" s="1"/>
    </row>
    <row r="870" spans="9:9" x14ac:dyDescent="0.3">
      <c r="I870" s="1"/>
    </row>
    <row r="871" spans="9:9" x14ac:dyDescent="0.3">
      <c r="I871" s="1"/>
    </row>
    <row r="872" spans="9:9" x14ac:dyDescent="0.3">
      <c r="I872" s="1"/>
    </row>
    <row r="873" spans="9:9" x14ac:dyDescent="0.3">
      <c r="I873" s="1"/>
    </row>
    <row r="874" spans="9:9" x14ac:dyDescent="0.3">
      <c r="I874" s="1"/>
    </row>
    <row r="875" spans="9:9" x14ac:dyDescent="0.3">
      <c r="I875" s="1"/>
    </row>
    <row r="876" spans="9:9" x14ac:dyDescent="0.3">
      <c r="I876" s="1"/>
    </row>
    <row r="877" spans="9:9" x14ac:dyDescent="0.3">
      <c r="I877" s="1"/>
    </row>
    <row r="878" spans="9:9" x14ac:dyDescent="0.3">
      <c r="I878" s="1"/>
    </row>
    <row r="879" spans="9:9" x14ac:dyDescent="0.3">
      <c r="I879" s="1"/>
    </row>
    <row r="880" spans="9:9" x14ac:dyDescent="0.3">
      <c r="I880" s="1"/>
    </row>
    <row r="881" spans="9:9" x14ac:dyDescent="0.3">
      <c r="I881" s="1"/>
    </row>
    <row r="882" spans="9:9" x14ac:dyDescent="0.3">
      <c r="I882" s="1"/>
    </row>
    <row r="883" spans="9:9" x14ac:dyDescent="0.3">
      <c r="I883" s="1"/>
    </row>
    <row r="884" spans="9:9" x14ac:dyDescent="0.3">
      <c r="I884" s="1"/>
    </row>
    <row r="885" spans="9:9" x14ac:dyDescent="0.3">
      <c r="I885" s="1"/>
    </row>
    <row r="886" spans="9:9" x14ac:dyDescent="0.3">
      <c r="I886" s="1"/>
    </row>
    <row r="887" spans="9:9" x14ac:dyDescent="0.3">
      <c r="I887" s="1"/>
    </row>
    <row r="888" spans="9:9" x14ac:dyDescent="0.3">
      <c r="I888" s="1"/>
    </row>
    <row r="889" spans="9:9" x14ac:dyDescent="0.3">
      <c r="I889" s="1"/>
    </row>
    <row r="890" spans="9:9" x14ac:dyDescent="0.3">
      <c r="I890" s="1"/>
    </row>
    <row r="891" spans="9:9" x14ac:dyDescent="0.3">
      <c r="I891" s="1"/>
    </row>
    <row r="892" spans="9:9" x14ac:dyDescent="0.3">
      <c r="I892" s="1"/>
    </row>
    <row r="893" spans="9:9" x14ac:dyDescent="0.3">
      <c r="I893" s="1"/>
    </row>
    <row r="894" spans="9:9" x14ac:dyDescent="0.3">
      <c r="I894" s="1"/>
    </row>
    <row r="895" spans="9:9" x14ac:dyDescent="0.3">
      <c r="I895" s="1"/>
    </row>
    <row r="896" spans="9:9" x14ac:dyDescent="0.3">
      <c r="I896" s="1"/>
    </row>
    <row r="897" spans="9:9" x14ac:dyDescent="0.3">
      <c r="I897" s="1"/>
    </row>
    <row r="898" spans="9:9" x14ac:dyDescent="0.3">
      <c r="I898" s="1"/>
    </row>
    <row r="899" spans="9:9" x14ac:dyDescent="0.3">
      <c r="I899" s="1"/>
    </row>
    <row r="900" spans="9:9" x14ac:dyDescent="0.3">
      <c r="I900" s="1"/>
    </row>
    <row r="901" spans="9:9" x14ac:dyDescent="0.3">
      <c r="I901" s="1"/>
    </row>
    <row r="902" spans="9:9" x14ac:dyDescent="0.3">
      <c r="I902" s="1"/>
    </row>
    <row r="903" spans="9:9" x14ac:dyDescent="0.3">
      <c r="I903" s="1"/>
    </row>
    <row r="904" spans="9:9" x14ac:dyDescent="0.3">
      <c r="I904" s="1"/>
    </row>
    <row r="905" spans="9:9" x14ac:dyDescent="0.3">
      <c r="I905" s="1"/>
    </row>
    <row r="906" spans="9:9" x14ac:dyDescent="0.3">
      <c r="I906" s="1"/>
    </row>
    <row r="907" spans="9:9" x14ac:dyDescent="0.3">
      <c r="I907" s="1"/>
    </row>
    <row r="908" spans="9:9" x14ac:dyDescent="0.3">
      <c r="I908" s="1"/>
    </row>
    <row r="909" spans="9:9" x14ac:dyDescent="0.3">
      <c r="I909" s="1"/>
    </row>
    <row r="910" spans="9:9" x14ac:dyDescent="0.3">
      <c r="I910" s="1"/>
    </row>
    <row r="911" spans="9:9" x14ac:dyDescent="0.3">
      <c r="I911" s="1"/>
    </row>
    <row r="912" spans="9:9" x14ac:dyDescent="0.3">
      <c r="I912" s="1"/>
    </row>
    <row r="913" spans="9:9" x14ac:dyDescent="0.3">
      <c r="I913" s="1"/>
    </row>
    <row r="914" spans="9:9" x14ac:dyDescent="0.3">
      <c r="I914" s="1"/>
    </row>
    <row r="915" spans="9:9" x14ac:dyDescent="0.3">
      <c r="I915" s="1"/>
    </row>
    <row r="916" spans="9:9" x14ac:dyDescent="0.3">
      <c r="I916" s="1"/>
    </row>
    <row r="917" spans="9:9" x14ac:dyDescent="0.3">
      <c r="I917" s="1"/>
    </row>
    <row r="918" spans="9:9" x14ac:dyDescent="0.3">
      <c r="I918" s="1"/>
    </row>
    <row r="919" spans="9:9" x14ac:dyDescent="0.3">
      <c r="I919" s="1"/>
    </row>
    <row r="920" spans="9:9" x14ac:dyDescent="0.3">
      <c r="I920" s="1"/>
    </row>
    <row r="921" spans="9:9" x14ac:dyDescent="0.3">
      <c r="I921" s="1"/>
    </row>
    <row r="922" spans="9:9" x14ac:dyDescent="0.3">
      <c r="I922" s="1"/>
    </row>
    <row r="923" spans="9:9" x14ac:dyDescent="0.3">
      <c r="I923" s="1"/>
    </row>
    <row r="924" spans="9:9" x14ac:dyDescent="0.3">
      <c r="I924" s="1"/>
    </row>
    <row r="925" spans="9:9" x14ac:dyDescent="0.3">
      <c r="I925" s="1"/>
    </row>
    <row r="926" spans="9:9" x14ac:dyDescent="0.3">
      <c r="I926" s="1"/>
    </row>
    <row r="927" spans="9:9" x14ac:dyDescent="0.3">
      <c r="I927" s="1"/>
    </row>
    <row r="928" spans="9:9" x14ac:dyDescent="0.3">
      <c r="I928" s="1"/>
    </row>
    <row r="929" spans="9:9" x14ac:dyDescent="0.3">
      <c r="I929" s="1"/>
    </row>
    <row r="930" spans="9:9" x14ac:dyDescent="0.3">
      <c r="I930" s="1"/>
    </row>
    <row r="931" spans="9:9" x14ac:dyDescent="0.3">
      <c r="I931" s="1"/>
    </row>
    <row r="932" spans="9:9" x14ac:dyDescent="0.3">
      <c r="I932" s="1"/>
    </row>
    <row r="933" spans="9:9" x14ac:dyDescent="0.3">
      <c r="I933" s="1"/>
    </row>
    <row r="934" spans="9:9" x14ac:dyDescent="0.3">
      <c r="I934" s="1"/>
    </row>
    <row r="935" spans="9:9" x14ac:dyDescent="0.3">
      <c r="I935" s="1"/>
    </row>
    <row r="936" spans="9:9" x14ac:dyDescent="0.3">
      <c r="I936" s="1"/>
    </row>
    <row r="937" spans="9:9" x14ac:dyDescent="0.3">
      <c r="I937" s="1"/>
    </row>
    <row r="938" spans="9:9" x14ac:dyDescent="0.3">
      <c r="I938" s="1"/>
    </row>
    <row r="939" spans="9:9" x14ac:dyDescent="0.3">
      <c r="I939" s="1"/>
    </row>
    <row r="940" spans="9:9" x14ac:dyDescent="0.3">
      <c r="I940" s="1"/>
    </row>
    <row r="941" spans="9:9" x14ac:dyDescent="0.3">
      <c r="I941" s="1"/>
    </row>
    <row r="942" spans="9:9" x14ac:dyDescent="0.3">
      <c r="I942" s="1"/>
    </row>
    <row r="943" spans="9:9" x14ac:dyDescent="0.3">
      <c r="I943" s="1"/>
    </row>
    <row r="944" spans="9:9" x14ac:dyDescent="0.3">
      <c r="I944" s="1"/>
    </row>
    <row r="945" spans="9:9" x14ac:dyDescent="0.3">
      <c r="I945" s="1"/>
    </row>
    <row r="946" spans="9:9" x14ac:dyDescent="0.3">
      <c r="I946" s="1"/>
    </row>
    <row r="947" spans="9:9" x14ac:dyDescent="0.3">
      <c r="I947" s="1"/>
    </row>
    <row r="948" spans="9:9" x14ac:dyDescent="0.3">
      <c r="I948" s="1"/>
    </row>
    <row r="949" spans="9:9" x14ac:dyDescent="0.3">
      <c r="I949" s="1"/>
    </row>
    <row r="950" spans="9:9" x14ac:dyDescent="0.3">
      <c r="I950" s="1"/>
    </row>
    <row r="951" spans="9:9" x14ac:dyDescent="0.3">
      <c r="I951" s="1"/>
    </row>
    <row r="952" spans="9:9" x14ac:dyDescent="0.3">
      <c r="I952" s="1"/>
    </row>
    <row r="953" spans="9:9" x14ac:dyDescent="0.3">
      <c r="I953" s="1"/>
    </row>
    <row r="954" spans="9:9" x14ac:dyDescent="0.3">
      <c r="I954" s="1"/>
    </row>
    <row r="955" spans="9:9" x14ac:dyDescent="0.3">
      <c r="I955" s="1"/>
    </row>
    <row r="956" spans="9:9" x14ac:dyDescent="0.3">
      <c r="I956" s="1"/>
    </row>
    <row r="957" spans="9:9" x14ac:dyDescent="0.3">
      <c r="I957" s="1"/>
    </row>
    <row r="958" spans="9:9" x14ac:dyDescent="0.3">
      <c r="I958" s="1"/>
    </row>
    <row r="959" spans="9:9" x14ac:dyDescent="0.3">
      <c r="I959" s="1"/>
    </row>
    <row r="960" spans="9:9" x14ac:dyDescent="0.3">
      <c r="I960" s="1"/>
    </row>
    <row r="961" spans="9:9" x14ac:dyDescent="0.3">
      <c r="I961" s="1"/>
    </row>
    <row r="962" spans="9:9" x14ac:dyDescent="0.3">
      <c r="I962" s="1"/>
    </row>
    <row r="963" spans="9:9" x14ac:dyDescent="0.3">
      <c r="I963" s="1"/>
    </row>
    <row r="964" spans="9:9" x14ac:dyDescent="0.3">
      <c r="I964" s="1"/>
    </row>
    <row r="965" spans="9:9" x14ac:dyDescent="0.3">
      <c r="I965" s="1"/>
    </row>
    <row r="966" spans="9:9" x14ac:dyDescent="0.3">
      <c r="I966" s="1"/>
    </row>
    <row r="967" spans="9:9" x14ac:dyDescent="0.3">
      <c r="I967" s="1"/>
    </row>
    <row r="970" spans="9:9" x14ac:dyDescent="0.3">
      <c r="I970" s="1"/>
    </row>
    <row r="971" spans="9:9" x14ac:dyDescent="0.3">
      <c r="I971" s="1"/>
    </row>
    <row r="972" spans="9:9" x14ac:dyDescent="0.3">
      <c r="I972" s="1"/>
    </row>
    <row r="974" spans="9:9" x14ac:dyDescent="0.3">
      <c r="I974" s="1"/>
    </row>
    <row r="975" spans="9:9" x14ac:dyDescent="0.3">
      <c r="I975" s="1"/>
    </row>
    <row r="976" spans="9:9" x14ac:dyDescent="0.3">
      <c r="I976" s="1"/>
    </row>
    <row r="977" spans="9:9" x14ac:dyDescent="0.3">
      <c r="I977" s="1"/>
    </row>
    <row r="979" spans="9:9" x14ac:dyDescent="0.3">
      <c r="I979" s="1"/>
    </row>
    <row r="980" spans="9:9" x14ac:dyDescent="0.3">
      <c r="I980" s="1"/>
    </row>
    <row r="981" spans="9:9" x14ac:dyDescent="0.3">
      <c r="I981" s="1"/>
    </row>
    <row r="982" spans="9:9" x14ac:dyDescent="0.3">
      <c r="I982" s="1"/>
    </row>
    <row r="983" spans="9:9" x14ac:dyDescent="0.3">
      <c r="I983" s="1"/>
    </row>
    <row r="984" spans="9:9" x14ac:dyDescent="0.3">
      <c r="I984" s="1"/>
    </row>
    <row r="985" spans="9:9" x14ac:dyDescent="0.3">
      <c r="I985" s="1"/>
    </row>
    <row r="987" spans="9:9" x14ac:dyDescent="0.3">
      <c r="I987" s="1"/>
    </row>
    <row r="988" spans="9:9" x14ac:dyDescent="0.3">
      <c r="I988" s="1"/>
    </row>
    <row r="989" spans="9:9" x14ac:dyDescent="0.3">
      <c r="I989" s="1"/>
    </row>
    <row r="990" spans="9:9" x14ac:dyDescent="0.3">
      <c r="I990" s="1"/>
    </row>
    <row r="991" spans="9:9" x14ac:dyDescent="0.3">
      <c r="I991" s="1"/>
    </row>
    <row r="992" spans="9:9" x14ac:dyDescent="0.3">
      <c r="I992" s="1"/>
    </row>
    <row r="993" spans="9:9" x14ac:dyDescent="0.3">
      <c r="I993" s="1"/>
    </row>
    <row r="994" spans="9:9" x14ac:dyDescent="0.3">
      <c r="I994" s="1"/>
    </row>
    <row r="995" spans="9:9" x14ac:dyDescent="0.3">
      <c r="I995" s="1"/>
    </row>
    <row r="996" spans="9:9" x14ac:dyDescent="0.3">
      <c r="I996" s="1"/>
    </row>
    <row r="997" spans="9:9" x14ac:dyDescent="0.3">
      <c r="I997" s="1"/>
    </row>
    <row r="998" spans="9:9" x14ac:dyDescent="0.3">
      <c r="I998" s="1"/>
    </row>
    <row r="999" spans="9:9" x14ac:dyDescent="0.3">
      <c r="I999" s="1"/>
    </row>
    <row r="1000" spans="9:9" x14ac:dyDescent="0.3">
      <c r="I1000" s="1"/>
    </row>
    <row r="1001" spans="9:9" x14ac:dyDescent="0.3">
      <c r="I1001" s="1"/>
    </row>
    <row r="1002" spans="9:9" x14ac:dyDescent="0.3">
      <c r="I1002" s="1"/>
    </row>
    <row r="1003" spans="9:9" x14ac:dyDescent="0.3">
      <c r="I1003" s="1"/>
    </row>
    <row r="1004" spans="9:9" x14ac:dyDescent="0.3">
      <c r="I1004" s="1"/>
    </row>
    <row r="1005" spans="9:9" x14ac:dyDescent="0.3">
      <c r="I1005" s="1"/>
    </row>
    <row r="1006" spans="9:9" x14ac:dyDescent="0.3">
      <c r="I1006" s="1"/>
    </row>
    <row r="1007" spans="9:9" x14ac:dyDescent="0.3">
      <c r="I1007" s="1"/>
    </row>
    <row r="1008" spans="9:9" x14ac:dyDescent="0.3">
      <c r="I1008" s="1"/>
    </row>
    <row r="1009" spans="9:9" x14ac:dyDescent="0.3">
      <c r="I1009" s="1"/>
    </row>
    <row r="1010" spans="9:9" x14ac:dyDescent="0.3">
      <c r="I1010" s="1"/>
    </row>
    <row r="1011" spans="9:9" x14ac:dyDescent="0.3">
      <c r="I1011" s="1"/>
    </row>
    <row r="1012" spans="9:9" x14ac:dyDescent="0.3">
      <c r="I1012" s="1"/>
    </row>
    <row r="1013" spans="9:9" x14ac:dyDescent="0.3">
      <c r="I1013" s="1"/>
    </row>
    <row r="1014" spans="9:9" x14ac:dyDescent="0.3">
      <c r="I1014" s="1"/>
    </row>
    <row r="1015" spans="9:9" x14ac:dyDescent="0.3">
      <c r="I1015" s="1"/>
    </row>
    <row r="1016" spans="9:9" x14ac:dyDescent="0.3">
      <c r="I1016" s="1"/>
    </row>
    <row r="1017" spans="9:9" x14ac:dyDescent="0.3">
      <c r="I1017" s="1"/>
    </row>
    <row r="1018" spans="9:9" x14ac:dyDescent="0.3">
      <c r="I1018" s="1"/>
    </row>
    <row r="1019" spans="9:9" x14ac:dyDescent="0.3">
      <c r="I1019" s="1"/>
    </row>
    <row r="1020" spans="9:9" x14ac:dyDescent="0.3">
      <c r="I1020" s="1"/>
    </row>
    <row r="1021" spans="9:9" x14ac:dyDescent="0.3">
      <c r="I1021" s="1"/>
    </row>
    <row r="1022" spans="9:9" x14ac:dyDescent="0.3">
      <c r="I1022" s="1"/>
    </row>
    <row r="1024" spans="9:9" x14ac:dyDescent="0.3">
      <c r="I1024" s="1"/>
    </row>
    <row r="1025" spans="9:9" x14ac:dyDescent="0.3">
      <c r="I1025" s="1"/>
    </row>
    <row r="1026" spans="9:9" x14ac:dyDescent="0.3">
      <c r="I1026" s="1"/>
    </row>
    <row r="1027" spans="9:9" x14ac:dyDescent="0.3">
      <c r="I1027" s="1"/>
    </row>
    <row r="1028" spans="9:9" x14ac:dyDescent="0.3">
      <c r="I1028" s="1"/>
    </row>
    <row r="1029" spans="9:9" x14ac:dyDescent="0.3">
      <c r="I1029" s="1"/>
    </row>
    <row r="1030" spans="9:9" x14ac:dyDescent="0.3">
      <c r="I1030" s="1"/>
    </row>
    <row r="1032" spans="9:9" x14ac:dyDescent="0.3">
      <c r="I1032" s="1"/>
    </row>
    <row r="1033" spans="9:9" x14ac:dyDescent="0.3">
      <c r="I1033" s="1"/>
    </row>
    <row r="1034" spans="9:9" x14ac:dyDescent="0.3">
      <c r="I1034" s="1"/>
    </row>
    <row r="1035" spans="9:9" x14ac:dyDescent="0.3">
      <c r="I1035" s="1"/>
    </row>
    <row r="1036" spans="9:9" x14ac:dyDescent="0.3">
      <c r="I1036" s="1"/>
    </row>
    <row r="1037" spans="9:9" x14ac:dyDescent="0.3">
      <c r="I1037" s="1"/>
    </row>
    <row r="1040" spans="9:9" x14ac:dyDescent="0.3">
      <c r="I1040" s="1"/>
    </row>
    <row r="1042" spans="9:9" x14ac:dyDescent="0.3">
      <c r="I1042" s="1"/>
    </row>
    <row r="1043" spans="9:9" x14ac:dyDescent="0.3">
      <c r="I1043" s="1"/>
    </row>
    <row r="1044" spans="9:9" x14ac:dyDescent="0.3">
      <c r="I1044" s="1"/>
    </row>
    <row r="1045" spans="9:9" x14ac:dyDescent="0.3">
      <c r="I1045" s="1"/>
    </row>
    <row r="1046" spans="9:9" x14ac:dyDescent="0.3">
      <c r="I1046" s="1"/>
    </row>
    <row r="1047" spans="9:9" x14ac:dyDescent="0.3">
      <c r="I1047" s="1"/>
    </row>
    <row r="1048" spans="9:9" x14ac:dyDescent="0.3">
      <c r="I1048" s="1"/>
    </row>
    <row r="1049" spans="9:9" x14ac:dyDescent="0.3">
      <c r="I1049" s="1"/>
    </row>
    <row r="1050" spans="9:9" x14ac:dyDescent="0.3">
      <c r="I1050" s="1"/>
    </row>
    <row r="1051" spans="9:9" x14ac:dyDescent="0.3">
      <c r="I1051" s="1"/>
    </row>
    <row r="1052" spans="9:9" x14ac:dyDescent="0.3">
      <c r="I1052" s="1"/>
    </row>
    <row r="1053" spans="9:9" x14ac:dyDescent="0.3">
      <c r="I1053" s="1"/>
    </row>
    <row r="1055" spans="9:9" x14ac:dyDescent="0.3">
      <c r="I1055" s="1"/>
    </row>
    <row r="1056" spans="9:9" x14ac:dyDescent="0.3">
      <c r="I1056" s="1"/>
    </row>
    <row r="1057" spans="9:9" x14ac:dyDescent="0.3">
      <c r="I1057" s="1"/>
    </row>
    <row r="1058" spans="9:9" x14ac:dyDescent="0.3">
      <c r="I1058" s="1"/>
    </row>
    <row r="1059" spans="9:9" x14ac:dyDescent="0.3">
      <c r="I1059" s="1"/>
    </row>
    <row r="1060" spans="9:9" x14ac:dyDescent="0.3">
      <c r="I1060" s="1"/>
    </row>
    <row r="1061" spans="9:9" x14ac:dyDescent="0.3">
      <c r="I1061" s="1"/>
    </row>
    <row r="1062" spans="9:9" x14ac:dyDescent="0.3">
      <c r="I1062" s="1"/>
    </row>
    <row r="1063" spans="9:9" x14ac:dyDescent="0.3">
      <c r="I1063" s="1"/>
    </row>
    <row r="1064" spans="9:9" x14ac:dyDescent="0.3">
      <c r="I1064" s="1"/>
    </row>
    <row r="1065" spans="9:9" x14ac:dyDescent="0.3">
      <c r="I1065" s="1"/>
    </row>
    <row r="1066" spans="9:9" x14ac:dyDescent="0.3">
      <c r="I1066" s="1"/>
    </row>
    <row r="1067" spans="9:9" x14ac:dyDescent="0.3">
      <c r="I1067" s="1"/>
    </row>
    <row r="1068" spans="9:9" x14ac:dyDescent="0.3">
      <c r="I1068" s="1"/>
    </row>
    <row r="1069" spans="9:9" x14ac:dyDescent="0.3">
      <c r="I1069" s="1"/>
    </row>
    <row r="1070" spans="9:9" x14ac:dyDescent="0.3">
      <c r="I1070" s="1"/>
    </row>
    <row r="1071" spans="9:9" x14ac:dyDescent="0.3">
      <c r="I1071" s="1"/>
    </row>
    <row r="1072" spans="9:9" x14ac:dyDescent="0.3">
      <c r="I1072" s="1"/>
    </row>
    <row r="1073" spans="9:9" x14ac:dyDescent="0.3">
      <c r="I1073" s="1"/>
    </row>
    <row r="1074" spans="9:9" x14ac:dyDescent="0.3">
      <c r="I1074" s="1"/>
    </row>
    <row r="1075" spans="9:9" x14ac:dyDescent="0.3">
      <c r="I1075" s="1"/>
    </row>
    <row r="1076" spans="9:9" x14ac:dyDescent="0.3">
      <c r="I1076" s="1"/>
    </row>
    <row r="1077" spans="9:9" x14ac:dyDescent="0.3">
      <c r="I1077" s="1"/>
    </row>
    <row r="1078" spans="9:9" x14ac:dyDescent="0.3">
      <c r="I1078" s="1"/>
    </row>
    <row r="1079" spans="9:9" x14ac:dyDescent="0.3">
      <c r="I1079" s="1"/>
    </row>
    <row r="1080" spans="9:9" x14ac:dyDescent="0.3">
      <c r="I1080" s="1"/>
    </row>
    <row r="1081" spans="9:9" x14ac:dyDescent="0.3">
      <c r="I1081" s="1"/>
    </row>
    <row r="1082" spans="9:9" x14ac:dyDescent="0.3">
      <c r="I1082" s="1"/>
    </row>
    <row r="1083" spans="9:9" x14ac:dyDescent="0.3">
      <c r="I1083" s="1"/>
    </row>
    <row r="1084" spans="9:9" x14ac:dyDescent="0.3">
      <c r="I1084" s="1"/>
    </row>
    <row r="1086" spans="9:9" x14ac:dyDescent="0.3">
      <c r="I1086" s="1"/>
    </row>
    <row r="1087" spans="9:9" x14ac:dyDescent="0.3">
      <c r="I1087" s="1"/>
    </row>
    <row r="1088" spans="9:9" x14ac:dyDescent="0.3">
      <c r="I1088" s="1"/>
    </row>
    <row r="1089" spans="9:9" x14ac:dyDescent="0.3">
      <c r="I1089" s="1"/>
    </row>
    <row r="1090" spans="9:9" x14ac:dyDescent="0.3">
      <c r="I1090" s="1"/>
    </row>
    <row r="1091" spans="9:9" x14ac:dyDescent="0.3">
      <c r="I1091" s="1"/>
    </row>
    <row r="1092" spans="9:9" x14ac:dyDescent="0.3">
      <c r="I1092" s="1"/>
    </row>
    <row r="1093" spans="9:9" x14ac:dyDescent="0.3">
      <c r="I1093" s="1"/>
    </row>
    <row r="1094" spans="9:9" x14ac:dyDescent="0.3">
      <c r="I1094" s="1"/>
    </row>
    <row r="1095" spans="9:9" x14ac:dyDescent="0.3">
      <c r="I1095" s="1"/>
    </row>
    <row r="1096" spans="9:9" x14ac:dyDescent="0.3">
      <c r="I1096" s="1"/>
    </row>
    <row r="1097" spans="9:9" x14ac:dyDescent="0.3">
      <c r="I1097" s="1"/>
    </row>
    <row r="1098" spans="9:9" x14ac:dyDescent="0.3">
      <c r="I1098" s="1"/>
    </row>
    <row r="1099" spans="9:9" x14ac:dyDescent="0.3">
      <c r="I1099" s="1"/>
    </row>
    <row r="1100" spans="9:9" x14ac:dyDescent="0.3">
      <c r="I1100" s="1"/>
    </row>
    <row r="1101" spans="9:9" x14ac:dyDescent="0.3">
      <c r="I1101" s="1"/>
    </row>
    <row r="1102" spans="9:9" x14ac:dyDescent="0.3">
      <c r="I1102" s="1"/>
    </row>
    <row r="1103" spans="9:9" x14ac:dyDescent="0.3">
      <c r="I1103" s="1"/>
    </row>
    <row r="1104" spans="9:9" x14ac:dyDescent="0.3">
      <c r="I1104" s="1"/>
    </row>
    <row r="1105" spans="9:9" x14ac:dyDescent="0.3">
      <c r="I1105" s="1"/>
    </row>
    <row r="1106" spans="9:9" x14ac:dyDescent="0.3">
      <c r="I1106" s="1"/>
    </row>
    <row r="1108" spans="9:9" x14ac:dyDescent="0.3">
      <c r="I1108" s="1"/>
    </row>
    <row r="1109" spans="9:9" x14ac:dyDescent="0.3">
      <c r="I1109" s="1"/>
    </row>
    <row r="1110" spans="9:9" x14ac:dyDescent="0.3">
      <c r="I1110" s="1"/>
    </row>
    <row r="1111" spans="9:9" x14ac:dyDescent="0.3">
      <c r="I1111" s="1"/>
    </row>
    <row r="1112" spans="9:9" x14ac:dyDescent="0.3">
      <c r="I1112" s="1"/>
    </row>
    <row r="1113" spans="9:9" x14ac:dyDescent="0.3">
      <c r="I1113" s="1"/>
    </row>
    <row r="1114" spans="9:9" x14ac:dyDescent="0.3">
      <c r="I1114" s="1"/>
    </row>
    <row r="1115" spans="9:9" x14ac:dyDescent="0.3">
      <c r="I1115" s="1"/>
    </row>
    <row r="1116" spans="9:9" x14ac:dyDescent="0.3">
      <c r="I1116" s="1"/>
    </row>
    <row r="1117" spans="9:9" x14ac:dyDescent="0.3">
      <c r="I1117" s="1"/>
    </row>
    <row r="1118" spans="9:9" x14ac:dyDescent="0.3">
      <c r="I1118" s="1"/>
    </row>
    <row r="1119" spans="9:9" x14ac:dyDescent="0.3">
      <c r="I1119" s="1"/>
    </row>
    <row r="1120" spans="9:9" x14ac:dyDescent="0.3">
      <c r="I1120" s="1"/>
    </row>
    <row r="1121" spans="9:9" x14ac:dyDescent="0.3">
      <c r="I1121" s="1"/>
    </row>
    <row r="1122" spans="9:9" x14ac:dyDescent="0.3">
      <c r="I1122" s="1"/>
    </row>
    <row r="1123" spans="9:9" x14ac:dyDescent="0.3">
      <c r="I1123" s="1"/>
    </row>
    <row r="1124" spans="9:9" x14ac:dyDescent="0.3">
      <c r="I1124" s="1"/>
    </row>
    <row r="1125" spans="9:9" x14ac:dyDescent="0.3">
      <c r="I1125" s="1"/>
    </row>
    <row r="1126" spans="9:9" x14ac:dyDescent="0.3">
      <c r="I1126" s="1"/>
    </row>
    <row r="1127" spans="9:9" x14ac:dyDescent="0.3">
      <c r="I1127" s="1"/>
    </row>
    <row r="1128" spans="9:9" x14ac:dyDescent="0.3">
      <c r="I1128" s="1"/>
    </row>
    <row r="1129" spans="9:9" x14ac:dyDescent="0.3">
      <c r="I1129" s="1"/>
    </row>
    <row r="1130" spans="9:9" x14ac:dyDescent="0.3">
      <c r="I1130" s="1"/>
    </row>
    <row r="1131" spans="9:9" x14ac:dyDescent="0.3">
      <c r="I1131" s="1"/>
    </row>
    <row r="1132" spans="9:9" x14ac:dyDescent="0.3">
      <c r="I1132" s="1"/>
    </row>
    <row r="1133" spans="9:9" x14ac:dyDescent="0.3">
      <c r="I1133" s="1"/>
    </row>
    <row r="1134" spans="9:9" x14ac:dyDescent="0.3">
      <c r="I1134" s="1"/>
    </row>
    <row r="1135" spans="9:9" x14ac:dyDescent="0.3">
      <c r="I1135" s="1"/>
    </row>
    <row r="1136" spans="9:9" x14ac:dyDescent="0.3">
      <c r="I1136" s="1"/>
    </row>
    <row r="1137" spans="9:9" x14ac:dyDescent="0.3">
      <c r="I1137" s="1"/>
    </row>
    <row r="1138" spans="9:9" x14ac:dyDescent="0.3">
      <c r="I1138" s="1"/>
    </row>
    <row r="1139" spans="9:9" x14ac:dyDescent="0.3">
      <c r="I1139" s="1"/>
    </row>
    <row r="1140" spans="9:9" x14ac:dyDescent="0.3">
      <c r="I1140" s="1"/>
    </row>
    <row r="1141" spans="9:9" x14ac:dyDescent="0.3">
      <c r="I1141" s="1"/>
    </row>
    <row r="1142" spans="9:9" x14ac:dyDescent="0.3">
      <c r="I1142" s="1"/>
    </row>
    <row r="1143" spans="9:9" x14ac:dyDescent="0.3">
      <c r="I1143" s="1"/>
    </row>
    <row r="1144" spans="9:9" x14ac:dyDescent="0.3">
      <c r="I1144" s="1"/>
    </row>
    <row r="1145" spans="9:9" x14ac:dyDescent="0.3">
      <c r="I1145" s="1"/>
    </row>
    <row r="1146" spans="9:9" x14ac:dyDescent="0.3">
      <c r="I1146" s="1"/>
    </row>
    <row r="1147" spans="9:9" x14ac:dyDescent="0.3">
      <c r="I1147" s="1"/>
    </row>
    <row r="1148" spans="9:9" x14ac:dyDescent="0.3">
      <c r="I1148" s="1"/>
    </row>
    <row r="1149" spans="9:9" x14ac:dyDescent="0.3">
      <c r="I1149" s="1"/>
    </row>
    <row r="1150" spans="9:9" x14ac:dyDescent="0.3">
      <c r="I1150" s="1"/>
    </row>
    <row r="1151" spans="9:9" x14ac:dyDescent="0.3">
      <c r="I1151" s="1"/>
    </row>
    <row r="1152" spans="9:9" x14ac:dyDescent="0.3">
      <c r="I1152" s="1"/>
    </row>
    <row r="1153" spans="9:9" x14ac:dyDescent="0.3">
      <c r="I1153" s="1"/>
    </row>
    <row r="1154" spans="9:9" x14ac:dyDescent="0.3">
      <c r="I1154" s="1"/>
    </row>
    <row r="1155" spans="9:9" x14ac:dyDescent="0.3">
      <c r="I1155" s="1"/>
    </row>
    <row r="1156" spans="9:9" x14ac:dyDescent="0.3">
      <c r="I1156" s="1"/>
    </row>
    <row r="1157" spans="9:9" x14ac:dyDescent="0.3">
      <c r="I1157" s="1"/>
    </row>
    <row r="1158" spans="9:9" x14ac:dyDescent="0.3">
      <c r="I1158" s="1"/>
    </row>
    <row r="1159" spans="9:9" x14ac:dyDescent="0.3">
      <c r="I1159" s="1"/>
    </row>
    <row r="1160" spans="9:9" x14ac:dyDescent="0.3">
      <c r="I1160" s="1"/>
    </row>
    <row r="1161" spans="9:9" x14ac:dyDescent="0.3">
      <c r="I1161" s="1"/>
    </row>
    <row r="1162" spans="9:9" x14ac:dyDescent="0.3">
      <c r="I1162" s="1"/>
    </row>
    <row r="1163" spans="9:9" x14ac:dyDescent="0.3">
      <c r="I1163" s="1"/>
    </row>
    <row r="1164" spans="9:9" x14ac:dyDescent="0.3">
      <c r="I1164" s="1"/>
    </row>
    <row r="1165" spans="9:9" x14ac:dyDescent="0.3">
      <c r="I1165" s="1"/>
    </row>
    <row r="1166" spans="9:9" x14ac:dyDescent="0.3">
      <c r="I1166" s="1"/>
    </row>
    <row r="1167" spans="9:9" x14ac:dyDescent="0.3">
      <c r="I1167" s="1"/>
    </row>
    <row r="1168" spans="9:9" x14ac:dyDescent="0.3">
      <c r="I1168" s="1"/>
    </row>
    <row r="1169" spans="9:9" x14ac:dyDescent="0.3">
      <c r="I1169" s="1"/>
    </row>
    <row r="1170" spans="9:9" x14ac:dyDescent="0.3">
      <c r="I1170" s="1"/>
    </row>
    <row r="1171" spans="9:9" x14ac:dyDescent="0.3">
      <c r="I1171" s="1"/>
    </row>
    <row r="1173" spans="9:9" x14ac:dyDescent="0.3">
      <c r="I1173" s="1"/>
    </row>
    <row r="1174" spans="9:9" x14ac:dyDescent="0.3">
      <c r="I1174" s="1"/>
    </row>
    <row r="1175" spans="9:9" x14ac:dyDescent="0.3">
      <c r="I1175" s="1"/>
    </row>
    <row r="1176" spans="9:9" x14ac:dyDescent="0.3">
      <c r="I1176" s="1"/>
    </row>
    <row r="1177" spans="9:9" x14ac:dyDescent="0.3">
      <c r="I1177" s="1"/>
    </row>
    <row r="1178" spans="9:9" x14ac:dyDescent="0.3">
      <c r="I1178" s="1"/>
    </row>
    <row r="1179" spans="9:9" x14ac:dyDescent="0.3">
      <c r="I1179" s="1"/>
    </row>
    <row r="1180" spans="9:9" x14ac:dyDescent="0.3">
      <c r="I1180" s="1"/>
    </row>
    <row r="1181" spans="9:9" x14ac:dyDescent="0.3">
      <c r="I1181" s="1"/>
    </row>
    <row r="1182" spans="9:9" x14ac:dyDescent="0.3">
      <c r="I1182" s="1"/>
    </row>
    <row r="1183" spans="9:9" x14ac:dyDescent="0.3">
      <c r="I1183" s="1"/>
    </row>
    <row r="1184" spans="9:9" x14ac:dyDescent="0.3">
      <c r="I1184" s="1"/>
    </row>
    <row r="1185" spans="9:9" x14ac:dyDescent="0.3">
      <c r="I1185" s="1"/>
    </row>
    <row r="1188" spans="9:9" x14ac:dyDescent="0.3">
      <c r="I1188" s="1"/>
    </row>
    <row r="1189" spans="9:9" x14ac:dyDescent="0.3">
      <c r="I1189" s="1"/>
    </row>
    <row r="1190" spans="9:9" x14ac:dyDescent="0.3">
      <c r="I1190" s="1"/>
    </row>
    <row r="1191" spans="9:9" x14ac:dyDescent="0.3">
      <c r="I1191" s="1"/>
    </row>
    <row r="1192" spans="9:9" x14ac:dyDescent="0.3">
      <c r="I1192" s="1"/>
    </row>
    <row r="1193" spans="9:9" x14ac:dyDescent="0.3">
      <c r="I1193" s="1"/>
    </row>
    <row r="1194" spans="9:9" x14ac:dyDescent="0.3">
      <c r="I1194" s="1"/>
    </row>
    <row r="1195" spans="9:9" x14ac:dyDescent="0.3">
      <c r="I1195" s="1"/>
    </row>
    <row r="1196" spans="9:9" x14ac:dyDescent="0.3">
      <c r="I1196" s="1"/>
    </row>
    <row r="1197" spans="9:9" x14ac:dyDescent="0.3">
      <c r="I1197" s="1"/>
    </row>
    <row r="1199" spans="9:9" x14ac:dyDescent="0.3">
      <c r="I1199" s="1"/>
    </row>
    <row r="1200" spans="9:9" x14ac:dyDescent="0.3">
      <c r="I1200" s="1"/>
    </row>
    <row r="1201" spans="9:9" x14ac:dyDescent="0.3">
      <c r="I1201" s="1"/>
    </row>
    <row r="1202" spans="9:9" x14ac:dyDescent="0.3">
      <c r="I1202" s="1"/>
    </row>
    <row r="1203" spans="9:9" x14ac:dyDescent="0.3">
      <c r="I1203" s="1"/>
    </row>
    <row r="1204" spans="9:9" x14ac:dyDescent="0.3">
      <c r="I1204" s="1"/>
    </row>
    <row r="1205" spans="9:9" x14ac:dyDescent="0.3">
      <c r="I1205" s="1"/>
    </row>
    <row r="1206" spans="9:9" x14ac:dyDescent="0.3">
      <c r="I1206" s="1"/>
    </row>
    <row r="1207" spans="9:9" x14ac:dyDescent="0.3">
      <c r="I1207" s="1"/>
    </row>
    <row r="1208" spans="9:9" x14ac:dyDescent="0.3">
      <c r="I1208" s="1"/>
    </row>
    <row r="1209" spans="9:9" x14ac:dyDescent="0.3">
      <c r="I1209" s="1"/>
    </row>
    <row r="1210" spans="9:9" x14ac:dyDescent="0.3">
      <c r="I1210" s="1"/>
    </row>
    <row r="1211" spans="9:9" x14ac:dyDescent="0.3">
      <c r="I1211" s="1"/>
    </row>
    <row r="1212" spans="9:9" x14ac:dyDescent="0.3">
      <c r="I1212" s="1"/>
    </row>
    <row r="1213" spans="9:9" x14ac:dyDescent="0.3">
      <c r="I1213" s="1"/>
    </row>
    <row r="1214" spans="9:9" x14ac:dyDescent="0.3">
      <c r="I1214" s="1"/>
    </row>
    <row r="1216" spans="9:9" x14ac:dyDescent="0.3">
      <c r="I1216" s="1"/>
    </row>
    <row r="1218" spans="9:9" x14ac:dyDescent="0.3">
      <c r="I1218" s="1"/>
    </row>
    <row r="1219" spans="9:9" x14ac:dyDescent="0.3">
      <c r="I1219" s="1"/>
    </row>
    <row r="1220" spans="9:9" x14ac:dyDescent="0.3">
      <c r="I1220" s="1"/>
    </row>
    <row r="1221" spans="9:9" x14ac:dyDescent="0.3">
      <c r="I1221" s="1"/>
    </row>
    <row r="1222" spans="9:9" x14ac:dyDescent="0.3">
      <c r="I1222" s="1"/>
    </row>
    <row r="1223" spans="9:9" x14ac:dyDescent="0.3">
      <c r="I1223" s="1"/>
    </row>
    <row r="1225" spans="9:9" x14ac:dyDescent="0.3">
      <c r="I1225" s="1"/>
    </row>
    <row r="1226" spans="9:9" x14ac:dyDescent="0.3">
      <c r="I1226" s="1"/>
    </row>
    <row r="1227" spans="9:9" x14ac:dyDescent="0.3">
      <c r="I1227" s="1"/>
    </row>
    <row r="1228" spans="9:9" x14ac:dyDescent="0.3">
      <c r="I1228" s="1"/>
    </row>
    <row r="1229" spans="9:9" x14ac:dyDescent="0.3">
      <c r="I1229" s="1"/>
    </row>
    <row r="1230" spans="9:9" x14ac:dyDescent="0.3">
      <c r="I1230" s="1"/>
    </row>
    <row r="1231" spans="9:9" x14ac:dyDescent="0.3">
      <c r="I1231" s="1"/>
    </row>
    <row r="1232" spans="9:9" x14ac:dyDescent="0.3">
      <c r="I1232" s="1"/>
    </row>
    <row r="1233" spans="9:9" x14ac:dyDescent="0.3">
      <c r="I1233" s="1"/>
    </row>
    <row r="1234" spans="9:9" x14ac:dyDescent="0.3">
      <c r="I1234" s="1"/>
    </row>
    <row r="1235" spans="9:9" x14ac:dyDescent="0.3">
      <c r="I1235" s="1"/>
    </row>
    <row r="1236" spans="9:9" x14ac:dyDescent="0.3">
      <c r="I1236" s="1"/>
    </row>
    <row r="1237" spans="9:9" x14ac:dyDescent="0.3">
      <c r="I1237" s="1"/>
    </row>
    <row r="1238" spans="9:9" x14ac:dyDescent="0.3">
      <c r="I1238" s="1"/>
    </row>
    <row r="1239" spans="9:9" x14ac:dyDescent="0.3">
      <c r="I1239" s="1"/>
    </row>
    <row r="1240" spans="9:9" x14ac:dyDescent="0.3">
      <c r="I1240" s="1"/>
    </row>
    <row r="1241" spans="9:9" x14ac:dyDescent="0.3">
      <c r="I1241" s="1"/>
    </row>
    <row r="1242" spans="9:9" x14ac:dyDescent="0.3">
      <c r="I1242" s="1"/>
    </row>
    <row r="1243" spans="9:9" x14ac:dyDescent="0.3">
      <c r="I1243" s="1"/>
    </row>
    <row r="1244" spans="9:9" x14ac:dyDescent="0.3">
      <c r="I1244" s="1"/>
    </row>
    <row r="1245" spans="9:9" x14ac:dyDescent="0.3">
      <c r="I1245" s="1"/>
    </row>
    <row r="1248" spans="9:9" x14ac:dyDescent="0.3">
      <c r="I1248" s="1"/>
    </row>
    <row r="1249" spans="9:9" x14ac:dyDescent="0.3">
      <c r="I1249" s="1"/>
    </row>
    <row r="1250" spans="9:9" x14ac:dyDescent="0.3">
      <c r="I1250" s="1"/>
    </row>
    <row r="1252" spans="9:9" x14ac:dyDescent="0.3">
      <c r="I1252" s="1"/>
    </row>
    <row r="1255" spans="9:9" x14ac:dyDescent="0.3">
      <c r="I1255" s="1"/>
    </row>
    <row r="1256" spans="9:9" x14ac:dyDescent="0.3">
      <c r="I1256" s="1"/>
    </row>
    <row r="1257" spans="9:9" x14ac:dyDescent="0.3">
      <c r="I1257" s="1"/>
    </row>
    <row r="1259" spans="9:9" x14ac:dyDescent="0.3">
      <c r="I1259" s="1"/>
    </row>
    <row r="1260" spans="9:9" x14ac:dyDescent="0.3">
      <c r="I1260" s="1"/>
    </row>
    <row r="1261" spans="9:9" x14ac:dyDescent="0.3">
      <c r="I1261" s="1"/>
    </row>
    <row r="1262" spans="9:9" x14ac:dyDescent="0.3">
      <c r="I1262" s="1"/>
    </row>
    <row r="1263" spans="9:9" x14ac:dyDescent="0.3">
      <c r="I1263" s="1"/>
    </row>
    <row r="1264" spans="9:9" x14ac:dyDescent="0.3">
      <c r="I1264" s="1"/>
    </row>
    <row r="1265" spans="9:9" x14ac:dyDescent="0.3">
      <c r="I1265" s="1"/>
    </row>
    <row r="1266" spans="9:9" x14ac:dyDescent="0.3">
      <c r="I1266" s="1"/>
    </row>
    <row r="1267" spans="9:9" x14ac:dyDescent="0.3">
      <c r="I1267" s="1"/>
    </row>
    <row r="1268" spans="9:9" x14ac:dyDescent="0.3">
      <c r="I1268" s="1"/>
    </row>
    <row r="1269" spans="9:9" x14ac:dyDescent="0.3">
      <c r="I1269" s="1"/>
    </row>
    <row r="1270" spans="9:9" x14ac:dyDescent="0.3">
      <c r="I1270" s="1"/>
    </row>
    <row r="1271" spans="9:9" x14ac:dyDescent="0.3">
      <c r="I1271" s="1"/>
    </row>
    <row r="1272" spans="9:9" x14ac:dyDescent="0.3">
      <c r="I1272" s="1"/>
    </row>
    <row r="1273" spans="9:9" x14ac:dyDescent="0.3">
      <c r="I1273" s="1"/>
    </row>
    <row r="1274" spans="9:9" x14ac:dyDescent="0.3">
      <c r="I1274" s="1"/>
    </row>
    <row r="1275" spans="9:9" x14ac:dyDescent="0.3">
      <c r="I1275" s="1"/>
    </row>
    <row r="1276" spans="9:9" x14ac:dyDescent="0.3">
      <c r="I1276" s="1"/>
    </row>
    <row r="1277" spans="9:9" x14ac:dyDescent="0.3">
      <c r="I1277" s="1"/>
    </row>
    <row r="1278" spans="9:9" x14ac:dyDescent="0.3">
      <c r="I1278" s="1"/>
    </row>
    <row r="1279" spans="9:9" x14ac:dyDescent="0.3">
      <c r="I1279" s="1"/>
    </row>
    <row r="1280" spans="9:9" x14ac:dyDescent="0.3">
      <c r="I1280" s="1"/>
    </row>
    <row r="1281" spans="9:9" x14ac:dyDescent="0.3">
      <c r="I1281" s="1"/>
    </row>
    <row r="1282" spans="9:9" x14ac:dyDescent="0.3">
      <c r="I1282" s="1"/>
    </row>
    <row r="1285" spans="9:9" x14ac:dyDescent="0.3">
      <c r="I1285" s="1"/>
    </row>
    <row r="1286" spans="9:9" x14ac:dyDescent="0.3">
      <c r="I1286" s="1"/>
    </row>
    <row r="1287" spans="9:9" x14ac:dyDescent="0.3">
      <c r="I1287" s="1"/>
    </row>
    <row r="1288" spans="9:9" x14ac:dyDescent="0.3">
      <c r="I1288" s="1"/>
    </row>
    <row r="1289" spans="9:9" x14ac:dyDescent="0.3">
      <c r="I1289" s="1"/>
    </row>
    <row r="1291" spans="9:9" x14ac:dyDescent="0.3">
      <c r="I1291" s="1"/>
    </row>
    <row r="1292" spans="9:9" x14ac:dyDescent="0.3">
      <c r="I1292" s="1"/>
    </row>
    <row r="1293" spans="9:9" x14ac:dyDescent="0.3">
      <c r="I1293" s="1"/>
    </row>
    <row r="1294" spans="9:9" x14ac:dyDescent="0.3">
      <c r="I1294" s="1"/>
    </row>
    <row r="1295" spans="9:9" x14ac:dyDescent="0.3">
      <c r="I1295" s="1"/>
    </row>
    <row r="1296" spans="9:9" x14ac:dyDescent="0.3">
      <c r="I1296" s="1"/>
    </row>
    <row r="1297" spans="9:9" x14ac:dyDescent="0.3">
      <c r="I1297" s="1"/>
    </row>
    <row r="1299" spans="9:9" x14ac:dyDescent="0.3">
      <c r="I1299" s="1"/>
    </row>
    <row r="1300" spans="9:9" x14ac:dyDescent="0.3">
      <c r="I1300" s="1"/>
    </row>
    <row r="1301" spans="9:9" x14ac:dyDescent="0.3">
      <c r="I1301" s="1"/>
    </row>
    <row r="1302" spans="9:9" x14ac:dyDescent="0.3">
      <c r="I1302" s="1"/>
    </row>
    <row r="1303" spans="9:9" x14ac:dyDescent="0.3">
      <c r="I1303" s="1"/>
    </row>
    <row r="1304" spans="9:9" x14ac:dyDescent="0.3">
      <c r="I1304" s="1"/>
    </row>
    <row r="1305" spans="9:9" x14ac:dyDescent="0.3">
      <c r="I1305" s="1"/>
    </row>
    <row r="1307" spans="9:9" x14ac:dyDescent="0.3">
      <c r="I1307" s="1"/>
    </row>
    <row r="1308" spans="9:9" x14ac:dyDescent="0.3">
      <c r="I1308" s="1"/>
    </row>
    <row r="1310" spans="9:9" x14ac:dyDescent="0.3">
      <c r="I1310" s="1"/>
    </row>
    <row r="1311" spans="9:9" x14ac:dyDescent="0.3">
      <c r="I1311" s="1"/>
    </row>
    <row r="1312" spans="9:9" x14ac:dyDescent="0.3">
      <c r="I1312" s="1"/>
    </row>
    <row r="1313" spans="9:9" x14ac:dyDescent="0.3">
      <c r="I1313" s="1"/>
    </row>
    <row r="1314" spans="9:9" x14ac:dyDescent="0.3">
      <c r="I1314" s="1"/>
    </row>
    <row r="1315" spans="9:9" x14ac:dyDescent="0.3">
      <c r="I1315" s="1"/>
    </row>
    <row r="1316" spans="9:9" x14ac:dyDescent="0.3">
      <c r="I1316" s="1"/>
    </row>
    <row r="1317" spans="9:9" x14ac:dyDescent="0.3">
      <c r="I1317" s="1"/>
    </row>
    <row r="1318" spans="9:9" x14ac:dyDescent="0.3">
      <c r="I1318" s="1"/>
    </row>
    <row r="1319" spans="9:9" x14ac:dyDescent="0.3">
      <c r="I1319" s="1"/>
    </row>
    <row r="1320" spans="9:9" x14ac:dyDescent="0.3">
      <c r="I1320" s="1"/>
    </row>
    <row r="1321" spans="9:9" x14ac:dyDescent="0.3">
      <c r="I1321" s="1"/>
    </row>
    <row r="1322" spans="9:9" x14ac:dyDescent="0.3">
      <c r="I1322" s="1"/>
    </row>
    <row r="1323" spans="9:9" x14ac:dyDescent="0.3">
      <c r="I1323" s="1"/>
    </row>
    <row r="1324" spans="9:9" x14ac:dyDescent="0.3">
      <c r="I1324" s="1"/>
    </row>
    <row r="1325" spans="9:9" x14ac:dyDescent="0.3">
      <c r="I1325" s="1"/>
    </row>
    <row r="1326" spans="9:9" x14ac:dyDescent="0.3">
      <c r="I132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825F-BFB1-4E74-8256-090FFA7139D6}">
  <sheetPr codeName="Sheet2"/>
  <dimension ref="A1:AH1118"/>
  <sheetViews>
    <sheetView tabSelected="1" zoomScale="70" zoomScaleNormal="70" workbookViewId="0">
      <pane xSplit="4" ySplit="1" topLeftCell="E743" activePane="bottomRight" state="frozen"/>
      <selection pane="topRight" activeCell="E1" sqref="E1"/>
      <selection pane="bottomLeft" activeCell="A2" sqref="A2"/>
      <selection pane="bottomRight" activeCell="Z2" sqref="Z2:Z774"/>
    </sheetView>
  </sheetViews>
  <sheetFormatPr defaultRowHeight="14.4" x14ac:dyDescent="0.3"/>
  <cols>
    <col min="2" max="2" width="35.6640625" bestFit="1" customWidth="1"/>
    <col min="3" max="3" width="4.5546875" customWidth="1"/>
    <col min="4" max="4" width="15.109375" customWidth="1"/>
    <col min="5" max="5" width="14.6640625" bestFit="1" customWidth="1"/>
    <col min="26" max="26" width="36.44140625" customWidth="1"/>
    <col min="28" max="28" width="44.44140625" bestFit="1" customWidth="1"/>
  </cols>
  <sheetData>
    <row r="1" spans="1:34" s="2" customFormat="1" x14ac:dyDescent="0.3">
      <c r="A1" s="2" t="s">
        <v>24</v>
      </c>
      <c r="B1" s="2" t="s">
        <v>25</v>
      </c>
      <c r="C1" s="2" t="s">
        <v>26</v>
      </c>
      <c r="D1" s="2" t="s">
        <v>27</v>
      </c>
      <c r="E1" s="2" t="s">
        <v>28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41</v>
      </c>
      <c r="S1" s="2" t="s">
        <v>42</v>
      </c>
      <c r="T1" s="2" t="s">
        <v>43</v>
      </c>
      <c r="U1" s="2" t="s">
        <v>44</v>
      </c>
      <c r="V1" s="2" t="s">
        <v>45</v>
      </c>
      <c r="W1" s="2" t="s">
        <v>46</v>
      </c>
    </row>
    <row r="2" spans="1:34" x14ac:dyDescent="0.3">
      <c r="A2" s="11" t="s">
        <v>1028</v>
      </c>
      <c r="B2" s="12" t="s">
        <v>6098</v>
      </c>
      <c r="C2" s="12" t="s">
        <v>1029</v>
      </c>
      <c r="D2" s="13" t="s">
        <v>3342</v>
      </c>
      <c r="E2" s="6">
        <v>44799</v>
      </c>
      <c r="F2" s="3">
        <v>175238</v>
      </c>
      <c r="G2" s="3">
        <v>83</v>
      </c>
      <c r="H2" s="3" t="s">
        <v>6099</v>
      </c>
      <c r="I2" s="3" t="s">
        <v>1013</v>
      </c>
      <c r="J2" s="3" t="s">
        <v>1019</v>
      </c>
      <c r="K2" s="3" t="s">
        <v>1015</v>
      </c>
      <c r="L2" s="3">
        <v>0.56100000000000005</v>
      </c>
      <c r="M2" s="3">
        <v>0.96499999999999997</v>
      </c>
      <c r="N2" s="3">
        <v>7</v>
      </c>
      <c r="O2" s="8">
        <v>-3673</v>
      </c>
      <c r="P2" s="3">
        <v>0</v>
      </c>
      <c r="Q2" s="3">
        <v>3.4299999999999997E-2</v>
      </c>
      <c r="R2" s="3">
        <v>3.8300000000000001E-3</v>
      </c>
      <c r="S2" s="3">
        <v>7.0700000000000001E-6</v>
      </c>
      <c r="T2" s="3">
        <v>0.371</v>
      </c>
      <c r="U2" s="3">
        <v>0.30399999999999999</v>
      </c>
      <c r="V2" s="8">
        <v>128.04</v>
      </c>
      <c r="W2" s="3">
        <v>4</v>
      </c>
      <c r="X2" s="3" t="str">
        <f t="shared" ref="X2" si="0">IF(OR(U2&lt;0.301, AND(U2&lt;0.4, P2=0)), "-SADNE-", "-HAPPY-")</f>
        <v>-SADNE-</v>
      </c>
      <c r="Y2" s="3" t="str">
        <f t="shared" ref="Y2" si="1">IF(OR(AND(L2&lt;0.5,M2&lt;0.5),AND(L2&lt;0.45,V2&lt;100),AND(M2&lt;0.45,V2&lt;100),AND(U2&lt;0.39,V2&lt;100)),"-SLOWSS-","-ENERGY-")</f>
        <v>-ENERGY-</v>
      </c>
      <c r="Z2" s="4" t="str">
        <f t="shared" ref="Z2" si="2">"{"&amp;CHAR(34)&amp;"couname"&amp;CHAR(34)&amp;":"&amp;CHAR(34)&amp;B2&amp;CHAR(34)&amp;","&amp;CHAR(34)&amp;"img"&amp;CHAR(34)&amp;":"&amp;CHAR(34)&amp;AC2&amp;CHAR(34)&amp;","&amp;CHAR(34)&amp;"pty"&amp;CHAR(34)&amp;":"&amp;CHAR(34)&amp;G2&amp;CHAR(34)&amp;","&amp;CHAR(34)&amp;"artist"&amp;CHAR(34)&amp;":"&amp;CHAR(34)&amp;D2&amp;CHAR(34)&amp;","&amp;CHAR(34)&amp;"genres"&amp;CHAR(34)&amp;":"&amp;CHAR(34)&amp;J2&amp;CHAR(34)&amp;","&amp;CHAR(34)&amp;"duration"&amp;CHAR(34)&amp;":"&amp;CHAR(34)&amp;F2&amp;CHAR(34)&amp;","&amp;CHAR(34)&amp;"spotId"&amp;CHAR(34)&amp;":"&amp;CHAR(34)&amp;A2&amp;CHAR(34)&amp;","&amp;CHAR(34)&amp;"Items"&amp;CHAR(34)&amp;":"&amp;AB2&amp;"},"</f>
        <v>{"couname":"I'm Good","img":"https://i.scdn.co/image/ab67616d0000b273933c036cd61cd40d3f17a9c4","pty":"83","artist":"David Guetta, Bebe Rexha","genres":"edm,dance","duration":"175238","spotId":"4uUG5RXrOk84mYEfFvj3cK","Items":["-SADNE-","-ENERGY-","","","GN_FrenchElectro"]},</v>
      </c>
      <c r="AA2" s="5" t="s">
        <v>6100</v>
      </c>
      <c r="AB2" s="3" t="str">
        <f t="shared" ref="AB2" si="3" xml:space="preserve"> "[" &amp; _xlfn.TEXTJOIN(",",TRUE,CHAR(34) &amp; X2&amp; CHAR(34), CHAR(34) &amp; Y2 &amp; CHAR(34),  CHAR(34) &amp; AF2 &amp; CHAR(34), CHAR(34) &amp;AG2 &amp; CHAR(34), CHAR(34) &amp; AA2 &amp; CHAR(34)) &amp; "]"</f>
        <v>["-SADNE-","-ENERGY-","","","GN_FrenchElectro"]</v>
      </c>
      <c r="AC2" s="3" t="str">
        <f>_xlfn.XLOOKUP(A2,Album!A:A,Album!J:J)</f>
        <v>https://i.scdn.co/image/ab67616d0000b273933c036cd61cd40d3f17a9c4</v>
      </c>
      <c r="AD2" s="3"/>
      <c r="AE2" s="3"/>
      <c r="AF2" s="3"/>
      <c r="AG2" s="3"/>
      <c r="AH2" s="3"/>
    </row>
    <row r="3" spans="1:34" x14ac:dyDescent="0.3">
      <c r="A3" s="11" t="s">
        <v>1460</v>
      </c>
      <c r="B3" s="12" t="s">
        <v>1461</v>
      </c>
      <c r="C3" s="12" t="s">
        <v>1462</v>
      </c>
      <c r="D3" s="13" t="s">
        <v>4044</v>
      </c>
      <c r="E3" s="6">
        <v>42587</v>
      </c>
      <c r="F3" s="3">
        <v>205946</v>
      </c>
      <c r="G3" s="3">
        <v>83</v>
      </c>
      <c r="H3" s="3" t="s">
        <v>6097</v>
      </c>
      <c r="I3" s="3" t="s">
        <v>1463</v>
      </c>
      <c r="J3" s="3"/>
      <c r="K3" s="3" t="s">
        <v>1464</v>
      </c>
      <c r="L3" s="3">
        <v>0.47499999999999998</v>
      </c>
      <c r="M3" s="3">
        <v>0.71499999999999997</v>
      </c>
      <c r="N3" s="3">
        <v>8</v>
      </c>
      <c r="O3" s="8">
        <v>-5371</v>
      </c>
      <c r="P3" s="3">
        <v>1</v>
      </c>
      <c r="Q3" s="3">
        <v>5.8000000000000003E-2</v>
      </c>
      <c r="R3" s="3">
        <v>8.6300000000000002E-2</v>
      </c>
      <c r="S3" s="3">
        <v>2.6699999999999998E-5</v>
      </c>
      <c r="T3" s="3">
        <v>0.13500000000000001</v>
      </c>
      <c r="U3" s="3">
        <v>0.159</v>
      </c>
      <c r="V3" s="8">
        <v>199892</v>
      </c>
      <c r="W3" s="3">
        <v>4</v>
      </c>
      <c r="X3" s="3" t="str">
        <f t="shared" ref="X3:X66" si="4">IF(OR(U3&lt;0.301, AND(U3&lt;0.4, P3=0)), "-SADNE-", "-HAPPY-")</f>
        <v>-SADNE-</v>
      </c>
      <c r="Y3" s="3" t="str">
        <f t="shared" ref="Y3:Y66" si="5">IF(OR(AND(L3&lt;0.5,M3&lt;0.5),AND(L3&lt;0.45,V3&lt;100),AND(M3&lt;0.45,V3&lt;100),AND(U3&lt;0.39,V3&lt;100)),"-SLOWSS-","-ENERGY-")</f>
        <v>-ENERGY-</v>
      </c>
      <c r="Z3" s="4" t="str">
        <f t="shared" ref="Z3:Z66" si="6">"{"&amp;CHAR(34)&amp;"couname"&amp;CHAR(34)&amp;":"&amp;CHAR(34)&amp;B3&amp;CHAR(34)&amp;","&amp;CHAR(34)&amp;"img"&amp;CHAR(34)&amp;":"&amp;CHAR(34)&amp;AC3&amp;CHAR(34)&amp;","&amp;CHAR(34)&amp;"pty"&amp;CHAR(34)&amp;":"&amp;CHAR(34)&amp;G3&amp;CHAR(34)&amp;","&amp;CHAR(34)&amp;"artist"&amp;CHAR(34)&amp;":"&amp;CHAR(34)&amp;D3&amp;CHAR(34)&amp;","&amp;CHAR(34)&amp;"genres"&amp;CHAR(34)&amp;":"&amp;CHAR(34)&amp;J3&amp;CHAR(34)&amp;","&amp;CHAR(34)&amp;"duration"&amp;CHAR(34)&amp;":"&amp;CHAR(34)&amp;F3&amp;CHAR(34)&amp;","&amp;CHAR(34)&amp;"spotId"&amp;CHAR(34)&amp;":"&amp;CHAR(34)&amp;A3&amp;CHAR(34)&amp;","&amp;CHAR(34)&amp;"Items"&amp;CHAR(34)&amp;":"&amp;AB3&amp;"},"</f>
        <v>{"couname":"Let Me Love You","img":"https://i.scdn.co/image/ab67616d0000b273212d776c31027c511f0ee3bc","pty":"83","artist":"DJ Snake, Justin Bieber","genres":"","duration":"205946","spotId":"0lYBSQXN6rCTvUZvg9S0lU","Items":["-SADNE-","-ENERGY-","","","GN_FrenchElectro"]},</v>
      </c>
      <c r="AA3" s="5" t="s">
        <v>6100</v>
      </c>
      <c r="AB3" s="3" t="str">
        <f t="shared" ref="AB3:AB66" si="7" xml:space="preserve"> "[" &amp; _xlfn.TEXTJOIN(",",TRUE,CHAR(34) &amp; X3&amp; CHAR(34), CHAR(34) &amp; Y3 &amp; CHAR(34),  CHAR(34) &amp; AF3 &amp; CHAR(34), CHAR(34) &amp;AG3 &amp; CHAR(34), CHAR(34) &amp; AA3 &amp; CHAR(34)) &amp; "]"</f>
        <v>["-SADNE-","-ENERGY-","","","GN_FrenchElectro"]</v>
      </c>
      <c r="AC3" s="3" t="str">
        <f>_xlfn.XLOOKUP(A3,Album!A:A,Album!J:J)</f>
        <v>https://i.scdn.co/image/ab67616d0000b273212d776c31027c511f0ee3bc</v>
      </c>
      <c r="AD3" s="3"/>
      <c r="AE3" s="3"/>
      <c r="AF3" s="3"/>
      <c r="AG3" s="3"/>
      <c r="AH3" s="3"/>
    </row>
    <row r="4" spans="1:34" x14ac:dyDescent="0.3">
      <c r="A4" s="11" t="s">
        <v>1025</v>
      </c>
      <c r="B4" s="12" t="s">
        <v>1026</v>
      </c>
      <c r="C4" s="12" t="s">
        <v>1026</v>
      </c>
      <c r="D4" s="13" t="s">
        <v>14</v>
      </c>
      <c r="E4" s="6">
        <v>45387</v>
      </c>
      <c r="F4" s="3">
        <v>149667</v>
      </c>
      <c r="G4" s="3">
        <v>82</v>
      </c>
      <c r="H4" s="3" t="s">
        <v>6096</v>
      </c>
      <c r="I4" s="3" t="s">
        <v>1013</v>
      </c>
      <c r="J4" s="3" t="s">
        <v>1027</v>
      </c>
      <c r="K4" s="3" t="s">
        <v>1015</v>
      </c>
      <c r="L4" s="3">
        <v>0.68100000000000005</v>
      </c>
      <c r="M4" s="3">
        <v>0.71399999999999997</v>
      </c>
      <c r="N4" s="3">
        <v>1</v>
      </c>
      <c r="O4" s="8">
        <v>-4617</v>
      </c>
      <c r="P4" s="3">
        <v>0</v>
      </c>
      <c r="Q4" s="3">
        <v>3.09E-2</v>
      </c>
      <c r="R4" s="3">
        <v>3.7499999999999999E-2</v>
      </c>
      <c r="S4" s="3">
        <v>0</v>
      </c>
      <c r="T4" s="3">
        <v>0.23200000000000001</v>
      </c>
      <c r="U4" s="3">
        <v>0.55400000000000005</v>
      </c>
      <c r="V4" s="8">
        <v>129976</v>
      </c>
      <c r="W4" s="3">
        <v>4</v>
      </c>
      <c r="X4" s="3" t="str">
        <f t="shared" si="4"/>
        <v>-HAPPY-</v>
      </c>
      <c r="Y4" s="3" t="str">
        <f t="shared" si="5"/>
        <v>-ENERGY-</v>
      </c>
      <c r="Z4" s="4" t="str">
        <f t="shared" si="6"/>
        <v>{"couname":"I Don't Wanna Wait","img":"https://i.scdn.co/image/ab67616d0000b2732f479a6c1825c1f29e0a3d49","pty":"82","artist":"David Guetta, OneRepublic","genres":"edm,dance,pop suave","duration":"149667","spotId":"331l3xABO0HMr1Kkyh2LZq","Items":["-HAPPY-","-ENERGY-","","","GN_FrenchElectro"]},</v>
      </c>
      <c r="AA4" s="5" t="s">
        <v>6100</v>
      </c>
      <c r="AB4" s="3" t="str">
        <f t="shared" si="7"/>
        <v>["-HAPPY-","-ENERGY-","","","GN_FrenchElectro"]</v>
      </c>
      <c r="AC4" s="3" t="str">
        <f>_xlfn.XLOOKUP(A4,Album!A:A,Album!J:J)</f>
        <v>https://i.scdn.co/image/ab67616d0000b2732f479a6c1825c1f29e0a3d49</v>
      </c>
      <c r="AD4" s="3"/>
      <c r="AE4" s="3"/>
      <c r="AF4" s="3"/>
      <c r="AG4" s="3"/>
      <c r="AH4" s="3"/>
    </row>
    <row r="5" spans="1:34" x14ac:dyDescent="0.3">
      <c r="A5" s="11" t="s">
        <v>1011</v>
      </c>
      <c r="B5" s="12" t="s">
        <v>1012</v>
      </c>
      <c r="C5" s="12" t="s">
        <v>1012</v>
      </c>
      <c r="D5" s="13" t="s">
        <v>3312</v>
      </c>
      <c r="E5" s="6">
        <v>45583</v>
      </c>
      <c r="F5" s="3">
        <v>156923</v>
      </c>
      <c r="G5" s="3">
        <v>79</v>
      </c>
      <c r="H5" s="3" t="s">
        <v>6095</v>
      </c>
      <c r="I5" s="3" t="s">
        <v>1013</v>
      </c>
      <c r="J5" s="3" t="s">
        <v>1014</v>
      </c>
      <c r="K5" s="3" t="s">
        <v>1015</v>
      </c>
      <c r="L5" s="3">
        <v>0.55800000000000005</v>
      </c>
      <c r="M5" s="3">
        <v>0.65500000000000003</v>
      </c>
      <c r="N5" s="3">
        <v>0</v>
      </c>
      <c r="O5" s="8">
        <v>-5476</v>
      </c>
      <c r="P5" s="3">
        <v>1</v>
      </c>
      <c r="Q5" s="3">
        <v>3.7900000000000003E-2</v>
      </c>
      <c r="R5" s="3">
        <v>0.20799999999999999</v>
      </c>
      <c r="S5" s="3">
        <v>0</v>
      </c>
      <c r="T5" s="3">
        <v>8.5400000000000004E-2</v>
      </c>
      <c r="U5" s="3">
        <v>0.39</v>
      </c>
      <c r="V5" s="8">
        <v>129.88999999999999</v>
      </c>
      <c r="W5" s="3">
        <v>4</v>
      </c>
      <c r="X5" s="3" t="str">
        <f t="shared" si="4"/>
        <v>-HAPPY-</v>
      </c>
      <c r="Y5" s="3" t="str">
        <f t="shared" si="5"/>
        <v>-ENERGY-</v>
      </c>
      <c r="Z5" s="4" t="str">
        <f t="shared" si="6"/>
        <v>{"couname":"Forever Young","img":"https://i.scdn.co/image/ab67616d0000b273417f8c5927888d7ee97cb05a","pty":"79","artist":"David Guetta, Alphaville, Ava Max","genres":"edm,dance,synthpop","duration":"156923","spotId":"3bg2qahpZmsg5wV2EMPXIk","Items":["-HAPPY-","-ENERGY-","","","GN_FrenchElectro"]},</v>
      </c>
      <c r="AA5" s="5" t="s">
        <v>6100</v>
      </c>
      <c r="AB5" s="3" t="str">
        <f t="shared" si="7"/>
        <v>["-HAPPY-","-ENERGY-","","","GN_FrenchElectro"]</v>
      </c>
      <c r="AC5" s="3" t="str">
        <f>_xlfn.XLOOKUP(A5,Album!A:A,Album!J:J)</f>
        <v>https://i.scdn.co/image/ab67616d0000b273417f8c5927888d7ee97cb05a</v>
      </c>
      <c r="AD5" s="3"/>
      <c r="AE5" s="3"/>
      <c r="AF5" s="3"/>
      <c r="AG5" s="3"/>
      <c r="AH5" s="3"/>
    </row>
    <row r="6" spans="1:34" x14ac:dyDescent="0.3">
      <c r="A6" s="11" t="s">
        <v>1032</v>
      </c>
      <c r="B6" s="12" t="s">
        <v>1033</v>
      </c>
      <c r="C6" s="12" t="s">
        <v>1033</v>
      </c>
      <c r="D6" s="13" t="s">
        <v>3352</v>
      </c>
      <c r="E6" s="6">
        <v>45022</v>
      </c>
      <c r="F6" s="3">
        <v>140017</v>
      </c>
      <c r="G6" s="3">
        <v>78</v>
      </c>
      <c r="H6" s="3" t="s">
        <v>6094</v>
      </c>
      <c r="I6" s="3" t="s">
        <v>1013</v>
      </c>
      <c r="J6" s="3" t="s">
        <v>1019</v>
      </c>
      <c r="K6" s="3" t="s">
        <v>1015</v>
      </c>
      <c r="L6" s="3">
        <v>0.60199999999999998</v>
      </c>
      <c r="M6" s="3">
        <v>0.91</v>
      </c>
      <c r="N6" s="3">
        <v>7</v>
      </c>
      <c r="O6" s="8">
        <v>-3404</v>
      </c>
      <c r="P6" s="3">
        <v>1</v>
      </c>
      <c r="Q6" s="3">
        <v>3.0800000000000001E-2</v>
      </c>
      <c r="R6" s="3">
        <v>1.2600000000000001E-3</v>
      </c>
      <c r="S6" s="3">
        <v>1.74E-4</v>
      </c>
      <c r="T6" s="3">
        <v>0.12</v>
      </c>
      <c r="U6" s="3">
        <v>0.22800000000000001</v>
      </c>
      <c r="V6" s="8">
        <v>127944</v>
      </c>
      <c r="W6" s="3">
        <v>4</v>
      </c>
      <c r="X6" s="3" t="str">
        <f t="shared" si="4"/>
        <v>-SADNE-</v>
      </c>
      <c r="Y6" s="3" t="str">
        <f t="shared" si="5"/>
        <v>-ENERGY-</v>
      </c>
      <c r="Z6" s="4" t="str">
        <f t="shared" si="6"/>
        <v>{"couname":"Baby Don't Hurt Me","img":"https://i.scdn.co/image/ab67616d0000b2730b4ef75c3728599aa4104f7a","pty":"78","artist":"David Guetta, Anne-Marie, Coi Leray","genres":"edm,dance","duration":"140017","spotId":"3BKD1PwArikchz2Zrlp1qi","Items":["-SADNE-","-ENERGY-","","","GN_FrenchElectro"]},</v>
      </c>
      <c r="AA6" s="5" t="s">
        <v>6100</v>
      </c>
      <c r="AB6" s="3" t="str">
        <f t="shared" si="7"/>
        <v>["-SADNE-","-ENERGY-","","","GN_FrenchElectro"]</v>
      </c>
      <c r="AC6" s="3" t="str">
        <f>_xlfn.XLOOKUP(A6,Album!A:A,Album!J:J)</f>
        <v>https://i.scdn.co/image/ab67616d0000b2730b4ef75c3728599aa4104f7a</v>
      </c>
      <c r="AD6" s="3"/>
      <c r="AE6" s="3"/>
      <c r="AF6" s="3"/>
      <c r="AG6" s="3"/>
      <c r="AH6" s="3"/>
    </row>
    <row r="7" spans="1:34" x14ac:dyDescent="0.3">
      <c r="A7" s="11" t="s">
        <v>1842</v>
      </c>
      <c r="B7" s="12" t="s">
        <v>1843</v>
      </c>
      <c r="C7" s="12" t="s">
        <v>1844</v>
      </c>
      <c r="D7" s="13" t="s">
        <v>9</v>
      </c>
      <c r="E7" s="6">
        <v>36962</v>
      </c>
      <c r="F7" s="3">
        <v>320357</v>
      </c>
      <c r="G7" s="3">
        <v>76</v>
      </c>
      <c r="H7" s="3" t="s">
        <v>6093</v>
      </c>
      <c r="I7" s="3" t="s">
        <v>1809</v>
      </c>
      <c r="J7" s="3" t="s">
        <v>1810</v>
      </c>
      <c r="K7" s="3" t="s">
        <v>1811</v>
      </c>
      <c r="L7" s="3">
        <v>0.61299999999999999</v>
      </c>
      <c r="M7" s="3">
        <v>0.69699999999999995</v>
      </c>
      <c r="N7" s="3">
        <v>2</v>
      </c>
      <c r="O7" s="8">
        <v>-8618</v>
      </c>
      <c r="P7" s="3">
        <v>1</v>
      </c>
      <c r="Q7" s="3">
        <v>0.13300000000000001</v>
      </c>
      <c r="R7" s="3">
        <v>1.9400000000000001E-2</v>
      </c>
      <c r="S7" s="3">
        <v>0</v>
      </c>
      <c r="T7" s="3">
        <v>0.33200000000000002</v>
      </c>
      <c r="U7" s="3">
        <v>0.47599999999999998</v>
      </c>
      <c r="V7" s="8">
        <v>122746</v>
      </c>
      <c r="W7" s="3">
        <v>4</v>
      </c>
      <c r="X7" s="3" t="str">
        <f t="shared" si="4"/>
        <v>-HAPPY-</v>
      </c>
      <c r="Y7" s="3" t="str">
        <f t="shared" si="5"/>
        <v>-ENERGY-</v>
      </c>
      <c r="Z7" s="4" t="str">
        <f t="shared" si="6"/>
        <v>{"couname":"One More Time","img":"https://i.scdn.co/image/ab67616d0000b2732c25dad9f8fd54652f7ba5df","pty":"76","artist":"Daft Punk","genres":"house francés,electrónica,electro","duration":"320357","spotId":"0DiWol3AO6WpXZgp0goxAV","Items":["-HAPPY-","-ENERGY-","","","GN_FrenchElectro"]},</v>
      </c>
      <c r="AA7" s="5" t="s">
        <v>6100</v>
      </c>
      <c r="AB7" s="3" t="str">
        <f t="shared" si="7"/>
        <v>["-HAPPY-","-ENERGY-","","","GN_FrenchElectro"]</v>
      </c>
      <c r="AC7" s="3" t="str">
        <f>_xlfn.XLOOKUP(A7,Album!A:A,Album!J:J)</f>
        <v>https://i.scdn.co/image/ab67616d0000b2732c25dad9f8fd54652f7ba5df</v>
      </c>
      <c r="AD7" s="3"/>
      <c r="AE7" s="3"/>
      <c r="AF7" s="3"/>
      <c r="AG7" s="3"/>
      <c r="AH7" s="3"/>
    </row>
    <row r="8" spans="1:34" x14ac:dyDescent="0.3">
      <c r="A8" s="11" t="s">
        <v>506</v>
      </c>
      <c r="B8" s="12" t="s">
        <v>5898</v>
      </c>
      <c r="C8" s="12" t="s">
        <v>508</v>
      </c>
      <c r="D8" s="13" t="s">
        <v>2603</v>
      </c>
      <c r="E8" s="6">
        <v>44750</v>
      </c>
      <c r="F8" s="3">
        <v>178304</v>
      </c>
      <c r="G8" s="3">
        <v>75</v>
      </c>
      <c r="H8" s="3" t="s">
        <v>6092</v>
      </c>
      <c r="I8" s="3" t="s">
        <v>462</v>
      </c>
      <c r="J8" s="3" t="s">
        <v>509</v>
      </c>
      <c r="K8" s="3" t="s">
        <v>464</v>
      </c>
      <c r="L8" s="3">
        <v>0.77100000000000002</v>
      </c>
      <c r="M8" s="3">
        <v>0.88300000000000001</v>
      </c>
      <c r="N8" s="3">
        <v>1</v>
      </c>
      <c r="O8" s="8">
        <v>-5242</v>
      </c>
      <c r="P8" s="3">
        <v>0</v>
      </c>
      <c r="Q8" s="3">
        <v>5.8400000000000001E-2</v>
      </c>
      <c r="R8" s="3">
        <v>6.0499999999999998E-3</v>
      </c>
      <c r="S8" s="3">
        <v>5.79E-3</v>
      </c>
      <c r="T8" s="3">
        <v>0.13500000000000001</v>
      </c>
      <c r="U8" s="3">
        <v>0.89400000000000002</v>
      </c>
      <c r="V8" s="8">
        <v>127008</v>
      </c>
      <c r="W8" s="3">
        <v>4</v>
      </c>
      <c r="X8" s="3" t="str">
        <f t="shared" si="4"/>
        <v>-HAPPY-</v>
      </c>
      <c r="Y8" s="3" t="str">
        <f t="shared" si="5"/>
        <v>-ENERGY-</v>
      </c>
      <c r="Z8" s="4" t="str">
        <f t="shared" si="6"/>
        <v>{"couname":"World Hold On","img":"https://i.scdn.co/image/ab67616d0000b273a03a119d2adb25e05b6042c3","pty":"75","artist":"Bob Sinclar, FISHER, Steve Edwards","genres":"house francés,disco house,tech house,house,techno","duration":"178304","spotId":"6kTwzV93qpcovlRPmBOXmn","Items":["-HAPPY-","-ENERGY-","","","GN_FrenchElectro"]},</v>
      </c>
      <c r="AA8" s="5" t="s">
        <v>6100</v>
      </c>
      <c r="AB8" s="3" t="str">
        <f t="shared" si="7"/>
        <v>["-HAPPY-","-ENERGY-","","","GN_FrenchElectro"]</v>
      </c>
      <c r="AC8" s="3" t="str">
        <f>_xlfn.XLOOKUP(A8,Album!A:A,Album!J:J)</f>
        <v>https://i.scdn.co/image/ab67616d0000b273a03a119d2adb25e05b6042c3</v>
      </c>
      <c r="AD8" s="3"/>
      <c r="AE8" s="3"/>
      <c r="AF8" s="3"/>
      <c r="AG8" s="3"/>
      <c r="AH8" s="3"/>
    </row>
    <row r="9" spans="1:34" x14ac:dyDescent="0.3">
      <c r="A9" s="11" t="s">
        <v>1062</v>
      </c>
      <c r="B9" s="12" t="s">
        <v>6090</v>
      </c>
      <c r="C9" s="12" t="s">
        <v>1063</v>
      </c>
      <c r="D9" s="13" t="s">
        <v>3408</v>
      </c>
      <c r="E9" s="6">
        <v>45240</v>
      </c>
      <c r="F9" s="3">
        <v>147432</v>
      </c>
      <c r="G9" s="3">
        <v>75</v>
      </c>
      <c r="H9" s="3" t="s">
        <v>6091</v>
      </c>
      <c r="I9" s="3" t="s">
        <v>1013</v>
      </c>
      <c r="J9" s="3" t="s">
        <v>1019</v>
      </c>
      <c r="K9" s="3" t="s">
        <v>1015</v>
      </c>
      <c r="L9" s="3">
        <v>0.65700000000000003</v>
      </c>
      <c r="M9" s="3">
        <v>0.91400000000000003</v>
      </c>
      <c r="N9" s="3">
        <v>0</v>
      </c>
      <c r="O9" s="8">
        <v>-4513</v>
      </c>
      <c r="P9" s="3">
        <v>0</v>
      </c>
      <c r="Q9" s="3">
        <v>5.2299999999999999E-2</v>
      </c>
      <c r="R9" s="3">
        <v>5.2600000000000001E-2</v>
      </c>
      <c r="S9" s="3">
        <v>6.3199999999999996E-6</v>
      </c>
      <c r="T9" s="3">
        <v>0.109</v>
      </c>
      <c r="U9" s="3">
        <v>0.502</v>
      </c>
      <c r="V9" s="8">
        <v>139989</v>
      </c>
      <c r="W9" s="3">
        <v>4</v>
      </c>
      <c r="X9" s="3" t="str">
        <f t="shared" si="4"/>
        <v>-HAPPY-</v>
      </c>
      <c r="Y9" s="3" t="str">
        <f t="shared" si="5"/>
        <v>-ENERGY-</v>
      </c>
      <c r="Z9" s="4" t="str">
        <f t="shared" si="6"/>
        <v>{"couname":"When We Were Young","img":"https://i.scdn.co/image/ab67616d0000b273c8e153557024fd571a5a83d6","pty":"75","artist":"David Guetta, Kim Petras","genres":"edm,dance","duration":"147432","spotId":"1CcLA0eaauck34YEIrvAAq","Items":["-HAPPY-","-ENERGY-","","","GN_FrenchElectro"]},</v>
      </c>
      <c r="AA9" s="5" t="s">
        <v>6100</v>
      </c>
      <c r="AB9" s="3" t="str">
        <f t="shared" si="7"/>
        <v>["-HAPPY-","-ENERGY-","","","GN_FrenchElectro"]</v>
      </c>
      <c r="AC9" s="3" t="str">
        <f>_xlfn.XLOOKUP(A9,Album!A:A,Album!J:J)</f>
        <v>https://i.scdn.co/image/ab67616d0000b273c8e153557024fd571a5a83d6</v>
      </c>
      <c r="AD9" s="3"/>
      <c r="AE9" s="3"/>
      <c r="AF9" s="3"/>
      <c r="AG9" s="3"/>
      <c r="AH9" s="3"/>
    </row>
    <row r="10" spans="1:34" x14ac:dyDescent="0.3">
      <c r="A10" s="11" t="s">
        <v>1929</v>
      </c>
      <c r="B10" s="12" t="s">
        <v>6088</v>
      </c>
      <c r="C10" s="12" t="s">
        <v>1922</v>
      </c>
      <c r="D10" s="13" t="s">
        <v>4733</v>
      </c>
      <c r="E10" s="6">
        <v>41414</v>
      </c>
      <c r="F10" s="3">
        <v>337560</v>
      </c>
      <c r="G10" s="3">
        <v>75</v>
      </c>
      <c r="H10" s="3" t="s">
        <v>6089</v>
      </c>
      <c r="I10" s="3" t="s">
        <v>1809</v>
      </c>
      <c r="J10" s="3" t="s">
        <v>1810</v>
      </c>
      <c r="K10" s="3" t="s">
        <v>84</v>
      </c>
      <c r="L10" s="3">
        <v>0.77500000000000002</v>
      </c>
      <c r="M10" s="3">
        <v>0.58499999999999996</v>
      </c>
      <c r="N10" s="3">
        <v>10</v>
      </c>
      <c r="O10" s="8">
        <v>-9516</v>
      </c>
      <c r="P10" s="3">
        <v>0</v>
      </c>
      <c r="Q10" s="3">
        <v>2.7099999999999999E-2</v>
      </c>
      <c r="R10" s="3">
        <v>4.2200000000000001E-2</v>
      </c>
      <c r="S10" s="3">
        <v>0.61899999999999999</v>
      </c>
      <c r="T10" s="3">
        <v>7.6999999999999999E-2</v>
      </c>
      <c r="U10" s="3">
        <v>0.51800000000000002</v>
      </c>
      <c r="V10" s="8">
        <v>109942</v>
      </c>
      <c r="W10" s="3">
        <v>4</v>
      </c>
      <c r="X10" s="3" t="str">
        <f t="shared" si="4"/>
        <v>-HAPPY-</v>
      </c>
      <c r="Y10" s="3" t="str">
        <f t="shared" si="5"/>
        <v>-ENERGY-</v>
      </c>
      <c r="Z10" s="4" t="str">
        <f t="shared" si="6"/>
        <v>{"couname":"Instant Crush","img":"https://i.scdn.co/image/ab67616d0000b2739b9b36b0e22870b9f542d937","pty":"75","artist":"Daft Punk, Julian Casablancas","genres":"house francés,electrónica,electro","duration":"337560","spotId":"2cGxRwrMyEAp8dEbuZaVv6","Items":["-HAPPY-","-ENERGY-","","","GN_FrenchElectro"]},</v>
      </c>
      <c r="AA10" s="5" t="s">
        <v>6100</v>
      </c>
      <c r="AB10" s="3" t="str">
        <f t="shared" si="7"/>
        <v>["-HAPPY-","-ENERGY-","","","GN_FrenchElectro"]</v>
      </c>
      <c r="AC10" s="3" t="str">
        <f>_xlfn.XLOOKUP(A10,Album!A:A,Album!J:J)</f>
        <v>https://i.scdn.co/image/ab67616d0000b2739b9b36b0e22870b9f542d937</v>
      </c>
      <c r="AD10" s="3"/>
      <c r="AE10" s="3"/>
      <c r="AF10" s="3"/>
      <c r="AG10" s="3"/>
      <c r="AH10" s="3"/>
    </row>
    <row r="11" spans="1:34" x14ac:dyDescent="0.3">
      <c r="A11" s="11" t="s">
        <v>538</v>
      </c>
      <c r="B11" s="12" t="s">
        <v>5898</v>
      </c>
      <c r="C11" s="12" t="s">
        <v>540</v>
      </c>
      <c r="D11" s="13" t="s">
        <v>2663</v>
      </c>
      <c r="E11" s="6">
        <v>38874</v>
      </c>
      <c r="F11" s="3">
        <v>199194</v>
      </c>
      <c r="G11" s="3">
        <v>73</v>
      </c>
      <c r="H11" s="3" t="s">
        <v>6087</v>
      </c>
      <c r="I11" s="3" t="s">
        <v>462</v>
      </c>
      <c r="J11" s="3" t="s">
        <v>463</v>
      </c>
      <c r="K11" s="3" t="s">
        <v>464</v>
      </c>
      <c r="L11" s="3">
        <v>0.73799999999999999</v>
      </c>
      <c r="M11" s="3">
        <v>0.93300000000000005</v>
      </c>
      <c r="N11" s="3">
        <v>8</v>
      </c>
      <c r="O11" s="8">
        <v>-1898</v>
      </c>
      <c r="P11" s="3">
        <v>0</v>
      </c>
      <c r="Q11" s="3">
        <v>9.4600000000000004E-2</v>
      </c>
      <c r="R11" s="3">
        <v>7.6399999999999996E-2</v>
      </c>
      <c r="S11" s="3">
        <v>1.08E-4</v>
      </c>
      <c r="T11" s="3">
        <v>0.247</v>
      </c>
      <c r="U11" s="3">
        <v>0.63300000000000001</v>
      </c>
      <c r="V11" s="8">
        <v>126994</v>
      </c>
      <c r="W11" s="3">
        <v>4</v>
      </c>
      <c r="X11" s="3" t="str">
        <f t="shared" si="4"/>
        <v>-HAPPY-</v>
      </c>
      <c r="Y11" s="3" t="str">
        <f t="shared" si="5"/>
        <v>-ENERGY-</v>
      </c>
      <c r="Z11" s="4" t="str">
        <f t="shared" si="6"/>
        <v>{"couname":"World Hold On","img":"https://i.scdn.co/image/ab67616d0000b273b65ae9724ee6b6c05c3337ad","pty":"73","artist":"Bob Sinclar, Steve Edwards","genres":"house francés,disco house","duration":"199194","spotId":"3HGwI9qwq5XqBDeZBV3zti","Items":["-HAPPY-","-ENERGY-","","","GN_FrenchElectro"]},</v>
      </c>
      <c r="AA11" s="5" t="s">
        <v>6100</v>
      </c>
      <c r="AB11" s="3" t="str">
        <f t="shared" si="7"/>
        <v>["-HAPPY-","-ENERGY-","","","GN_FrenchElectro"]</v>
      </c>
      <c r="AC11" s="3" t="str">
        <f>_xlfn.XLOOKUP(A11,Album!A:A,Album!J:J)</f>
        <v>https://i.scdn.co/image/ab67616d0000b273b65ae9724ee6b6c05c3337ad</v>
      </c>
      <c r="AD11" s="3"/>
      <c r="AE11" s="3"/>
      <c r="AF11" s="3"/>
      <c r="AG11" s="3"/>
      <c r="AH11" s="3"/>
    </row>
    <row r="12" spans="1:34" x14ac:dyDescent="0.3">
      <c r="A12" s="11" t="s">
        <v>1023</v>
      </c>
      <c r="B12" s="12" t="s">
        <v>6085</v>
      </c>
      <c r="C12" s="12" t="s">
        <v>1024</v>
      </c>
      <c r="D12" s="13" t="s">
        <v>3331</v>
      </c>
      <c r="E12" s="6">
        <v>45541</v>
      </c>
      <c r="F12" s="3">
        <v>164285</v>
      </c>
      <c r="G12" s="3">
        <v>73</v>
      </c>
      <c r="H12" s="3" t="s">
        <v>6086</v>
      </c>
      <c r="I12" s="3" t="s">
        <v>1013</v>
      </c>
      <c r="J12" s="3" t="s">
        <v>1019</v>
      </c>
      <c r="K12" s="3" t="s">
        <v>1015</v>
      </c>
      <c r="L12" s="3">
        <v>0.51300000000000001</v>
      </c>
      <c r="M12" s="3">
        <v>0.81299999999999994</v>
      </c>
      <c r="N12" s="3">
        <v>5</v>
      </c>
      <c r="O12" s="8">
        <v>-2744</v>
      </c>
      <c r="P12" s="3">
        <v>1</v>
      </c>
      <c r="Q12" s="3">
        <v>3.3500000000000002E-2</v>
      </c>
      <c r="R12" s="3">
        <v>0.28000000000000003</v>
      </c>
      <c r="S12" s="3">
        <v>0</v>
      </c>
      <c r="T12" s="3">
        <v>0.25800000000000001</v>
      </c>
      <c r="U12" s="3">
        <v>0.35499999999999998</v>
      </c>
      <c r="V12" s="8">
        <v>125.91</v>
      </c>
      <c r="W12" s="3">
        <v>4</v>
      </c>
      <c r="X12" s="3" t="str">
        <f t="shared" si="4"/>
        <v>-HAPPY-</v>
      </c>
      <c r="Y12" s="3" t="str">
        <f t="shared" si="5"/>
        <v>-ENERGY-</v>
      </c>
      <c r="Z12" s="4" t="str">
        <f t="shared" si="6"/>
        <v>{"couname":"Never Going Home Tonight","img":"https://i.scdn.co/image/ab67616d0000b273a2f04cd16c327c6aa04be8c1","pty":"73","artist":"David Guetta, Alesso, Madison Love","genres":"edm,dance","duration":"164285","spotId":"7K1BLb6MpvKuGEPpHw35mO","Items":["-HAPPY-","-ENERGY-","","","GN_FrenchElectro"]},</v>
      </c>
      <c r="AA12" s="5" t="s">
        <v>6100</v>
      </c>
      <c r="AB12" s="3" t="str">
        <f t="shared" si="7"/>
        <v>["-HAPPY-","-ENERGY-","","","GN_FrenchElectro"]</v>
      </c>
      <c r="AC12" s="3" t="str">
        <f>_xlfn.XLOOKUP(A12,Album!A:A,Album!J:J)</f>
        <v>https://i.scdn.co/image/ab67616d0000b273a2f04cd16c327c6aa04be8c1</v>
      </c>
      <c r="AD12" s="3"/>
      <c r="AE12" s="3"/>
      <c r="AF12" s="3"/>
      <c r="AG12" s="3"/>
      <c r="AH12" s="3"/>
    </row>
    <row r="13" spans="1:34" x14ac:dyDescent="0.3">
      <c r="A13" s="11" t="s">
        <v>1465</v>
      </c>
      <c r="B13" s="12" t="s">
        <v>1466</v>
      </c>
      <c r="C13" s="12" t="s">
        <v>1462</v>
      </c>
      <c r="D13" s="13" t="s">
        <v>4051</v>
      </c>
      <c r="E13" s="6">
        <v>42587</v>
      </c>
      <c r="F13" s="3">
        <v>220573</v>
      </c>
      <c r="G13" s="3">
        <v>73</v>
      </c>
      <c r="H13" s="3" t="s">
        <v>6084</v>
      </c>
      <c r="I13" s="3" t="s">
        <v>1463</v>
      </c>
      <c r="J13" s="3"/>
      <c r="K13" s="3" t="s">
        <v>1464</v>
      </c>
      <c r="L13" s="3">
        <v>0.58299999999999996</v>
      </c>
      <c r="M13" s="3">
        <v>0.69499999999999995</v>
      </c>
      <c r="N13" s="3">
        <v>9</v>
      </c>
      <c r="O13" s="8">
        <v>-5336</v>
      </c>
      <c r="P13" s="3">
        <v>1</v>
      </c>
      <c r="Q13" s="3">
        <v>4.2299999999999997E-2</v>
      </c>
      <c r="R13" s="3">
        <v>1.38E-2</v>
      </c>
      <c r="S13" s="3">
        <v>0</v>
      </c>
      <c r="T13" s="3">
        <v>5.2699999999999997E-2</v>
      </c>
      <c r="U13" s="3">
        <v>0.224</v>
      </c>
      <c r="V13" s="8">
        <v>104879</v>
      </c>
      <c r="W13" s="3">
        <v>4</v>
      </c>
      <c r="X13" s="3" t="str">
        <f t="shared" si="4"/>
        <v>-SADNE-</v>
      </c>
      <c r="Y13" s="3" t="str">
        <f t="shared" si="5"/>
        <v>-ENERGY-</v>
      </c>
      <c r="Z13" s="4" t="str">
        <f t="shared" si="6"/>
        <v>{"couname":"Middle","img":"https://i.scdn.co/image/ab67616d0000b273212d776c31027c511f0ee3bc","pty":"73","artist":"DJ Snake, Bipolar Sunshine","genres":"","duration":"220573","spotId":"0g5EKLgdKvNlln7TNqBByK","Items":["-SADNE-","-ENERGY-","","","GN_FrenchElectro"]},</v>
      </c>
      <c r="AA13" s="5" t="s">
        <v>6100</v>
      </c>
      <c r="AB13" s="3" t="str">
        <f t="shared" si="7"/>
        <v>["-SADNE-","-ENERGY-","","","GN_FrenchElectro"]</v>
      </c>
      <c r="AC13" s="3" t="str">
        <f>_xlfn.XLOOKUP(A13,Album!A:A,Album!J:J)</f>
        <v>https://i.scdn.co/image/ab67616d0000b273212d776c31027c511f0ee3bc</v>
      </c>
      <c r="AD13" s="3"/>
      <c r="AE13" s="3"/>
      <c r="AF13" s="3"/>
      <c r="AG13" s="3"/>
      <c r="AH13" s="3"/>
    </row>
    <row r="14" spans="1:34" x14ac:dyDescent="0.3">
      <c r="A14" s="11" t="s">
        <v>1066</v>
      </c>
      <c r="B14" s="12" t="s">
        <v>6082</v>
      </c>
      <c r="C14" s="12" t="s">
        <v>1053</v>
      </c>
      <c r="D14" s="13" t="s">
        <v>3418</v>
      </c>
      <c r="E14" s="6">
        <v>41953</v>
      </c>
      <c r="F14" s="3">
        <v>192560</v>
      </c>
      <c r="G14" s="3">
        <v>71</v>
      </c>
      <c r="H14" s="3" t="s">
        <v>6083</v>
      </c>
      <c r="I14" s="3" t="s">
        <v>1013</v>
      </c>
      <c r="J14" s="3" t="s">
        <v>1047</v>
      </c>
      <c r="K14" s="3" t="s">
        <v>83</v>
      </c>
      <c r="L14" s="3">
        <v>0.59599999999999997</v>
      </c>
      <c r="M14" s="3">
        <v>0.73</v>
      </c>
      <c r="N14" s="3">
        <v>9</v>
      </c>
      <c r="O14" s="8">
        <v>-4091</v>
      </c>
      <c r="P14" s="3">
        <v>1</v>
      </c>
      <c r="Q14" s="3">
        <v>0.151</v>
      </c>
      <c r="R14" s="3">
        <v>0.24</v>
      </c>
      <c r="S14" s="3">
        <v>0</v>
      </c>
      <c r="T14" s="3">
        <v>0.32500000000000001</v>
      </c>
      <c r="U14" s="3">
        <v>0.52500000000000002</v>
      </c>
      <c r="V14" s="8">
        <v>85979</v>
      </c>
      <c r="W14" s="3">
        <v>4</v>
      </c>
      <c r="X14" s="3" t="str">
        <f t="shared" si="4"/>
        <v>-HAPPY-</v>
      </c>
      <c r="Y14" s="3" t="str">
        <f t="shared" si="5"/>
        <v>-ENERGY-</v>
      </c>
      <c r="Z14" s="4" t="str">
        <f t="shared" si="6"/>
        <v>{"couname":"Hey Mama","img":"https://i.scdn.co/image/ab67616d0000b2733862d62a50dc6b928651bdeb","pty":"71","artist":"David Guetta, AFROJACK, Bebe Rexha, Nicki Minaj","genres":"edm,dance,big room","duration":"192560","spotId":"285HeuLxsngjFn4GGegGNm","Items":["-HAPPY-","-ENERGY-","","","GN_FrenchElectro"]},</v>
      </c>
      <c r="AA14" s="5" t="s">
        <v>6100</v>
      </c>
      <c r="AB14" s="3" t="str">
        <f t="shared" si="7"/>
        <v>["-HAPPY-","-ENERGY-","","","GN_FrenchElectro"]</v>
      </c>
      <c r="AC14" s="3" t="str">
        <f>_xlfn.XLOOKUP(A14,Album!A:A,Album!J:J)</f>
        <v>https://i.scdn.co/image/ab67616d0000b2733862d62a50dc6b928651bdeb</v>
      </c>
      <c r="AD14" s="3"/>
      <c r="AE14" s="3"/>
      <c r="AF14" s="3"/>
      <c r="AG14" s="3"/>
      <c r="AH14" s="3"/>
    </row>
    <row r="15" spans="1:34" x14ac:dyDescent="0.3">
      <c r="A15" s="11" t="s">
        <v>1935</v>
      </c>
      <c r="B15" s="12" t="s">
        <v>6080</v>
      </c>
      <c r="C15" s="12" t="s">
        <v>1922</v>
      </c>
      <c r="D15" s="13" t="s">
        <v>4745</v>
      </c>
      <c r="E15" s="6">
        <v>41414</v>
      </c>
      <c r="F15" s="3">
        <v>369626</v>
      </c>
      <c r="G15" s="3">
        <v>71</v>
      </c>
      <c r="H15" s="3" t="s">
        <v>6081</v>
      </c>
      <c r="I15" s="3" t="s">
        <v>1809</v>
      </c>
      <c r="J15" s="3" t="s">
        <v>1810</v>
      </c>
      <c r="K15" s="3" t="s">
        <v>84</v>
      </c>
      <c r="L15" s="3">
        <v>0.81</v>
      </c>
      <c r="M15" s="3">
        <v>0.79300000000000004</v>
      </c>
      <c r="N15" s="3">
        <v>6</v>
      </c>
      <c r="O15" s="8">
        <v>-9404</v>
      </c>
      <c r="P15" s="3">
        <v>0</v>
      </c>
      <c r="Q15" s="3">
        <v>4.0300000000000002E-2</v>
      </c>
      <c r="R15" s="3">
        <v>3.78E-2</v>
      </c>
      <c r="S15" s="3">
        <v>1.77E-6</v>
      </c>
      <c r="T15" s="3">
        <v>7.1999999999999995E-2</v>
      </c>
      <c r="U15" s="3">
        <v>0.86299999999999999</v>
      </c>
      <c r="V15" s="8">
        <v>116.05</v>
      </c>
      <c r="W15" s="3">
        <v>4</v>
      </c>
      <c r="X15" s="3" t="str">
        <f t="shared" si="4"/>
        <v>-HAPPY-</v>
      </c>
      <c r="Y15" s="3" t="str">
        <f t="shared" si="5"/>
        <v>-ENERGY-</v>
      </c>
      <c r="Z15" s="4" t="str">
        <f t="shared" si="6"/>
        <v>{"couname":"Get Lucky","img":"https://i.scdn.co/image/ab67616d0000b2739b9b36b0e22870b9f542d937","pty":"71","artist":"Daft Punk, Pharrell Williams, Nile Rodgers","genres":"house francés,electrónica,electro","duration":"369626","spotId":"69kOkLUCkxIZYexIgSG8rq","Items":["-HAPPY-","-ENERGY-","","","GN_FrenchElectro"]},</v>
      </c>
      <c r="AA15" s="5" t="s">
        <v>6100</v>
      </c>
      <c r="AB15" s="3" t="str">
        <f t="shared" si="7"/>
        <v>["-HAPPY-","-ENERGY-","","","GN_FrenchElectro"]</v>
      </c>
      <c r="AC15" s="3" t="str">
        <f>_xlfn.XLOOKUP(A15,Album!A:A,Album!J:J)</f>
        <v>https://i.scdn.co/image/ab67616d0000b2739b9b36b0e22870b9f542d937</v>
      </c>
      <c r="AD15" s="3"/>
      <c r="AE15" s="3"/>
      <c r="AF15" s="3"/>
      <c r="AG15" s="3"/>
      <c r="AH15" s="3"/>
    </row>
    <row r="16" spans="1:34" x14ac:dyDescent="0.3">
      <c r="A16" s="11" t="s">
        <v>1470</v>
      </c>
      <c r="B16" s="12" t="s">
        <v>1471</v>
      </c>
      <c r="C16" s="12" t="s">
        <v>1471</v>
      </c>
      <c r="D16" s="13" t="s">
        <v>4061</v>
      </c>
      <c r="E16" s="6">
        <v>41926</v>
      </c>
      <c r="F16" s="3">
        <v>247266</v>
      </c>
      <c r="G16" s="3">
        <v>70</v>
      </c>
      <c r="H16" s="3" t="s">
        <v>6079</v>
      </c>
      <c r="I16" s="3" t="s">
        <v>1463</v>
      </c>
      <c r="J16" s="3"/>
      <c r="K16" s="3" t="s">
        <v>1472</v>
      </c>
      <c r="L16" s="3">
        <v>0.40699999999999997</v>
      </c>
      <c r="M16" s="3">
        <v>0.72499999999999998</v>
      </c>
      <c r="N16" s="3">
        <v>5</v>
      </c>
      <c r="O16" s="8">
        <v>-5346</v>
      </c>
      <c r="P16" s="3">
        <v>0</v>
      </c>
      <c r="Q16" s="3">
        <v>0.188</v>
      </c>
      <c r="R16" s="3">
        <v>1.41E-2</v>
      </c>
      <c r="S16" s="3">
        <v>2.4600000000000002E-6</v>
      </c>
      <c r="T16" s="3">
        <v>0.30599999999999999</v>
      </c>
      <c r="U16" s="3">
        <v>0.247</v>
      </c>
      <c r="V16" s="8">
        <v>196093</v>
      </c>
      <c r="W16" s="3">
        <v>4</v>
      </c>
      <c r="X16" s="3" t="str">
        <f t="shared" si="4"/>
        <v>-SADNE-</v>
      </c>
      <c r="Y16" s="3" t="str">
        <f t="shared" si="5"/>
        <v>-ENERGY-</v>
      </c>
      <c r="Z16" s="4" t="str">
        <f t="shared" si="6"/>
        <v>{"couname":"You Know You Like It","img":"https://i.scdn.co/image/ab67616d0000b273567a71695181017949f14f99","pty":"70","artist":"DJ Snake, AlunaGeorge","genres":"","duration":"247266","spotId":"57kR5SniQIbsbVoIjjOUDa","Items":["-SADNE-","-ENERGY-","","","GN_FrenchElectro"]},</v>
      </c>
      <c r="AA16" s="5" t="s">
        <v>6100</v>
      </c>
      <c r="AB16" s="3" t="str">
        <f t="shared" si="7"/>
        <v>["-SADNE-","-ENERGY-","","","GN_FrenchElectro"]</v>
      </c>
      <c r="AC16" s="3" t="str">
        <f>_xlfn.XLOOKUP(A16,Album!A:A,Album!J:J)</f>
        <v>https://i.scdn.co/image/ab67616d0000b273567a71695181017949f14f99</v>
      </c>
      <c r="AD16" s="3"/>
      <c r="AE16" s="3"/>
      <c r="AF16" s="3"/>
      <c r="AG16" s="3"/>
      <c r="AH16" s="3"/>
    </row>
    <row r="17" spans="1:34" x14ac:dyDescent="0.3">
      <c r="A17" s="11" t="s">
        <v>1601</v>
      </c>
      <c r="B17" s="12" t="s">
        <v>1503</v>
      </c>
      <c r="C17" s="12" t="s">
        <v>1602</v>
      </c>
      <c r="D17" s="13" t="s">
        <v>4270</v>
      </c>
      <c r="E17" s="6">
        <v>44533</v>
      </c>
      <c r="F17" s="3">
        <v>211200</v>
      </c>
      <c r="G17" s="3">
        <v>70</v>
      </c>
      <c r="H17" s="3" t="s">
        <v>6078</v>
      </c>
      <c r="I17" s="3" t="s">
        <v>1463</v>
      </c>
      <c r="J17" s="3" t="s">
        <v>1603</v>
      </c>
      <c r="K17" s="3" t="s">
        <v>1476</v>
      </c>
      <c r="L17" s="3">
        <v>0.60199999999999998</v>
      </c>
      <c r="M17" s="3">
        <v>0.82399999999999995</v>
      </c>
      <c r="N17" s="3">
        <v>0</v>
      </c>
      <c r="O17" s="8">
        <v>-4087</v>
      </c>
      <c r="P17" s="3">
        <v>0</v>
      </c>
      <c r="Q17" s="3">
        <v>5.4699999999999999E-2</v>
      </c>
      <c r="R17" s="3">
        <v>8.6699999999999999E-2</v>
      </c>
      <c r="S17" s="3">
        <v>0</v>
      </c>
      <c r="T17" s="3">
        <v>9.4700000000000006E-2</v>
      </c>
      <c r="U17" s="3">
        <v>0.442</v>
      </c>
      <c r="V17" s="8">
        <v>125147</v>
      </c>
      <c r="W17" s="3">
        <v>4</v>
      </c>
      <c r="X17" s="3" t="str">
        <f t="shared" si="4"/>
        <v>-HAPPY-</v>
      </c>
      <c r="Y17" s="3" t="str">
        <f t="shared" si="5"/>
        <v>-ENERGY-</v>
      </c>
      <c r="Z17" s="4" t="str">
        <f t="shared" si="6"/>
        <v>{"couname":"U Are My High","img":"https://i.scdn.co/image/ab67616d0000b2730e35fb1dd1d8c8bf82086e0e","pty":"70","artist":"DJ Snake, Future","genres":"rap","duration":"211200","spotId":"0ITaSRuI0L1RNL7ZNYTTi7","Items":["-HAPPY-","-ENERGY-","","","GN_FrenchElectro"]},</v>
      </c>
      <c r="AA17" s="5" t="s">
        <v>6100</v>
      </c>
      <c r="AB17" s="3" t="str">
        <f t="shared" si="7"/>
        <v>["-HAPPY-","-ENERGY-","","","GN_FrenchElectro"]</v>
      </c>
      <c r="AC17" s="3" t="str">
        <f>_xlfn.XLOOKUP(A17,Album!A:A,Album!J:J)</f>
        <v>https://i.scdn.co/image/ab67616d0000b2730e35fb1dd1d8c8bf82086e0e</v>
      </c>
      <c r="AD17" s="3"/>
      <c r="AE17" s="3"/>
      <c r="AF17" s="3"/>
      <c r="AG17" s="3"/>
      <c r="AH17" s="3"/>
    </row>
    <row r="18" spans="1:34" x14ac:dyDescent="0.3">
      <c r="A18" s="11" t="s">
        <v>1822</v>
      </c>
      <c r="B18" s="12" t="s">
        <v>1823</v>
      </c>
      <c r="C18" s="12" t="s">
        <v>1808</v>
      </c>
      <c r="D18" s="13" t="s">
        <v>9</v>
      </c>
      <c r="E18" s="6">
        <v>35447</v>
      </c>
      <c r="F18" s="3">
        <v>429533</v>
      </c>
      <c r="G18" s="3">
        <v>70</v>
      </c>
      <c r="H18" s="3" t="s">
        <v>6077</v>
      </c>
      <c r="I18" s="3" t="s">
        <v>1809</v>
      </c>
      <c r="J18" s="3" t="s">
        <v>1810</v>
      </c>
      <c r="K18" s="3" t="s">
        <v>1811</v>
      </c>
      <c r="L18" s="3">
        <v>0.95599999999999996</v>
      </c>
      <c r="M18" s="3">
        <v>0.79500000000000004</v>
      </c>
      <c r="N18" s="3">
        <v>7</v>
      </c>
      <c r="O18" s="8">
        <v>-5311</v>
      </c>
      <c r="P18" s="3">
        <v>1</v>
      </c>
      <c r="Q18" s="3">
        <v>0.15</v>
      </c>
      <c r="R18" s="3">
        <v>3.5599999999999998E-3</v>
      </c>
      <c r="S18" s="3">
        <v>0.88900000000000001</v>
      </c>
      <c r="T18" s="3">
        <v>9.06E-2</v>
      </c>
      <c r="U18" s="3">
        <v>0.84099999999999997</v>
      </c>
      <c r="V18" s="8">
        <v>121294</v>
      </c>
      <c r="W18" s="3">
        <v>4</v>
      </c>
      <c r="X18" s="3" t="str">
        <f t="shared" si="4"/>
        <v>-HAPPY-</v>
      </c>
      <c r="Y18" s="3" t="str">
        <f t="shared" si="5"/>
        <v>-ENERGY-</v>
      </c>
      <c r="Z18" s="4" t="str">
        <f t="shared" si="6"/>
        <v>{"couname":"Around the World","img":"https://i.scdn.co/image/ab67616d0000b2738ac778cc7d88779f74d33311","pty":"70","artist":"Daft Punk","genres":"house francés,electrónica,electro","duration":"429533","spotId":"1pKYYY0dkg23sQQXi0Q5zN","Items":["-HAPPY-","-ENERGY-","","","GN_FrenchElectro"]},</v>
      </c>
      <c r="AA18" s="5" t="s">
        <v>6100</v>
      </c>
      <c r="AB18" s="3" t="str">
        <f t="shared" si="7"/>
        <v>["-HAPPY-","-ENERGY-","","","GN_FrenchElectro"]</v>
      </c>
      <c r="AC18" s="3" t="str">
        <f>_xlfn.XLOOKUP(A18,Album!A:A,Album!J:J)</f>
        <v>https://i.scdn.co/image/ab67616d0000b2738ac778cc7d88779f74d33311</v>
      </c>
      <c r="AD18" s="3"/>
      <c r="AE18" s="3"/>
      <c r="AF18" s="3"/>
      <c r="AG18" s="3"/>
      <c r="AH18" s="3"/>
    </row>
    <row r="19" spans="1:34" x14ac:dyDescent="0.3">
      <c r="A19" s="11" t="s">
        <v>1849</v>
      </c>
      <c r="B19" s="12" t="s">
        <v>1850</v>
      </c>
      <c r="C19" s="12" t="s">
        <v>1844</v>
      </c>
      <c r="D19" s="13" t="s">
        <v>9</v>
      </c>
      <c r="E19" s="6">
        <v>36962</v>
      </c>
      <c r="F19" s="3">
        <v>226413</v>
      </c>
      <c r="G19" s="3">
        <v>70</v>
      </c>
      <c r="H19" s="3" t="s">
        <v>6076</v>
      </c>
      <c r="I19" s="3" t="s">
        <v>1809</v>
      </c>
      <c r="J19" s="3" t="s">
        <v>1810</v>
      </c>
      <c r="K19" s="3" t="s">
        <v>1811</v>
      </c>
      <c r="L19" s="3">
        <v>0.81699999999999995</v>
      </c>
      <c r="M19" s="3">
        <v>0.71599999999999997</v>
      </c>
      <c r="N19" s="3">
        <v>6</v>
      </c>
      <c r="O19" s="8">
        <v>-8898</v>
      </c>
      <c r="P19" s="3">
        <v>0</v>
      </c>
      <c r="Q19" s="3">
        <v>0.14399999999999999</v>
      </c>
      <c r="R19" s="3">
        <v>4.2700000000000002E-2</v>
      </c>
      <c r="S19" s="3">
        <v>2.63E-3</v>
      </c>
      <c r="T19" s="3">
        <v>0.35799999999999998</v>
      </c>
      <c r="U19" s="3">
        <v>0.69199999999999995</v>
      </c>
      <c r="V19" s="8">
        <v>123474</v>
      </c>
      <c r="W19" s="3">
        <v>4</v>
      </c>
      <c r="X19" s="3" t="str">
        <f t="shared" si="4"/>
        <v>-HAPPY-</v>
      </c>
      <c r="Y19" s="3" t="str">
        <f t="shared" si="5"/>
        <v>-ENERGY-</v>
      </c>
      <c r="Z19" s="4" t="str">
        <f t="shared" si="6"/>
        <v>{"couname":"Harder, Better, Faster, Stronger","img":"https://i.scdn.co/image/ab67616d0000b2732c25dad9f8fd54652f7ba5df","pty":"70","artist":"Daft Punk","genres":"house francés,electrónica,electro","duration":"226413","spotId":"5W3cjX2J3tjhG8zb6u0qHn","Items":["-HAPPY-","-ENERGY-","","","GN_FrenchElectro"]},</v>
      </c>
      <c r="AA19" s="5" t="s">
        <v>6100</v>
      </c>
      <c r="AB19" s="3" t="str">
        <f t="shared" si="7"/>
        <v>["-HAPPY-","-ENERGY-","","","GN_FrenchElectro"]</v>
      </c>
      <c r="AC19" s="3" t="str">
        <f>_xlfn.XLOOKUP(A19,Album!A:A,Album!J:J)</f>
        <v>https://i.scdn.co/image/ab67616d0000b2732c25dad9f8fd54652f7ba5df</v>
      </c>
      <c r="AD19" s="3"/>
      <c r="AE19" s="3"/>
      <c r="AF19" s="3"/>
      <c r="AG19" s="3"/>
      <c r="AH19" s="3"/>
    </row>
    <row r="20" spans="1:34" x14ac:dyDescent="0.3">
      <c r="A20" s="11" t="s">
        <v>1863</v>
      </c>
      <c r="B20" s="12" t="s">
        <v>1864</v>
      </c>
      <c r="C20" s="12" t="s">
        <v>1844</v>
      </c>
      <c r="D20" s="13" t="s">
        <v>9</v>
      </c>
      <c r="E20" s="6">
        <v>36962</v>
      </c>
      <c r="F20" s="3">
        <v>345186</v>
      </c>
      <c r="G20" s="3">
        <v>70</v>
      </c>
      <c r="H20" s="3" t="s">
        <v>6075</v>
      </c>
      <c r="I20" s="3" t="s">
        <v>1809</v>
      </c>
      <c r="J20" s="3" t="s">
        <v>1810</v>
      </c>
      <c r="K20" s="3" t="s">
        <v>1811</v>
      </c>
      <c r="L20" s="3">
        <v>0.60499999999999998</v>
      </c>
      <c r="M20" s="3">
        <v>0.68700000000000006</v>
      </c>
      <c r="N20" s="3">
        <v>9</v>
      </c>
      <c r="O20" s="8">
        <v>-13928</v>
      </c>
      <c r="P20" s="3">
        <v>0</v>
      </c>
      <c r="Q20" s="3">
        <v>4.4999999999999998E-2</v>
      </c>
      <c r="R20" s="3">
        <v>0.47899999999999998</v>
      </c>
      <c r="S20" s="3">
        <v>0.94899999999999995</v>
      </c>
      <c r="T20" s="3">
        <v>0.104</v>
      </c>
      <c r="U20" s="3">
        <v>0.12</v>
      </c>
      <c r="V20" s="8">
        <v>106896</v>
      </c>
      <c r="W20" s="3">
        <v>4</v>
      </c>
      <c r="X20" s="3" t="str">
        <f t="shared" si="4"/>
        <v>-SADNE-</v>
      </c>
      <c r="Y20" s="3" t="str">
        <f t="shared" si="5"/>
        <v>-ENERGY-</v>
      </c>
      <c r="Z20" s="4" t="str">
        <f t="shared" si="6"/>
        <v>{"couname":"Veridis Quo","img":"https://i.scdn.co/image/ab67616d0000b2732c25dad9f8fd54652f7ba5df","pty":"70","artist":"Daft Punk","genres":"house francés,electrónica,electro","duration":"345186","spotId":"2LD2gT7gwAurzdQDQtILds","Items":["-SADNE-","-ENERGY-","","","GN_FrenchElectro"]},</v>
      </c>
      <c r="AA20" s="5" t="s">
        <v>6100</v>
      </c>
      <c r="AB20" s="3" t="str">
        <f t="shared" si="7"/>
        <v>["-SADNE-","-ENERGY-","","","GN_FrenchElectro"]</v>
      </c>
      <c r="AC20" s="3" t="str">
        <f>_xlfn.XLOOKUP(A20,Album!A:A,Album!J:J)</f>
        <v>https://i.scdn.co/image/ab67616d0000b2732c25dad9f8fd54652f7ba5df</v>
      </c>
      <c r="AD20" s="3"/>
      <c r="AE20" s="3"/>
      <c r="AF20" s="3"/>
      <c r="AG20" s="3"/>
      <c r="AH20" s="3"/>
    </row>
    <row r="21" spans="1:34" x14ac:dyDescent="0.3">
      <c r="A21" s="11" t="s">
        <v>510</v>
      </c>
      <c r="B21" s="12" t="s">
        <v>5530</v>
      </c>
      <c r="C21" s="12" t="s">
        <v>511</v>
      </c>
      <c r="D21" s="13" t="s">
        <v>2611</v>
      </c>
      <c r="E21" s="6">
        <v>38951</v>
      </c>
      <c r="F21" s="3">
        <v>245466</v>
      </c>
      <c r="G21" s="3">
        <v>69</v>
      </c>
      <c r="H21" s="3" t="s">
        <v>6074</v>
      </c>
      <c r="I21" s="3" t="s">
        <v>462</v>
      </c>
      <c r="J21" s="3" t="s">
        <v>487</v>
      </c>
      <c r="K21" s="3" t="s">
        <v>464</v>
      </c>
      <c r="L21" s="3">
        <v>0.89300000000000002</v>
      </c>
      <c r="M21" s="3">
        <v>0.82299999999999995</v>
      </c>
      <c r="N21" s="3">
        <v>5</v>
      </c>
      <c r="O21" s="8">
        <v>-3708</v>
      </c>
      <c r="P21" s="3">
        <v>0</v>
      </c>
      <c r="Q21" s="3">
        <v>0.122</v>
      </c>
      <c r="R21" s="3">
        <v>7.22E-2</v>
      </c>
      <c r="S21" s="3">
        <v>0</v>
      </c>
      <c r="T21" s="3">
        <v>5.1499999999999997E-2</v>
      </c>
      <c r="U21" s="3">
        <v>0.90100000000000002</v>
      </c>
      <c r="V21" s="8">
        <v>128011</v>
      </c>
      <c r="W21" s="3">
        <v>4</v>
      </c>
      <c r="X21" s="3" t="str">
        <f t="shared" si="4"/>
        <v>-HAPPY-</v>
      </c>
      <c r="Y21" s="3" t="str">
        <f t="shared" si="5"/>
        <v>-ENERGY-</v>
      </c>
      <c r="Z21" s="4" t="str">
        <f t="shared" si="6"/>
        <v>{"couname":"Rock This Party","img":"https://i.scdn.co/image/ab67616d0000b273b455cd4374adeb19ebc22c84","pty":"69","artist":"Bob Sinclar, Cutee B., DollarMan, Big Ali, Makedah","genres":"house francés,disco house,raï","duration":"245466","spotId":"5qiIxojpo8YTFgOOcDuOaB","Items":["-HAPPY-","-ENERGY-","","","GN_FrenchElectro"]},</v>
      </c>
      <c r="AA21" s="5" t="s">
        <v>6100</v>
      </c>
      <c r="AB21" s="3" t="str">
        <f t="shared" si="7"/>
        <v>["-HAPPY-","-ENERGY-","","","GN_FrenchElectro"]</v>
      </c>
      <c r="AC21" s="3" t="str">
        <f>_xlfn.XLOOKUP(A21,Album!A:A,Album!J:J)</f>
        <v>https://i.scdn.co/image/ab67616d0000b273b455cd4374adeb19ebc22c84</v>
      </c>
      <c r="AD21" s="3"/>
      <c r="AE21" s="3"/>
      <c r="AF21" s="3"/>
      <c r="AG21" s="3"/>
      <c r="AH21" s="3"/>
    </row>
    <row r="22" spans="1:34" x14ac:dyDescent="0.3">
      <c r="A22" s="11" t="s">
        <v>1068</v>
      </c>
      <c r="B22" s="12" t="s">
        <v>1069</v>
      </c>
      <c r="C22" s="12" t="s">
        <v>1069</v>
      </c>
      <c r="D22" s="13" t="s">
        <v>3422</v>
      </c>
      <c r="E22" s="6">
        <v>44659</v>
      </c>
      <c r="F22" s="3">
        <v>169756</v>
      </c>
      <c r="G22" s="3">
        <v>69</v>
      </c>
      <c r="H22" s="3" t="s">
        <v>6073</v>
      </c>
      <c r="I22" s="3" t="s">
        <v>1013</v>
      </c>
      <c r="J22" s="3" t="s">
        <v>1019</v>
      </c>
      <c r="K22" s="3" t="s">
        <v>1015</v>
      </c>
      <c r="L22" s="3">
        <v>0.60099999999999998</v>
      </c>
      <c r="M22" s="3">
        <v>0.71299999999999997</v>
      </c>
      <c r="N22" s="3">
        <v>4</v>
      </c>
      <c r="O22" s="8">
        <v>-3758</v>
      </c>
      <c r="P22" s="3">
        <v>0</v>
      </c>
      <c r="Q22" s="3">
        <v>4.4900000000000002E-2</v>
      </c>
      <c r="R22" s="3">
        <v>2.8199999999999999E-2</v>
      </c>
      <c r="S22" s="3">
        <v>0</v>
      </c>
      <c r="T22" s="3">
        <v>0.158</v>
      </c>
      <c r="U22" s="3">
        <v>0.46400000000000002</v>
      </c>
      <c r="V22" s="8">
        <v>122872</v>
      </c>
      <c r="W22" s="3">
        <v>4</v>
      </c>
      <c r="X22" s="3" t="str">
        <f t="shared" si="4"/>
        <v>-HAPPY-</v>
      </c>
      <c r="Y22" s="3" t="str">
        <f t="shared" si="5"/>
        <v>-ENERGY-</v>
      </c>
      <c r="Z22" s="4" t="str">
        <f t="shared" si="6"/>
        <v>{"couname":"Crazy What Love Can Do","img":"https://i.scdn.co/image/ab67616d0000b273654c0a1cb2c30dd8e11c0186","pty":"69","artist":"David Guetta, Becky Hill, Ella Henderson","genres":"edm,dance","duration":"169756","spotId":"1WCEAGGRD066z2Q89ObXTq","Items":["-HAPPY-","-ENERGY-","","","GN_FrenchElectro"]},</v>
      </c>
      <c r="AA22" s="5" t="s">
        <v>6100</v>
      </c>
      <c r="AB22" s="3" t="str">
        <f t="shared" si="7"/>
        <v>["-HAPPY-","-ENERGY-","","","GN_FrenchElectro"]</v>
      </c>
      <c r="AC22" s="3" t="str">
        <f>_xlfn.XLOOKUP(A22,Album!A:A,Album!J:J)</f>
        <v>https://i.scdn.co/image/ab67616d0000b273654c0a1cb2c30dd8e11c0186</v>
      </c>
      <c r="AD22" s="3"/>
      <c r="AE22" s="3"/>
      <c r="AF22" s="3"/>
      <c r="AG22" s="3"/>
      <c r="AH22" s="3"/>
    </row>
    <row r="23" spans="1:34" x14ac:dyDescent="0.3">
      <c r="A23" s="11" t="s">
        <v>1090</v>
      </c>
      <c r="B23" s="12" t="s">
        <v>6071</v>
      </c>
      <c r="C23" s="12" t="s">
        <v>1053</v>
      </c>
      <c r="D23" s="13" t="s">
        <v>3468</v>
      </c>
      <c r="E23" s="6">
        <v>41953</v>
      </c>
      <c r="F23" s="3">
        <v>203520</v>
      </c>
      <c r="G23" s="3">
        <v>69</v>
      </c>
      <c r="H23" s="3" t="s">
        <v>6072</v>
      </c>
      <c r="I23" s="3" t="s">
        <v>1013</v>
      </c>
      <c r="J23" s="3" t="s">
        <v>1019</v>
      </c>
      <c r="K23" s="3" t="s">
        <v>83</v>
      </c>
      <c r="L23" s="3">
        <v>0.64500000000000002</v>
      </c>
      <c r="M23" s="3">
        <v>0.89100000000000001</v>
      </c>
      <c r="N23" s="3">
        <v>6</v>
      </c>
      <c r="O23" s="8">
        <v>-2505</v>
      </c>
      <c r="P23" s="3">
        <v>0</v>
      </c>
      <c r="Q23" s="3">
        <v>3.8699999999999998E-2</v>
      </c>
      <c r="R23" s="3">
        <v>9.3200000000000005E-2</v>
      </c>
      <c r="S23" s="3">
        <v>3.8800000000000001E-6</v>
      </c>
      <c r="T23" s="3">
        <v>0.379</v>
      </c>
      <c r="U23" s="3">
        <v>0.56799999999999995</v>
      </c>
      <c r="V23" s="8">
        <v>124915</v>
      </c>
      <c r="W23" s="3">
        <v>4</v>
      </c>
      <c r="X23" s="3" t="str">
        <f t="shared" si="4"/>
        <v>-HAPPY-</v>
      </c>
      <c r="Y23" s="3" t="str">
        <f t="shared" si="5"/>
        <v>-ENERGY-</v>
      </c>
      <c r="Z23" s="4" t="str">
        <f t="shared" si="6"/>
        <v>{"couname":"Lovers on the Sun","img":"https://i.scdn.co/image/ab67616d0000b2733862d62a50dc6b928651bdeb","pty":"69","artist":"David Guetta, Sam Martin","genres":"edm,dance","duration":"203520","spotId":"2rgtCOVK2tpfao2VjURn84","Items":["-HAPPY-","-ENERGY-","","","GN_FrenchElectro"]},</v>
      </c>
      <c r="AA23" s="5" t="s">
        <v>6100</v>
      </c>
      <c r="AB23" s="3" t="str">
        <f t="shared" si="7"/>
        <v>["-HAPPY-","-ENERGY-","","","GN_FrenchElectro"]</v>
      </c>
      <c r="AC23" s="3" t="str">
        <f>_xlfn.XLOOKUP(A23,Album!A:A,Album!J:J)</f>
        <v>https://i.scdn.co/image/ab67616d0000b2733862d62a50dc6b928651bdeb</v>
      </c>
      <c r="AD23" s="3"/>
      <c r="AE23" s="3"/>
      <c r="AF23" s="3"/>
      <c r="AG23" s="3"/>
      <c r="AH23" s="3"/>
    </row>
    <row r="24" spans="1:34" x14ac:dyDescent="0.3">
      <c r="A24" s="11" t="s">
        <v>1481</v>
      </c>
      <c r="B24" s="12" t="s">
        <v>6069</v>
      </c>
      <c r="C24" s="12" t="s">
        <v>1482</v>
      </c>
      <c r="D24" s="13" t="s">
        <v>4081</v>
      </c>
      <c r="E24" s="6">
        <v>43371</v>
      </c>
      <c r="F24" s="3">
        <v>212500</v>
      </c>
      <c r="G24" s="3">
        <v>69</v>
      </c>
      <c r="H24" s="3" t="s">
        <v>6070</v>
      </c>
      <c r="I24" s="3" t="s">
        <v>1463</v>
      </c>
      <c r="J24" s="3" t="s">
        <v>1483</v>
      </c>
      <c r="K24" s="3" t="s">
        <v>1484</v>
      </c>
      <c r="L24" s="3">
        <v>0.84199999999999997</v>
      </c>
      <c r="M24" s="3">
        <v>0.80100000000000005</v>
      </c>
      <c r="N24" s="3">
        <v>8</v>
      </c>
      <c r="O24" s="8">
        <v>-4167</v>
      </c>
      <c r="P24" s="3">
        <v>0</v>
      </c>
      <c r="Q24" s="3">
        <v>0.22800000000000001</v>
      </c>
      <c r="R24" s="3">
        <v>0.157</v>
      </c>
      <c r="S24" s="3">
        <v>4.8199999999999996E-6</v>
      </c>
      <c r="T24" s="3">
        <v>6.4199999999999993E-2</v>
      </c>
      <c r="U24" s="3">
        <v>0.61699999999999999</v>
      </c>
      <c r="V24" s="8">
        <v>95881</v>
      </c>
      <c r="W24" s="3">
        <v>4</v>
      </c>
      <c r="X24" s="3" t="str">
        <f t="shared" si="4"/>
        <v>-HAPPY-</v>
      </c>
      <c r="Y24" s="3" t="str">
        <f t="shared" si="5"/>
        <v>-ENERGY-</v>
      </c>
      <c r="Z24" s="4" t="str">
        <f t="shared" si="6"/>
        <v>{"couname":"Taki Taki","img":"https://i.scdn.co/image/ab67616d0000b273e105c410a7b390c61a58cbf8","pty":"69","artist":"DJ Snake, Selena Gomez, Ozuna, Cardi B","genres":"pop,reggaetón,latina,trap latino,urbano latino","duration":"212500","spotId":"4w8niZpiMy6qz1mntFA5uM","Items":["-HAPPY-","-ENERGY-","","","GN_FrenchElectro"]},</v>
      </c>
      <c r="AA24" s="5" t="s">
        <v>6100</v>
      </c>
      <c r="AB24" s="3" t="str">
        <f t="shared" si="7"/>
        <v>["-HAPPY-","-ENERGY-","","","GN_FrenchElectro"]</v>
      </c>
      <c r="AC24" s="3" t="str">
        <f>_xlfn.XLOOKUP(A24,Album!A:A,Album!J:J)</f>
        <v>https://i.scdn.co/image/ab67616d0000b273e105c410a7b390c61a58cbf8</v>
      </c>
      <c r="AD24" s="3"/>
      <c r="AE24" s="3"/>
      <c r="AF24" s="3"/>
      <c r="AG24" s="3"/>
      <c r="AH24" s="3"/>
    </row>
    <row r="25" spans="1:34" x14ac:dyDescent="0.3">
      <c r="A25" s="11" t="s">
        <v>1859</v>
      </c>
      <c r="B25" s="12" t="s">
        <v>1860</v>
      </c>
      <c r="C25" s="12" t="s">
        <v>1844</v>
      </c>
      <c r="D25" s="13" t="s">
        <v>9</v>
      </c>
      <c r="E25" s="6">
        <v>36962</v>
      </c>
      <c r="F25" s="3">
        <v>232666</v>
      </c>
      <c r="G25" s="3">
        <v>69</v>
      </c>
      <c r="H25" s="3" t="s">
        <v>6068</v>
      </c>
      <c r="I25" s="3" t="s">
        <v>1809</v>
      </c>
      <c r="J25" s="3" t="s">
        <v>1810</v>
      </c>
      <c r="K25" s="3" t="s">
        <v>1811</v>
      </c>
      <c r="L25" s="3">
        <v>0.875</v>
      </c>
      <c r="M25" s="3">
        <v>0.47499999999999998</v>
      </c>
      <c r="N25" s="3">
        <v>9</v>
      </c>
      <c r="O25" s="8">
        <v>-12673</v>
      </c>
      <c r="P25" s="3">
        <v>0</v>
      </c>
      <c r="Q25" s="3">
        <v>9.8599999999999993E-2</v>
      </c>
      <c r="R25" s="3">
        <v>0.44</v>
      </c>
      <c r="S25" s="3">
        <v>0.72</v>
      </c>
      <c r="T25" s="3">
        <v>4.5999999999999999E-2</v>
      </c>
      <c r="U25" s="3">
        <v>0.38400000000000001</v>
      </c>
      <c r="V25" s="8">
        <v>99958</v>
      </c>
      <c r="W25" s="3">
        <v>4</v>
      </c>
      <c r="X25" s="3" t="str">
        <f t="shared" si="4"/>
        <v>-SADNE-</v>
      </c>
      <c r="Y25" s="3" t="str">
        <f t="shared" si="5"/>
        <v>-ENERGY-</v>
      </c>
      <c r="Z25" s="4" t="str">
        <f t="shared" si="6"/>
        <v>{"couname":"Something About Us","img":"https://i.scdn.co/image/ab67616d0000b2732c25dad9f8fd54652f7ba5df","pty":"69","artist":"Daft Punk","genres":"house francés,electrónica,electro","duration":"232666","spotId":"1NeLwFETswx8Fzxl2AFl91","Items":["-SADNE-","-ENERGY-","","","GN_FrenchElectro"]},</v>
      </c>
      <c r="AA25" s="5" t="s">
        <v>6100</v>
      </c>
      <c r="AB25" s="3" t="str">
        <f t="shared" si="7"/>
        <v>["-SADNE-","-ENERGY-","","","GN_FrenchElectro"]</v>
      </c>
      <c r="AC25" s="3" t="str">
        <f>_xlfn.XLOOKUP(A25,Album!A:A,Album!J:J)</f>
        <v>https://i.scdn.co/image/ab67616d0000b2732c25dad9f8fd54652f7ba5df</v>
      </c>
      <c r="AD25" s="3"/>
      <c r="AE25" s="3"/>
      <c r="AF25" s="3"/>
      <c r="AG25" s="3"/>
      <c r="AH25" s="3"/>
    </row>
    <row r="26" spans="1:34" x14ac:dyDescent="0.3">
      <c r="A26" s="11" t="s">
        <v>512</v>
      </c>
      <c r="B26" s="12" t="s">
        <v>5510</v>
      </c>
      <c r="C26" s="12" t="s">
        <v>514</v>
      </c>
      <c r="D26" s="13" t="s">
        <v>2619</v>
      </c>
      <c r="E26" s="6">
        <v>38523</v>
      </c>
      <c r="F26" s="3">
        <v>204105</v>
      </c>
      <c r="G26" s="3">
        <v>68</v>
      </c>
      <c r="H26" s="3" t="s">
        <v>6067</v>
      </c>
      <c r="I26" s="3" t="s">
        <v>462</v>
      </c>
      <c r="J26" s="3" t="s">
        <v>463</v>
      </c>
      <c r="K26" s="3" t="s">
        <v>464</v>
      </c>
      <c r="L26" s="3">
        <v>0.72299999999999998</v>
      </c>
      <c r="M26" s="3">
        <v>0.85599999999999998</v>
      </c>
      <c r="N26" s="3">
        <v>1</v>
      </c>
      <c r="O26" s="8">
        <v>-3569</v>
      </c>
      <c r="P26" s="3">
        <v>1</v>
      </c>
      <c r="Q26" s="3">
        <v>6.7299999999999999E-2</v>
      </c>
      <c r="R26" s="3">
        <v>0.14599999999999999</v>
      </c>
      <c r="S26" s="3">
        <v>1.55E-4</v>
      </c>
      <c r="T26" s="3">
        <v>7.9799999999999996E-2</v>
      </c>
      <c r="U26" s="3">
        <v>0.55300000000000005</v>
      </c>
      <c r="V26" s="8">
        <v>128047</v>
      </c>
      <c r="W26" s="3">
        <v>4</v>
      </c>
      <c r="X26" s="3" t="str">
        <f t="shared" si="4"/>
        <v>-HAPPY-</v>
      </c>
      <c r="Y26" s="3" t="str">
        <f t="shared" si="5"/>
        <v>-ENERGY-</v>
      </c>
      <c r="Z26" s="4" t="str">
        <f t="shared" si="6"/>
        <v>{"couname":"Love Generation","img":"https://i.scdn.co/image/ab67616d0000b273522b4cb1dd67178f9d10f15e","pty":"68","artist":"Bob Sinclar, Gary Pine","genres":"house francés,disco house","duration":"204105","spotId":"7iee007QypdrTXbLVF5KuF","Items":["-HAPPY-","-ENERGY-","","","GN_FrenchElectro"]},</v>
      </c>
      <c r="AA26" s="5" t="s">
        <v>6100</v>
      </c>
      <c r="AB26" s="3" t="str">
        <f t="shared" si="7"/>
        <v>["-HAPPY-","-ENERGY-","","","GN_FrenchElectro"]</v>
      </c>
      <c r="AC26" s="3" t="str">
        <f>_xlfn.XLOOKUP(A26,Album!A:A,Album!J:J)</f>
        <v>https://i.scdn.co/image/ab67616d0000b273522b4cb1dd67178f9d10f15e</v>
      </c>
      <c r="AD26" s="3"/>
      <c r="AE26" s="3"/>
      <c r="AF26" s="3"/>
      <c r="AG26" s="3"/>
      <c r="AH26" s="3"/>
    </row>
    <row r="27" spans="1:34" x14ac:dyDescent="0.3">
      <c r="A27" s="11" t="s">
        <v>846</v>
      </c>
      <c r="B27" s="12" t="s">
        <v>847</v>
      </c>
      <c r="C27" s="12" t="s">
        <v>841</v>
      </c>
      <c r="D27" s="13" t="s">
        <v>842</v>
      </c>
      <c r="E27" s="6">
        <v>2011</v>
      </c>
      <c r="F27" s="3">
        <v>241440</v>
      </c>
      <c r="G27" s="3">
        <v>68</v>
      </c>
      <c r="H27" s="3" t="s">
        <v>6066</v>
      </c>
      <c r="I27" s="3" t="s">
        <v>843</v>
      </c>
      <c r="J27" s="3" t="s">
        <v>844</v>
      </c>
      <c r="K27" s="3" t="s">
        <v>845</v>
      </c>
      <c r="L27" s="3">
        <v>0.52600000000000002</v>
      </c>
      <c r="M27" s="3">
        <v>0.71199999999999997</v>
      </c>
      <c r="N27" s="3">
        <v>11</v>
      </c>
      <c r="O27" s="8">
        <v>-6525</v>
      </c>
      <c r="P27" s="3">
        <v>0</v>
      </c>
      <c r="Q27" s="3">
        <v>3.56E-2</v>
      </c>
      <c r="R27" s="3">
        <v>1.61E-2</v>
      </c>
      <c r="S27" s="3">
        <v>0</v>
      </c>
      <c r="T27" s="3">
        <v>0.17899999999999999</v>
      </c>
      <c r="U27" s="3">
        <v>0.32</v>
      </c>
      <c r="V27" s="8">
        <v>105009</v>
      </c>
      <c r="W27" s="3">
        <v>4</v>
      </c>
      <c r="X27" s="3" t="str">
        <f t="shared" si="4"/>
        <v>-SADNE-</v>
      </c>
      <c r="Y27" s="3" t="str">
        <f t="shared" si="5"/>
        <v>-ENERGY-</v>
      </c>
      <c r="Z27" s="4" t="str">
        <f t="shared" si="6"/>
        <v>{"couname":"Midnight City","img":"https://i.scdn.co/image/ab67616d0000b273fff2cb485c36a6d8f639bdba","pty":"68","artist":"M83","genres":"indietronica","duration":"241440","spotId":"1eyzqe2QqGZUmfcPZtrIyt","Items":["-SADNE-","-ENERGY-","","","GN_FrenchElectro"]},</v>
      </c>
      <c r="AA27" s="5" t="s">
        <v>6100</v>
      </c>
      <c r="AB27" s="3" t="str">
        <f t="shared" si="7"/>
        <v>["-SADNE-","-ENERGY-","","","GN_FrenchElectro"]</v>
      </c>
      <c r="AC27" s="3" t="str">
        <f>_xlfn.XLOOKUP(A27,Album!A:A,Album!J:J)</f>
        <v>https://i.scdn.co/image/ab67616d0000b273fff2cb485c36a6d8f639bdba</v>
      </c>
      <c r="AD27" s="3"/>
      <c r="AE27" s="3"/>
      <c r="AF27" s="3"/>
      <c r="AG27" s="3"/>
      <c r="AH27" s="3"/>
    </row>
    <row r="28" spans="1:34" x14ac:dyDescent="0.3">
      <c r="A28" s="11" t="s">
        <v>1074</v>
      </c>
      <c r="B28" s="12" t="s">
        <v>1075</v>
      </c>
      <c r="C28" s="12" t="s">
        <v>1075</v>
      </c>
      <c r="D28" s="13" t="s">
        <v>3436</v>
      </c>
      <c r="E28" s="6">
        <v>45142</v>
      </c>
      <c r="F28" s="3">
        <v>160529</v>
      </c>
      <c r="G28" s="3">
        <v>67</v>
      </c>
      <c r="H28" s="3" t="s">
        <v>6065</v>
      </c>
      <c r="I28" s="3" t="s">
        <v>1013</v>
      </c>
      <c r="J28" s="3" t="s">
        <v>1019</v>
      </c>
      <c r="K28" s="3" t="s">
        <v>50</v>
      </c>
      <c r="L28" s="3">
        <v>0.45400000000000001</v>
      </c>
      <c r="M28" s="3">
        <v>0.93100000000000005</v>
      </c>
      <c r="N28" s="3">
        <v>11</v>
      </c>
      <c r="O28" s="8">
        <v>-4083</v>
      </c>
      <c r="P28" s="3">
        <v>1</v>
      </c>
      <c r="Q28" s="3">
        <v>3.2099999999999997E-2</v>
      </c>
      <c r="R28" s="3">
        <v>0.23799999999999999</v>
      </c>
      <c r="S28" s="3">
        <v>6.2299999999999996E-4</v>
      </c>
      <c r="T28" s="3">
        <v>0.28899999999999998</v>
      </c>
      <c r="U28" s="3">
        <v>0.46200000000000002</v>
      </c>
      <c r="V28" s="8">
        <v>137945</v>
      </c>
      <c r="W28" s="3">
        <v>4</v>
      </c>
      <c r="X28" s="3" t="str">
        <f t="shared" si="4"/>
        <v>-HAPPY-</v>
      </c>
      <c r="Y28" s="3" t="str">
        <f t="shared" si="5"/>
        <v>-ENERGY-</v>
      </c>
      <c r="Z28" s="4" t="str">
        <f t="shared" si="6"/>
        <v>{"couname":"One in a Million","img":"https://i.scdn.co/image/ab67616d0000b273c0c46d4ff076e349b6b95658","pty":"67","artist":"Bebe Rexha, David Guetta","genres":"edm,dance","duration":"160529","spotId":"3YfGTvsTAWGC2lgoDOikUz","Items":["-HAPPY-","-ENERGY-","","","GN_FrenchElectro"]},</v>
      </c>
      <c r="AA28" s="5" t="s">
        <v>6100</v>
      </c>
      <c r="AB28" s="3" t="str">
        <f t="shared" si="7"/>
        <v>["-HAPPY-","-ENERGY-","","","GN_FrenchElectro"]</v>
      </c>
      <c r="AC28" s="3" t="str">
        <f>_xlfn.XLOOKUP(A28,Album!A:A,Album!J:J)</f>
        <v>https://i.scdn.co/image/ab67616d0000b273c0c46d4ff076e349b6b95658</v>
      </c>
      <c r="AD28" s="3"/>
      <c r="AE28" s="3"/>
      <c r="AF28" s="3"/>
      <c r="AG28" s="3"/>
      <c r="AH28" s="3"/>
    </row>
    <row r="29" spans="1:34" x14ac:dyDescent="0.3">
      <c r="A29" s="11" t="s">
        <v>1467</v>
      </c>
      <c r="B29" s="12" t="s">
        <v>1468</v>
      </c>
      <c r="C29" s="12" t="s">
        <v>1468</v>
      </c>
      <c r="D29" s="13" t="s">
        <v>4055</v>
      </c>
      <c r="E29" s="6">
        <v>41626</v>
      </c>
      <c r="F29" s="3">
        <v>213733</v>
      </c>
      <c r="G29" s="3">
        <v>67</v>
      </c>
      <c r="H29" s="3" t="s">
        <v>6064</v>
      </c>
      <c r="I29" s="3" t="s">
        <v>1463</v>
      </c>
      <c r="J29" s="3" t="s">
        <v>1469</v>
      </c>
      <c r="K29" s="3" t="s">
        <v>84</v>
      </c>
      <c r="L29" s="3">
        <v>0.81799999999999995</v>
      </c>
      <c r="M29" s="3">
        <v>0.79900000000000004</v>
      </c>
      <c r="N29" s="3">
        <v>1</v>
      </c>
      <c r="O29" s="8">
        <v>-4.0999999999999996</v>
      </c>
      <c r="P29" s="3">
        <v>0</v>
      </c>
      <c r="Q29" s="3">
        <v>0.156</v>
      </c>
      <c r="R29" s="3">
        <v>1.07E-3</v>
      </c>
      <c r="S29" s="3">
        <v>0.128</v>
      </c>
      <c r="T29" s="3">
        <v>5.7000000000000002E-2</v>
      </c>
      <c r="U29" s="3">
        <v>8.1500000000000003E-2</v>
      </c>
      <c r="V29" s="8">
        <v>100014</v>
      </c>
      <c r="W29" s="3">
        <v>4</v>
      </c>
      <c r="X29" s="3" t="str">
        <f t="shared" si="4"/>
        <v>-SADNE-</v>
      </c>
      <c r="Y29" s="3" t="str">
        <f t="shared" si="5"/>
        <v>-ENERGY-</v>
      </c>
      <c r="Z29" s="4" t="str">
        <f t="shared" si="6"/>
        <v>{"couname":"Turn Down for What","img":"https://i.scdn.co/image/ab67616d0000b273d905e78cad304de028db39b7","pty":"67","artist":"DJ Snake, Lil Jon","genres":"crunk","duration":"213733","spotId":"67awxiNHNyjMXhVgsHuIrs","Items":["-SADNE-","-ENERGY-","","","GN_FrenchElectro"]},</v>
      </c>
      <c r="AA29" s="5" t="s">
        <v>6100</v>
      </c>
      <c r="AB29" s="3" t="str">
        <f t="shared" si="7"/>
        <v>["-SADNE-","-ENERGY-","","","GN_FrenchElectro"]</v>
      </c>
      <c r="AC29" s="3" t="str">
        <f>_xlfn.XLOOKUP(A29,Album!A:A,Album!J:J)</f>
        <v>https://i.scdn.co/image/ab67616d0000b273d905e78cad304de028db39b7</v>
      </c>
      <c r="AD29" s="3"/>
      <c r="AE29" s="3"/>
      <c r="AF29" s="3"/>
      <c r="AG29" s="3"/>
      <c r="AH29" s="3"/>
    </row>
    <row r="30" spans="1:34" x14ac:dyDescent="0.3">
      <c r="A30" s="11" t="s">
        <v>735</v>
      </c>
      <c r="B30" s="12" t="s">
        <v>736</v>
      </c>
      <c r="C30" s="12" t="s">
        <v>737</v>
      </c>
      <c r="D30" s="13" t="s">
        <v>2989</v>
      </c>
      <c r="E30" s="6">
        <v>45408</v>
      </c>
      <c r="F30" s="3">
        <v>266493</v>
      </c>
      <c r="G30" s="3">
        <v>66</v>
      </c>
      <c r="H30" s="3" t="s">
        <v>6063</v>
      </c>
      <c r="I30" s="3" t="s">
        <v>738</v>
      </c>
      <c r="J30" s="3" t="s">
        <v>739</v>
      </c>
      <c r="K30" s="3" t="s">
        <v>19</v>
      </c>
      <c r="L30" s="3">
        <v>0.56299999999999994</v>
      </c>
      <c r="M30" s="3">
        <v>0.44</v>
      </c>
      <c r="N30" s="3">
        <v>6</v>
      </c>
      <c r="O30" s="8">
        <v>-10.01</v>
      </c>
      <c r="P30" s="3">
        <v>0</v>
      </c>
      <c r="Q30" s="3">
        <v>6.08E-2</v>
      </c>
      <c r="R30" s="3">
        <v>2.58E-2</v>
      </c>
      <c r="S30" s="3">
        <v>7.6199999999999999E-6</v>
      </c>
      <c r="T30" s="3">
        <v>0.22700000000000001</v>
      </c>
      <c r="U30" s="3">
        <v>0.41699999999999998</v>
      </c>
      <c r="V30" s="8">
        <v>116988</v>
      </c>
      <c r="W30" s="3">
        <v>4</v>
      </c>
      <c r="X30" s="3" t="str">
        <f t="shared" si="4"/>
        <v>-HAPPY-</v>
      </c>
      <c r="Y30" s="3" t="str">
        <f t="shared" si="5"/>
        <v>-ENERGY-</v>
      </c>
      <c r="Z30" s="4" t="str">
        <f t="shared" si="6"/>
        <v>{"couname":"Neverender","img":"https://i.scdn.co/image/ab67616d0000b2738f4b5df3a6ee2abb733080a9","pty":"66","artist":"Justice, Tame Impala","genres":"house francés,new rave,rock electrónico,indie,pop psicodélico","duration":"266493","spotId":"3aQ9MHkMeL7Yu7jpyF62xn","Items":["-HAPPY-","-ENERGY-","","","GN_FrenchElectro"]},</v>
      </c>
      <c r="AA30" s="5" t="s">
        <v>6100</v>
      </c>
      <c r="AB30" s="3" t="str">
        <f t="shared" si="7"/>
        <v>["-HAPPY-","-ENERGY-","","","GN_FrenchElectro"]</v>
      </c>
      <c r="AC30" s="3" t="str">
        <f>_xlfn.XLOOKUP(A30,Album!A:A,Album!J:J)</f>
        <v>https://i.scdn.co/image/ab67616d0000b2738f4b5df3a6ee2abb733080a9</v>
      </c>
      <c r="AD30" s="3"/>
      <c r="AE30" s="3"/>
      <c r="AF30" s="3"/>
      <c r="AG30" s="3"/>
      <c r="AH30" s="3"/>
    </row>
    <row r="31" spans="1:34" x14ac:dyDescent="0.3">
      <c r="A31" s="11" t="s">
        <v>1080</v>
      </c>
      <c r="B31" s="12" t="s">
        <v>1081</v>
      </c>
      <c r="C31" s="12" t="s">
        <v>1081</v>
      </c>
      <c r="D31" s="13" t="s">
        <v>3448</v>
      </c>
      <c r="E31" s="6">
        <v>44785</v>
      </c>
      <c r="F31" s="3">
        <v>155676</v>
      </c>
      <c r="G31" s="3">
        <v>66</v>
      </c>
      <c r="H31" s="3" t="s">
        <v>6062</v>
      </c>
      <c r="I31" s="3" t="s">
        <v>1013</v>
      </c>
      <c r="J31" s="3" t="s">
        <v>1082</v>
      </c>
      <c r="K31" s="3" t="s">
        <v>570</v>
      </c>
      <c r="L31" s="3">
        <v>0.752</v>
      </c>
      <c r="M31" s="3">
        <v>0.93500000000000005</v>
      </c>
      <c r="N31" s="3">
        <v>11</v>
      </c>
      <c r="O31" s="8">
        <v>-6263</v>
      </c>
      <c r="P31" s="3">
        <v>1</v>
      </c>
      <c r="Q31" s="3">
        <v>0.20300000000000001</v>
      </c>
      <c r="R31" s="3">
        <v>7.4200000000000002E-2</v>
      </c>
      <c r="S31" s="3">
        <v>3.5200000000000002E-2</v>
      </c>
      <c r="T31" s="3">
        <v>8.1000000000000003E-2</v>
      </c>
      <c r="U31" s="3">
        <v>0.31</v>
      </c>
      <c r="V31" s="8">
        <v>126022</v>
      </c>
      <c r="W31" s="3">
        <v>4</v>
      </c>
      <c r="X31" s="3" t="str">
        <f t="shared" si="4"/>
        <v>-HAPPY-</v>
      </c>
      <c r="Y31" s="3" t="str">
        <f t="shared" si="5"/>
        <v>-ENERGY-</v>
      </c>
      <c r="Z31" s="4" t="str">
        <f t="shared" si="6"/>
        <v>{"couname":"Satisfaction","img":"https://i.scdn.co/image/ab67616d0000b273774f38d20ea492970bbd7ad9","pty":"66","artist":"David Guetta, Benny Benassi","genres":"edm,dance,electro house","duration":"155676","spotId":"0lwyzp7GppQxv0Eu6wRkUo","Items":["-HAPPY-","-ENERGY-","","","GN_FrenchElectro"]},</v>
      </c>
      <c r="AA31" s="5" t="s">
        <v>6100</v>
      </c>
      <c r="AB31" s="3" t="str">
        <f t="shared" si="7"/>
        <v>["-HAPPY-","-ENERGY-","","","GN_FrenchElectro"]</v>
      </c>
      <c r="AC31" s="3" t="str">
        <f>_xlfn.XLOOKUP(A31,Album!A:A,Album!J:J)</f>
        <v>https://i.scdn.co/image/ab67616d0000b273774f38d20ea492970bbd7ad9</v>
      </c>
      <c r="AD31" s="3"/>
      <c r="AE31" s="3"/>
      <c r="AF31" s="3"/>
      <c r="AG31" s="3"/>
      <c r="AH31" s="3"/>
    </row>
    <row r="32" spans="1:34" x14ac:dyDescent="0.3">
      <c r="A32" s="11" t="s">
        <v>1092</v>
      </c>
      <c r="B32" s="12" t="s">
        <v>6060</v>
      </c>
      <c r="C32" s="12" t="s">
        <v>1094</v>
      </c>
      <c r="D32" s="13" t="s">
        <v>3472</v>
      </c>
      <c r="E32" s="6">
        <v>42503</v>
      </c>
      <c r="F32" s="3">
        <v>207272</v>
      </c>
      <c r="G32" s="3">
        <v>66</v>
      </c>
      <c r="H32" s="3" t="s">
        <v>6061</v>
      </c>
      <c r="I32" s="3" t="s">
        <v>1013</v>
      </c>
      <c r="J32" s="3" t="s">
        <v>1019</v>
      </c>
      <c r="K32" s="3" t="s">
        <v>83</v>
      </c>
      <c r="L32" s="3">
        <v>0.36699999999999999</v>
      </c>
      <c r="M32" s="3">
        <v>0.91500000000000004</v>
      </c>
      <c r="N32" s="3">
        <v>9</v>
      </c>
      <c r="O32" s="8">
        <v>-3456</v>
      </c>
      <c r="P32" s="3">
        <v>0</v>
      </c>
      <c r="Q32" s="3">
        <v>4.8800000000000003E-2</v>
      </c>
      <c r="R32" s="3">
        <v>2.2000000000000001E-3</v>
      </c>
      <c r="S32" s="3">
        <v>5.8100000000000003E-5</v>
      </c>
      <c r="T32" s="3">
        <v>9.0499999999999997E-2</v>
      </c>
      <c r="U32" s="3">
        <v>0.36499999999999999</v>
      </c>
      <c r="V32" s="8">
        <v>110169</v>
      </c>
      <c r="W32" s="3">
        <v>4</v>
      </c>
      <c r="X32" s="3" t="str">
        <f t="shared" si="4"/>
        <v>-SADNE-</v>
      </c>
      <c r="Y32" s="3" t="str">
        <f t="shared" si="5"/>
        <v>-ENERGY-</v>
      </c>
      <c r="Z32" s="4" t="str">
        <f t="shared" si="6"/>
        <v>{"couname":"This One's for You","img":"https://i.scdn.co/image/ab67616d0000b273c052c52bc0218b778ca136f5","pty":"66","artist":"David Guetta, Zara Larsson","genres":"edm,dance","duration":"207272","spotId":"46NBoIAHrmR7qcUGCIFEjR","Items":["-SADNE-","-ENERGY-","","","GN_FrenchElectro"]},</v>
      </c>
      <c r="AA32" s="5" t="s">
        <v>6100</v>
      </c>
      <c r="AB32" s="3" t="str">
        <f t="shared" si="7"/>
        <v>["-SADNE-","-ENERGY-","","","GN_FrenchElectro"]</v>
      </c>
      <c r="AC32" s="3" t="str">
        <f>_xlfn.XLOOKUP(A32,Album!A:A,Album!J:J)</f>
        <v>https://i.scdn.co/image/ab67616d0000b273c052c52bc0218b778ca136f5</v>
      </c>
      <c r="AD32" s="3"/>
      <c r="AE32" s="3"/>
      <c r="AF32" s="3"/>
      <c r="AG32" s="3"/>
      <c r="AH32" s="3"/>
    </row>
    <row r="33" spans="1:34" x14ac:dyDescent="0.3">
      <c r="A33" s="11" t="s">
        <v>1137</v>
      </c>
      <c r="B33" s="12" t="s">
        <v>6058</v>
      </c>
      <c r="C33" s="12" t="s">
        <v>1138</v>
      </c>
      <c r="D33" s="13" t="s">
        <v>3552</v>
      </c>
      <c r="E33" s="6">
        <v>44336</v>
      </c>
      <c r="F33" s="3">
        <v>183725</v>
      </c>
      <c r="G33" s="3">
        <v>66</v>
      </c>
      <c r="H33" s="3" t="s">
        <v>6059</v>
      </c>
      <c r="I33" s="3" t="s">
        <v>1013</v>
      </c>
      <c r="J33" s="3" t="s">
        <v>1019</v>
      </c>
      <c r="K33" s="3" t="s">
        <v>598</v>
      </c>
      <c r="L33" s="3">
        <v>0.59499999999999997</v>
      </c>
      <c r="M33" s="3">
        <v>0.78400000000000003</v>
      </c>
      <c r="N33" s="3">
        <v>1</v>
      </c>
      <c r="O33" s="8">
        <v>-4878</v>
      </c>
      <c r="P33" s="3">
        <v>1</v>
      </c>
      <c r="Q33" s="3">
        <v>0.10199999999999999</v>
      </c>
      <c r="R33" s="3">
        <v>0.216</v>
      </c>
      <c r="S33" s="3">
        <v>0</v>
      </c>
      <c r="T33" s="3">
        <v>6.08E-2</v>
      </c>
      <c r="U33" s="3">
        <v>0.47899999999999998</v>
      </c>
      <c r="V33" s="8">
        <v>124111</v>
      </c>
      <c r="W33" s="3">
        <v>4</v>
      </c>
      <c r="X33" s="3" t="str">
        <f t="shared" si="4"/>
        <v>-HAPPY-</v>
      </c>
      <c r="Y33" s="3" t="str">
        <f t="shared" si="5"/>
        <v>-ENERGY-</v>
      </c>
      <c r="Z33" s="4" t="str">
        <f t="shared" si="6"/>
        <v>{"couname":"Heartbreak Anthem","img":"https://i.scdn.co/image/ab67616d0000b2731fcd19d56ad06561b76c1665","pty":"66","artist":"Galantis, David Guetta, Little Mix","genres":"edm,dance","duration":"183725","spotId":"5K6Ssv4Z3zRvxt0P6EKUAP","Items":["-HAPPY-","-ENERGY-","","","GN_FrenchElectro"]},</v>
      </c>
      <c r="AA33" s="5" t="s">
        <v>6100</v>
      </c>
      <c r="AB33" s="3" t="str">
        <f t="shared" si="7"/>
        <v>["-HAPPY-","-ENERGY-","","","GN_FrenchElectro"]</v>
      </c>
      <c r="AC33" s="3" t="str">
        <f>_xlfn.XLOOKUP(A33,Album!A:A,Album!J:J)</f>
        <v>https://i.scdn.co/image/ab67616d0000b2731fcd19d56ad06561b76c1665</v>
      </c>
      <c r="AD33" s="3"/>
      <c r="AE33" s="3"/>
      <c r="AF33" s="3"/>
      <c r="AG33" s="3"/>
      <c r="AH33" s="3"/>
    </row>
    <row r="34" spans="1:34" x14ac:dyDescent="0.3">
      <c r="A34" s="11" t="s">
        <v>1931</v>
      </c>
      <c r="B34" s="12" t="s">
        <v>6056</v>
      </c>
      <c r="C34" s="12" t="s">
        <v>1922</v>
      </c>
      <c r="D34" s="13" t="s">
        <v>4737</v>
      </c>
      <c r="E34" s="6">
        <v>41414</v>
      </c>
      <c r="F34" s="3">
        <v>353893</v>
      </c>
      <c r="G34" s="3">
        <v>66</v>
      </c>
      <c r="H34" s="3" t="s">
        <v>6057</v>
      </c>
      <c r="I34" s="3" t="s">
        <v>1809</v>
      </c>
      <c r="J34" s="3" t="s">
        <v>1810</v>
      </c>
      <c r="K34" s="3" t="s">
        <v>84</v>
      </c>
      <c r="L34" s="3">
        <v>0.83199999999999996</v>
      </c>
      <c r="M34" s="3">
        <v>0.65900000000000003</v>
      </c>
      <c r="N34" s="3">
        <v>10</v>
      </c>
      <c r="O34" s="8">
        <v>-7828</v>
      </c>
      <c r="P34" s="3">
        <v>0</v>
      </c>
      <c r="Q34" s="3">
        <v>5.7000000000000002E-2</v>
      </c>
      <c r="R34" s="3">
        <v>8.3900000000000002E-2</v>
      </c>
      <c r="S34" s="3">
        <v>1.14E-3</v>
      </c>
      <c r="T34" s="3">
        <v>7.5300000000000006E-2</v>
      </c>
      <c r="U34" s="3">
        <v>0.67400000000000004</v>
      </c>
      <c r="V34" s="8">
        <v>100163</v>
      </c>
      <c r="W34" s="3">
        <v>4</v>
      </c>
      <c r="X34" s="3" t="str">
        <f t="shared" si="4"/>
        <v>-HAPPY-</v>
      </c>
      <c r="Y34" s="3" t="str">
        <f t="shared" si="5"/>
        <v>-ENERGY-</v>
      </c>
      <c r="Z34" s="4" t="str">
        <f t="shared" si="6"/>
        <v>{"couname":"Lose Yourself to Dance","img":"https://i.scdn.co/image/ab67616d0000b2739b9b36b0e22870b9f542d937","pty":"66","artist":"Daft Punk, Pharrell Williams","genres":"house francés,electrónica,electro","duration":"353893","spotId":"5CMjjywI0eZMixPeqNd75R","Items":["-HAPPY-","-ENERGY-","","","GN_FrenchElectro"]},</v>
      </c>
      <c r="AA34" s="5" t="s">
        <v>6100</v>
      </c>
      <c r="AB34" s="3" t="str">
        <f t="shared" si="7"/>
        <v>["-HAPPY-","-ENERGY-","","","GN_FrenchElectro"]</v>
      </c>
      <c r="AC34" s="3" t="str">
        <f>_xlfn.XLOOKUP(A34,Album!A:A,Album!J:J)</f>
        <v>https://i.scdn.co/image/ab67616d0000b2739b9b36b0e22870b9f542d937</v>
      </c>
      <c r="AD34" s="3"/>
      <c r="AE34" s="3"/>
      <c r="AF34" s="3"/>
      <c r="AG34" s="3"/>
      <c r="AH34" s="3"/>
    </row>
    <row r="35" spans="1:34" x14ac:dyDescent="0.3">
      <c r="A35" s="11" t="s">
        <v>891</v>
      </c>
      <c r="B35" s="12" t="s">
        <v>6054</v>
      </c>
      <c r="C35" s="12" t="s">
        <v>893</v>
      </c>
      <c r="D35" s="13" t="s">
        <v>3171</v>
      </c>
      <c r="E35" s="6">
        <v>43965</v>
      </c>
      <c r="F35" s="3">
        <v>222354</v>
      </c>
      <c r="G35" s="3">
        <v>65</v>
      </c>
      <c r="H35" s="3" t="s">
        <v>6055</v>
      </c>
      <c r="I35" s="3" t="s">
        <v>889</v>
      </c>
      <c r="J35" s="3" t="s">
        <v>844</v>
      </c>
      <c r="K35" s="3" t="s">
        <v>894</v>
      </c>
      <c r="L35" s="3">
        <v>0.36699999999999999</v>
      </c>
      <c r="M35" s="3">
        <v>0.20200000000000001</v>
      </c>
      <c r="N35" s="3">
        <v>0</v>
      </c>
      <c r="O35" s="8">
        <v>-11342</v>
      </c>
      <c r="P35" s="3">
        <v>1</v>
      </c>
      <c r="Q35" s="3">
        <v>3.1300000000000001E-2</v>
      </c>
      <c r="R35" s="3">
        <v>0.66800000000000004</v>
      </c>
      <c r="S35" s="3">
        <v>0.14499999999999999</v>
      </c>
      <c r="T35" s="3">
        <v>0.109</v>
      </c>
      <c r="U35" s="3">
        <v>3.6200000000000003E-2</v>
      </c>
      <c r="V35" s="8">
        <v>121865</v>
      </c>
      <c r="W35" s="3">
        <v>4</v>
      </c>
      <c r="X35" s="3" t="str">
        <f t="shared" si="4"/>
        <v>-SADNE-</v>
      </c>
      <c r="Y35" s="3" t="str">
        <f t="shared" si="5"/>
        <v>-SLOWSS-</v>
      </c>
      <c r="Z35" s="4" t="str">
        <f t="shared" si="6"/>
        <v>{"couname":"Solitude","img":"https://i.scdn.co/image/ab67616d0000b273fe2c5d2fa20c15dbb06a606b","pty":"65","artist":"M83, Felsmann + Tiley","genres":"indietronica","duration":"222354","spotId":"6RK3IsiUW6YaSMEodbO4tk","Items":["-SADNE-","-SLOWSS-","","","GN_FrenchElectro"]},</v>
      </c>
      <c r="AA35" s="5" t="s">
        <v>6100</v>
      </c>
      <c r="AB35" s="3" t="str">
        <f t="shared" si="7"/>
        <v>["-SADNE-","-SLOWSS-","","","GN_FrenchElectro"]</v>
      </c>
      <c r="AC35" s="3" t="str">
        <f>_xlfn.XLOOKUP(A35,Album!A:A,Album!J:J)</f>
        <v>https://i.scdn.co/image/ab67616d0000b273fe2c5d2fa20c15dbb06a606b</v>
      </c>
      <c r="AD35" s="3"/>
      <c r="AE35" s="3"/>
      <c r="AF35" s="3"/>
      <c r="AG35" s="3"/>
      <c r="AH35" s="3"/>
    </row>
    <row r="36" spans="1:34" x14ac:dyDescent="0.3">
      <c r="A36" s="11" t="s">
        <v>1095</v>
      </c>
      <c r="B36" s="12" t="s">
        <v>1096</v>
      </c>
      <c r="C36" s="12" t="s">
        <v>1096</v>
      </c>
      <c r="D36" s="13" t="s">
        <v>3478</v>
      </c>
      <c r="E36" s="6">
        <v>44253</v>
      </c>
      <c r="F36" s="3">
        <v>178087</v>
      </c>
      <c r="G36" s="3">
        <v>65</v>
      </c>
      <c r="H36" s="3" t="s">
        <v>6053</v>
      </c>
      <c r="I36" s="3" t="s">
        <v>1013</v>
      </c>
      <c r="J36" s="3" t="s">
        <v>1097</v>
      </c>
      <c r="K36" s="3" t="s">
        <v>1098</v>
      </c>
      <c r="L36" s="3">
        <v>0.67100000000000004</v>
      </c>
      <c r="M36" s="3">
        <v>0.78200000000000003</v>
      </c>
      <c r="N36" s="3">
        <v>6</v>
      </c>
      <c r="O36" s="8">
        <v>-4593</v>
      </c>
      <c r="P36" s="3">
        <v>1</v>
      </c>
      <c r="Q36" s="3">
        <v>3.4099999999999998E-2</v>
      </c>
      <c r="R36" s="3">
        <v>1.4200000000000001E-2</v>
      </c>
      <c r="S36" s="3">
        <v>2.2100000000000002E-3</v>
      </c>
      <c r="T36" s="3">
        <v>0.33300000000000002</v>
      </c>
      <c r="U36" s="3">
        <v>0.61799999999999999</v>
      </c>
      <c r="V36" s="8">
        <v>123989</v>
      </c>
      <c r="W36" s="3">
        <v>4</v>
      </c>
      <c r="X36" s="3" t="str">
        <f t="shared" si="4"/>
        <v>-HAPPY-</v>
      </c>
      <c r="Y36" s="3" t="str">
        <f t="shared" si="5"/>
        <v>-ENERGY-</v>
      </c>
      <c r="Z36" s="4" t="str">
        <f t="shared" si="6"/>
        <v>{"couname":"BED","img":"https://i.scdn.co/image/ab67616d0000b273b06c09b9f72389ee7f1cbd6b","pty":"65","artist":"Joel Corry, RAYE, David Guetta","genres":"dance pop,edm,dance","duration":"178087","spotId":"0siYMEsGrzzzlWLXK5zJfS","Items":["-HAPPY-","-ENERGY-","","","GN_FrenchElectro"]},</v>
      </c>
      <c r="AA36" s="5" t="s">
        <v>6100</v>
      </c>
      <c r="AB36" s="3" t="str">
        <f t="shared" si="7"/>
        <v>["-HAPPY-","-ENERGY-","","","GN_FrenchElectro"]</v>
      </c>
      <c r="AC36" s="3" t="str">
        <f>_xlfn.XLOOKUP(A36,Album!A:A,Album!J:J)</f>
        <v>https://i.scdn.co/image/ab67616d0000b273b06c09b9f72389ee7f1cbd6b</v>
      </c>
      <c r="AD36" s="3"/>
      <c r="AE36" s="3"/>
      <c r="AF36" s="3"/>
      <c r="AG36" s="3"/>
      <c r="AH36" s="3"/>
    </row>
    <row r="37" spans="1:34" x14ac:dyDescent="0.3">
      <c r="A37" s="11" t="s">
        <v>1847</v>
      </c>
      <c r="B37" s="12" t="s">
        <v>1848</v>
      </c>
      <c r="C37" s="12" t="s">
        <v>1844</v>
      </c>
      <c r="D37" s="13" t="s">
        <v>9</v>
      </c>
      <c r="E37" s="6">
        <v>36962</v>
      </c>
      <c r="F37" s="3">
        <v>301373</v>
      </c>
      <c r="G37" s="3">
        <v>65</v>
      </c>
      <c r="H37" s="3" t="s">
        <v>6052</v>
      </c>
      <c r="I37" s="3" t="s">
        <v>1809</v>
      </c>
      <c r="J37" s="3" t="s">
        <v>1810</v>
      </c>
      <c r="K37" s="3" t="s">
        <v>1811</v>
      </c>
      <c r="L37" s="3">
        <v>0.64400000000000002</v>
      </c>
      <c r="M37" s="3">
        <v>0.66400000000000003</v>
      </c>
      <c r="N37" s="3">
        <v>9</v>
      </c>
      <c r="O37" s="8">
        <v>-8398</v>
      </c>
      <c r="P37" s="3">
        <v>1</v>
      </c>
      <c r="Q37" s="3">
        <v>3.32E-2</v>
      </c>
      <c r="R37" s="3">
        <v>4.8000000000000001E-2</v>
      </c>
      <c r="S37" s="3">
        <v>0.86699999999999999</v>
      </c>
      <c r="T37" s="3">
        <v>0.34200000000000003</v>
      </c>
      <c r="U37" s="3">
        <v>0.53</v>
      </c>
      <c r="V37" s="8">
        <v>124726</v>
      </c>
      <c r="W37" s="3">
        <v>4</v>
      </c>
      <c r="X37" s="3" t="str">
        <f t="shared" si="4"/>
        <v>-HAPPY-</v>
      </c>
      <c r="Y37" s="3" t="str">
        <f t="shared" si="5"/>
        <v>-ENERGY-</v>
      </c>
      <c r="Z37" s="4" t="str">
        <f t="shared" si="6"/>
        <v>{"couname":"Digital Love","img":"https://i.scdn.co/image/ab67616d0000b2732c25dad9f8fd54652f7ba5df","pty":"65","artist":"Daft Punk","genres":"house francés,electrónica,electro","duration":"301373","spotId":"2VEZx7NWsZ1D0eJ4uv5Fym","Items":["-HAPPY-","-ENERGY-","","","GN_FrenchElectro"]},</v>
      </c>
      <c r="AA37" s="5" t="s">
        <v>6100</v>
      </c>
      <c r="AB37" s="3" t="str">
        <f t="shared" si="7"/>
        <v>["-HAPPY-","-ENERGY-","","","GN_FrenchElectro"]</v>
      </c>
      <c r="AC37" s="3" t="str">
        <f>_xlfn.XLOOKUP(A37,Album!A:A,Album!J:J)</f>
        <v>https://i.scdn.co/image/ab67616d0000b2732c25dad9f8fd54652f7ba5df</v>
      </c>
      <c r="AD37" s="3"/>
      <c r="AE37" s="3"/>
      <c r="AF37" s="3"/>
      <c r="AG37" s="3"/>
      <c r="AH37" s="3"/>
    </row>
    <row r="38" spans="1:34" x14ac:dyDescent="0.3">
      <c r="A38" s="11" t="s">
        <v>768</v>
      </c>
      <c r="B38" s="12" t="s">
        <v>769</v>
      </c>
      <c r="C38" s="12" t="s">
        <v>745</v>
      </c>
      <c r="D38" s="13" t="s">
        <v>745</v>
      </c>
      <c r="E38" s="6">
        <v>39244</v>
      </c>
      <c r="F38" s="3">
        <v>242266</v>
      </c>
      <c r="G38" s="3">
        <v>64</v>
      </c>
      <c r="H38" s="3" t="s">
        <v>6051</v>
      </c>
      <c r="I38" s="3" t="s">
        <v>738</v>
      </c>
      <c r="J38" s="3" t="s">
        <v>742</v>
      </c>
      <c r="K38" s="3" t="s">
        <v>770</v>
      </c>
      <c r="L38" s="3">
        <v>0.61299999999999999</v>
      </c>
      <c r="M38" s="3">
        <v>0.96199999999999997</v>
      </c>
      <c r="N38" s="3">
        <v>6</v>
      </c>
      <c r="O38" s="8">
        <v>-5.07</v>
      </c>
      <c r="P38" s="3">
        <v>0</v>
      </c>
      <c r="Q38" s="3">
        <v>0.27800000000000002</v>
      </c>
      <c r="R38" s="3">
        <v>3.4000000000000002E-2</v>
      </c>
      <c r="S38" s="3">
        <v>0</v>
      </c>
      <c r="T38" s="3">
        <v>0.82399999999999995</v>
      </c>
      <c r="U38" s="3">
        <v>0.496</v>
      </c>
      <c r="V38" s="8">
        <v>113015</v>
      </c>
      <c r="W38" s="3">
        <v>4</v>
      </c>
      <c r="X38" s="3" t="str">
        <f t="shared" si="4"/>
        <v>-HAPPY-</v>
      </c>
      <c r="Y38" s="3" t="str">
        <f t="shared" si="5"/>
        <v>-ENERGY-</v>
      </c>
      <c r="Z38" s="4" t="str">
        <f t="shared" si="6"/>
        <v>{"couname":"D.A.N.C.E","img":"https://i.scdn.co/image/ab67616d0000b2731c0bcf8b536295438d26c70d","pty":"64","artist":"Justice","genres":"house francés,new rave,rock electrónico","duration":"242266","spotId":"33yAEqzKXexYM3WlOYtTfQ","Items":["-HAPPY-","-ENERGY-","","","GN_FrenchElectro"]},</v>
      </c>
      <c r="AA38" s="5" t="s">
        <v>6100</v>
      </c>
      <c r="AB38" s="3" t="str">
        <f t="shared" si="7"/>
        <v>["-HAPPY-","-ENERGY-","","","GN_FrenchElectro"]</v>
      </c>
      <c r="AC38" s="3" t="str">
        <f>_xlfn.XLOOKUP(A38,Album!A:A,Album!J:J)</f>
        <v>https://i.scdn.co/image/ab67616d0000b2731c0bcf8b536295438d26c70d</v>
      </c>
      <c r="AD38" s="3"/>
      <c r="AE38" s="3"/>
      <c r="AF38" s="3"/>
      <c r="AG38" s="3"/>
      <c r="AH38" s="3"/>
    </row>
    <row r="39" spans="1:34" x14ac:dyDescent="0.3">
      <c r="A39" s="11" t="s">
        <v>1338</v>
      </c>
      <c r="B39" s="12" t="s">
        <v>1339</v>
      </c>
      <c r="C39" s="12" t="s">
        <v>1340</v>
      </c>
      <c r="D39" s="13" t="s">
        <v>3900</v>
      </c>
      <c r="E39" s="6">
        <v>36581</v>
      </c>
      <c r="F39" s="3">
        <v>211500</v>
      </c>
      <c r="G39" s="3">
        <v>64</v>
      </c>
      <c r="H39" s="3" t="s">
        <v>6050</v>
      </c>
      <c r="I39" s="3" t="s">
        <v>1336</v>
      </c>
      <c r="J39" s="3" t="s">
        <v>1337</v>
      </c>
      <c r="K39" s="3" t="s">
        <v>1341</v>
      </c>
      <c r="L39" s="3">
        <v>0.33</v>
      </c>
      <c r="M39" s="3">
        <v>0.42299999999999999</v>
      </c>
      <c r="N39" s="3">
        <v>7</v>
      </c>
      <c r="O39" s="8">
        <v>-10504</v>
      </c>
      <c r="P39" s="3">
        <v>0</v>
      </c>
      <c r="Q39" s="3">
        <v>2.7900000000000001E-2</v>
      </c>
      <c r="R39" s="3">
        <v>0.26500000000000001</v>
      </c>
      <c r="S39" s="3">
        <v>0.73099999999999998</v>
      </c>
      <c r="T39" s="3">
        <v>0.34699999999999998</v>
      </c>
      <c r="U39" s="3">
        <v>0.11700000000000001</v>
      </c>
      <c r="V39" s="8">
        <v>143086</v>
      </c>
      <c r="W39" s="3">
        <v>4</v>
      </c>
      <c r="X39" s="3" t="str">
        <f t="shared" si="4"/>
        <v>-SADNE-</v>
      </c>
      <c r="Y39" s="3" t="str">
        <f t="shared" si="5"/>
        <v>-SLOWSS-</v>
      </c>
      <c r="Z39" s="4" t="str">
        <f t="shared" si="6"/>
        <v>{"couname":"Playground Love","img":"https://i.scdn.co/image/ab67616d0000b2735e3c18f342d16b0b4df04df2","pty":"64","artist":"Air, Gordon Tracks","genres":"trip hop,downtempo,house francés","duration":"211500","spotId":"052z2UsE2wPrHsBJ9tly0g","Items":["-SADNE-","-SLOWSS-","","","GN_FrenchElectro"]},</v>
      </c>
      <c r="AA39" s="5" t="s">
        <v>6100</v>
      </c>
      <c r="AB39" s="3" t="str">
        <f t="shared" si="7"/>
        <v>["-SADNE-","-SLOWSS-","","","GN_FrenchElectro"]</v>
      </c>
      <c r="AC39" s="3" t="str">
        <f>_xlfn.XLOOKUP(A39,Album!A:A,Album!J:J)</f>
        <v>https://i.scdn.co/image/ab67616d0000b2735e3c18f342d16b0b4df04df2</v>
      </c>
      <c r="AD39" s="3"/>
      <c r="AE39" s="3"/>
      <c r="AF39" s="3"/>
      <c r="AG39" s="3"/>
      <c r="AH39" s="3"/>
    </row>
    <row r="40" spans="1:34" x14ac:dyDescent="0.3">
      <c r="A40" s="11" t="s">
        <v>1473</v>
      </c>
      <c r="B40" s="12" t="s">
        <v>6048</v>
      </c>
      <c r="C40" s="12" t="s">
        <v>1474</v>
      </c>
      <c r="D40" s="13" t="s">
        <v>4067</v>
      </c>
      <c r="E40" s="6">
        <v>44491</v>
      </c>
      <c r="F40" s="3">
        <v>225600</v>
      </c>
      <c r="G40" s="3">
        <v>64</v>
      </c>
      <c r="H40" s="3" t="s">
        <v>6049</v>
      </c>
      <c r="I40" s="3" t="s">
        <v>1463</v>
      </c>
      <c r="J40" s="3" t="s">
        <v>1475</v>
      </c>
      <c r="K40" s="3" t="s">
        <v>1476</v>
      </c>
      <c r="L40" s="3">
        <v>0.8</v>
      </c>
      <c r="M40" s="3">
        <v>0.83699999999999997</v>
      </c>
      <c r="N40" s="3">
        <v>6</v>
      </c>
      <c r="O40" s="8">
        <v>-2807</v>
      </c>
      <c r="P40" s="3">
        <v>0</v>
      </c>
      <c r="Q40" s="3">
        <v>4.9099999999999998E-2</v>
      </c>
      <c r="R40" s="3">
        <v>4.0600000000000002E-3</v>
      </c>
      <c r="S40" s="3">
        <v>3.13E-3</v>
      </c>
      <c r="T40" s="3">
        <v>9.0399999999999994E-2</v>
      </c>
      <c r="U40" s="3">
        <v>0.70199999999999996</v>
      </c>
      <c r="V40" s="8">
        <v>100015</v>
      </c>
      <c r="W40" s="3">
        <v>4</v>
      </c>
      <c r="X40" s="3" t="str">
        <f t="shared" si="4"/>
        <v>-HAPPY-</v>
      </c>
      <c r="Y40" s="3" t="str">
        <f t="shared" si="5"/>
        <v>-ENERGY-</v>
      </c>
      <c r="Z40" s="4" t="str">
        <f t="shared" si="6"/>
        <v>{"couname":"SG","img":"https://i.scdn.co/image/ab67616d0000b27354d075797911e02360beb3e7","pty":"64","artist":"DJ Snake, Ozuna, Megan Thee Stallion, LISA","genres":"reggaetón,latina,trap latino,urbano latino,k-pop","duration":"225600","spotId":"6IPNp9PfaEqrzotY47TIWy","Items":["-HAPPY-","-ENERGY-","","","GN_FrenchElectro"]},</v>
      </c>
      <c r="AA40" s="5" t="s">
        <v>6100</v>
      </c>
      <c r="AB40" s="3" t="str">
        <f t="shared" si="7"/>
        <v>["-HAPPY-","-ENERGY-","","","GN_FrenchElectro"]</v>
      </c>
      <c r="AC40" s="3" t="str">
        <f>_xlfn.XLOOKUP(A40,Album!A:A,Album!J:J)</f>
        <v>https://i.scdn.co/image/ab67616d0000b27354d075797911e02360beb3e7</v>
      </c>
      <c r="AD40" s="3"/>
      <c r="AE40" s="3"/>
      <c r="AF40" s="3"/>
      <c r="AG40" s="3"/>
      <c r="AH40" s="3"/>
    </row>
    <row r="41" spans="1:34" x14ac:dyDescent="0.3">
      <c r="A41" s="11" t="s">
        <v>925</v>
      </c>
      <c r="B41" s="12" t="s">
        <v>926</v>
      </c>
      <c r="C41" s="12" t="s">
        <v>888</v>
      </c>
      <c r="D41" s="13" t="s">
        <v>842</v>
      </c>
      <c r="E41" s="6">
        <v>40833</v>
      </c>
      <c r="F41" s="3">
        <v>151826</v>
      </c>
      <c r="G41" s="3">
        <v>63</v>
      </c>
      <c r="H41" s="3" t="s">
        <v>6047</v>
      </c>
      <c r="I41" s="3" t="s">
        <v>889</v>
      </c>
      <c r="J41" s="3" t="s">
        <v>844</v>
      </c>
      <c r="K41" s="3" t="s">
        <v>890</v>
      </c>
      <c r="L41" s="3">
        <v>0.16200000000000001</v>
      </c>
      <c r="M41" s="3">
        <v>0.35299999999999998</v>
      </c>
      <c r="N41" s="3">
        <v>8</v>
      </c>
      <c r="O41" s="8">
        <v>-11286</v>
      </c>
      <c r="P41" s="3">
        <v>0</v>
      </c>
      <c r="Q41" s="3">
        <v>5.0900000000000001E-2</v>
      </c>
      <c r="R41" s="3">
        <v>9.9299999999999999E-2</v>
      </c>
      <c r="S41" s="3">
        <v>0.27400000000000002</v>
      </c>
      <c r="T41" s="3">
        <v>0.57499999999999996</v>
      </c>
      <c r="U41" s="3">
        <v>5.5100000000000003E-2</v>
      </c>
      <c r="V41" s="8">
        <v>110.76</v>
      </c>
      <c r="W41" s="3">
        <v>1</v>
      </c>
      <c r="X41" s="3" t="str">
        <f t="shared" si="4"/>
        <v>-SADNE-</v>
      </c>
      <c r="Y41" s="3" t="str">
        <f t="shared" si="5"/>
        <v>-SLOWSS-</v>
      </c>
      <c r="Z41" s="4" t="str">
        <f t="shared" si="6"/>
        <v>{"couname":"My Tears Are Becoming a Sea","img":"https://i.scdn.co/image/ab67616d0000b273b3591763154a27326b3f431a","pty":"63","artist":"M83","genres":"indietronica","duration":"151826","spotId":"08wnOyN1wyMaNrup3m353f","Items":["-SADNE-","-SLOWSS-","","","GN_FrenchElectro"]},</v>
      </c>
      <c r="AA41" s="5" t="s">
        <v>6100</v>
      </c>
      <c r="AB41" s="3" t="str">
        <f t="shared" si="7"/>
        <v>["-SADNE-","-SLOWSS-","","","GN_FrenchElectro"]</v>
      </c>
      <c r="AC41" s="3" t="str">
        <f>_xlfn.XLOOKUP(A41,Album!A:A,Album!J:J)</f>
        <v>https://i.scdn.co/image/ab67616d0000b273b3591763154a27326b3f431a</v>
      </c>
      <c r="AD41" s="3"/>
      <c r="AE41" s="3"/>
      <c r="AF41" s="3"/>
      <c r="AG41" s="3"/>
      <c r="AH41" s="3"/>
    </row>
    <row r="42" spans="1:34" x14ac:dyDescent="0.3">
      <c r="A42" s="11" t="s">
        <v>1083</v>
      </c>
      <c r="B42" s="12" t="s">
        <v>1084</v>
      </c>
      <c r="C42" s="12">
        <v>7</v>
      </c>
      <c r="D42" s="13" t="s">
        <v>3454</v>
      </c>
      <c r="E42" s="6">
        <v>43357</v>
      </c>
      <c r="F42" s="3">
        <v>198946</v>
      </c>
      <c r="G42" s="3">
        <v>63</v>
      </c>
      <c r="H42" s="3" t="s">
        <v>6046</v>
      </c>
      <c r="I42" s="3" t="s">
        <v>1013</v>
      </c>
      <c r="J42" s="3" t="s">
        <v>1085</v>
      </c>
      <c r="K42" s="3" t="s">
        <v>83</v>
      </c>
      <c r="L42" s="3">
        <v>0.70299999999999996</v>
      </c>
      <c r="M42" s="3">
        <v>0.66</v>
      </c>
      <c r="N42" s="3">
        <v>10</v>
      </c>
      <c r="O42" s="8">
        <v>-5119</v>
      </c>
      <c r="P42" s="3">
        <v>0</v>
      </c>
      <c r="Q42" s="3">
        <v>0.123</v>
      </c>
      <c r="R42" s="3">
        <v>0.13700000000000001</v>
      </c>
      <c r="S42" s="3">
        <v>0</v>
      </c>
      <c r="T42" s="3">
        <v>0.192</v>
      </c>
      <c r="U42" s="3">
        <v>0.79</v>
      </c>
      <c r="V42" s="8">
        <v>95031</v>
      </c>
      <c r="W42" s="3">
        <v>4</v>
      </c>
      <c r="X42" s="3" t="str">
        <f t="shared" si="4"/>
        <v>-HAPPY-</v>
      </c>
      <c r="Y42" s="3" t="str">
        <f t="shared" si="5"/>
        <v>-ENERGY-</v>
      </c>
      <c r="Z42" s="4" t="str">
        <f t="shared" si="6"/>
        <v>{"couname":"Say My Name","img":"https://i.scdn.co/image/ab67616d0000b27367e400c9be79e6b0b0086880","pty":"63","artist":"David Guetta, Bebe Rexha, J Balvin","genres":"edm,dance,reggaetón,latina","duration":"198946","spotId":"0YammaEkYSeo9vQYZ1OwS6","Items":["-HAPPY-","-ENERGY-","","","GN_FrenchElectro"]},</v>
      </c>
      <c r="AA42" s="5" t="s">
        <v>6100</v>
      </c>
      <c r="AB42" s="3" t="str">
        <f t="shared" si="7"/>
        <v>["-HAPPY-","-ENERGY-","","","GN_FrenchElectro"]</v>
      </c>
      <c r="AC42" s="3" t="str">
        <f>_xlfn.XLOOKUP(A42,Album!A:A,Album!J:J)</f>
        <v>https://i.scdn.co/image/ab67616d0000b27367e400c9be79e6b0b0086880</v>
      </c>
      <c r="AD42" s="3"/>
      <c r="AE42" s="3"/>
      <c r="AF42" s="3"/>
      <c r="AG42" s="3"/>
      <c r="AH42" s="3"/>
    </row>
    <row r="43" spans="1:34" x14ac:dyDescent="0.3">
      <c r="A43" s="11" t="s">
        <v>1333</v>
      </c>
      <c r="B43" s="12" t="s">
        <v>6044</v>
      </c>
      <c r="C43" s="12" t="s">
        <v>1335</v>
      </c>
      <c r="D43" s="13" t="s">
        <v>3893</v>
      </c>
      <c r="E43" s="6">
        <v>35811</v>
      </c>
      <c r="F43" s="3">
        <v>268306</v>
      </c>
      <c r="G43" s="3">
        <v>63</v>
      </c>
      <c r="H43" s="3" t="s">
        <v>6045</v>
      </c>
      <c r="I43" s="3" t="s">
        <v>1336</v>
      </c>
      <c r="J43" s="3" t="s">
        <v>1337</v>
      </c>
      <c r="K43" s="3" t="s">
        <v>83</v>
      </c>
      <c r="L43" s="3">
        <v>0.372</v>
      </c>
      <c r="M43" s="3">
        <v>0.43</v>
      </c>
      <c r="N43" s="3">
        <v>7</v>
      </c>
      <c r="O43" s="8">
        <v>-11643</v>
      </c>
      <c r="P43" s="3">
        <v>0</v>
      </c>
      <c r="Q43" s="3">
        <v>3.0499999999999999E-2</v>
      </c>
      <c r="R43" s="3">
        <v>0.85899999999999999</v>
      </c>
      <c r="S43" s="3">
        <v>2.5500000000000002E-3</v>
      </c>
      <c r="T43" s="3">
        <v>0.16900000000000001</v>
      </c>
      <c r="U43" s="3">
        <v>0.21099999999999999</v>
      </c>
      <c r="V43" s="8">
        <v>189742</v>
      </c>
      <c r="W43" s="3">
        <v>4</v>
      </c>
      <c r="X43" s="3" t="str">
        <f t="shared" si="4"/>
        <v>-SADNE-</v>
      </c>
      <c r="Y43" s="3" t="str">
        <f t="shared" si="5"/>
        <v>-SLOWSS-</v>
      </c>
      <c r="Z43" s="4" t="str">
        <f t="shared" si="6"/>
        <v>{"couname":"All I Need","img":"https://i.scdn.co/image/ab67616d0000b2731216e4f7e84af70ef18146ed","pty":"63","artist":"Air, Beth Hirsch","genres":"trip hop,downtempo,house francés","duration":"268306","spotId":"6T10XPeC9X5xEaD6tMcK6M","Items":["-SADNE-","-SLOWSS-","","","GN_FrenchElectro"]},</v>
      </c>
      <c r="AA43" s="5" t="s">
        <v>6100</v>
      </c>
      <c r="AB43" s="3" t="str">
        <f t="shared" si="7"/>
        <v>["-SADNE-","-SLOWSS-","","","GN_FrenchElectro"]</v>
      </c>
      <c r="AC43" s="3" t="str">
        <f>_xlfn.XLOOKUP(A43,Album!A:A,Album!J:J)</f>
        <v>https://i.scdn.co/image/ab67616d0000b2731216e4f7e84af70ef18146ed</v>
      </c>
      <c r="AD43" s="3"/>
      <c r="AE43" s="3"/>
      <c r="AF43" s="3"/>
      <c r="AG43" s="3"/>
      <c r="AH43" s="3"/>
    </row>
    <row r="44" spans="1:34" x14ac:dyDescent="0.3">
      <c r="A44" s="11" t="s">
        <v>1016</v>
      </c>
      <c r="B44" s="12" t="s">
        <v>6042</v>
      </c>
      <c r="C44" s="12" t="s">
        <v>1018</v>
      </c>
      <c r="D44" s="13" t="s">
        <v>3318</v>
      </c>
      <c r="E44" s="6">
        <v>40779</v>
      </c>
      <c r="F44" s="3">
        <v>245040</v>
      </c>
      <c r="G44" s="3">
        <v>62</v>
      </c>
      <c r="H44" s="3" t="s">
        <v>6043</v>
      </c>
      <c r="I44" s="3" t="s">
        <v>1013</v>
      </c>
      <c r="J44" s="3" t="s">
        <v>1019</v>
      </c>
      <c r="K44" s="3" t="s">
        <v>83</v>
      </c>
      <c r="L44" s="3">
        <v>0.60399999999999998</v>
      </c>
      <c r="M44" s="3">
        <v>0.78700000000000003</v>
      </c>
      <c r="N44" s="3">
        <v>0</v>
      </c>
      <c r="O44" s="8">
        <v>-3674</v>
      </c>
      <c r="P44" s="3">
        <v>0</v>
      </c>
      <c r="Q44" s="3">
        <v>0.10299999999999999</v>
      </c>
      <c r="R44" s="3">
        <v>6.7900000000000002E-2</v>
      </c>
      <c r="S44" s="3">
        <v>0.15</v>
      </c>
      <c r="T44" s="3">
        <v>0.127</v>
      </c>
      <c r="U44" s="3">
        <v>0.30099999999999999</v>
      </c>
      <c r="V44" s="8">
        <v>126062</v>
      </c>
      <c r="W44" s="3">
        <v>4</v>
      </c>
      <c r="X44" s="3" t="str">
        <f t="shared" si="4"/>
        <v>-SADNE-</v>
      </c>
      <c r="Y44" s="3" t="str">
        <f t="shared" si="5"/>
        <v>-ENERGY-</v>
      </c>
      <c r="Z44" s="4" t="str">
        <f t="shared" si="6"/>
        <v>{"couname":"Titanium","img":"https://i.scdn.co/image/ab67616d0000b273bd5ba80ea2ad342e488ba54d","pty":"62","artist":"David Guetta, Sia","genres":"edm,dance","duration":"245040","spotId":"2dOTkLZFbpNXrhc24CnTFd","Items":["-SADNE-","-ENERGY-","","","GN_FrenchElectro"]},</v>
      </c>
      <c r="AA44" s="5" t="s">
        <v>6100</v>
      </c>
      <c r="AB44" s="3" t="str">
        <f t="shared" si="7"/>
        <v>["-SADNE-","-ENERGY-","","","GN_FrenchElectro"]</v>
      </c>
      <c r="AC44" s="3" t="str">
        <f>_xlfn.XLOOKUP(A44,Album!A:A,Album!J:J)</f>
        <v>https://i.scdn.co/image/ab67616d0000b273bd5ba80ea2ad342e488ba54d</v>
      </c>
      <c r="AD44" s="3"/>
      <c r="AE44" s="3"/>
      <c r="AF44" s="3"/>
      <c r="AG44" s="3"/>
      <c r="AH44" s="3"/>
    </row>
    <row r="45" spans="1:34" x14ac:dyDescent="0.3">
      <c r="A45" s="11" t="s">
        <v>1358</v>
      </c>
      <c r="B45" s="12" t="s">
        <v>1359</v>
      </c>
      <c r="C45" s="12" t="s">
        <v>1335</v>
      </c>
      <c r="D45" s="13" t="s">
        <v>1345</v>
      </c>
      <c r="E45" s="6">
        <v>35811</v>
      </c>
      <c r="F45" s="3">
        <v>298466</v>
      </c>
      <c r="G45" s="3">
        <v>62</v>
      </c>
      <c r="H45" s="3" t="s">
        <v>6041</v>
      </c>
      <c r="I45" s="3" t="s">
        <v>1336</v>
      </c>
      <c r="J45" s="3" t="s">
        <v>1337</v>
      </c>
      <c r="K45" s="3" t="s">
        <v>83</v>
      </c>
      <c r="L45" s="3">
        <v>0.43</v>
      </c>
      <c r="M45" s="3">
        <v>0.625</v>
      </c>
      <c r="N45" s="3">
        <v>0</v>
      </c>
      <c r="O45" s="8">
        <v>-6201</v>
      </c>
      <c r="P45" s="3">
        <v>1</v>
      </c>
      <c r="Q45" s="3">
        <v>2.9499999999999998E-2</v>
      </c>
      <c r="R45" s="3">
        <v>1.42E-3</v>
      </c>
      <c r="S45" s="3">
        <v>0.66</v>
      </c>
      <c r="T45" s="3">
        <v>0.125</v>
      </c>
      <c r="U45" s="3">
        <v>0.16400000000000001</v>
      </c>
      <c r="V45" s="8">
        <v>111.88</v>
      </c>
      <c r="W45" s="3">
        <v>4</v>
      </c>
      <c r="X45" s="3" t="str">
        <f t="shared" si="4"/>
        <v>-SADNE-</v>
      </c>
      <c r="Y45" s="3" t="str">
        <f t="shared" si="5"/>
        <v>-ENERGY-</v>
      </c>
      <c r="Z45" s="4" t="str">
        <f t="shared" si="6"/>
        <v>{"couname":"Sexy Boy","img":"https://i.scdn.co/image/ab67616d0000b2731216e4f7e84af70ef18146ed","pty":"62","artist":"Air","genres":"trip hop,downtempo,house francés","duration":"298466","spotId":"6INLpBxo9F5QMer04VXEnd","Items":["-SADNE-","-ENERGY-","","","GN_FrenchElectro"]},</v>
      </c>
      <c r="AA45" s="5" t="s">
        <v>6100</v>
      </c>
      <c r="AB45" s="3" t="str">
        <f t="shared" si="7"/>
        <v>["-SADNE-","-ENERGY-","","","GN_FrenchElectro"]</v>
      </c>
      <c r="AC45" s="3" t="str">
        <f>_xlfn.XLOOKUP(A45,Album!A:A,Album!J:J)</f>
        <v>https://i.scdn.co/image/ab67616d0000b2731216e4f7e84af70ef18146ed</v>
      </c>
      <c r="AD45" s="3"/>
      <c r="AE45" s="3"/>
      <c r="AF45" s="3"/>
      <c r="AG45" s="3"/>
      <c r="AH45" s="3"/>
    </row>
    <row r="46" spans="1:34" x14ac:dyDescent="0.3">
      <c r="A46" s="11" t="s">
        <v>1488</v>
      </c>
      <c r="B46" s="12" t="s">
        <v>6039</v>
      </c>
      <c r="C46" s="12" t="s">
        <v>1489</v>
      </c>
      <c r="D46" s="13" t="s">
        <v>4091</v>
      </c>
      <c r="E46" s="6">
        <v>42999</v>
      </c>
      <c r="F46" s="3">
        <v>198285</v>
      </c>
      <c r="G46" s="3">
        <v>62</v>
      </c>
      <c r="H46" s="3" t="s">
        <v>6040</v>
      </c>
      <c r="I46" s="3" t="s">
        <v>1463</v>
      </c>
      <c r="J46" s="3"/>
      <c r="K46" s="3" t="s">
        <v>1490</v>
      </c>
      <c r="L46" s="3">
        <v>0.78400000000000003</v>
      </c>
      <c r="M46" s="3">
        <v>0.75700000000000001</v>
      </c>
      <c r="N46" s="3">
        <v>8</v>
      </c>
      <c r="O46" s="8">
        <v>-3912</v>
      </c>
      <c r="P46" s="3">
        <v>1</v>
      </c>
      <c r="Q46" s="3">
        <v>3.8399999999999997E-2</v>
      </c>
      <c r="R46" s="3">
        <v>0.495</v>
      </c>
      <c r="S46" s="3">
        <v>1.1799999999999999E-6</v>
      </c>
      <c r="T46" s="3">
        <v>0.14199999999999999</v>
      </c>
      <c r="U46" s="3">
        <v>0.58699999999999997</v>
      </c>
      <c r="V46" s="8">
        <v>104996</v>
      </c>
      <c r="W46" s="3">
        <v>4</v>
      </c>
      <c r="X46" s="3" t="str">
        <f t="shared" si="4"/>
        <v>-HAPPY-</v>
      </c>
      <c r="Y46" s="3" t="str">
        <f t="shared" si="5"/>
        <v>-ENERGY-</v>
      </c>
      <c r="Z46" s="4" t="str">
        <f t="shared" si="6"/>
        <v>{"couname":"A Different Way","img":"https://i.scdn.co/image/ab67616d0000b273e20f77b7164a7f7ae5e0f8fb","pty":"62","artist":"DJ Snake, Lauv","genres":"","duration":"198285","spotId":"1YMBg7rOjxzbya0fPOYfNX","Items":["-HAPPY-","-ENERGY-","","","GN_FrenchElectro"]},</v>
      </c>
      <c r="AA46" s="5" t="s">
        <v>6100</v>
      </c>
      <c r="AB46" s="3" t="str">
        <f t="shared" si="7"/>
        <v>["-HAPPY-","-ENERGY-","","","GN_FrenchElectro"]</v>
      </c>
      <c r="AC46" s="3" t="str">
        <f>_xlfn.XLOOKUP(A46,Album!A:A,Album!J:J)</f>
        <v>https://i.scdn.co/image/ab67616d0000b273e20f77b7164a7f7ae5e0f8fb</v>
      </c>
      <c r="AD46" s="3"/>
      <c r="AE46" s="3"/>
      <c r="AF46" s="3"/>
      <c r="AG46" s="3"/>
      <c r="AH46" s="3"/>
    </row>
    <row r="47" spans="1:34" x14ac:dyDescent="0.3">
      <c r="A47" s="11" t="s">
        <v>885</v>
      </c>
      <c r="B47" s="12" t="s">
        <v>886</v>
      </c>
      <c r="C47" s="12" t="s">
        <v>841</v>
      </c>
      <c r="D47" s="13" t="s">
        <v>842</v>
      </c>
      <c r="E47" s="6">
        <v>2011</v>
      </c>
      <c r="F47" s="3">
        <v>247026</v>
      </c>
      <c r="G47" s="3">
        <v>61</v>
      </c>
      <c r="H47" s="3" t="s">
        <v>6038</v>
      </c>
      <c r="I47" s="3" t="s">
        <v>843</v>
      </c>
      <c r="J47" s="3" t="s">
        <v>844</v>
      </c>
      <c r="K47" s="3" t="s">
        <v>845</v>
      </c>
      <c r="L47" s="3">
        <v>0.22600000000000001</v>
      </c>
      <c r="M47" s="3">
        <v>0.26100000000000001</v>
      </c>
      <c r="N47" s="3">
        <v>2</v>
      </c>
      <c r="O47" s="8">
        <v>-11276</v>
      </c>
      <c r="P47" s="3">
        <v>1</v>
      </c>
      <c r="Q47" s="3">
        <v>3.39E-2</v>
      </c>
      <c r="R47" s="3">
        <v>3.0099999999999998E-2</v>
      </c>
      <c r="S47" s="3">
        <v>6.7699999999999996E-2</v>
      </c>
      <c r="T47" s="3">
        <v>6.2799999999999995E-2</v>
      </c>
      <c r="U47" s="3">
        <v>8.4000000000000005E-2</v>
      </c>
      <c r="V47" s="8">
        <v>108915</v>
      </c>
      <c r="W47" s="3">
        <v>4</v>
      </c>
      <c r="X47" s="3" t="str">
        <f t="shared" si="4"/>
        <v>-SADNE-</v>
      </c>
      <c r="Y47" s="3" t="str">
        <f t="shared" si="5"/>
        <v>-SLOWSS-</v>
      </c>
      <c r="Z47" s="4" t="str">
        <f t="shared" si="6"/>
        <v>{"couname":"Outro","img":"https://i.scdn.co/image/ab67616d0000b273fff2cb485c36a6d8f639bdba","pty":"61","artist":"M83","genres":"indietronica","duration":"247026","spotId":"2QVmiA93GVhWNTWQctyY1K","Items":["-SADNE-","-SLOWSS-","","","GN_FrenchElectro"]},</v>
      </c>
      <c r="AA47" s="5" t="s">
        <v>6100</v>
      </c>
      <c r="AB47" s="3" t="str">
        <f t="shared" si="7"/>
        <v>["-SADNE-","-SLOWSS-","","","GN_FrenchElectro"]</v>
      </c>
      <c r="AC47" s="3" t="str">
        <f>_xlfn.XLOOKUP(A47,Album!A:A,Album!J:J)</f>
        <v>https://i.scdn.co/image/ab67616d0000b273fff2cb485c36a6d8f639bdba</v>
      </c>
      <c r="AD47" s="3"/>
      <c r="AE47" s="3"/>
      <c r="AF47" s="3"/>
      <c r="AG47" s="3"/>
      <c r="AH47" s="3"/>
    </row>
    <row r="48" spans="1:34" x14ac:dyDescent="0.3">
      <c r="A48" s="11" t="s">
        <v>1056</v>
      </c>
      <c r="B48" s="12" t="s">
        <v>1057</v>
      </c>
      <c r="C48" s="12" t="s">
        <v>1057</v>
      </c>
      <c r="D48" s="13" t="s">
        <v>3398</v>
      </c>
      <c r="E48" s="6">
        <v>45394</v>
      </c>
      <c r="F48" s="3">
        <v>203307</v>
      </c>
      <c r="G48" s="3">
        <v>61</v>
      </c>
      <c r="H48" s="3" t="s">
        <v>6037</v>
      </c>
      <c r="I48" s="3" t="s">
        <v>1013</v>
      </c>
      <c r="J48" s="3" t="s">
        <v>1019</v>
      </c>
      <c r="K48" s="3" t="s">
        <v>1058</v>
      </c>
      <c r="L48" s="3">
        <v>0.59799999999999998</v>
      </c>
      <c r="M48" s="3">
        <v>0.98499999999999999</v>
      </c>
      <c r="N48" s="3">
        <v>10</v>
      </c>
      <c r="O48" s="8">
        <v>-5532</v>
      </c>
      <c r="P48" s="3">
        <v>0</v>
      </c>
      <c r="Q48" s="3">
        <v>9.9699999999999997E-2</v>
      </c>
      <c r="R48" s="3">
        <v>3.7900000000000003E-2</v>
      </c>
      <c r="S48" s="3">
        <v>8.4099999999999994E-2</v>
      </c>
      <c r="T48" s="3">
        <v>0.13900000000000001</v>
      </c>
      <c r="U48" s="3">
        <v>3.5700000000000003E-2</v>
      </c>
      <c r="V48" s="8">
        <v>126019</v>
      </c>
      <c r="W48" s="3">
        <v>4</v>
      </c>
      <c r="X48" s="3" t="str">
        <f t="shared" si="4"/>
        <v>-SADNE-</v>
      </c>
      <c r="Y48" s="3" t="str">
        <f t="shared" si="5"/>
        <v>-ENERGY-</v>
      </c>
      <c r="Z48" s="4" t="str">
        <f t="shared" si="6"/>
        <v>{"couname":"Feeling Good","img":"https://i.scdn.co/image/ab67616d0000b273275749240460bd01922edf1e","pty":"61","artist":"Hypaton, David Guetta","genres":"edm,dance","duration":"203307","spotId":"2rtkijCiF44Uy4EqBhOsQP","Items":["-SADNE-","-ENERGY-","","","GN_FrenchElectro"]},</v>
      </c>
      <c r="AA48" s="5" t="s">
        <v>6100</v>
      </c>
      <c r="AB48" s="3" t="str">
        <f t="shared" si="7"/>
        <v>["-SADNE-","-ENERGY-","","","GN_FrenchElectro"]</v>
      </c>
      <c r="AC48" s="3" t="str">
        <f>_xlfn.XLOOKUP(A48,Album!A:A,Album!J:J)</f>
        <v>https://i.scdn.co/image/ab67616d0000b273275749240460bd01922edf1e</v>
      </c>
      <c r="AD48" s="3"/>
      <c r="AE48" s="3"/>
      <c r="AF48" s="3"/>
      <c r="AG48" s="3"/>
      <c r="AH48" s="3"/>
    </row>
    <row r="49" spans="1:34" x14ac:dyDescent="0.3">
      <c r="A49" s="11" t="s">
        <v>1076</v>
      </c>
      <c r="B49" s="12" t="s">
        <v>6035</v>
      </c>
      <c r="C49" s="12" t="s">
        <v>1078</v>
      </c>
      <c r="D49" s="13" t="s">
        <v>3442</v>
      </c>
      <c r="E49" s="6">
        <v>41735</v>
      </c>
      <c r="F49" s="3">
        <v>170625</v>
      </c>
      <c r="G49" s="3">
        <v>61</v>
      </c>
      <c r="H49" s="3" t="s">
        <v>6036</v>
      </c>
      <c r="I49" s="3" t="s">
        <v>1013</v>
      </c>
      <c r="J49" s="3" t="s">
        <v>1079</v>
      </c>
      <c r="K49" s="3" t="s">
        <v>83</v>
      </c>
      <c r="L49" s="3">
        <v>0.61399999999999999</v>
      </c>
      <c r="M49" s="3">
        <v>0.97199999999999998</v>
      </c>
      <c r="N49" s="3">
        <v>5</v>
      </c>
      <c r="O49" s="8">
        <v>-3927</v>
      </c>
      <c r="P49" s="3">
        <v>0</v>
      </c>
      <c r="Q49" s="3">
        <v>8.7999999999999995E-2</v>
      </c>
      <c r="R49" s="3">
        <v>1.25E-3</v>
      </c>
      <c r="S49" s="3">
        <v>1.8599999999999998E-2</v>
      </c>
      <c r="T49" s="3">
        <v>0.32800000000000001</v>
      </c>
      <c r="U49" s="3">
        <v>0.41099999999999998</v>
      </c>
      <c r="V49" s="8">
        <v>127966</v>
      </c>
      <c r="W49" s="3">
        <v>4</v>
      </c>
      <c r="X49" s="3" t="str">
        <f t="shared" si="4"/>
        <v>-HAPPY-</v>
      </c>
      <c r="Y49" s="3" t="str">
        <f t="shared" si="5"/>
        <v>-ENERGY-</v>
      </c>
      <c r="Z49" s="4" t="str">
        <f t="shared" si="6"/>
        <v>{"couname":"Bad","img":"https://i.scdn.co/image/ab67616d0000b273ce9ffe310aa206be81d03bb6","pty":"61","artist":"David Guetta, Showtek, VASSY","genres":"edm,dance,hardstyle,big room,electrónica","duration":"170625","spotId":"6PtXobrqImYfnpIxNsJApa","Items":["-HAPPY-","-ENERGY-","","","GN_FrenchElectro"]},</v>
      </c>
      <c r="AA49" s="5" t="s">
        <v>6100</v>
      </c>
      <c r="AB49" s="3" t="str">
        <f t="shared" si="7"/>
        <v>["-HAPPY-","-ENERGY-","","","GN_FrenchElectro"]</v>
      </c>
      <c r="AC49" s="3" t="str">
        <f>_xlfn.XLOOKUP(A49,Album!A:A,Album!J:J)</f>
        <v>https://i.scdn.co/image/ab67616d0000b273ce9ffe310aa206be81d03bb6</v>
      </c>
      <c r="AD49" s="3"/>
      <c r="AE49" s="3"/>
      <c r="AF49" s="3"/>
      <c r="AG49" s="3"/>
      <c r="AH49" s="3"/>
    </row>
    <row r="50" spans="1:34" x14ac:dyDescent="0.3">
      <c r="A50" s="11" t="s">
        <v>1101</v>
      </c>
      <c r="B50" s="12" t="s">
        <v>6033</v>
      </c>
      <c r="C50" s="12" t="s">
        <v>1102</v>
      </c>
      <c r="D50" s="13" t="s">
        <v>3484</v>
      </c>
      <c r="E50" s="6">
        <v>42895</v>
      </c>
      <c r="F50" s="3">
        <v>194896</v>
      </c>
      <c r="G50" s="3">
        <v>61</v>
      </c>
      <c r="H50" s="3" t="s">
        <v>6034</v>
      </c>
      <c r="I50" s="3" t="s">
        <v>1013</v>
      </c>
      <c r="J50" s="3" t="s">
        <v>1019</v>
      </c>
      <c r="K50" s="3" t="s">
        <v>83</v>
      </c>
      <c r="L50" s="3">
        <v>0.54800000000000004</v>
      </c>
      <c r="M50" s="3">
        <v>0.65</v>
      </c>
      <c r="N50" s="3">
        <v>8</v>
      </c>
      <c r="O50" s="8">
        <v>-5827</v>
      </c>
      <c r="P50" s="3">
        <v>0</v>
      </c>
      <c r="Q50" s="3">
        <v>5.91E-2</v>
      </c>
      <c r="R50" s="3">
        <v>0.219</v>
      </c>
      <c r="S50" s="3">
        <v>0</v>
      </c>
      <c r="T50" s="3">
        <v>0.22500000000000001</v>
      </c>
      <c r="U50" s="3">
        <v>0.55700000000000005</v>
      </c>
      <c r="V50" s="8">
        <v>144937</v>
      </c>
      <c r="W50" s="3">
        <v>4</v>
      </c>
      <c r="X50" s="3" t="str">
        <f t="shared" si="4"/>
        <v>-HAPPY-</v>
      </c>
      <c r="Y50" s="3" t="str">
        <f t="shared" si="5"/>
        <v>-ENERGY-</v>
      </c>
      <c r="Z50" s="4" t="str">
        <f t="shared" si="6"/>
        <v>{"couname":"2U","img":"https://i.scdn.co/image/ab67616d0000b27345c5570d4a66346d8f683913","pty":"61","artist":"David Guetta, Justin Bieber","genres":"edm,dance","duration":"194896","spotId":"3A7qX2QjDlPnazUsRk5y0M","Items":["-HAPPY-","-ENERGY-","","","GN_FrenchElectro"]},</v>
      </c>
      <c r="AA50" s="5" t="s">
        <v>6100</v>
      </c>
      <c r="AB50" s="3" t="str">
        <f t="shared" si="7"/>
        <v>["-HAPPY-","-ENERGY-","","","GN_FrenchElectro"]</v>
      </c>
      <c r="AC50" s="3" t="str">
        <f>_xlfn.XLOOKUP(A50,Album!A:A,Album!J:J)</f>
        <v>https://i.scdn.co/image/ab67616d0000b27345c5570d4a66346d8f683913</v>
      </c>
      <c r="AD50" s="3"/>
      <c r="AE50" s="3"/>
      <c r="AF50" s="3"/>
      <c r="AG50" s="3"/>
      <c r="AH50" s="3"/>
    </row>
    <row r="51" spans="1:34" x14ac:dyDescent="0.3">
      <c r="A51" s="11" t="s">
        <v>1107</v>
      </c>
      <c r="B51" s="12" t="s">
        <v>6031</v>
      </c>
      <c r="C51" s="12" t="s">
        <v>1108</v>
      </c>
      <c r="D51" s="13" t="s">
        <v>1106</v>
      </c>
      <c r="E51" s="6">
        <v>44757</v>
      </c>
      <c r="F51" s="3">
        <v>158391</v>
      </c>
      <c r="G51" s="3">
        <v>61</v>
      </c>
      <c r="H51" s="3" t="s">
        <v>6032</v>
      </c>
      <c r="I51" s="3" t="s">
        <v>1013</v>
      </c>
      <c r="J51" s="3" t="s">
        <v>1019</v>
      </c>
      <c r="K51" s="3" t="s">
        <v>1109</v>
      </c>
      <c r="L51" s="3">
        <v>0.86899999999999999</v>
      </c>
      <c r="M51" s="3">
        <v>0.72599999999999998</v>
      </c>
      <c r="N51" s="3">
        <v>11</v>
      </c>
      <c r="O51" s="8">
        <v>-5654</v>
      </c>
      <c r="P51" s="3">
        <v>0</v>
      </c>
      <c r="Q51" s="3">
        <v>4.5900000000000003E-2</v>
      </c>
      <c r="R51" s="3">
        <v>7.8399999999999997E-2</v>
      </c>
      <c r="S51" s="3">
        <v>0</v>
      </c>
      <c r="T51" s="3">
        <v>0.107</v>
      </c>
      <c r="U51" s="3">
        <v>0.34300000000000003</v>
      </c>
      <c r="V51" s="8">
        <v>124023</v>
      </c>
      <c r="W51" s="3">
        <v>4</v>
      </c>
      <c r="X51" s="3" t="str">
        <f t="shared" si="4"/>
        <v>-SADNE-</v>
      </c>
      <c r="Y51" s="3" t="str">
        <f t="shared" si="5"/>
        <v>-ENERGY-</v>
      </c>
      <c r="Z51" s="4" t="str">
        <f t="shared" si="6"/>
        <v>{"couname":"Family Affair","img":"https://i.scdn.co/image/ab67616d0000b2738596aedf4a6ae5a4520fd9c7","pty":"61","artist":"David Guetta","genres":"edm,dance","duration":"158391","spotId":"1dP519dbEob8H6wiouRdaY","Items":["-SADNE-","-ENERGY-","","","GN_FrenchElectro"]},</v>
      </c>
      <c r="AA51" s="5" t="s">
        <v>6100</v>
      </c>
      <c r="AB51" s="3" t="str">
        <f t="shared" si="7"/>
        <v>["-SADNE-","-ENERGY-","","","GN_FrenchElectro"]</v>
      </c>
      <c r="AC51" s="3" t="str">
        <f>_xlfn.XLOOKUP(A51,Album!A:A,Album!J:J)</f>
        <v>https://i.scdn.co/image/ab67616d0000b2738596aedf4a6ae5a4520fd9c7</v>
      </c>
      <c r="AD51" s="3"/>
      <c r="AE51" s="3"/>
      <c r="AF51" s="3"/>
      <c r="AG51" s="3"/>
      <c r="AH51" s="3"/>
    </row>
    <row r="52" spans="1:34" x14ac:dyDescent="0.3">
      <c r="A52" s="11" t="s">
        <v>1816</v>
      </c>
      <c r="B52" s="12" t="s">
        <v>1817</v>
      </c>
      <c r="C52" s="12" t="s">
        <v>1808</v>
      </c>
      <c r="D52" s="13" t="s">
        <v>9</v>
      </c>
      <c r="E52" s="6">
        <v>35447</v>
      </c>
      <c r="F52" s="3">
        <v>328680</v>
      </c>
      <c r="G52" s="3">
        <v>61</v>
      </c>
      <c r="H52" s="3" t="s">
        <v>6030</v>
      </c>
      <c r="I52" s="3" t="s">
        <v>1809</v>
      </c>
      <c r="J52" s="3" t="s">
        <v>1810</v>
      </c>
      <c r="K52" s="3" t="s">
        <v>1811</v>
      </c>
      <c r="L52" s="3">
        <v>0.80600000000000005</v>
      </c>
      <c r="M52" s="3">
        <v>0.7</v>
      </c>
      <c r="N52" s="3">
        <v>0</v>
      </c>
      <c r="O52" s="8">
        <v>-5269</v>
      </c>
      <c r="P52" s="3">
        <v>0</v>
      </c>
      <c r="Q52" s="3">
        <v>7.5200000000000003E-2</v>
      </c>
      <c r="R52" s="3">
        <v>1.9599999999999999E-3</v>
      </c>
      <c r="S52" s="3">
        <v>0.89100000000000001</v>
      </c>
      <c r="T52" s="3">
        <v>0.26700000000000002</v>
      </c>
      <c r="U52" s="3">
        <v>0.89200000000000002</v>
      </c>
      <c r="V52" s="8">
        <v>111215</v>
      </c>
      <c r="W52" s="3">
        <v>4</v>
      </c>
      <c r="X52" s="3" t="str">
        <f t="shared" si="4"/>
        <v>-HAPPY-</v>
      </c>
      <c r="Y52" s="3" t="str">
        <f t="shared" si="5"/>
        <v>-ENERGY-</v>
      </c>
      <c r="Z52" s="4" t="str">
        <f t="shared" si="6"/>
        <v>{"couname":"Da Funk","img":"https://i.scdn.co/image/ab67616d0000b2738ac778cc7d88779f74d33311","pty":"61","artist":"Daft Punk","genres":"house francés,electrónica,electro","duration":"328680","spotId":"0MyY4WcN7DIfbSmp5yej5z","Items":["-HAPPY-","-ENERGY-","","","GN_FrenchElectro"]},</v>
      </c>
      <c r="AA52" s="5" t="s">
        <v>6100</v>
      </c>
      <c r="AB52" s="3" t="str">
        <f t="shared" si="7"/>
        <v>["-HAPPY-","-ENERGY-","","","GN_FrenchElectro"]</v>
      </c>
      <c r="AC52" s="3" t="str">
        <f>_xlfn.XLOOKUP(A52,Album!A:A,Album!J:J)</f>
        <v>https://i.scdn.co/image/ab67616d0000b2738ac778cc7d88779f74d33311</v>
      </c>
      <c r="AD52" s="3"/>
      <c r="AE52" s="3"/>
      <c r="AF52" s="3"/>
      <c r="AG52" s="3"/>
      <c r="AH52" s="3"/>
    </row>
    <row r="53" spans="1:34" x14ac:dyDescent="0.3">
      <c r="A53" s="11" t="s">
        <v>1861</v>
      </c>
      <c r="B53" s="12" t="s">
        <v>1862</v>
      </c>
      <c r="C53" s="12" t="s">
        <v>1844</v>
      </c>
      <c r="D53" s="13" t="s">
        <v>9</v>
      </c>
      <c r="E53" s="6">
        <v>36962</v>
      </c>
      <c r="F53" s="3">
        <v>227866</v>
      </c>
      <c r="G53" s="3">
        <v>61</v>
      </c>
      <c r="H53" s="3" t="s">
        <v>6029</v>
      </c>
      <c r="I53" s="3" t="s">
        <v>1809</v>
      </c>
      <c r="J53" s="3" t="s">
        <v>1810</v>
      </c>
      <c r="K53" s="3" t="s">
        <v>1811</v>
      </c>
      <c r="L53" s="3">
        <v>0.66900000000000004</v>
      </c>
      <c r="M53" s="3">
        <v>0.74299999999999999</v>
      </c>
      <c r="N53" s="3">
        <v>7</v>
      </c>
      <c r="O53" s="8">
        <v>-11488</v>
      </c>
      <c r="P53" s="3">
        <v>1</v>
      </c>
      <c r="Q53" s="3">
        <v>4.9399999999999999E-2</v>
      </c>
      <c r="R53" s="3">
        <v>0.28799999999999998</v>
      </c>
      <c r="S53" s="3">
        <v>0.80500000000000005</v>
      </c>
      <c r="T53" s="3">
        <v>0.309</v>
      </c>
      <c r="U53" s="3">
        <v>0.28000000000000003</v>
      </c>
      <c r="V53" s="8">
        <v>119881</v>
      </c>
      <c r="W53" s="3">
        <v>4</v>
      </c>
      <c r="X53" s="3" t="str">
        <f t="shared" si="4"/>
        <v>-SADNE-</v>
      </c>
      <c r="Y53" s="3" t="str">
        <f t="shared" si="5"/>
        <v>-ENERGY-</v>
      </c>
      <c r="Z53" s="4" t="str">
        <f t="shared" si="6"/>
        <v>{"couname":"Voyager","img":"https://i.scdn.co/image/ab67616d0000b2732c25dad9f8fd54652f7ba5df","pty":"61","artist":"Daft Punk","genres":"house francés,electrónica,electro","duration":"227866","spotId":"7cMFjxhbXBpOlais7KMF3j","Items":["-SADNE-","-ENERGY-","","","GN_FrenchElectro"]},</v>
      </c>
      <c r="AA53" s="5" t="s">
        <v>6100</v>
      </c>
      <c r="AB53" s="3" t="str">
        <f t="shared" si="7"/>
        <v>["-SADNE-","-ENERGY-","","","GN_FrenchElectro"]</v>
      </c>
      <c r="AC53" s="3" t="str">
        <f>_xlfn.XLOOKUP(A53,Album!A:A,Album!J:J)</f>
        <v>https://i.scdn.co/image/ab67616d0000b2732c25dad9f8fd54652f7ba5df</v>
      </c>
      <c r="AD53" s="3"/>
      <c r="AE53" s="3"/>
      <c r="AF53" s="3"/>
      <c r="AG53" s="3"/>
      <c r="AH53" s="3"/>
    </row>
    <row r="54" spans="1:34" x14ac:dyDescent="0.3">
      <c r="A54" s="11" t="s">
        <v>1867</v>
      </c>
      <c r="B54" s="12" t="s">
        <v>8</v>
      </c>
      <c r="C54" s="12" t="s">
        <v>1844</v>
      </c>
      <c r="D54" s="13" t="s">
        <v>9</v>
      </c>
      <c r="E54" s="6">
        <v>36962</v>
      </c>
      <c r="F54" s="3">
        <v>240173</v>
      </c>
      <c r="G54" s="3">
        <v>61</v>
      </c>
      <c r="H54" s="3" t="s">
        <v>6028</v>
      </c>
      <c r="I54" s="3" t="s">
        <v>1809</v>
      </c>
      <c r="J54" s="3" t="s">
        <v>1810</v>
      </c>
      <c r="K54" s="3" t="s">
        <v>1811</v>
      </c>
      <c r="L54" s="3">
        <v>0.874</v>
      </c>
      <c r="M54" s="3">
        <v>0.437</v>
      </c>
      <c r="N54" s="3">
        <v>1</v>
      </c>
      <c r="O54" s="8">
        <v>-10235</v>
      </c>
      <c r="P54" s="3">
        <v>0</v>
      </c>
      <c r="Q54" s="3">
        <v>7.0800000000000002E-2</v>
      </c>
      <c r="R54" s="3">
        <v>1.34E-3</v>
      </c>
      <c r="S54" s="3">
        <v>2.9600000000000001E-2</v>
      </c>
      <c r="T54" s="3">
        <v>2.93E-2</v>
      </c>
      <c r="U54" s="3">
        <v>0.96199999999999997</v>
      </c>
      <c r="V54" s="8">
        <v>117791</v>
      </c>
      <c r="W54" s="3">
        <v>4</v>
      </c>
      <c r="X54" s="3" t="str">
        <f t="shared" si="4"/>
        <v>-HAPPY-</v>
      </c>
      <c r="Y54" s="3" t="str">
        <f t="shared" si="5"/>
        <v>-ENERGY-</v>
      </c>
      <c r="Z54" s="4" t="str">
        <f t="shared" si="6"/>
        <v>{"couname":"Face to Face","img":"https://i.scdn.co/image/ab67616d0000b2732c25dad9f8fd54652f7ba5df","pty":"61","artist":"Daft Punk","genres":"house francés,electrónica,electro","duration":"240173","spotId":"7v9Q0dAb9t7h8gJOkcJHay","Items":["-HAPPY-","-ENERGY-","","","GN_FrenchElectro"]},</v>
      </c>
      <c r="AA54" s="5" t="s">
        <v>6100</v>
      </c>
      <c r="AB54" s="3" t="str">
        <f t="shared" si="7"/>
        <v>["-HAPPY-","-ENERGY-","","","GN_FrenchElectro"]</v>
      </c>
      <c r="AC54" s="3" t="str">
        <f>_xlfn.XLOOKUP(A54,Album!A:A,Album!J:J)</f>
        <v>https://i.scdn.co/image/ab67616d0000b2732c25dad9f8fd54652f7ba5df</v>
      </c>
      <c r="AD54" s="3"/>
      <c r="AE54" s="3"/>
      <c r="AF54" s="3"/>
      <c r="AG54" s="3"/>
      <c r="AH54" s="3"/>
    </row>
    <row r="55" spans="1:34" x14ac:dyDescent="0.3">
      <c r="A55" s="11" t="s">
        <v>1020</v>
      </c>
      <c r="B55" s="12" t="s">
        <v>97</v>
      </c>
      <c r="C55" s="12" t="s">
        <v>1022</v>
      </c>
      <c r="D55" s="13" t="s">
        <v>3325</v>
      </c>
      <c r="E55" s="6">
        <v>40504</v>
      </c>
      <c r="F55" s="3">
        <v>210853</v>
      </c>
      <c r="G55" s="3">
        <v>60</v>
      </c>
      <c r="H55" s="3" t="s">
        <v>6027</v>
      </c>
      <c r="I55" s="3" t="s">
        <v>1013</v>
      </c>
      <c r="J55" s="3" t="s">
        <v>1019</v>
      </c>
      <c r="K55" s="3" t="s">
        <v>83</v>
      </c>
      <c r="L55" s="3">
        <v>0.54600000000000004</v>
      </c>
      <c r="M55" s="3">
        <v>0.91600000000000004</v>
      </c>
      <c r="N55" s="3">
        <v>8</v>
      </c>
      <c r="O55" s="8">
        <v>-3932</v>
      </c>
      <c r="P55" s="3">
        <v>1</v>
      </c>
      <c r="Q55" s="3">
        <v>0.255</v>
      </c>
      <c r="R55" s="3">
        <v>1.4400000000000001E-3</v>
      </c>
      <c r="S55" s="3">
        <v>4.34E-6</v>
      </c>
      <c r="T55" s="3">
        <v>0.251</v>
      </c>
      <c r="U55" s="3">
        <v>0.375</v>
      </c>
      <c r="V55" s="8">
        <v>129983</v>
      </c>
      <c r="W55" s="3">
        <v>4</v>
      </c>
      <c r="X55" s="3" t="str">
        <f t="shared" si="4"/>
        <v>-HAPPY-</v>
      </c>
      <c r="Y55" s="3" t="str">
        <f t="shared" si="5"/>
        <v>-ENERGY-</v>
      </c>
      <c r="Z55" s="4" t="str">
        <f t="shared" si="6"/>
        <v>{"couname":"Memories","img":"https://i.scdn.co/image/ab67616d0000b273f45c50e7cff5f2376c1e36ea","pty":"60","artist":"David Guetta, Kid Cudi","genres":"edm,dance","duration":"210853","spotId":"5xYC48nOppVemY6U5GRGTb","Items":["-HAPPY-","-ENERGY-","","","GN_FrenchElectro"]},</v>
      </c>
      <c r="AA55" s="5" t="s">
        <v>6100</v>
      </c>
      <c r="AB55" s="3" t="str">
        <f t="shared" si="7"/>
        <v>["-HAPPY-","-ENERGY-","","","GN_FrenchElectro"]</v>
      </c>
      <c r="AC55" s="3" t="str">
        <f>_xlfn.XLOOKUP(A55,Album!A:A,Album!J:J)</f>
        <v>https://i.scdn.co/image/ab67616d0000b273f45c50e7cff5f2376c1e36ea</v>
      </c>
      <c r="AD55" s="3"/>
      <c r="AE55" s="3"/>
      <c r="AF55" s="3"/>
      <c r="AG55" s="3"/>
      <c r="AH55" s="3"/>
    </row>
    <row r="56" spans="1:34" x14ac:dyDescent="0.3">
      <c r="A56" s="11" t="s">
        <v>1034</v>
      </c>
      <c r="B56" s="12" t="s">
        <v>6025</v>
      </c>
      <c r="C56" s="12" t="s">
        <v>1022</v>
      </c>
      <c r="D56" s="13" t="s">
        <v>3358</v>
      </c>
      <c r="E56" s="6">
        <v>40504</v>
      </c>
      <c r="F56" s="3">
        <v>195853</v>
      </c>
      <c r="G56" s="3">
        <v>60</v>
      </c>
      <c r="H56" s="3" t="s">
        <v>6026</v>
      </c>
      <c r="I56" s="3" t="s">
        <v>1013</v>
      </c>
      <c r="J56" s="3" t="s">
        <v>1019</v>
      </c>
      <c r="K56" s="3" t="s">
        <v>83</v>
      </c>
      <c r="L56" s="3">
        <v>0.81299999999999994</v>
      </c>
      <c r="M56" s="3">
        <v>0.627</v>
      </c>
      <c r="N56" s="3">
        <v>11</v>
      </c>
      <c r="O56" s="8">
        <v>-5018</v>
      </c>
      <c r="P56" s="3">
        <v>0</v>
      </c>
      <c r="Q56" s="3">
        <v>4.8599999999999997E-2</v>
      </c>
      <c r="R56" s="3">
        <v>7.7100000000000002E-2</v>
      </c>
      <c r="S56" s="3">
        <v>6.1600000000000001E-4</v>
      </c>
      <c r="T56" s="3">
        <v>0.13100000000000001</v>
      </c>
      <c r="U56" s="3">
        <v>0.80100000000000005</v>
      </c>
      <c r="V56" s="8">
        <v>130011</v>
      </c>
      <c r="W56" s="3">
        <v>4</v>
      </c>
      <c r="X56" s="3" t="str">
        <f t="shared" si="4"/>
        <v>-HAPPY-</v>
      </c>
      <c r="Y56" s="3" t="str">
        <f t="shared" si="5"/>
        <v>-ENERGY-</v>
      </c>
      <c r="Z56" s="4" t="str">
        <f t="shared" si="6"/>
        <v>{"couname":"Sexy Bitch","img":"https://i.scdn.co/image/ab67616d0000b273f45c50e7cff5f2376c1e36ea","pty":"60","artist":"David Guetta, Akon","genres":"edm,dance","duration":"195853","spotId":"127uq83uGFapbddqiMUKky","Items":["-HAPPY-","-ENERGY-","","","GN_FrenchElectro"]},</v>
      </c>
      <c r="AA56" s="5" t="s">
        <v>6100</v>
      </c>
      <c r="AB56" s="3" t="str">
        <f t="shared" si="7"/>
        <v>["-HAPPY-","-ENERGY-","","","GN_FrenchElectro"]</v>
      </c>
      <c r="AC56" s="3" t="str">
        <f>_xlfn.XLOOKUP(A56,Album!A:A,Album!J:J)</f>
        <v>https://i.scdn.co/image/ab67616d0000b273f45c50e7cff5f2376c1e36ea</v>
      </c>
      <c r="AD56" s="3"/>
      <c r="AE56" s="3"/>
      <c r="AF56" s="3"/>
      <c r="AG56" s="3"/>
      <c r="AH56" s="3"/>
    </row>
    <row r="57" spans="1:34" x14ac:dyDescent="0.3">
      <c r="A57" s="11" t="s">
        <v>1036</v>
      </c>
      <c r="B57" s="12" t="s">
        <v>1037</v>
      </c>
      <c r="C57" s="12" t="s">
        <v>1037</v>
      </c>
      <c r="D57" s="13" t="s">
        <v>3318</v>
      </c>
      <c r="E57" s="6">
        <v>43181</v>
      </c>
      <c r="F57" s="3">
        <v>195000</v>
      </c>
      <c r="G57" s="3">
        <v>60</v>
      </c>
      <c r="H57" s="3" t="s">
        <v>6024</v>
      </c>
      <c r="I57" s="3" t="s">
        <v>1013</v>
      </c>
      <c r="J57" s="3" t="s">
        <v>1019</v>
      </c>
      <c r="K57" s="3" t="s">
        <v>83</v>
      </c>
      <c r="L57" s="3">
        <v>0.60899999999999999</v>
      </c>
      <c r="M57" s="3">
        <v>0.72599999999999998</v>
      </c>
      <c r="N57" s="3">
        <v>5</v>
      </c>
      <c r="O57" s="8">
        <v>-4346</v>
      </c>
      <c r="P57" s="3">
        <v>0</v>
      </c>
      <c r="Q57" s="3">
        <v>4.1399999999999999E-2</v>
      </c>
      <c r="R57" s="3">
        <v>7.2300000000000003E-2</v>
      </c>
      <c r="S57" s="3">
        <v>8.4500000000000004E-6</v>
      </c>
      <c r="T57" s="3">
        <v>8.9499999999999996E-2</v>
      </c>
      <c r="U57" s="3">
        <v>0.36199999999999999</v>
      </c>
      <c r="V57" s="8">
        <v>93958</v>
      </c>
      <c r="W57" s="3">
        <v>4</v>
      </c>
      <c r="X57" s="3" t="str">
        <f t="shared" si="4"/>
        <v>-SADNE-</v>
      </c>
      <c r="Y57" s="3" t="str">
        <f t="shared" si="5"/>
        <v>-ENERGY-</v>
      </c>
      <c r="Z57" s="4" t="str">
        <f t="shared" si="6"/>
        <v>{"couname":"Flames","img":"https://i.scdn.co/image/ab67616d0000b273d0e5bf44bdbe8a824e921eae","pty":"60","artist":"David Guetta, Sia","genres":"edm,dance","duration":"195000","spotId":"33IOhptvC2Qoy2UhjiHXLV","Items":["-SADNE-","-ENERGY-","","","GN_FrenchElectro"]},</v>
      </c>
      <c r="AA57" s="5" t="s">
        <v>6100</v>
      </c>
      <c r="AB57" s="3" t="str">
        <f t="shared" si="7"/>
        <v>["-SADNE-","-ENERGY-","","","GN_FrenchElectro"]</v>
      </c>
      <c r="AC57" s="3" t="str">
        <f>_xlfn.XLOOKUP(A57,Album!A:A,Album!J:J)</f>
        <v>https://i.scdn.co/image/ab67616d0000b273d0e5bf44bdbe8a824e921eae</v>
      </c>
      <c r="AD57" s="3"/>
      <c r="AE57" s="3"/>
      <c r="AF57" s="3"/>
      <c r="AG57" s="3"/>
      <c r="AH57" s="3"/>
    </row>
    <row r="58" spans="1:34" x14ac:dyDescent="0.3">
      <c r="A58" s="11" t="s">
        <v>1103</v>
      </c>
      <c r="B58" s="12" t="s">
        <v>1104</v>
      </c>
      <c r="C58" s="12" t="s">
        <v>1105</v>
      </c>
      <c r="D58" s="13" t="s">
        <v>1106</v>
      </c>
      <c r="E58" s="6">
        <v>37396</v>
      </c>
      <c r="F58" s="3">
        <v>216893</v>
      </c>
      <c r="G58" s="3">
        <v>60</v>
      </c>
      <c r="H58" s="3" t="s">
        <v>6023</v>
      </c>
      <c r="I58" s="3" t="s">
        <v>1013</v>
      </c>
      <c r="J58" s="3" t="s">
        <v>1019</v>
      </c>
      <c r="K58" s="3" t="s">
        <v>83</v>
      </c>
      <c r="L58" s="3">
        <v>0.59299999999999997</v>
      </c>
      <c r="M58" s="3">
        <v>0.83599999999999997</v>
      </c>
      <c r="N58" s="3">
        <v>10</v>
      </c>
      <c r="O58" s="8">
        <v>-4774</v>
      </c>
      <c r="P58" s="3">
        <v>0</v>
      </c>
      <c r="Q58" s="3">
        <v>4.6300000000000001E-2</v>
      </c>
      <c r="R58" s="3">
        <v>7.3700000000000002E-5</v>
      </c>
      <c r="S58" s="3">
        <v>0</v>
      </c>
      <c r="T58" s="3">
        <v>0.11700000000000001</v>
      </c>
      <c r="U58" s="3">
        <v>0.40600000000000003</v>
      </c>
      <c r="V58" s="8">
        <v>127087</v>
      </c>
      <c r="W58" s="3">
        <v>4</v>
      </c>
      <c r="X58" s="3" t="str">
        <f t="shared" si="4"/>
        <v>-HAPPY-</v>
      </c>
      <c r="Y58" s="3" t="str">
        <f t="shared" si="5"/>
        <v>-ENERGY-</v>
      </c>
      <c r="Z58" s="4" t="str">
        <f t="shared" si="6"/>
        <v>{"couname":"Love Don't Let Me Go","img":"https://i.scdn.co/image/ab67616d0000b273f807d069bb722aced899e54f","pty":"60","artist":"David Guetta","genres":"edm,dance","duration":"216893","spotId":"0mIAWTIXUP9Os5RBXKclO6","Items":["-HAPPY-","-ENERGY-","","","GN_FrenchElectro"]},</v>
      </c>
      <c r="AA58" s="5" t="s">
        <v>6100</v>
      </c>
      <c r="AB58" s="3" t="str">
        <f t="shared" si="7"/>
        <v>["-HAPPY-","-ENERGY-","","","GN_FrenchElectro"]</v>
      </c>
      <c r="AC58" s="3" t="str">
        <f>_xlfn.XLOOKUP(A58,Album!A:A,Album!J:J)</f>
        <v>https://i.scdn.co/image/ab67616d0000b273f807d069bb722aced899e54f</v>
      </c>
      <c r="AD58" s="3"/>
      <c r="AE58" s="3"/>
      <c r="AF58" s="3"/>
      <c r="AG58" s="3"/>
      <c r="AH58" s="3"/>
    </row>
    <row r="59" spans="1:34" x14ac:dyDescent="0.3">
      <c r="A59" s="11" t="s">
        <v>1115</v>
      </c>
      <c r="B59" s="12" t="s">
        <v>6021</v>
      </c>
      <c r="C59" s="12" t="s">
        <v>1116</v>
      </c>
      <c r="D59" s="13" t="s">
        <v>3508</v>
      </c>
      <c r="E59" s="6">
        <v>2021</v>
      </c>
      <c r="F59" s="3">
        <v>184390</v>
      </c>
      <c r="G59" s="3">
        <v>60</v>
      </c>
      <c r="H59" s="3" t="s">
        <v>6022</v>
      </c>
      <c r="I59" s="3" t="s">
        <v>1013</v>
      </c>
      <c r="J59" s="3" t="s">
        <v>1019</v>
      </c>
      <c r="K59" s="3" t="s">
        <v>1015</v>
      </c>
      <c r="L59" s="3">
        <v>0.69199999999999995</v>
      </c>
      <c r="M59" s="3">
        <v>0.88300000000000001</v>
      </c>
      <c r="N59" s="3">
        <v>7</v>
      </c>
      <c r="O59" s="8">
        <v>-4698</v>
      </c>
      <c r="P59" s="3">
        <v>1</v>
      </c>
      <c r="Q59" s="3">
        <v>5.8200000000000002E-2</v>
      </c>
      <c r="R59" s="3">
        <v>5.1200000000000002E-2</v>
      </c>
      <c r="S59" s="3">
        <v>0</v>
      </c>
      <c r="T59" s="3">
        <v>0.22800000000000001</v>
      </c>
      <c r="U59" s="3">
        <v>0.61399999999999999</v>
      </c>
      <c r="V59" s="8">
        <v>122984</v>
      </c>
      <c r="W59" s="3">
        <v>4</v>
      </c>
      <c r="X59" s="3" t="str">
        <f t="shared" si="4"/>
        <v>-HAPPY-</v>
      </c>
      <c r="Y59" s="3" t="str">
        <f t="shared" si="5"/>
        <v>-ENERGY-</v>
      </c>
      <c r="Z59" s="4" t="str">
        <f t="shared" si="6"/>
        <v>{"couname":"If You Really Love Me","img":"https://i.scdn.co/image/ab67616d0000b273567a28ed92c3021664b51498","pty":"60","artist":"David Guetta, MistaJam, John Newman","genres":"edm,dance","duration":"184390","spotId":"5TnF44IQRsopRNa63BEyFd","Items":["-HAPPY-","-ENERGY-","","","GN_FrenchElectro"]},</v>
      </c>
      <c r="AA59" s="5" t="s">
        <v>6100</v>
      </c>
      <c r="AB59" s="3" t="str">
        <f t="shared" si="7"/>
        <v>["-HAPPY-","-ENERGY-","","","GN_FrenchElectro"]</v>
      </c>
      <c r="AC59" s="3" t="str">
        <f>_xlfn.XLOOKUP(A59,Album!A:A,Album!J:J)</f>
        <v>https://i.scdn.co/image/ab67616d0000b273567a28ed92c3021664b51498</v>
      </c>
      <c r="AD59" s="3"/>
      <c r="AE59" s="3"/>
      <c r="AF59" s="3"/>
      <c r="AG59" s="3"/>
      <c r="AH59" s="3"/>
    </row>
    <row r="60" spans="1:34" x14ac:dyDescent="0.3">
      <c r="A60" s="11" t="s">
        <v>1322</v>
      </c>
      <c r="B60" s="12" t="s">
        <v>1323</v>
      </c>
      <c r="C60" s="12" t="s">
        <v>1323</v>
      </c>
      <c r="D60" s="13" t="s">
        <v>3871</v>
      </c>
      <c r="E60" s="6">
        <v>42594</v>
      </c>
      <c r="F60" s="3">
        <v>218964</v>
      </c>
      <c r="G60" s="3">
        <v>60</v>
      </c>
      <c r="H60" s="3" t="s">
        <v>6020</v>
      </c>
      <c r="I60" s="3" t="s">
        <v>1207</v>
      </c>
      <c r="J60" s="3" t="s">
        <v>1324</v>
      </c>
      <c r="K60" s="3" t="s">
        <v>1325</v>
      </c>
      <c r="L60" s="3">
        <v>0.47699999999999998</v>
      </c>
      <c r="M60" s="3">
        <v>0.79600000000000004</v>
      </c>
      <c r="N60" s="3">
        <v>0</v>
      </c>
      <c r="O60" s="8">
        <v>-4499</v>
      </c>
      <c r="P60" s="3">
        <v>1</v>
      </c>
      <c r="Q60" s="3">
        <v>3.6900000000000002E-2</v>
      </c>
      <c r="R60" s="3">
        <v>2.9299999999999999E-3</v>
      </c>
      <c r="S60" s="3">
        <v>0</v>
      </c>
      <c r="T60" s="3">
        <v>0.184</v>
      </c>
      <c r="U60" s="3">
        <v>0.27</v>
      </c>
      <c r="V60" s="8">
        <v>99859</v>
      </c>
      <c r="W60" s="3">
        <v>4</v>
      </c>
      <c r="X60" s="3" t="str">
        <f t="shared" si="4"/>
        <v>-SADNE-</v>
      </c>
      <c r="Y60" s="3" t="str">
        <f t="shared" si="5"/>
        <v>-ENERGY-</v>
      </c>
      <c r="Z60" s="4" t="str">
        <f t="shared" si="6"/>
        <v>{"couname":"Shelter","img":"https://i.scdn.co/image/ab67616d0000b2731a5eb771120e2ee3f6a44ed7","pty":"60","artist":"Porter Robinson, Madeon","genres":"edm,electrónica,house francés","duration":"218964","spotId":"2ewEh7LuvToYyGHq7yT8N1","Items":["-SADNE-","-ENERGY-","","","GN_FrenchElectro"]},</v>
      </c>
      <c r="AA60" s="5" t="s">
        <v>6100</v>
      </c>
      <c r="AB60" s="3" t="str">
        <f t="shared" si="7"/>
        <v>["-SADNE-","-ENERGY-","","","GN_FrenchElectro"]</v>
      </c>
      <c r="AC60" s="3" t="str">
        <f>_xlfn.XLOOKUP(A60,Album!A:A,Album!J:J)</f>
        <v>https://i.scdn.co/image/ab67616d0000b2731a5eb771120e2ee3f6a44ed7</v>
      </c>
      <c r="AD60" s="3"/>
      <c r="AE60" s="3"/>
      <c r="AF60" s="3"/>
      <c r="AG60" s="3"/>
      <c r="AH60" s="3"/>
    </row>
    <row r="61" spans="1:34" x14ac:dyDescent="0.3">
      <c r="A61" s="11" t="s">
        <v>1845</v>
      </c>
      <c r="B61" s="12" t="s">
        <v>1846</v>
      </c>
      <c r="C61" s="12" t="s">
        <v>1844</v>
      </c>
      <c r="D61" s="13" t="s">
        <v>9</v>
      </c>
      <c r="E61" s="6">
        <v>36962</v>
      </c>
      <c r="F61" s="3">
        <v>212546</v>
      </c>
      <c r="G61" s="3">
        <v>60</v>
      </c>
      <c r="H61" s="3" t="s">
        <v>6019</v>
      </c>
      <c r="I61" s="3" t="s">
        <v>1809</v>
      </c>
      <c r="J61" s="3" t="s">
        <v>1810</v>
      </c>
      <c r="K61" s="3" t="s">
        <v>1811</v>
      </c>
      <c r="L61" s="3">
        <v>0.624</v>
      </c>
      <c r="M61" s="3">
        <v>0.91100000000000003</v>
      </c>
      <c r="N61" s="3">
        <v>7</v>
      </c>
      <c r="O61" s="8">
        <v>-7482</v>
      </c>
      <c r="P61" s="3">
        <v>1</v>
      </c>
      <c r="Q61" s="3">
        <v>5.2400000000000002E-2</v>
      </c>
      <c r="R61" s="3">
        <v>0.32900000000000001</v>
      </c>
      <c r="S61" s="3">
        <v>0.86099999999999999</v>
      </c>
      <c r="T61" s="3">
        <v>7.2700000000000001E-2</v>
      </c>
      <c r="U61" s="3">
        <v>0.13500000000000001</v>
      </c>
      <c r="V61" s="8">
        <v>122902</v>
      </c>
      <c r="W61" s="3">
        <v>4</v>
      </c>
      <c r="X61" s="3" t="str">
        <f t="shared" si="4"/>
        <v>-SADNE-</v>
      </c>
      <c r="Y61" s="3" t="str">
        <f t="shared" si="5"/>
        <v>-ENERGY-</v>
      </c>
      <c r="Z61" s="4" t="str">
        <f t="shared" si="6"/>
        <v>{"couname":"Aerodynamic","img":"https://i.scdn.co/image/ab67616d0000b2732c25dad9f8fd54652f7ba5df","pty":"60","artist":"Daft Punk","genres":"house francés,electrónica,electro","duration":"212546","spotId":"3H3cOQ6LBLSvmcaV7QkZEu","Items":["-SADNE-","-ENERGY-","","","GN_FrenchElectro"]},</v>
      </c>
      <c r="AA61" s="5" t="s">
        <v>6100</v>
      </c>
      <c r="AB61" s="3" t="str">
        <f t="shared" si="7"/>
        <v>["-SADNE-","-ENERGY-","","","GN_FrenchElectro"]</v>
      </c>
      <c r="AC61" s="3" t="str">
        <f>_xlfn.XLOOKUP(A61,Album!A:A,Album!J:J)</f>
        <v>https://i.scdn.co/image/ab67616d0000b2732c25dad9f8fd54652f7ba5df</v>
      </c>
      <c r="AD61" s="3"/>
      <c r="AE61" s="3"/>
      <c r="AF61" s="3"/>
      <c r="AG61" s="3"/>
      <c r="AH61" s="3"/>
    </row>
    <row r="62" spans="1:34" x14ac:dyDescent="0.3">
      <c r="A62" s="11" t="s">
        <v>1920</v>
      </c>
      <c r="B62" s="12" t="s">
        <v>1921</v>
      </c>
      <c r="C62" s="12" t="s">
        <v>1922</v>
      </c>
      <c r="D62" s="13" t="s">
        <v>9</v>
      </c>
      <c r="E62" s="6">
        <v>41414</v>
      </c>
      <c r="F62" s="3">
        <v>275386</v>
      </c>
      <c r="G62" s="3">
        <v>60</v>
      </c>
      <c r="H62" s="3" t="s">
        <v>6018</v>
      </c>
      <c r="I62" s="3" t="s">
        <v>1809</v>
      </c>
      <c r="J62" s="3" t="s">
        <v>1810</v>
      </c>
      <c r="K62" s="3" t="s">
        <v>84</v>
      </c>
      <c r="L62" s="3">
        <v>0.78800000000000003</v>
      </c>
      <c r="M62" s="3">
        <v>0.61599999999999999</v>
      </c>
      <c r="N62" s="3">
        <v>9</v>
      </c>
      <c r="O62" s="8">
        <v>-10671</v>
      </c>
      <c r="P62" s="3">
        <v>0</v>
      </c>
      <c r="Q62" s="3">
        <v>3.3700000000000001E-2</v>
      </c>
      <c r="R62" s="3">
        <v>2.8600000000000001E-3</v>
      </c>
      <c r="S62" s="3">
        <v>0.54900000000000004</v>
      </c>
      <c r="T62" s="3">
        <v>9.5200000000000007E-2</v>
      </c>
      <c r="U62" s="3">
        <v>0.69599999999999995</v>
      </c>
      <c r="V62" s="8">
        <v>119037</v>
      </c>
      <c r="W62" s="3">
        <v>4</v>
      </c>
      <c r="X62" s="3" t="str">
        <f t="shared" si="4"/>
        <v>-HAPPY-</v>
      </c>
      <c r="Y62" s="3" t="str">
        <f t="shared" si="5"/>
        <v>-ENERGY-</v>
      </c>
      <c r="Z62" s="4" t="str">
        <f t="shared" si="6"/>
        <v>{"couname":"Give Life Back to Music","img":"https://i.scdn.co/image/ab67616d0000b2739b9b36b0e22870b9f542d937","pty":"60","artist":"Daft Punk","genres":"house francés,electrónica,electro","duration":"275386","spotId":"0dEIca2nhcxDUV8C5QkPYb","Items":["-HAPPY-","-ENERGY-","","","GN_FrenchElectro"]},</v>
      </c>
      <c r="AA62" s="5" t="s">
        <v>6100</v>
      </c>
      <c r="AB62" s="3" t="str">
        <f t="shared" si="7"/>
        <v>["-HAPPY-","-ENERGY-","","","GN_FrenchElectro"]</v>
      </c>
      <c r="AC62" s="3" t="str">
        <f>_xlfn.XLOOKUP(A62,Album!A:A,Album!J:J)</f>
        <v>https://i.scdn.co/image/ab67616d0000b2739b9b36b0e22870b9f542d937</v>
      </c>
      <c r="AD62" s="3"/>
      <c r="AE62" s="3"/>
      <c r="AF62" s="3"/>
      <c r="AG62" s="3"/>
      <c r="AH62" s="3"/>
    </row>
    <row r="63" spans="1:34" x14ac:dyDescent="0.3">
      <c r="A63" s="11" t="s">
        <v>1925</v>
      </c>
      <c r="B63" s="12" t="s">
        <v>1926</v>
      </c>
      <c r="C63" s="12" t="s">
        <v>1922</v>
      </c>
      <c r="D63" s="13" t="s">
        <v>9</v>
      </c>
      <c r="E63" s="6">
        <v>41414</v>
      </c>
      <c r="F63" s="3">
        <v>544626</v>
      </c>
      <c r="G63" s="3">
        <v>60</v>
      </c>
      <c r="H63" s="3" t="s">
        <v>6017</v>
      </c>
      <c r="I63" s="3" t="s">
        <v>1809</v>
      </c>
      <c r="J63" s="3" t="s">
        <v>1810</v>
      </c>
      <c r="K63" s="3" t="s">
        <v>84</v>
      </c>
      <c r="L63" s="3">
        <v>0.74</v>
      </c>
      <c r="M63" s="3">
        <v>0.68200000000000005</v>
      </c>
      <c r="N63" s="3">
        <v>9</v>
      </c>
      <c r="O63" s="8">
        <v>-10.42</v>
      </c>
      <c r="P63" s="3">
        <v>0</v>
      </c>
      <c r="Q63" s="3">
        <v>5.04E-2</v>
      </c>
      <c r="R63" s="3">
        <v>6.9199999999999998E-2</v>
      </c>
      <c r="S63" s="3">
        <v>0.53</v>
      </c>
      <c r="T63" s="3">
        <v>0.38100000000000001</v>
      </c>
      <c r="U63" s="3">
        <v>0.41</v>
      </c>
      <c r="V63" s="8">
        <v>113201</v>
      </c>
      <c r="W63" s="3">
        <v>4</v>
      </c>
      <c r="X63" s="3" t="str">
        <f t="shared" si="4"/>
        <v>-HAPPY-</v>
      </c>
      <c r="Y63" s="3" t="str">
        <f t="shared" si="5"/>
        <v>-ENERGY-</v>
      </c>
      <c r="Z63" s="4" t="str">
        <f t="shared" si="6"/>
        <v>{"couname":"Giorgio by Moroder","img":"https://i.scdn.co/image/ab67616d0000b2739b9b36b0e22870b9f542d937","pty":"60","artist":"Daft Punk","genres":"house francés,electrónica,electro","duration":"544626","spotId":"0oks4FnzhNp5QPTZtoet7c","Items":["-HAPPY-","-ENERGY-","","","GN_FrenchElectro"]},</v>
      </c>
      <c r="AA63" s="5" t="s">
        <v>6100</v>
      </c>
      <c r="AB63" s="3" t="str">
        <f t="shared" si="7"/>
        <v>["-HAPPY-","-ENERGY-","","","GN_FrenchElectro"]</v>
      </c>
      <c r="AC63" s="3" t="str">
        <f>_xlfn.XLOOKUP(A63,Album!A:A,Album!J:J)</f>
        <v>https://i.scdn.co/image/ab67616d0000b2739b9b36b0e22870b9f542d937</v>
      </c>
      <c r="AD63" s="3"/>
      <c r="AE63" s="3"/>
      <c r="AF63" s="3"/>
      <c r="AG63" s="3"/>
      <c r="AH63" s="3"/>
    </row>
    <row r="64" spans="1:34" x14ac:dyDescent="0.3">
      <c r="A64" s="11" t="s">
        <v>746</v>
      </c>
      <c r="B64" s="12" t="s">
        <v>747</v>
      </c>
      <c r="C64" s="12" t="s">
        <v>737</v>
      </c>
      <c r="D64" s="13" t="s">
        <v>2989</v>
      </c>
      <c r="E64" s="6">
        <v>45408</v>
      </c>
      <c r="F64" s="3">
        <v>276066</v>
      </c>
      <c r="G64" s="3">
        <v>59</v>
      </c>
      <c r="H64" s="3" t="s">
        <v>6016</v>
      </c>
      <c r="I64" s="3" t="s">
        <v>738</v>
      </c>
      <c r="J64" s="3" t="s">
        <v>739</v>
      </c>
      <c r="K64" s="3" t="s">
        <v>19</v>
      </c>
      <c r="L64" s="3">
        <v>0.68600000000000005</v>
      </c>
      <c r="M64" s="3">
        <v>0.50600000000000001</v>
      </c>
      <c r="N64" s="3">
        <v>0</v>
      </c>
      <c r="O64" s="8">
        <v>-9352</v>
      </c>
      <c r="P64" s="3">
        <v>0</v>
      </c>
      <c r="Q64" s="3">
        <v>0.17899999999999999</v>
      </c>
      <c r="R64" s="3">
        <v>0.03</v>
      </c>
      <c r="S64" s="3">
        <v>4.1399999999999999E-2</v>
      </c>
      <c r="T64" s="3">
        <v>0.64100000000000001</v>
      </c>
      <c r="U64" s="3">
        <v>0.63800000000000001</v>
      </c>
      <c r="V64" s="8">
        <v>116139</v>
      </c>
      <c r="W64" s="3">
        <v>4</v>
      </c>
      <c r="X64" s="3" t="str">
        <f t="shared" si="4"/>
        <v>-HAPPY-</v>
      </c>
      <c r="Y64" s="3" t="str">
        <f t="shared" si="5"/>
        <v>-ENERGY-</v>
      </c>
      <c r="Z64" s="4" t="str">
        <f t="shared" si="6"/>
        <v>{"couname":"One Night/All Night","img":"https://i.scdn.co/image/ab67616d0000b2738f4b5df3a6ee2abb733080a9","pty":"59","artist":"Justice, Tame Impala","genres":"house francés,new rave,rock electrónico,indie,pop psicodélico","duration":"276066","spotId":"2Oidi4pAbR9X81PBaV71N8","Items":["-HAPPY-","-ENERGY-","","","GN_FrenchElectro"]},</v>
      </c>
      <c r="AA64" s="5" t="s">
        <v>6100</v>
      </c>
      <c r="AB64" s="3" t="str">
        <f t="shared" si="7"/>
        <v>["-HAPPY-","-ENERGY-","","","GN_FrenchElectro"]</v>
      </c>
      <c r="AC64" s="3" t="str">
        <f>_xlfn.XLOOKUP(A64,Album!A:A,Album!J:J)</f>
        <v>https://i.scdn.co/image/ab67616d0000b2738f4b5df3a6ee2abb733080a9</v>
      </c>
      <c r="AD64" s="3"/>
      <c r="AE64" s="3"/>
      <c r="AF64" s="3"/>
      <c r="AG64" s="3"/>
      <c r="AH64" s="3"/>
    </row>
    <row r="65" spans="1:34" x14ac:dyDescent="0.3">
      <c r="A65" s="11" t="s">
        <v>851</v>
      </c>
      <c r="B65" s="12" t="s">
        <v>852</v>
      </c>
      <c r="C65" s="12" t="s">
        <v>841</v>
      </c>
      <c r="D65" s="13" t="s">
        <v>842</v>
      </c>
      <c r="E65" s="6">
        <v>2011</v>
      </c>
      <c r="F65" s="3">
        <v>343253</v>
      </c>
      <c r="G65" s="3">
        <v>59</v>
      </c>
      <c r="H65" s="3" t="s">
        <v>6015</v>
      </c>
      <c r="I65" s="3" t="s">
        <v>843</v>
      </c>
      <c r="J65" s="3" t="s">
        <v>844</v>
      </c>
      <c r="K65" s="3" t="s">
        <v>845</v>
      </c>
      <c r="L65" s="3">
        <v>0.437</v>
      </c>
      <c r="M65" s="3">
        <v>0.22900000000000001</v>
      </c>
      <c r="N65" s="3">
        <v>2</v>
      </c>
      <c r="O65" s="8">
        <v>-10514</v>
      </c>
      <c r="P65" s="3">
        <v>1</v>
      </c>
      <c r="Q65" s="3">
        <v>3.0800000000000001E-2</v>
      </c>
      <c r="R65" s="3">
        <v>0.221</v>
      </c>
      <c r="S65" s="3">
        <v>5.9900000000000002E-2</v>
      </c>
      <c r="T65" s="3">
        <v>9.35E-2</v>
      </c>
      <c r="U65" s="3">
        <v>7.5399999999999995E-2</v>
      </c>
      <c r="V65" s="8">
        <v>147911</v>
      </c>
      <c r="W65" s="3">
        <v>4</v>
      </c>
      <c r="X65" s="3" t="str">
        <f t="shared" si="4"/>
        <v>-SADNE-</v>
      </c>
      <c r="Y65" s="3" t="str">
        <f t="shared" si="5"/>
        <v>-SLOWSS-</v>
      </c>
      <c r="Z65" s="4" t="str">
        <f t="shared" si="6"/>
        <v>{"couname":"Wait","img":"https://i.scdn.co/image/ab67616d0000b273fff2cb485c36a6d8f639bdba","pty":"59","artist":"M83","genres":"indietronica","duration":"343253","spotId":"3rTnGUeDrnZV22DvRuUuXr","Items":["-SADNE-","-SLOWSS-","","","GN_FrenchElectro"]},</v>
      </c>
      <c r="AA65" s="5" t="s">
        <v>6100</v>
      </c>
      <c r="AB65" s="3" t="str">
        <f t="shared" si="7"/>
        <v>["-SADNE-","-SLOWSS-","","","GN_FrenchElectro"]</v>
      </c>
      <c r="AC65" s="3" t="str">
        <f>_xlfn.XLOOKUP(A65,Album!A:A,Album!J:J)</f>
        <v>https://i.scdn.co/image/ab67616d0000b273fff2cb485c36a6d8f639bdba</v>
      </c>
      <c r="AD65" s="3"/>
      <c r="AE65" s="3"/>
      <c r="AF65" s="3"/>
      <c r="AG65" s="3"/>
      <c r="AH65" s="3"/>
    </row>
    <row r="66" spans="1:34" x14ac:dyDescent="0.3">
      <c r="A66" s="11" t="s">
        <v>1043</v>
      </c>
      <c r="B66" s="12" t="s">
        <v>1044</v>
      </c>
      <c r="C66" s="12" t="s">
        <v>1044</v>
      </c>
      <c r="D66" s="13" t="s">
        <v>3318</v>
      </c>
      <c r="E66" s="6">
        <v>44085</v>
      </c>
      <c r="F66" s="3">
        <v>200645</v>
      </c>
      <c r="G66" s="3">
        <v>59</v>
      </c>
      <c r="H66" s="3" t="s">
        <v>6014</v>
      </c>
      <c r="I66" s="3" t="s">
        <v>1013</v>
      </c>
      <c r="J66" s="3" t="s">
        <v>1019</v>
      </c>
      <c r="K66" s="3" t="s">
        <v>83</v>
      </c>
      <c r="L66" s="3">
        <v>0.66200000000000003</v>
      </c>
      <c r="M66" s="3">
        <v>0.86799999999999999</v>
      </c>
      <c r="N66" s="3">
        <v>5</v>
      </c>
      <c r="O66" s="8">
        <v>-4025</v>
      </c>
      <c r="P66" s="3">
        <v>1</v>
      </c>
      <c r="Q66" s="3">
        <v>3.4099999999999998E-2</v>
      </c>
      <c r="R66" s="3">
        <v>8.8199999999999997E-3</v>
      </c>
      <c r="S66" s="3">
        <v>2.4399999999999999E-3</v>
      </c>
      <c r="T66" s="3">
        <v>0.58399999999999996</v>
      </c>
      <c r="U66" s="3">
        <v>0.35299999999999998</v>
      </c>
      <c r="V66" s="8">
        <v>92998</v>
      </c>
      <c r="W66" s="3">
        <v>4</v>
      </c>
      <c r="X66" s="3" t="str">
        <f t="shared" si="4"/>
        <v>-HAPPY-</v>
      </c>
      <c r="Y66" s="3" t="str">
        <f t="shared" si="5"/>
        <v>-ENERGY-</v>
      </c>
      <c r="Z66" s="4" t="str">
        <f t="shared" si="6"/>
        <v>{"couname":"Let's Love","img":"https://i.scdn.co/image/ab67616d0000b2735940eb4559e46f50d00b678a","pty":"59","artist":"David Guetta, Sia","genres":"edm,dance","duration":"200645","spotId":"6lhZLbb0czULpjb2kFryPS","Items":["-HAPPY-","-ENERGY-","","","GN_FrenchElectro"]},</v>
      </c>
      <c r="AA66" s="5" t="s">
        <v>6100</v>
      </c>
      <c r="AB66" s="3" t="str">
        <f t="shared" si="7"/>
        <v>["-HAPPY-","-ENERGY-","","","GN_FrenchElectro"]</v>
      </c>
      <c r="AC66" s="3" t="str">
        <f>_xlfn.XLOOKUP(A66,Album!A:A,Album!J:J)</f>
        <v>https://i.scdn.co/image/ab67616d0000b2735940eb4559e46f50d00b678a</v>
      </c>
      <c r="AD66" s="3"/>
      <c r="AE66" s="3"/>
      <c r="AF66" s="3"/>
      <c r="AG66" s="3"/>
      <c r="AH66" s="3"/>
    </row>
    <row r="67" spans="1:34" x14ac:dyDescent="0.3">
      <c r="A67" s="11" t="s">
        <v>1088</v>
      </c>
      <c r="B67" s="12" t="s">
        <v>1089</v>
      </c>
      <c r="C67" s="12" t="s">
        <v>1089</v>
      </c>
      <c r="D67" s="13" t="s">
        <v>3462</v>
      </c>
      <c r="E67" s="6">
        <v>45352</v>
      </c>
      <c r="F67" s="3">
        <v>172268</v>
      </c>
      <c r="G67" s="3">
        <v>59</v>
      </c>
      <c r="H67" s="3" t="s">
        <v>6013</v>
      </c>
      <c r="I67" s="3" t="s">
        <v>1013</v>
      </c>
      <c r="J67" s="3" t="s">
        <v>1019</v>
      </c>
      <c r="K67" s="3" t="s">
        <v>598</v>
      </c>
      <c r="L67" s="3">
        <v>0.67400000000000004</v>
      </c>
      <c r="M67" s="3">
        <v>0.79900000000000004</v>
      </c>
      <c r="N67" s="3">
        <v>6</v>
      </c>
      <c r="O67" s="8">
        <v>-4889</v>
      </c>
      <c r="P67" s="3">
        <v>1</v>
      </c>
      <c r="Q67" s="3">
        <v>3.6799999999999999E-2</v>
      </c>
      <c r="R67" s="3">
        <v>0.13300000000000001</v>
      </c>
      <c r="S67" s="3">
        <v>0</v>
      </c>
      <c r="T67" s="3">
        <v>5.2499999999999998E-2</v>
      </c>
      <c r="U67" s="3">
        <v>0.57799999999999996</v>
      </c>
      <c r="V67" s="8">
        <v>124933</v>
      </c>
      <c r="W67" s="3">
        <v>4</v>
      </c>
      <c r="X67" s="3" t="str">
        <f t="shared" ref="X67:X130" si="8">IF(OR(U67&lt;0.301, AND(U67&lt;0.4, P67=0)), "-SADNE-", "-HAPPY-")</f>
        <v>-HAPPY-</v>
      </c>
      <c r="Y67" s="3" t="str">
        <f t="shared" ref="Y67:Y130" si="9">IF(OR(AND(L67&lt;0.5,M67&lt;0.5),AND(L67&lt;0.45,V67&lt;100),AND(M67&lt;0.45,V67&lt;100),AND(U67&lt;0.39,V67&lt;100)),"-SLOWSS-","-ENERGY-")</f>
        <v>-ENERGY-</v>
      </c>
      <c r="Z67" s="4" t="str">
        <f t="shared" ref="Z67:Z130" si="10">"{"&amp;CHAR(34)&amp;"couname"&amp;CHAR(34)&amp;":"&amp;CHAR(34)&amp;B67&amp;CHAR(34)&amp;","&amp;CHAR(34)&amp;"img"&amp;CHAR(34)&amp;":"&amp;CHAR(34)&amp;AC67&amp;CHAR(34)&amp;","&amp;CHAR(34)&amp;"pty"&amp;CHAR(34)&amp;":"&amp;CHAR(34)&amp;G67&amp;CHAR(34)&amp;","&amp;CHAR(34)&amp;"artist"&amp;CHAR(34)&amp;":"&amp;CHAR(34)&amp;D67&amp;CHAR(34)&amp;","&amp;CHAR(34)&amp;"genres"&amp;CHAR(34)&amp;":"&amp;CHAR(34)&amp;J67&amp;CHAR(34)&amp;","&amp;CHAR(34)&amp;"duration"&amp;CHAR(34)&amp;":"&amp;CHAR(34)&amp;F67&amp;CHAR(34)&amp;","&amp;CHAR(34)&amp;"spotId"&amp;CHAR(34)&amp;":"&amp;CHAR(34)&amp;A67&amp;CHAR(34)&amp;","&amp;CHAR(34)&amp;"Items"&amp;CHAR(34)&amp;":"&amp;AB67&amp;"},"</f>
        <v>{"couname":"Lighter","img":"https://i.scdn.co/image/ab67616d0000b273c93daad3fd7acf20168abdb9","pty":"59","artist":"Galantis, David Guetta, 5 Seconds of Summer","genres":"edm,dance","duration":"172268","spotId":"7hdNTegC0TCKKoxB6GTFH3","Items":["-HAPPY-","-ENERGY-","","","GN_FrenchElectro"]},</v>
      </c>
      <c r="AA67" s="5" t="s">
        <v>6100</v>
      </c>
      <c r="AB67" s="3" t="str">
        <f t="shared" ref="AB67:AB130" si="11" xml:space="preserve"> "[" &amp; _xlfn.TEXTJOIN(",",TRUE,CHAR(34) &amp; X67&amp; CHAR(34), CHAR(34) &amp; Y67 &amp; CHAR(34),  CHAR(34) &amp; AF67 &amp; CHAR(34), CHAR(34) &amp;AG67 &amp; CHAR(34), CHAR(34) &amp; AA67 &amp; CHAR(34)) &amp; "]"</f>
        <v>["-HAPPY-","-ENERGY-","","","GN_FrenchElectro"]</v>
      </c>
      <c r="AC67" s="3" t="str">
        <f>_xlfn.XLOOKUP(A67,Album!A:A,Album!J:J)</f>
        <v>https://i.scdn.co/image/ab67616d0000b273c93daad3fd7acf20168abdb9</v>
      </c>
      <c r="AD67" s="3"/>
      <c r="AE67" s="3"/>
      <c r="AF67" s="3"/>
      <c r="AG67" s="3"/>
      <c r="AH67" s="3"/>
    </row>
    <row r="68" spans="1:34" x14ac:dyDescent="0.3">
      <c r="A68" s="11" t="s">
        <v>1139</v>
      </c>
      <c r="B68" s="15" t="s">
        <v>1141</v>
      </c>
      <c r="C68" s="12" t="s">
        <v>1141</v>
      </c>
      <c r="D68" s="13" t="s">
        <v>3558</v>
      </c>
      <c r="E68" s="6">
        <v>42643</v>
      </c>
      <c r="F68" s="3">
        <v>197647</v>
      </c>
      <c r="G68" s="3">
        <v>59</v>
      </c>
      <c r="H68" s="3" t="s">
        <v>6012</v>
      </c>
      <c r="I68" s="3" t="s">
        <v>1013</v>
      </c>
      <c r="J68" s="3" t="s">
        <v>1019</v>
      </c>
      <c r="K68" s="3" t="s">
        <v>83</v>
      </c>
      <c r="L68" s="3">
        <v>0.67100000000000004</v>
      </c>
      <c r="M68" s="3">
        <v>0.82599999999999996</v>
      </c>
      <c r="N68" s="3">
        <v>7</v>
      </c>
      <c r="O68" s="8">
        <v>-5766</v>
      </c>
      <c r="P68" s="3">
        <v>0</v>
      </c>
      <c r="Q68" s="3">
        <v>0.309</v>
      </c>
      <c r="R68" s="3">
        <v>7.1799999999999998E-3</v>
      </c>
      <c r="S68" s="3">
        <v>0</v>
      </c>
      <c r="T68" s="3">
        <v>0.63100000000000001</v>
      </c>
      <c r="U68" s="3">
        <v>0.77400000000000002</v>
      </c>
      <c r="V68" s="8">
        <v>123986</v>
      </c>
      <c r="W68" s="3">
        <v>4</v>
      </c>
      <c r="X68" s="3" t="str">
        <f t="shared" si="8"/>
        <v>-HAPPY-</v>
      </c>
      <c r="Y68" s="3" t="str">
        <f t="shared" si="9"/>
        <v>-ENERGY-</v>
      </c>
      <c r="Z68" s="4" t="str">
        <f t="shared" si="10"/>
        <v>{"couname":"Would I Lie to You","img":"https://i.scdn.co/image/ab67616d0000b27300c25b727e26b9f36e01a236","pty":"59","artist":"David Guetta, Cedric Gervais, Chris Willis","genres":"edm,dance","duration":"197647","spotId":"4PdJSsESm34djLfBde9Pr2","Items":["-HAPPY-","-ENERGY-","","","GN_FrenchElectro"]},</v>
      </c>
      <c r="AA68" s="5" t="s">
        <v>6100</v>
      </c>
      <c r="AB68" s="3" t="str">
        <f t="shared" si="11"/>
        <v>["-HAPPY-","-ENERGY-","","","GN_FrenchElectro"]</v>
      </c>
      <c r="AC68" s="3" t="str">
        <f>_xlfn.XLOOKUP(A68,Album!A:A,Album!J:J)</f>
        <v>https://i.scdn.co/image/ab67616d0000b27300c25b727e26b9f36e01a236</v>
      </c>
      <c r="AD68" s="3"/>
      <c r="AE68" s="3"/>
      <c r="AF68" s="3"/>
      <c r="AG68" s="3"/>
      <c r="AH68" s="3"/>
    </row>
    <row r="69" spans="1:34" x14ac:dyDescent="0.3">
      <c r="A69" s="11" t="s">
        <v>1502</v>
      </c>
      <c r="B69" s="12" t="s">
        <v>1503</v>
      </c>
      <c r="C69" s="12" t="s">
        <v>1503</v>
      </c>
      <c r="D69" s="13" t="s">
        <v>1487</v>
      </c>
      <c r="E69" s="6">
        <v>44405</v>
      </c>
      <c r="F69" s="3">
        <v>180480</v>
      </c>
      <c r="G69" s="3">
        <v>59</v>
      </c>
      <c r="H69" s="3" t="s">
        <v>6011</v>
      </c>
      <c r="I69" s="3" t="s">
        <v>1463</v>
      </c>
      <c r="J69" s="3"/>
      <c r="K69" s="3" t="s">
        <v>1476</v>
      </c>
      <c r="L69" s="3">
        <v>0.503</v>
      </c>
      <c r="M69" s="3">
        <v>0.78300000000000003</v>
      </c>
      <c r="N69" s="3">
        <v>0</v>
      </c>
      <c r="O69" s="8">
        <v>-4761</v>
      </c>
      <c r="P69" s="3">
        <v>0</v>
      </c>
      <c r="Q69" s="3">
        <v>3.85E-2</v>
      </c>
      <c r="R69" s="3">
        <v>2.2100000000000002E-2</v>
      </c>
      <c r="S69" s="3">
        <v>2.2300000000000002E-3</v>
      </c>
      <c r="T69" s="3">
        <v>0.14000000000000001</v>
      </c>
      <c r="U69" s="3">
        <v>0.21299999999999999</v>
      </c>
      <c r="V69" s="8">
        <v>125122</v>
      </c>
      <c r="W69" s="3">
        <v>4</v>
      </c>
      <c r="X69" s="3" t="str">
        <f t="shared" si="8"/>
        <v>-SADNE-</v>
      </c>
      <c r="Y69" s="3" t="str">
        <f t="shared" si="9"/>
        <v>-ENERGY-</v>
      </c>
      <c r="Z69" s="4" t="str">
        <f t="shared" si="10"/>
        <v>{"couname":"U Are My High","img":"https://i.scdn.co/image/ab67616d0000b273facc0e1669e12f4189589498","pty":"59","artist":"DJ Snake","genres":"","duration":"180480","spotId":"3S7A85bAWOd6ltk6r2ANOI","Items":["-SADNE-","-ENERGY-","","","GN_FrenchElectro"]},</v>
      </c>
      <c r="AA69" s="5" t="s">
        <v>6100</v>
      </c>
      <c r="AB69" s="3" t="str">
        <f t="shared" si="11"/>
        <v>["-SADNE-","-ENERGY-","","","GN_FrenchElectro"]</v>
      </c>
      <c r="AC69" s="3" t="str">
        <f>_xlfn.XLOOKUP(A69,Album!A:A,Album!J:J)</f>
        <v>https://i.scdn.co/image/ab67616d0000b273facc0e1669e12f4189589498</v>
      </c>
      <c r="AD69" s="3"/>
      <c r="AE69" s="3"/>
      <c r="AF69" s="3"/>
      <c r="AG69" s="3"/>
      <c r="AH69" s="3"/>
    </row>
    <row r="70" spans="1:34" x14ac:dyDescent="0.3">
      <c r="A70" s="11" t="s">
        <v>865</v>
      </c>
      <c r="B70" s="12" t="s">
        <v>866</v>
      </c>
      <c r="C70" s="12" t="s">
        <v>841</v>
      </c>
      <c r="D70" s="13" t="s">
        <v>842</v>
      </c>
      <c r="E70" s="6">
        <v>2011</v>
      </c>
      <c r="F70" s="3">
        <v>151826</v>
      </c>
      <c r="G70" s="3">
        <v>58</v>
      </c>
      <c r="H70" s="3" t="s">
        <v>6010</v>
      </c>
      <c r="I70" s="3" t="s">
        <v>843</v>
      </c>
      <c r="J70" s="3" t="s">
        <v>844</v>
      </c>
      <c r="K70" s="3" t="s">
        <v>845</v>
      </c>
      <c r="L70" s="3">
        <v>0.19400000000000001</v>
      </c>
      <c r="M70" s="3">
        <v>0.376</v>
      </c>
      <c r="N70" s="3">
        <v>4</v>
      </c>
      <c r="O70" s="8">
        <v>-11356</v>
      </c>
      <c r="P70" s="3">
        <v>1</v>
      </c>
      <c r="Q70" s="3">
        <v>4.6300000000000001E-2</v>
      </c>
      <c r="R70" s="3">
        <v>0.11</v>
      </c>
      <c r="S70" s="3">
        <v>0.38600000000000001</v>
      </c>
      <c r="T70" s="3">
        <v>0.59299999999999997</v>
      </c>
      <c r="U70" s="3">
        <v>7.2300000000000003E-2</v>
      </c>
      <c r="V70" s="8">
        <v>48637</v>
      </c>
      <c r="W70" s="3">
        <v>3</v>
      </c>
      <c r="X70" s="3" t="str">
        <f t="shared" si="8"/>
        <v>-SADNE-</v>
      </c>
      <c r="Y70" s="3" t="str">
        <f t="shared" si="9"/>
        <v>-SLOWSS-</v>
      </c>
      <c r="Z70" s="4" t="str">
        <f t="shared" si="10"/>
        <v>{"couname":"My Tears Are Becoming A Sea","img":"https://i.scdn.co/image/ab67616d0000b273fff2cb485c36a6d8f639bdba","pty":"58","artist":"M83","genres":"indietronica","duration":"151826","spotId":"1Fwj0wThn3kTg8D7KgWdsU","Items":["-SADNE-","-SLOWSS-","","","GN_FrenchElectro"]},</v>
      </c>
      <c r="AA70" s="5" t="s">
        <v>6100</v>
      </c>
      <c r="AB70" s="3" t="str">
        <f t="shared" si="11"/>
        <v>["-SADNE-","-SLOWSS-","","","GN_FrenchElectro"]</v>
      </c>
      <c r="AC70" s="3" t="str">
        <f>_xlfn.XLOOKUP(A70,Album!A:A,Album!J:J)</f>
        <v>https://i.scdn.co/image/ab67616d0000b273fff2cb485c36a6d8f639bdba</v>
      </c>
      <c r="AD70" s="3"/>
      <c r="AE70" s="3"/>
      <c r="AF70" s="3"/>
      <c r="AG70" s="3"/>
      <c r="AH70" s="3"/>
    </row>
    <row r="71" spans="1:34" x14ac:dyDescent="0.3">
      <c r="A71" s="11" t="s">
        <v>1030</v>
      </c>
      <c r="B71" s="12" t="s">
        <v>6008</v>
      </c>
      <c r="C71" s="12" t="s">
        <v>1018</v>
      </c>
      <c r="D71" s="13" t="s">
        <v>3348</v>
      </c>
      <c r="E71" s="6">
        <v>40779</v>
      </c>
      <c r="F71" s="3">
        <v>194840</v>
      </c>
      <c r="G71" s="3">
        <v>58</v>
      </c>
      <c r="H71" s="3" t="s">
        <v>6009</v>
      </c>
      <c r="I71" s="3" t="s">
        <v>1013</v>
      </c>
      <c r="J71" s="3" t="s">
        <v>1019</v>
      </c>
      <c r="K71" s="3" t="s">
        <v>83</v>
      </c>
      <c r="L71" s="3">
        <v>0.66600000000000004</v>
      </c>
      <c r="M71" s="3">
        <v>0.876</v>
      </c>
      <c r="N71" s="3">
        <v>3</v>
      </c>
      <c r="O71" s="8">
        <v>-3078</v>
      </c>
      <c r="P71" s="3">
        <v>1</v>
      </c>
      <c r="Q71" s="3">
        <v>4.1399999999999999E-2</v>
      </c>
      <c r="R71" s="3">
        <v>5.5E-2</v>
      </c>
      <c r="S71" s="3">
        <v>0</v>
      </c>
      <c r="T71" s="3">
        <v>0.25900000000000001</v>
      </c>
      <c r="U71" s="3">
        <v>0.55200000000000005</v>
      </c>
      <c r="V71" s="8">
        <v>129884</v>
      </c>
      <c r="W71" s="3">
        <v>4</v>
      </c>
      <c r="X71" s="3" t="str">
        <f t="shared" si="8"/>
        <v>-HAPPY-</v>
      </c>
      <c r="Y71" s="3" t="str">
        <f t="shared" si="9"/>
        <v>-ENERGY-</v>
      </c>
      <c r="Z71" s="4" t="str">
        <f t="shared" si="10"/>
        <v>{"couname":"Where Them Girls At","img":"https://i.scdn.co/image/ab67616d0000b273bd5ba80ea2ad342e488ba54d","pty":"58","artist":"David Guetta, Flo Rida, Nicki Minaj","genres":"edm,dance","duration":"194840","spotId":"7yO48FWUkqsrdxrwkGcnwl","Items":["-HAPPY-","-ENERGY-","","","GN_FrenchElectro"]},</v>
      </c>
      <c r="AA71" s="5" t="s">
        <v>6100</v>
      </c>
      <c r="AB71" s="3" t="str">
        <f t="shared" si="11"/>
        <v>["-HAPPY-","-ENERGY-","","","GN_FrenchElectro"]</v>
      </c>
      <c r="AC71" s="3" t="str">
        <f>_xlfn.XLOOKUP(A71,Album!A:A,Album!J:J)</f>
        <v>https://i.scdn.co/image/ab67616d0000b273bd5ba80ea2ad342e488ba54d</v>
      </c>
      <c r="AD71" s="3"/>
      <c r="AE71" s="3"/>
      <c r="AF71" s="3"/>
      <c r="AG71" s="3"/>
      <c r="AH71" s="3"/>
    </row>
    <row r="72" spans="1:34" x14ac:dyDescent="0.3">
      <c r="A72" s="11" t="s">
        <v>1110</v>
      </c>
      <c r="B72" s="12" t="s">
        <v>1111</v>
      </c>
      <c r="C72" s="12" t="s">
        <v>1111</v>
      </c>
      <c r="D72" s="13" t="s">
        <v>3498</v>
      </c>
      <c r="E72" s="6">
        <v>43153</v>
      </c>
      <c r="F72" s="3">
        <v>202500</v>
      </c>
      <c r="G72" s="3">
        <v>58</v>
      </c>
      <c r="H72" s="3" t="s">
        <v>6007</v>
      </c>
      <c r="I72" s="3" t="s">
        <v>1013</v>
      </c>
      <c r="J72" s="3" t="s">
        <v>1112</v>
      </c>
      <c r="K72" s="3" t="s">
        <v>83</v>
      </c>
      <c r="L72" s="3">
        <v>0.63500000000000001</v>
      </c>
      <c r="M72" s="3">
        <v>0.9</v>
      </c>
      <c r="N72" s="3">
        <v>0</v>
      </c>
      <c r="O72" s="8">
        <v>-3719</v>
      </c>
      <c r="P72" s="3">
        <v>0</v>
      </c>
      <c r="Q72" s="3">
        <v>3.7699999999999997E-2</v>
      </c>
      <c r="R72" s="3">
        <v>6.6400000000000001E-3</v>
      </c>
      <c r="S72" s="3">
        <v>1.4500000000000001E-2</v>
      </c>
      <c r="T72" s="3">
        <v>0.37</v>
      </c>
      <c r="U72" s="3">
        <v>0.15</v>
      </c>
      <c r="V72" s="8">
        <v>127978</v>
      </c>
      <c r="W72" s="3">
        <v>4</v>
      </c>
      <c r="X72" s="3" t="str">
        <f t="shared" si="8"/>
        <v>-SADNE-</v>
      </c>
      <c r="Y72" s="3" t="str">
        <f t="shared" si="9"/>
        <v>-ENERGY-</v>
      </c>
      <c r="Z72" s="4" t="str">
        <f t="shared" si="10"/>
        <v>{"couname":"Like I Do","img":"https://i.scdn.co/image/ab67616d0000b273734eb0ed1bd80aeed903f30b","pty":"58","artist":"David Guetta, Martin Garrix, Brooks","genres":"edm,dance,electrónica,house progresivo,future house","duration":"202500","spotId":"6RnkFd8Fqqgk1Uni8RgqCQ","Items":["-SADNE-","-ENERGY-","","","GN_FrenchElectro"]},</v>
      </c>
      <c r="AA72" s="5" t="s">
        <v>6100</v>
      </c>
      <c r="AB72" s="3" t="str">
        <f t="shared" si="11"/>
        <v>["-SADNE-","-ENERGY-","","","GN_FrenchElectro"]</v>
      </c>
      <c r="AC72" s="3" t="str">
        <f>_xlfn.XLOOKUP(A72,Album!A:A,Album!J:J)</f>
        <v>https://i.scdn.co/image/ab67616d0000b273734eb0ed1bd80aeed903f30b</v>
      </c>
      <c r="AD72" s="3"/>
      <c r="AE72" s="3"/>
      <c r="AF72" s="3"/>
      <c r="AG72" s="3"/>
      <c r="AH72" s="3"/>
    </row>
    <row r="73" spans="1:34" x14ac:dyDescent="0.3">
      <c r="A73" s="11" t="s">
        <v>1349</v>
      </c>
      <c r="B73" s="12" t="s">
        <v>1350</v>
      </c>
      <c r="C73" s="12" t="s">
        <v>1335</v>
      </c>
      <c r="D73" s="13" t="s">
        <v>1345</v>
      </c>
      <c r="E73" s="6">
        <v>35811</v>
      </c>
      <c r="F73" s="3">
        <v>426614</v>
      </c>
      <c r="G73" s="3">
        <v>58</v>
      </c>
      <c r="H73" s="3" t="s">
        <v>6006</v>
      </c>
      <c r="I73" s="3" t="s">
        <v>1336</v>
      </c>
      <c r="J73" s="3" t="s">
        <v>1337</v>
      </c>
      <c r="K73" s="3" t="s">
        <v>83</v>
      </c>
      <c r="L73" s="3">
        <v>0.48899999999999999</v>
      </c>
      <c r="M73" s="3">
        <v>0.73499999999999999</v>
      </c>
      <c r="N73" s="3">
        <v>6</v>
      </c>
      <c r="O73" s="8">
        <v>-8238</v>
      </c>
      <c r="P73" s="3">
        <v>0</v>
      </c>
      <c r="Q73" s="3">
        <v>3.4500000000000003E-2</v>
      </c>
      <c r="R73" s="3">
        <v>0.52900000000000003</v>
      </c>
      <c r="S73" s="3">
        <v>0.68600000000000005</v>
      </c>
      <c r="T73" s="3">
        <v>0.42199999999999999</v>
      </c>
      <c r="U73" s="3">
        <v>0.52800000000000002</v>
      </c>
      <c r="V73" s="8">
        <v>159716</v>
      </c>
      <c r="W73" s="3">
        <v>4</v>
      </c>
      <c r="X73" s="3" t="str">
        <f t="shared" si="8"/>
        <v>-HAPPY-</v>
      </c>
      <c r="Y73" s="3" t="str">
        <f t="shared" si="9"/>
        <v>-ENERGY-</v>
      </c>
      <c r="Z73" s="4" t="str">
        <f t="shared" si="10"/>
        <v>{"couname":"La femme d'argent","img":"https://i.scdn.co/image/ab67616d0000b2731216e4f7e84af70ef18146ed","pty":"58","artist":"Air","genres":"trip hop,downtempo,house francés","duration":"426614","spotId":"3ZzhV6JIDKWvWR7wiKWD0C","Items":["-HAPPY-","-ENERGY-","","","GN_FrenchElectro"]},</v>
      </c>
      <c r="AA73" s="5" t="s">
        <v>6100</v>
      </c>
      <c r="AB73" s="3" t="str">
        <f t="shared" si="11"/>
        <v>["-HAPPY-","-ENERGY-","","","GN_FrenchElectro"]</v>
      </c>
      <c r="AC73" s="3" t="str">
        <f>_xlfn.XLOOKUP(A73,Album!A:A,Album!J:J)</f>
        <v>https://i.scdn.co/image/ab67616d0000b2731216e4f7e84af70ef18146ed</v>
      </c>
      <c r="AD73" s="3"/>
      <c r="AE73" s="3"/>
      <c r="AF73" s="3"/>
      <c r="AG73" s="3"/>
      <c r="AH73" s="3"/>
    </row>
    <row r="74" spans="1:34" x14ac:dyDescent="0.3">
      <c r="A74" s="11" t="s">
        <v>1485</v>
      </c>
      <c r="B74" s="12" t="s">
        <v>1486</v>
      </c>
      <c r="C74" s="12" t="s">
        <v>1479</v>
      </c>
      <c r="D74" s="13" t="s">
        <v>1487</v>
      </c>
      <c r="E74" s="6">
        <v>43671</v>
      </c>
      <c r="F74" s="3">
        <v>194490</v>
      </c>
      <c r="G74" s="3">
        <v>58</v>
      </c>
      <c r="H74" s="3" t="s">
        <v>6005</v>
      </c>
      <c r="I74" s="3" t="s">
        <v>1463</v>
      </c>
      <c r="J74" s="3"/>
      <c r="K74" s="3" t="s">
        <v>1476</v>
      </c>
      <c r="L74" s="3">
        <v>0.60199999999999998</v>
      </c>
      <c r="M74" s="3">
        <v>0.89200000000000002</v>
      </c>
      <c r="N74" s="3">
        <v>10</v>
      </c>
      <c r="O74" s="8">
        <v>-3.66</v>
      </c>
      <c r="P74" s="3">
        <v>0</v>
      </c>
      <c r="Q74" s="3">
        <v>6.7199999999999996E-2</v>
      </c>
      <c r="R74" s="3">
        <v>3.9300000000000001E-4</v>
      </c>
      <c r="S74" s="3">
        <v>0.81599999999999995</v>
      </c>
      <c r="T74" s="3">
        <v>0.30399999999999999</v>
      </c>
      <c r="U74" s="3">
        <v>0.56999999999999995</v>
      </c>
      <c r="V74" s="8">
        <v>102047</v>
      </c>
      <c r="W74" s="3">
        <v>4</v>
      </c>
      <c r="X74" s="3" t="str">
        <f t="shared" si="8"/>
        <v>-HAPPY-</v>
      </c>
      <c r="Y74" s="3" t="str">
        <f t="shared" si="9"/>
        <v>-ENERGY-</v>
      </c>
      <c r="Z74" s="4" t="str">
        <f t="shared" si="10"/>
        <v>{"couname":"Magenta Riddim","img":"https://i.scdn.co/image/ab67616d0000b273caf82abb2338880577e472be","pty":"58","artist":"DJ Snake","genres":"","duration":"194490","spotId":"3dsyqPDiWYYilRZNBxgxHE","Items":["-HAPPY-","-ENERGY-","","","GN_FrenchElectro"]},</v>
      </c>
      <c r="AA74" s="5" t="s">
        <v>6100</v>
      </c>
      <c r="AB74" s="3" t="str">
        <f t="shared" si="11"/>
        <v>["-HAPPY-","-ENERGY-","","","GN_FrenchElectro"]</v>
      </c>
      <c r="AC74" s="3" t="str">
        <f>_xlfn.XLOOKUP(A74,Album!A:A,Album!J:J)</f>
        <v>https://i.scdn.co/image/ab67616d0000b273caf82abb2338880577e472be</v>
      </c>
      <c r="AD74" s="3"/>
      <c r="AE74" s="3"/>
      <c r="AF74" s="3"/>
      <c r="AG74" s="3"/>
      <c r="AH74" s="3"/>
    </row>
    <row r="75" spans="1:34" x14ac:dyDescent="0.3">
      <c r="A75" s="11" t="s">
        <v>1944</v>
      </c>
      <c r="B75" s="12" t="s">
        <v>6003</v>
      </c>
      <c r="C75" s="12" t="s">
        <v>1922</v>
      </c>
      <c r="D75" s="13" t="s">
        <v>4757</v>
      </c>
      <c r="E75" s="6">
        <v>41414</v>
      </c>
      <c r="F75" s="3">
        <v>251293</v>
      </c>
      <c r="G75" s="3">
        <v>58</v>
      </c>
      <c r="H75" s="3" t="s">
        <v>6004</v>
      </c>
      <c r="I75" s="3" t="s">
        <v>1809</v>
      </c>
      <c r="J75" s="3" t="s">
        <v>1946</v>
      </c>
      <c r="K75" s="3" t="s">
        <v>84</v>
      </c>
      <c r="L75" s="3">
        <v>0.80400000000000005</v>
      </c>
      <c r="M75" s="3">
        <v>0.45100000000000001</v>
      </c>
      <c r="N75" s="3">
        <v>6</v>
      </c>
      <c r="O75" s="8">
        <v>-8207</v>
      </c>
      <c r="P75" s="3">
        <v>1</v>
      </c>
      <c r="Q75" s="3">
        <v>9.4899999999999998E-2</v>
      </c>
      <c r="R75" s="3">
        <v>0.38800000000000001</v>
      </c>
      <c r="S75" s="3">
        <v>2.1699999999999999E-5</v>
      </c>
      <c r="T75" s="3">
        <v>9.2399999999999996E-2</v>
      </c>
      <c r="U75" s="3">
        <v>0.19</v>
      </c>
      <c r="V75" s="8">
        <v>178061</v>
      </c>
      <c r="W75" s="3">
        <v>4</v>
      </c>
      <c r="X75" s="3" t="str">
        <f t="shared" si="8"/>
        <v>-SADNE-</v>
      </c>
      <c r="Y75" s="3" t="str">
        <f t="shared" si="9"/>
        <v>-ENERGY-</v>
      </c>
      <c r="Z75" s="4" t="str">
        <f t="shared" si="10"/>
        <v>{"couname":"Doin' it Right","img":"https://i.scdn.co/image/ab67616d0000b2739b9b36b0e22870b9f542d937","pty":"58","artist":"Daft Punk, Panda Bear","genres":"house francés,electrónica,electro,pop psicodélico","duration":"251293","spotId":"36c4JohayB9qd64eidQMBi","Items":["-SADNE-","-ENERGY-","","","GN_FrenchElectro"]},</v>
      </c>
      <c r="AA75" s="5" t="s">
        <v>6100</v>
      </c>
      <c r="AB75" s="3" t="str">
        <f t="shared" si="11"/>
        <v>["-SADNE-","-ENERGY-","","","GN_FrenchElectro"]</v>
      </c>
      <c r="AC75" s="3" t="str">
        <f>_xlfn.XLOOKUP(A75,Album!A:A,Album!J:J)</f>
        <v>https://i.scdn.co/image/ab67616d0000b2739b9b36b0e22870b9f542d937</v>
      </c>
      <c r="AD75" s="3"/>
      <c r="AE75" s="3"/>
      <c r="AF75" s="3"/>
      <c r="AG75" s="3"/>
      <c r="AH75" s="3"/>
    </row>
    <row r="76" spans="1:34" x14ac:dyDescent="0.3">
      <c r="A76" s="11" t="s">
        <v>900</v>
      </c>
      <c r="B76" s="12" t="s">
        <v>901</v>
      </c>
      <c r="C76" s="12" t="s">
        <v>902</v>
      </c>
      <c r="D76" s="13" t="s">
        <v>6002</v>
      </c>
      <c r="E76" s="6">
        <v>41373</v>
      </c>
      <c r="F76" s="3">
        <v>356674</v>
      </c>
      <c r="G76" s="3">
        <v>57</v>
      </c>
      <c r="H76" s="3" t="s">
        <v>6001</v>
      </c>
      <c r="I76" s="3" t="s">
        <v>889</v>
      </c>
      <c r="J76" s="3" t="s">
        <v>903</v>
      </c>
      <c r="K76" s="3" t="s">
        <v>904</v>
      </c>
      <c r="L76" s="3">
        <v>0.39900000000000002</v>
      </c>
      <c r="M76" s="3">
        <v>0.61199999999999999</v>
      </c>
      <c r="N76" s="3">
        <v>4</v>
      </c>
      <c r="O76" s="8">
        <v>-7814</v>
      </c>
      <c r="P76" s="3">
        <v>0</v>
      </c>
      <c r="Q76" s="3">
        <v>3.5799999999999998E-2</v>
      </c>
      <c r="R76" s="3">
        <v>3.1700000000000001E-3</v>
      </c>
      <c r="S76" s="3">
        <v>0.33</v>
      </c>
      <c r="T76" s="3">
        <v>0.127</v>
      </c>
      <c r="U76" s="3">
        <v>5.67E-2</v>
      </c>
      <c r="V76" s="8">
        <v>128167</v>
      </c>
      <c r="W76" s="3">
        <v>4</v>
      </c>
      <c r="X76" s="3" t="str">
        <f t="shared" si="8"/>
        <v>-SADNE-</v>
      </c>
      <c r="Y76" s="3" t="str">
        <f t="shared" si="9"/>
        <v>-ENERGY-</v>
      </c>
      <c r="Z76" s="4" t="str">
        <f t="shared" si="10"/>
        <v>{"couname":"Oblivion","img":"https://i.scdn.co/image/ab67616d0000b273c574dc72611d61885ac9669a","pty":"57","artist":"M83, Susanne Sundfør","genres":"indietronica,pop noruego,art pop","duration":"356674","spotId":"79npfYK6N5RnBc1jiaoHCr","Items":["-SADNE-","-ENERGY-","","","GN_FrenchElectro"]},</v>
      </c>
      <c r="AA76" s="5" t="s">
        <v>6100</v>
      </c>
      <c r="AB76" s="3" t="str">
        <f t="shared" si="11"/>
        <v>["-SADNE-","-ENERGY-","","","GN_FrenchElectro"]</v>
      </c>
      <c r="AC76" s="3" t="str">
        <f>_xlfn.XLOOKUP(A76,Album!A:A,Album!J:J)</f>
        <v>https://i.scdn.co/image/ab67616d0000b273c574dc72611d61885ac9669a</v>
      </c>
      <c r="AD76" s="3"/>
      <c r="AE76" s="3"/>
      <c r="AF76" s="3"/>
      <c r="AG76" s="3"/>
      <c r="AH76" s="3"/>
    </row>
    <row r="77" spans="1:34" x14ac:dyDescent="0.3">
      <c r="A77" s="11" t="s">
        <v>1072</v>
      </c>
      <c r="B77" s="12" t="s">
        <v>5999</v>
      </c>
      <c r="C77" s="12" t="s">
        <v>1022</v>
      </c>
      <c r="D77" s="13" t="s">
        <v>3432</v>
      </c>
      <c r="E77" s="6">
        <v>40504</v>
      </c>
      <c r="F77" s="3">
        <v>201040</v>
      </c>
      <c r="G77" s="3">
        <v>57</v>
      </c>
      <c r="H77" s="3" t="s">
        <v>6000</v>
      </c>
      <c r="I77" s="3" t="s">
        <v>1013</v>
      </c>
      <c r="J77" s="3" t="s">
        <v>1019</v>
      </c>
      <c r="K77" s="3" t="s">
        <v>83</v>
      </c>
      <c r="L77" s="3">
        <v>0.67500000000000004</v>
      </c>
      <c r="M77" s="3">
        <v>0.60199999999999998</v>
      </c>
      <c r="N77" s="3">
        <v>11</v>
      </c>
      <c r="O77" s="8">
        <v>-4733</v>
      </c>
      <c r="P77" s="3">
        <v>0</v>
      </c>
      <c r="Q77" s="3">
        <v>0.11600000000000001</v>
      </c>
      <c r="R77" s="3">
        <v>3.7699999999999999E-3</v>
      </c>
      <c r="S77" s="3">
        <v>0</v>
      </c>
      <c r="T77" s="3">
        <v>4.58E-2</v>
      </c>
      <c r="U77" s="3">
        <v>0.93300000000000005</v>
      </c>
      <c r="V77" s="8">
        <v>127938</v>
      </c>
      <c r="W77" s="3">
        <v>4</v>
      </c>
      <c r="X77" s="3" t="str">
        <f t="shared" si="8"/>
        <v>-HAPPY-</v>
      </c>
      <c r="Y77" s="3" t="str">
        <f t="shared" si="9"/>
        <v>-ENERGY-</v>
      </c>
      <c r="Z77" s="4" t="str">
        <f t="shared" si="10"/>
        <v>{"couname":"Who's That Chick?","img":"https://i.scdn.co/image/ab67616d0000b273f45c50e7cff5f2376c1e36ea","pty":"57","artist":"David Guetta, Rihanna","genres":"edm,dance","duration":"201040","spotId":"6qUSs4FDzZUdAhY6JDIJfa","Items":["-HAPPY-","-ENERGY-","","","GN_FrenchElectro"]},</v>
      </c>
      <c r="AA77" s="5" t="s">
        <v>6100</v>
      </c>
      <c r="AB77" s="3" t="str">
        <f t="shared" si="11"/>
        <v>["-HAPPY-","-ENERGY-","","","GN_FrenchElectro"]</v>
      </c>
      <c r="AC77" s="3" t="str">
        <f>_xlfn.XLOOKUP(A77,Album!A:A,Album!J:J)</f>
        <v>https://i.scdn.co/image/ab67616d0000b273f45c50e7cff5f2376c1e36ea</v>
      </c>
      <c r="AD77" s="3"/>
      <c r="AE77" s="3"/>
      <c r="AF77" s="3"/>
      <c r="AG77" s="3"/>
      <c r="AH77" s="3"/>
    </row>
    <row r="78" spans="1:34" x14ac:dyDescent="0.3">
      <c r="A78" s="11" t="s">
        <v>1506</v>
      </c>
      <c r="B78" s="12" t="s">
        <v>1507</v>
      </c>
      <c r="C78" s="12" t="s">
        <v>1508</v>
      </c>
      <c r="D78" s="13" t="s">
        <v>4126</v>
      </c>
      <c r="E78" s="6">
        <v>41934</v>
      </c>
      <c r="F78" s="3">
        <v>212773</v>
      </c>
      <c r="G78" s="3">
        <v>57</v>
      </c>
      <c r="H78" s="3" t="s">
        <v>5998</v>
      </c>
      <c r="I78" s="3" t="s">
        <v>1463</v>
      </c>
      <c r="J78" s="3" t="s">
        <v>1509</v>
      </c>
      <c r="K78" s="3" t="s">
        <v>84</v>
      </c>
      <c r="L78" s="3">
        <v>0.67400000000000004</v>
      </c>
      <c r="M78" s="3">
        <v>0.93200000000000005</v>
      </c>
      <c r="N78" s="3">
        <v>11</v>
      </c>
      <c r="O78" s="8">
        <v>-4424</v>
      </c>
      <c r="P78" s="3">
        <v>0</v>
      </c>
      <c r="Q78" s="3">
        <v>8.5900000000000004E-2</v>
      </c>
      <c r="R78" s="3">
        <v>2.8199999999999999E-2</v>
      </c>
      <c r="S78" s="3">
        <v>0.71</v>
      </c>
      <c r="T78" s="3">
        <v>0.68400000000000005</v>
      </c>
      <c r="U78" s="3">
        <v>0.72799999999999998</v>
      </c>
      <c r="V78" s="8">
        <v>101033</v>
      </c>
      <c r="W78" s="3">
        <v>4</v>
      </c>
      <c r="X78" s="3" t="str">
        <f t="shared" si="8"/>
        <v>-HAPPY-</v>
      </c>
      <c r="Y78" s="3" t="str">
        <f t="shared" si="9"/>
        <v>-ENERGY-</v>
      </c>
      <c r="Z78" s="4" t="str">
        <f t="shared" si="10"/>
        <v>{"couname":"Get Low","img":"https://i.scdn.co/image/ab67616d0000b273483536d7340f3b68c19b637c","pty":"57","artist":"Dillon Francis, DJ Snake","genres":"moombahton,edm,electro house","duration":"212773","spotId":"3oZoXyU0SkDldgS7AcN4y4","Items":["-HAPPY-","-ENERGY-","","","GN_FrenchElectro"]},</v>
      </c>
      <c r="AA78" s="5" t="s">
        <v>6100</v>
      </c>
      <c r="AB78" s="3" t="str">
        <f t="shared" si="11"/>
        <v>["-HAPPY-","-ENERGY-","","","GN_FrenchElectro"]</v>
      </c>
      <c r="AC78" s="3" t="str">
        <f>_xlfn.XLOOKUP(A78,Album!A:A,Album!J:J)</f>
        <v>https://i.scdn.co/image/ab67616d0000b273483536d7340f3b68c19b637c</v>
      </c>
      <c r="AD78" s="3"/>
      <c r="AE78" s="3"/>
      <c r="AF78" s="3"/>
      <c r="AG78" s="3"/>
      <c r="AH78" s="3"/>
    </row>
    <row r="79" spans="1:34" x14ac:dyDescent="0.3">
      <c r="A79" s="11" t="s">
        <v>1941</v>
      </c>
      <c r="B79" s="12" t="s">
        <v>5996</v>
      </c>
      <c r="C79" s="12" t="s">
        <v>1922</v>
      </c>
      <c r="D79" s="13" t="s">
        <v>4753</v>
      </c>
      <c r="E79" s="6">
        <v>41414</v>
      </c>
      <c r="F79" s="3">
        <v>279773</v>
      </c>
      <c r="G79" s="3">
        <v>57</v>
      </c>
      <c r="H79" s="3" t="s">
        <v>5997</v>
      </c>
      <c r="I79" s="3" t="s">
        <v>1809</v>
      </c>
      <c r="J79" s="3" t="s">
        <v>1943</v>
      </c>
      <c r="K79" s="3" t="s">
        <v>84</v>
      </c>
      <c r="L79" s="3">
        <v>0.80700000000000005</v>
      </c>
      <c r="M79" s="3">
        <v>0.51</v>
      </c>
      <c r="N79" s="3">
        <v>0</v>
      </c>
      <c r="O79" s="8">
        <v>-9729</v>
      </c>
      <c r="P79" s="3">
        <v>1</v>
      </c>
      <c r="Q79" s="3">
        <v>4.3299999999999998E-2</v>
      </c>
      <c r="R79" s="3">
        <v>4.1000000000000002E-2</v>
      </c>
      <c r="S79" s="3">
        <v>0.115</v>
      </c>
      <c r="T79" s="3">
        <v>0.104</v>
      </c>
      <c r="U79" s="3">
        <v>0.96099999999999997</v>
      </c>
      <c r="V79" s="8">
        <v>130118</v>
      </c>
      <c r="W79" s="3">
        <v>4</v>
      </c>
      <c r="X79" s="3" t="str">
        <f t="shared" si="8"/>
        <v>-HAPPY-</v>
      </c>
      <c r="Y79" s="3" t="str">
        <f t="shared" si="9"/>
        <v>-ENERGY-</v>
      </c>
      <c r="Z79" s="4" t="str">
        <f t="shared" si="10"/>
        <v>{"couname":"Fragments of Time","img":"https://i.scdn.co/image/ab67616d0000b2739b9b36b0e22870b9f542d937","pty":"57","artist":"Daft Punk, Todd Edwards","genres":"house francés,electrónica,electro,uk garage","duration":"279773","spotId":"0IedgQjjJ8Ad4B3UDQ5Lyn","Items":["-HAPPY-","-ENERGY-","","","GN_FrenchElectro"]},</v>
      </c>
      <c r="AA79" s="5" t="s">
        <v>6100</v>
      </c>
      <c r="AB79" s="3" t="str">
        <f t="shared" si="11"/>
        <v>["-HAPPY-","-ENERGY-","","","GN_FrenchElectro"]</v>
      </c>
      <c r="AC79" s="3" t="str">
        <f>_xlfn.XLOOKUP(A79,Album!A:A,Album!J:J)</f>
        <v>https://i.scdn.co/image/ab67616d0000b2739b9b36b0e22870b9f542d937</v>
      </c>
      <c r="AD79" s="3"/>
      <c r="AE79" s="3"/>
      <c r="AF79" s="3"/>
      <c r="AG79" s="3"/>
      <c r="AH79" s="3"/>
    </row>
    <row r="80" spans="1:34" x14ac:dyDescent="0.3">
      <c r="A80" s="11" t="s">
        <v>460</v>
      </c>
      <c r="B80" s="12" t="s">
        <v>461</v>
      </c>
      <c r="C80" s="12" t="s">
        <v>461</v>
      </c>
      <c r="D80" s="13" t="s">
        <v>2525</v>
      </c>
      <c r="E80" s="6">
        <v>45688</v>
      </c>
      <c r="F80" s="3">
        <v>159636</v>
      </c>
      <c r="G80" s="3">
        <v>56</v>
      </c>
      <c r="H80" s="3" t="s">
        <v>5995</v>
      </c>
      <c r="I80" s="3" t="s">
        <v>462</v>
      </c>
      <c r="J80" s="3" t="s">
        <v>463</v>
      </c>
      <c r="K80" s="3" t="s">
        <v>464</v>
      </c>
      <c r="L80" s="3">
        <v>0.76900000000000002</v>
      </c>
      <c r="M80" s="3">
        <v>0.878</v>
      </c>
      <c r="N80" s="3">
        <v>9</v>
      </c>
      <c r="O80" s="8">
        <v>-9549</v>
      </c>
      <c r="P80" s="3">
        <v>1</v>
      </c>
      <c r="Q80" s="3">
        <v>4.6199999999999998E-2</v>
      </c>
      <c r="R80" s="3">
        <v>5.28E-3</v>
      </c>
      <c r="S80" s="3">
        <v>0.879</v>
      </c>
      <c r="T80" s="3">
        <v>0.11799999999999999</v>
      </c>
      <c r="U80" s="3">
        <v>0.37</v>
      </c>
      <c r="V80" s="8">
        <v>124.01</v>
      </c>
      <c r="W80" s="3">
        <v>4</v>
      </c>
      <c r="X80" s="3" t="str">
        <f t="shared" si="8"/>
        <v>-HAPPY-</v>
      </c>
      <c r="Y80" s="3" t="str">
        <f t="shared" si="9"/>
        <v>-ENERGY-</v>
      </c>
      <c r="Z80" s="4" t="str">
        <f t="shared" si="10"/>
        <v>{"couname":"Take It Easy on Me","img":"https://i.scdn.co/image/ab67616d0000b27338f27a9b574b0bd8fef586c5","pty":"56","artist":"Bob Sinclar, Michael Ekow","genres":"house francés,disco house","duration":"159636","spotId":"62aj6pzjrfimmXIMWHMYiU","Items":["-HAPPY-","-ENERGY-","","","GN_FrenchElectro"]},</v>
      </c>
      <c r="AA80" s="5" t="s">
        <v>6100</v>
      </c>
      <c r="AB80" s="3" t="str">
        <f t="shared" si="11"/>
        <v>["-HAPPY-","-ENERGY-","","","GN_FrenchElectro"]</v>
      </c>
      <c r="AC80" s="3" t="str">
        <f>_xlfn.XLOOKUP(A80,Album!A:A,Album!J:J)</f>
        <v>https://i.scdn.co/image/ab67616d0000b27338f27a9b574b0bd8fef586c5</v>
      </c>
      <c r="AD80" s="3"/>
      <c r="AE80" s="3"/>
      <c r="AF80" s="3"/>
      <c r="AG80" s="3"/>
      <c r="AH80" s="3"/>
    </row>
    <row r="81" spans="1:34" x14ac:dyDescent="0.3">
      <c r="A81" s="11" t="s">
        <v>1038</v>
      </c>
      <c r="B81" s="12" t="s">
        <v>5993</v>
      </c>
      <c r="C81" s="12" t="s">
        <v>1040</v>
      </c>
      <c r="D81" s="13" t="s">
        <v>3366</v>
      </c>
      <c r="E81" s="6">
        <v>42335</v>
      </c>
      <c r="F81" s="3">
        <v>193333</v>
      </c>
      <c r="G81" s="3">
        <v>56</v>
      </c>
      <c r="H81" s="3" t="s">
        <v>5994</v>
      </c>
      <c r="I81" s="3" t="s">
        <v>1013</v>
      </c>
      <c r="J81" s="3" t="s">
        <v>1019</v>
      </c>
      <c r="K81" s="3" t="s">
        <v>83</v>
      </c>
      <c r="L81" s="3">
        <v>0.59899999999999998</v>
      </c>
      <c r="M81" s="3">
        <v>0.86899999999999999</v>
      </c>
      <c r="N81" s="3">
        <v>0</v>
      </c>
      <c r="O81" s="8">
        <v>-3697</v>
      </c>
      <c r="P81" s="3">
        <v>1</v>
      </c>
      <c r="Q81" s="3">
        <v>7.8899999999999998E-2</v>
      </c>
      <c r="R81" s="3">
        <v>5.2499999999999998E-2</v>
      </c>
      <c r="S81" s="3">
        <v>7.1900000000000002E-3</v>
      </c>
      <c r="T81" s="3">
        <v>0.10299999999999999</v>
      </c>
      <c r="U81" s="3">
        <v>0.59299999999999997</v>
      </c>
      <c r="V81" s="8">
        <v>108061</v>
      </c>
      <c r="W81" s="3">
        <v>4</v>
      </c>
      <c r="X81" s="3" t="str">
        <f t="shared" si="8"/>
        <v>-HAPPY-</v>
      </c>
      <c r="Y81" s="3" t="str">
        <f t="shared" si="9"/>
        <v>-ENERGY-</v>
      </c>
      <c r="Z81" s="4" t="str">
        <f t="shared" si="10"/>
        <v>{"couname":"Bang My Head","img":"https://i.scdn.co/image/ab67616d0000b273048f37d7b1bba62b93f1009a","pty":"56","artist":"David Guetta, Fetty Wap, Sia","genres":"edm,dance","duration":"193333","spotId":"53Y0kdCa1CZ9gRqEuknfwy","Items":["-HAPPY-","-ENERGY-","","","GN_FrenchElectro"]},</v>
      </c>
      <c r="AA81" s="5" t="s">
        <v>6100</v>
      </c>
      <c r="AB81" s="3" t="str">
        <f t="shared" si="11"/>
        <v>["-HAPPY-","-ENERGY-","","","GN_FrenchElectro"]</v>
      </c>
      <c r="AC81" s="3" t="str">
        <f>_xlfn.XLOOKUP(A81,Album!A:A,Album!J:J)</f>
        <v>https://i.scdn.co/image/ab67616d0000b273048f37d7b1bba62b93f1009a</v>
      </c>
      <c r="AD81" s="3"/>
      <c r="AE81" s="3"/>
      <c r="AF81" s="3"/>
      <c r="AG81" s="3"/>
      <c r="AH81" s="3"/>
    </row>
    <row r="82" spans="1:34" x14ac:dyDescent="0.3">
      <c r="A82" s="11" t="s">
        <v>1121</v>
      </c>
      <c r="B82" s="12" t="s">
        <v>1122</v>
      </c>
      <c r="C82" s="12" t="s">
        <v>1122</v>
      </c>
      <c r="D82" s="13" t="s">
        <v>3524</v>
      </c>
      <c r="E82" s="6">
        <v>45443</v>
      </c>
      <c r="F82" s="3">
        <v>166917</v>
      </c>
      <c r="G82" s="3">
        <v>56</v>
      </c>
      <c r="H82" s="3" t="s">
        <v>5992</v>
      </c>
      <c r="I82" s="3" t="s">
        <v>1013</v>
      </c>
      <c r="J82" s="3" t="s">
        <v>1019</v>
      </c>
      <c r="K82" s="3" t="s">
        <v>1123</v>
      </c>
      <c r="L82" s="3">
        <v>0.93700000000000006</v>
      </c>
      <c r="M82" s="3">
        <v>0.751</v>
      </c>
      <c r="N82" s="3">
        <v>11</v>
      </c>
      <c r="O82" s="8">
        <v>-5636</v>
      </c>
      <c r="P82" s="3">
        <v>0</v>
      </c>
      <c r="Q82" s="3">
        <v>0.246</v>
      </c>
      <c r="R82" s="3">
        <v>0.14099999999999999</v>
      </c>
      <c r="S82" s="3">
        <v>3.0700000000000002E-2</v>
      </c>
      <c r="T82" s="3">
        <v>6.0400000000000002E-2</v>
      </c>
      <c r="U82" s="3">
        <v>0.54100000000000004</v>
      </c>
      <c r="V82" s="8">
        <v>133032</v>
      </c>
      <c r="W82" s="3">
        <v>4</v>
      </c>
      <c r="X82" s="3" t="str">
        <f t="shared" si="8"/>
        <v>-HAPPY-</v>
      </c>
      <c r="Y82" s="3" t="str">
        <f t="shared" si="9"/>
        <v>-ENERGY-</v>
      </c>
      <c r="Z82" s="4" t="str">
        <f t="shared" si="10"/>
        <v>{"couname":"Kill The Vibe","img":"https://i.scdn.co/image/ab67616d0000b273ba501719e79c545683ddf93d","pty":"56","artist":"David Guetta, MORTEN, Prophecy","genres":"edm,dance","duration":"166917","spotId":"4Mw1vqYfDWL2d8dJLWFYQp","Items":["-HAPPY-","-ENERGY-","","","GN_FrenchElectro"]},</v>
      </c>
      <c r="AA82" s="5" t="s">
        <v>6100</v>
      </c>
      <c r="AB82" s="3" t="str">
        <f t="shared" si="11"/>
        <v>["-HAPPY-","-ENERGY-","","","GN_FrenchElectro"]</v>
      </c>
      <c r="AC82" s="3" t="str">
        <f>_xlfn.XLOOKUP(A82,Album!A:A,Album!J:J)</f>
        <v>https://i.scdn.co/image/ab67616d0000b273ba501719e79c545683ddf93d</v>
      </c>
      <c r="AD82" s="3"/>
      <c r="AE82" s="3"/>
      <c r="AF82" s="3"/>
      <c r="AG82" s="3"/>
      <c r="AH82" s="3"/>
    </row>
    <row r="83" spans="1:34" x14ac:dyDescent="0.3">
      <c r="A83" s="11" t="s">
        <v>1976</v>
      </c>
      <c r="B83" s="12" t="s">
        <v>5990</v>
      </c>
      <c r="C83" s="12" t="s">
        <v>1978</v>
      </c>
      <c r="D83" s="13" t="s">
        <v>4791</v>
      </c>
      <c r="E83" s="6">
        <v>45058</v>
      </c>
      <c r="F83" s="3">
        <v>239213</v>
      </c>
      <c r="G83" s="3">
        <v>56</v>
      </c>
      <c r="H83" s="3" t="s">
        <v>5991</v>
      </c>
      <c r="I83" s="3" t="s">
        <v>1809</v>
      </c>
      <c r="J83" s="3" t="s">
        <v>1810</v>
      </c>
      <c r="K83" s="3" t="s">
        <v>1979</v>
      </c>
      <c r="L83" s="3">
        <v>0.63600000000000001</v>
      </c>
      <c r="M83" s="3">
        <v>0.63400000000000001</v>
      </c>
      <c r="N83" s="3">
        <v>1</v>
      </c>
      <c r="O83" s="8">
        <v>-10532</v>
      </c>
      <c r="P83" s="3">
        <v>1</v>
      </c>
      <c r="Q83" s="3">
        <v>5.3100000000000001E-2</v>
      </c>
      <c r="R83" s="3">
        <v>0.111</v>
      </c>
      <c r="S83" s="3">
        <v>0.63500000000000001</v>
      </c>
      <c r="T83" s="3">
        <v>0.60899999999999999</v>
      </c>
      <c r="U83" s="3">
        <v>0.189</v>
      </c>
      <c r="V83" s="8">
        <v>110039</v>
      </c>
      <c r="W83" s="3">
        <v>4</v>
      </c>
      <c r="X83" s="3" t="str">
        <f t="shared" si="8"/>
        <v>-SADNE-</v>
      </c>
      <c r="Y83" s="3" t="str">
        <f t="shared" si="9"/>
        <v>-ENERGY-</v>
      </c>
      <c r="Z83" s="4" t="str">
        <f t="shared" si="10"/>
        <v>{"couname":"Infinity Repeating","img":"https://i.scdn.co/image/ab67616d0000b2733c196ec7c5344d654ff552e9","pty":"56","artist":"Daft Punk, Julian Casablancas, The Voidz","genres":"house francés,electrónica,electro","duration":"239213","spotId":"4r4fX4NZIqVIhGyDvERp0l","Items":["-SADNE-","-ENERGY-","","","GN_FrenchElectro"]},</v>
      </c>
      <c r="AA83" s="5" t="s">
        <v>6100</v>
      </c>
      <c r="AB83" s="3" t="str">
        <f t="shared" si="11"/>
        <v>["-SADNE-","-ENERGY-","","","GN_FrenchElectro"]</v>
      </c>
      <c r="AC83" s="3" t="str">
        <f>_xlfn.XLOOKUP(A83,Album!A:A,Album!J:J)</f>
        <v>https://i.scdn.co/image/ab67616d0000b2733c196ec7c5344d654ff552e9</v>
      </c>
      <c r="AD83" s="3"/>
      <c r="AE83" s="3"/>
      <c r="AF83" s="3"/>
      <c r="AG83" s="3"/>
      <c r="AH83" s="3"/>
    </row>
    <row r="84" spans="1:34" x14ac:dyDescent="0.3">
      <c r="A84" s="11" t="s">
        <v>1059</v>
      </c>
      <c r="B84" s="12" t="s">
        <v>5988</v>
      </c>
      <c r="C84" s="12" t="s">
        <v>1018</v>
      </c>
      <c r="D84" s="13" t="s">
        <v>3404</v>
      </c>
      <c r="E84" s="6">
        <v>40779</v>
      </c>
      <c r="F84" s="3">
        <v>208133</v>
      </c>
      <c r="G84" s="3">
        <v>55</v>
      </c>
      <c r="H84" s="3" t="s">
        <v>5989</v>
      </c>
      <c r="I84" s="3" t="s">
        <v>1013</v>
      </c>
      <c r="J84" s="3" t="s">
        <v>1061</v>
      </c>
      <c r="K84" s="3" t="s">
        <v>83</v>
      </c>
      <c r="L84" s="3">
        <v>0.60799999999999998</v>
      </c>
      <c r="M84" s="3">
        <v>0.61399999999999999</v>
      </c>
      <c r="N84" s="3">
        <v>2</v>
      </c>
      <c r="O84" s="8">
        <v>-3727</v>
      </c>
      <c r="P84" s="3">
        <v>1</v>
      </c>
      <c r="Q84" s="3">
        <v>2.8500000000000001E-2</v>
      </c>
      <c r="R84" s="3">
        <v>0.22700000000000001</v>
      </c>
      <c r="S84" s="3">
        <v>4.0600000000000001E-6</v>
      </c>
      <c r="T84" s="3">
        <v>0.157</v>
      </c>
      <c r="U84" s="3">
        <v>0.40200000000000002</v>
      </c>
      <c r="V84" s="8">
        <v>127884</v>
      </c>
      <c r="W84" s="3">
        <v>4</v>
      </c>
      <c r="X84" s="3" t="str">
        <f t="shared" si="8"/>
        <v>-HAPPY-</v>
      </c>
      <c r="Y84" s="3" t="str">
        <f t="shared" si="9"/>
        <v>-ENERGY-</v>
      </c>
      <c r="Z84" s="4" t="str">
        <f t="shared" si="10"/>
        <v>{"couname":"Without You","img":"https://i.scdn.co/image/ab67616d0000b273bd5ba80ea2ad342e488ba54d","pty":"55","artist":"David Guetta, USHER","genres":"edm,dance,r&amp;b","duration":"208133","spotId":"5VAKwJzAJgpysx7FL9W6MJ","Items":["-HAPPY-","-ENERGY-","","","GN_FrenchElectro"]},</v>
      </c>
      <c r="AA84" s="5" t="s">
        <v>6100</v>
      </c>
      <c r="AB84" s="3" t="str">
        <f t="shared" si="11"/>
        <v>["-HAPPY-","-ENERGY-","","","GN_FrenchElectro"]</v>
      </c>
      <c r="AC84" s="3" t="str">
        <f>_xlfn.XLOOKUP(A84,Album!A:A,Album!J:J)</f>
        <v>https://i.scdn.co/image/ab67616d0000b273bd5ba80ea2ad342e488ba54d</v>
      </c>
      <c r="AD84" s="3"/>
      <c r="AE84" s="3"/>
      <c r="AF84" s="3"/>
      <c r="AG84" s="3"/>
      <c r="AH84" s="3"/>
    </row>
    <row r="85" spans="1:34" x14ac:dyDescent="0.3">
      <c r="A85" s="11" t="s">
        <v>1070</v>
      </c>
      <c r="B85" s="12" t="s">
        <v>5986</v>
      </c>
      <c r="C85" s="12" t="s">
        <v>1022</v>
      </c>
      <c r="D85" s="13" t="s">
        <v>3428</v>
      </c>
      <c r="E85" s="6">
        <v>40504</v>
      </c>
      <c r="F85" s="3">
        <v>191000</v>
      </c>
      <c r="G85" s="3">
        <v>55</v>
      </c>
      <c r="H85" s="3" t="s">
        <v>5987</v>
      </c>
      <c r="I85" s="3" t="s">
        <v>1013</v>
      </c>
      <c r="J85" s="3" t="s">
        <v>1019</v>
      </c>
      <c r="K85" s="3" t="s">
        <v>83</v>
      </c>
      <c r="L85" s="3">
        <v>0.67500000000000004</v>
      </c>
      <c r="M85" s="3">
        <v>0.86199999999999999</v>
      </c>
      <c r="N85" s="3">
        <v>11</v>
      </c>
      <c r="O85" s="8">
        <v>-4614</v>
      </c>
      <c r="P85" s="3">
        <v>1</v>
      </c>
      <c r="Q85" s="3">
        <v>2.53E-2</v>
      </c>
      <c r="R85" s="3">
        <v>1.6500000000000001E-2</v>
      </c>
      <c r="S85" s="3">
        <v>4.2700000000000002E-4</v>
      </c>
      <c r="T85" s="3">
        <v>0.16900000000000001</v>
      </c>
      <c r="U85" s="3">
        <v>0.498</v>
      </c>
      <c r="V85" s="8">
        <v>129967</v>
      </c>
      <c r="W85" s="3">
        <v>4</v>
      </c>
      <c r="X85" s="3" t="str">
        <f t="shared" si="8"/>
        <v>-HAPPY-</v>
      </c>
      <c r="Y85" s="3" t="str">
        <f t="shared" si="9"/>
        <v>-ENERGY-</v>
      </c>
      <c r="Z85" s="4" t="str">
        <f t="shared" si="10"/>
        <v>{"couname":"When Love Takes Over","img":"https://i.scdn.co/image/ab67616d0000b273f45c50e7cff5f2376c1e36ea","pty":"55","artist":"David Guetta, Kelly Rowland","genres":"edm,dance","duration":"191000","spotId":"1hRFVIy9As8OVRk8B7CrD5","Items":["-HAPPY-","-ENERGY-","","","GN_FrenchElectro"]},</v>
      </c>
      <c r="AA85" s="5" t="s">
        <v>6100</v>
      </c>
      <c r="AB85" s="3" t="str">
        <f t="shared" si="11"/>
        <v>["-HAPPY-","-ENERGY-","","","GN_FrenchElectro"]</v>
      </c>
      <c r="AC85" s="3" t="str">
        <f>_xlfn.XLOOKUP(A85,Album!A:A,Album!J:J)</f>
        <v>https://i.scdn.co/image/ab67616d0000b273f45c50e7cff5f2376c1e36ea</v>
      </c>
      <c r="AD85" s="3"/>
      <c r="AE85" s="3"/>
      <c r="AF85" s="3"/>
      <c r="AG85" s="3"/>
      <c r="AH85" s="3"/>
    </row>
    <row r="86" spans="1:34" x14ac:dyDescent="0.3">
      <c r="A86" s="11" t="s">
        <v>1342</v>
      </c>
      <c r="B86" s="12" t="s">
        <v>1343</v>
      </c>
      <c r="C86" s="12" t="s">
        <v>1344</v>
      </c>
      <c r="D86" s="13" t="s">
        <v>1345</v>
      </c>
      <c r="E86" s="6">
        <v>38012</v>
      </c>
      <c r="F86" s="3">
        <v>219760</v>
      </c>
      <c r="G86" s="3">
        <v>55</v>
      </c>
      <c r="H86" s="3" t="s">
        <v>5985</v>
      </c>
      <c r="I86" s="3" t="s">
        <v>1336</v>
      </c>
      <c r="J86" s="3" t="s">
        <v>1337</v>
      </c>
      <c r="K86" s="3" t="s">
        <v>83</v>
      </c>
      <c r="L86" s="3">
        <v>0.436</v>
      </c>
      <c r="M86" s="3">
        <v>0.76</v>
      </c>
      <c r="N86" s="3">
        <v>1</v>
      </c>
      <c r="O86" s="8">
        <v>-7906</v>
      </c>
      <c r="P86" s="3">
        <v>0</v>
      </c>
      <c r="Q86" s="3">
        <v>3.7400000000000003E-2</v>
      </c>
      <c r="R86" s="3">
        <v>0.36199999999999999</v>
      </c>
      <c r="S86" s="3">
        <v>0.95499999999999996</v>
      </c>
      <c r="T86" s="3">
        <v>0.13</v>
      </c>
      <c r="U86" s="3">
        <v>0.504</v>
      </c>
      <c r="V86" s="8">
        <v>75012</v>
      </c>
      <c r="W86" s="3">
        <v>4</v>
      </c>
      <c r="X86" s="3" t="str">
        <f t="shared" si="8"/>
        <v>-HAPPY-</v>
      </c>
      <c r="Y86" s="3" t="str">
        <f t="shared" si="9"/>
        <v>-ENERGY-</v>
      </c>
      <c r="Z86" s="4" t="str">
        <f t="shared" si="10"/>
        <v>{"couname":"Cherry Blossom Girl","img":"https://i.scdn.co/image/ab67616d0000b2736400fab74f28e90759ac8815","pty":"55","artist":"Air","genres":"trip hop,downtempo,house francés","duration":"219760","spotId":"4m8ttWM8IKXyhpv89E867J","Items":["-HAPPY-","-ENERGY-","","","GN_FrenchElectro"]},</v>
      </c>
      <c r="AA86" s="5" t="s">
        <v>6100</v>
      </c>
      <c r="AB86" s="3" t="str">
        <f t="shared" si="11"/>
        <v>["-HAPPY-","-ENERGY-","","","GN_FrenchElectro"]</v>
      </c>
      <c r="AC86" s="3" t="str">
        <f>_xlfn.XLOOKUP(A86,Album!A:A,Album!J:J)</f>
        <v>https://i.scdn.co/image/ab67616d0000b2736400fab74f28e90759ac8815</v>
      </c>
      <c r="AD86" s="3"/>
      <c r="AE86" s="3"/>
      <c r="AF86" s="3"/>
      <c r="AG86" s="3"/>
      <c r="AH86" s="3"/>
    </row>
    <row r="87" spans="1:34" x14ac:dyDescent="0.3">
      <c r="A87" s="11" t="s">
        <v>1351</v>
      </c>
      <c r="B87" s="12" t="s">
        <v>1352</v>
      </c>
      <c r="C87" s="12" t="s">
        <v>1340</v>
      </c>
      <c r="D87" s="13" t="s">
        <v>1345</v>
      </c>
      <c r="E87" s="6">
        <v>36581</v>
      </c>
      <c r="F87" s="3">
        <v>161500</v>
      </c>
      <c r="G87" s="3">
        <v>55</v>
      </c>
      <c r="H87" s="3" t="s">
        <v>5984</v>
      </c>
      <c r="I87" s="3" t="s">
        <v>1336</v>
      </c>
      <c r="J87" s="3" t="s">
        <v>1337</v>
      </c>
      <c r="K87" s="3" t="s">
        <v>1341</v>
      </c>
      <c r="L87" s="3">
        <v>0.46300000000000002</v>
      </c>
      <c r="M87" s="3">
        <v>0.188</v>
      </c>
      <c r="N87" s="3">
        <v>1</v>
      </c>
      <c r="O87" s="8">
        <v>-14995</v>
      </c>
      <c r="P87" s="3">
        <v>0</v>
      </c>
      <c r="Q87" s="3">
        <v>2.9600000000000001E-2</v>
      </c>
      <c r="R87" s="3">
        <v>0.94399999999999995</v>
      </c>
      <c r="S87" s="3">
        <v>0.97299999999999998</v>
      </c>
      <c r="T87" s="3">
        <v>0.23400000000000001</v>
      </c>
      <c r="U87" s="3">
        <v>5.04E-2</v>
      </c>
      <c r="V87" s="8">
        <v>130061</v>
      </c>
      <c r="W87" s="3">
        <v>4</v>
      </c>
      <c r="X87" s="3" t="str">
        <f t="shared" si="8"/>
        <v>-SADNE-</v>
      </c>
      <c r="Y87" s="3" t="str">
        <f t="shared" si="9"/>
        <v>-SLOWSS-</v>
      </c>
      <c r="Z87" s="4" t="str">
        <f t="shared" si="10"/>
        <v>{"couname":"Highschool Lover","img":"https://i.scdn.co/image/ab67616d0000b2735e3c18f342d16b0b4df04df2","pty":"55","artist":"Air","genres":"trip hop,downtempo,house francés","duration":"161500","spotId":"366QpkppDb9f5TVamPSpgH","Items":["-SADNE-","-SLOWSS-","","","GN_FrenchElectro"]},</v>
      </c>
      <c r="AA87" s="5" t="s">
        <v>6100</v>
      </c>
      <c r="AB87" s="3" t="str">
        <f t="shared" si="11"/>
        <v>["-SADNE-","-SLOWSS-","","","GN_FrenchElectro"]</v>
      </c>
      <c r="AC87" s="3" t="str">
        <f>_xlfn.XLOOKUP(A87,Album!A:A,Album!J:J)</f>
        <v>https://i.scdn.co/image/ab67616d0000b2735e3c18f342d16b0b4df04df2</v>
      </c>
      <c r="AD87" s="3"/>
      <c r="AE87" s="3"/>
      <c r="AF87" s="3"/>
      <c r="AG87" s="3"/>
      <c r="AH87" s="3"/>
    </row>
    <row r="88" spans="1:34" x14ac:dyDescent="0.3">
      <c r="A88" s="11" t="s">
        <v>1851</v>
      </c>
      <c r="B88" s="12" t="s">
        <v>1852</v>
      </c>
      <c r="C88" s="12" t="s">
        <v>1844</v>
      </c>
      <c r="D88" s="13" t="s">
        <v>9</v>
      </c>
      <c r="E88" s="6">
        <v>36962</v>
      </c>
      <c r="F88" s="3">
        <v>211640</v>
      </c>
      <c r="G88" s="3">
        <v>55</v>
      </c>
      <c r="H88" s="3" t="s">
        <v>5983</v>
      </c>
      <c r="I88" s="3" t="s">
        <v>1809</v>
      </c>
      <c r="J88" s="3" t="s">
        <v>1810</v>
      </c>
      <c r="K88" s="3" t="s">
        <v>1811</v>
      </c>
      <c r="L88" s="3">
        <v>0.69699999999999995</v>
      </c>
      <c r="M88" s="3">
        <v>0.75</v>
      </c>
      <c r="N88" s="3">
        <v>5</v>
      </c>
      <c r="O88" s="8">
        <v>-8503</v>
      </c>
      <c r="P88" s="3">
        <v>0</v>
      </c>
      <c r="Q88" s="3">
        <v>7.2099999999999997E-2</v>
      </c>
      <c r="R88" s="3">
        <v>3.5000000000000001E-3</v>
      </c>
      <c r="S88" s="3">
        <v>0.92200000000000004</v>
      </c>
      <c r="T88" s="3">
        <v>8.8900000000000007E-2</v>
      </c>
      <c r="U88" s="3">
        <v>0.93700000000000006</v>
      </c>
      <c r="V88" s="8">
        <v>124048</v>
      </c>
      <c r="W88" s="3">
        <v>4</v>
      </c>
      <c r="X88" s="3" t="str">
        <f t="shared" si="8"/>
        <v>-HAPPY-</v>
      </c>
      <c r="Y88" s="3" t="str">
        <f t="shared" si="9"/>
        <v>-ENERGY-</v>
      </c>
      <c r="Z88" s="4" t="str">
        <f t="shared" si="10"/>
        <v>{"couname":"Crescendolls","img":"https://i.scdn.co/image/ab67616d0000b2732c25dad9f8fd54652f7ba5df","pty":"55","artist":"Daft Punk","genres":"house francés,electrónica,electro","duration":"211640","spotId":"6vuPZX9fWESg5js2JFTQRJ","Items":["-HAPPY-","-ENERGY-","","","GN_FrenchElectro"]},</v>
      </c>
      <c r="AA88" s="5" t="s">
        <v>6100</v>
      </c>
      <c r="AB88" s="3" t="str">
        <f t="shared" si="11"/>
        <v>["-HAPPY-","-ENERGY-","","","GN_FrenchElectro"]</v>
      </c>
      <c r="AC88" s="3" t="str">
        <f>_xlfn.XLOOKUP(A88,Album!A:A,Album!J:J)</f>
        <v>https://i.scdn.co/image/ab67616d0000b2732c25dad9f8fd54652f7ba5df</v>
      </c>
      <c r="AD88" s="3"/>
      <c r="AE88" s="3"/>
      <c r="AF88" s="3"/>
      <c r="AG88" s="3"/>
      <c r="AH88" s="3"/>
    </row>
    <row r="89" spans="1:34" x14ac:dyDescent="0.3">
      <c r="A89" s="11" t="s">
        <v>1933</v>
      </c>
      <c r="B89" s="12" t="s">
        <v>5981</v>
      </c>
      <c r="C89" s="12" t="s">
        <v>1922</v>
      </c>
      <c r="D89" s="13" t="s">
        <v>4741</v>
      </c>
      <c r="E89" s="6">
        <v>41414</v>
      </c>
      <c r="F89" s="3">
        <v>498960</v>
      </c>
      <c r="G89" s="3">
        <v>55</v>
      </c>
      <c r="H89" s="3" t="s">
        <v>5982</v>
      </c>
      <c r="I89" s="3" t="s">
        <v>1809</v>
      </c>
      <c r="J89" s="3" t="s">
        <v>1810</v>
      </c>
      <c r="K89" s="3" t="s">
        <v>84</v>
      </c>
      <c r="L89" s="3">
        <v>0.28999999999999998</v>
      </c>
      <c r="M89" s="3">
        <v>0.41199999999999998</v>
      </c>
      <c r="N89" s="3">
        <v>6</v>
      </c>
      <c r="O89" s="8">
        <v>-12659</v>
      </c>
      <c r="P89" s="3">
        <v>0</v>
      </c>
      <c r="Q89" s="3">
        <v>4.58E-2</v>
      </c>
      <c r="R89" s="3">
        <v>0.47699999999999998</v>
      </c>
      <c r="S89" s="3">
        <v>8.3900000000000002E-2</v>
      </c>
      <c r="T89" s="3">
        <v>7.9000000000000001E-2</v>
      </c>
      <c r="U89" s="3">
        <v>0.12</v>
      </c>
      <c r="V89" s="8">
        <v>90539</v>
      </c>
      <c r="W89" s="3">
        <v>4</v>
      </c>
      <c r="X89" s="3" t="str">
        <f t="shared" si="8"/>
        <v>-SADNE-</v>
      </c>
      <c r="Y89" s="3" t="str">
        <f t="shared" si="9"/>
        <v>-SLOWSS-</v>
      </c>
      <c r="Z89" s="4" t="str">
        <f t="shared" si="10"/>
        <v>{"couname":"Touch","img":"https://i.scdn.co/image/ab67616d0000b2739b9b36b0e22870b9f542d937","pty":"55","artist":"Daft Punk, Paul Williams","genres":"house francés,electrónica,electro","duration":"498960","spotId":"7oaEjLP2dTJLJsITbAxTOz","Items":["-SADNE-","-SLOWSS-","","","GN_FrenchElectro"]},</v>
      </c>
      <c r="AA89" s="5" t="s">
        <v>6100</v>
      </c>
      <c r="AB89" s="3" t="str">
        <f t="shared" si="11"/>
        <v>["-SADNE-","-SLOWSS-","","","GN_FrenchElectro"]</v>
      </c>
      <c r="AC89" s="3" t="str">
        <f>_xlfn.XLOOKUP(A89,Album!A:A,Album!J:J)</f>
        <v>https://i.scdn.co/image/ab67616d0000b2739b9b36b0e22870b9f542d937</v>
      </c>
      <c r="AD89" s="3"/>
      <c r="AE89" s="3"/>
      <c r="AF89" s="3"/>
      <c r="AG89" s="3"/>
      <c r="AH89" s="3"/>
    </row>
    <row r="90" spans="1:34" x14ac:dyDescent="0.3">
      <c r="A90" s="11" t="s">
        <v>1128</v>
      </c>
      <c r="B90" s="12" t="s">
        <v>5979</v>
      </c>
      <c r="C90" s="12" t="s">
        <v>1130</v>
      </c>
      <c r="D90" s="13" t="s">
        <v>3536</v>
      </c>
      <c r="E90" s="6">
        <v>41666</v>
      </c>
      <c r="F90" s="3">
        <v>191412</v>
      </c>
      <c r="G90" s="3">
        <v>54</v>
      </c>
      <c r="H90" s="3" t="s">
        <v>5980</v>
      </c>
      <c r="I90" s="3" t="s">
        <v>1013</v>
      </c>
      <c r="J90" s="3" t="s">
        <v>1019</v>
      </c>
      <c r="K90" s="3" t="s">
        <v>83</v>
      </c>
      <c r="L90" s="3">
        <v>0.34699999999999998</v>
      </c>
      <c r="M90" s="3">
        <v>0.77200000000000002</v>
      </c>
      <c r="N90" s="3">
        <v>5</v>
      </c>
      <c r="O90" s="8">
        <v>-4359</v>
      </c>
      <c r="P90" s="3">
        <v>0</v>
      </c>
      <c r="Q90" s="3">
        <v>5.4899999999999997E-2</v>
      </c>
      <c r="R90" s="3">
        <v>5.9700000000000003E-2</v>
      </c>
      <c r="S90" s="3">
        <v>3.3300000000000003E-2</v>
      </c>
      <c r="T90" s="3">
        <v>0.115</v>
      </c>
      <c r="U90" s="3">
        <v>3.5000000000000003E-2</v>
      </c>
      <c r="V90" s="8">
        <v>192118</v>
      </c>
      <c r="W90" s="3">
        <v>3</v>
      </c>
      <c r="X90" s="3" t="str">
        <f t="shared" si="8"/>
        <v>-SADNE-</v>
      </c>
      <c r="Y90" s="3" t="str">
        <f t="shared" si="9"/>
        <v>-ENERGY-</v>
      </c>
      <c r="Z90" s="4" t="str">
        <f t="shared" si="10"/>
        <v>{"couname":"Shot Me Down","img":"https://i.scdn.co/image/ab67616d0000b27380e995cb3e392b143c57983b","pty":"54","artist":"David Guetta, Skylar Grey","genres":"edm,dance","duration":"191412","spotId":"7qfwcqfGOkQYtzjF4UzJHM","Items":["-SADNE-","-ENERGY-","","","GN_FrenchElectro"]},</v>
      </c>
      <c r="AA90" s="5" t="s">
        <v>6100</v>
      </c>
      <c r="AB90" s="3" t="str">
        <f t="shared" si="11"/>
        <v>["-SADNE-","-ENERGY-","","","GN_FrenchElectro"]</v>
      </c>
      <c r="AC90" s="3" t="str">
        <f>_xlfn.XLOOKUP(A90,Album!A:A,Album!J:J)</f>
        <v>https://i.scdn.co/image/ab67616d0000b27380e995cb3e392b143c57983b</v>
      </c>
      <c r="AD90" s="3"/>
      <c r="AE90" s="3"/>
      <c r="AF90" s="3"/>
      <c r="AG90" s="3"/>
      <c r="AH90" s="3"/>
    </row>
    <row r="91" spans="1:34" x14ac:dyDescent="0.3">
      <c r="A91" s="11" t="s">
        <v>1164</v>
      </c>
      <c r="B91" s="12" t="s">
        <v>1165</v>
      </c>
      <c r="C91" s="12" t="s">
        <v>1165</v>
      </c>
      <c r="D91" s="13" t="s">
        <v>3614</v>
      </c>
      <c r="E91" s="6">
        <v>43504</v>
      </c>
      <c r="F91" s="3">
        <v>192402</v>
      </c>
      <c r="G91" s="3">
        <v>54</v>
      </c>
      <c r="H91" s="3" t="s">
        <v>5978</v>
      </c>
      <c r="I91" s="3" t="s">
        <v>1013</v>
      </c>
      <c r="J91" s="3" t="s">
        <v>1166</v>
      </c>
      <c r="K91" s="3" t="s">
        <v>83</v>
      </c>
      <c r="L91" s="3">
        <v>0.64700000000000002</v>
      </c>
      <c r="M91" s="3">
        <v>0.79500000000000004</v>
      </c>
      <c r="N91" s="3">
        <v>1</v>
      </c>
      <c r="O91" s="8">
        <v>-3548</v>
      </c>
      <c r="P91" s="3">
        <v>0</v>
      </c>
      <c r="Q91" s="3">
        <v>3.7199999999999997E-2</v>
      </c>
      <c r="R91" s="3">
        <v>6.3500000000000001E-2</v>
      </c>
      <c r="S91" s="3">
        <v>0</v>
      </c>
      <c r="T91" s="3">
        <v>0.188</v>
      </c>
      <c r="U91" s="3">
        <v>0.40899999999999997</v>
      </c>
      <c r="V91" s="8">
        <v>127992</v>
      </c>
      <c r="W91" s="3">
        <v>4</v>
      </c>
      <c r="X91" s="3" t="str">
        <f t="shared" si="8"/>
        <v>-HAPPY-</v>
      </c>
      <c r="Y91" s="3" t="str">
        <f t="shared" si="9"/>
        <v>-ENERGY-</v>
      </c>
      <c r="Z91" s="4" t="str">
        <f t="shared" si="10"/>
        <v>{"couname":"Better When You're Gone","img":"https://i.scdn.co/image/ab67616d0000b2733b9662b667e21cbbaf8565bd","pty":"54","artist":"David Guetta, Brooks, Loote","genres":"edm,dance,future house","duration":"192402","spotId":"4Tvw0lweq9l2JPQKFbpbBQ","Items":["-HAPPY-","-ENERGY-","","","GN_FrenchElectro"]},</v>
      </c>
      <c r="AA91" s="5" t="s">
        <v>6100</v>
      </c>
      <c r="AB91" s="3" t="str">
        <f t="shared" si="11"/>
        <v>["-HAPPY-","-ENERGY-","","","GN_FrenchElectro"]</v>
      </c>
      <c r="AC91" s="3" t="str">
        <f>_xlfn.XLOOKUP(A91,Album!A:A,Album!J:J)</f>
        <v>https://i.scdn.co/image/ab67616d0000b2733b9662b667e21cbbaf8565bd</v>
      </c>
      <c r="AD91" s="3"/>
      <c r="AE91" s="3"/>
      <c r="AF91" s="3"/>
      <c r="AG91" s="3"/>
      <c r="AH91" s="3"/>
    </row>
    <row r="92" spans="1:34" x14ac:dyDescent="0.3">
      <c r="A92" s="11" t="s">
        <v>1170</v>
      </c>
      <c r="B92" s="12" t="s">
        <v>5976</v>
      </c>
      <c r="C92" s="12" t="s">
        <v>1171</v>
      </c>
      <c r="D92" s="13" t="s">
        <v>3626</v>
      </c>
      <c r="E92" s="6">
        <v>43336</v>
      </c>
      <c r="F92" s="3">
        <v>195419</v>
      </c>
      <c r="G92" s="3">
        <v>54</v>
      </c>
      <c r="H92" s="3" t="s">
        <v>5977</v>
      </c>
      <c r="I92" s="3" t="s">
        <v>1013</v>
      </c>
      <c r="J92" s="3" t="s">
        <v>1019</v>
      </c>
      <c r="K92" s="3" t="s">
        <v>1172</v>
      </c>
      <c r="L92" s="3">
        <v>0.64300000000000002</v>
      </c>
      <c r="M92" s="3">
        <v>0.90400000000000003</v>
      </c>
      <c r="N92" s="3">
        <v>0</v>
      </c>
      <c r="O92" s="8">
        <v>-3694</v>
      </c>
      <c r="P92" s="3">
        <v>1</v>
      </c>
      <c r="Q92" s="3">
        <v>7.3899999999999993E-2</v>
      </c>
      <c r="R92" s="3">
        <v>7.7600000000000002E-2</v>
      </c>
      <c r="S92" s="3">
        <v>0</v>
      </c>
      <c r="T92" s="3">
        <v>0.189</v>
      </c>
      <c r="U92" s="3">
        <v>0.48099999999999998</v>
      </c>
      <c r="V92" s="8">
        <v>103028</v>
      </c>
      <c r="W92" s="3">
        <v>4</v>
      </c>
      <c r="X92" s="3" t="str">
        <f t="shared" si="8"/>
        <v>-HAPPY-</v>
      </c>
      <c r="Y92" s="3" t="str">
        <f t="shared" si="9"/>
        <v>-ENERGY-</v>
      </c>
      <c r="Z92" s="4" t="str">
        <f t="shared" si="10"/>
        <v>{"couname":"Goodbye","img":"https://i.scdn.co/image/ab67616d0000b273af201c81e98ebb30c59b6afb","pty":"54","artist":"Jason Derulo, David Guetta, Nicki Minaj, Willy William","genres":"edm,dance","duration":"195419","spotId":"5Xn4IyTtW6FUGIUyWjbUHG","Items":["-HAPPY-","-ENERGY-","","","GN_FrenchElectro"]},</v>
      </c>
      <c r="AA92" s="5" t="s">
        <v>6100</v>
      </c>
      <c r="AB92" s="3" t="str">
        <f t="shared" si="11"/>
        <v>["-HAPPY-","-ENERGY-","","","GN_FrenchElectro"]</v>
      </c>
      <c r="AC92" s="3" t="str">
        <f>_xlfn.XLOOKUP(A92,Album!A:A,Album!J:J)</f>
        <v>https://i.scdn.co/image/ab67616d0000b273af201c81e98ebb30c59b6afb</v>
      </c>
      <c r="AD92" s="3"/>
      <c r="AE92" s="3"/>
      <c r="AF92" s="3"/>
      <c r="AG92" s="3"/>
      <c r="AH92" s="3"/>
    </row>
    <row r="93" spans="1:34" x14ac:dyDescent="0.3">
      <c r="A93" s="11" t="s">
        <v>1855</v>
      </c>
      <c r="B93" s="12" t="s">
        <v>1856</v>
      </c>
      <c r="C93" s="12" t="s">
        <v>1844</v>
      </c>
      <c r="D93" s="13" t="s">
        <v>9</v>
      </c>
      <c r="E93" s="6">
        <v>36962</v>
      </c>
      <c r="F93" s="3">
        <v>237800</v>
      </c>
      <c r="G93" s="3">
        <v>54</v>
      </c>
      <c r="H93" s="3" t="s">
        <v>5975</v>
      </c>
      <c r="I93" s="3" t="s">
        <v>1809</v>
      </c>
      <c r="J93" s="3" t="s">
        <v>1810</v>
      </c>
      <c r="K93" s="3" t="s">
        <v>1811</v>
      </c>
      <c r="L93" s="3">
        <v>0.61899999999999999</v>
      </c>
      <c r="M93" s="3">
        <v>0.74</v>
      </c>
      <c r="N93" s="3">
        <v>11</v>
      </c>
      <c r="O93" s="8">
        <v>-8204</v>
      </c>
      <c r="P93" s="3">
        <v>0</v>
      </c>
      <c r="Q93" s="3">
        <v>7.8899999999999998E-2</v>
      </c>
      <c r="R93" s="3">
        <v>4.0899999999999999E-3</v>
      </c>
      <c r="S93" s="3">
        <v>3.5599999999999998E-3</v>
      </c>
      <c r="T93" s="3">
        <v>0.10199999999999999</v>
      </c>
      <c r="U93" s="3">
        <v>0.67400000000000004</v>
      </c>
      <c r="V93" s="8">
        <v>140874</v>
      </c>
      <c r="W93" s="3">
        <v>4</v>
      </c>
      <c r="X93" s="3" t="str">
        <f t="shared" si="8"/>
        <v>-HAPPY-</v>
      </c>
      <c r="Y93" s="3" t="str">
        <f t="shared" si="9"/>
        <v>-ENERGY-</v>
      </c>
      <c r="Z93" s="4" t="str">
        <f t="shared" si="10"/>
        <v>{"couname":"Superheroes","img":"https://i.scdn.co/image/ab67616d0000b2732c25dad9f8fd54652f7ba5df","pty":"54","artist":"Daft Punk","genres":"house francés,electrónica,electro","duration":"237800","spotId":"186hvCTyrni4KT9nwIQ7zS","Items":["-HAPPY-","-ENERGY-","","","GN_FrenchElectro"]},</v>
      </c>
      <c r="AA93" s="5" t="s">
        <v>6100</v>
      </c>
      <c r="AB93" s="3" t="str">
        <f t="shared" si="11"/>
        <v>["-HAPPY-","-ENERGY-","","","GN_FrenchElectro"]</v>
      </c>
      <c r="AC93" s="3" t="str">
        <f>_xlfn.XLOOKUP(A93,Album!A:A,Album!J:J)</f>
        <v>https://i.scdn.co/image/ab67616d0000b2732c25dad9f8fd54652f7ba5df</v>
      </c>
      <c r="AD93" s="3"/>
      <c r="AE93" s="3"/>
      <c r="AF93" s="3"/>
      <c r="AG93" s="3"/>
      <c r="AH93" s="3"/>
    </row>
    <row r="94" spans="1:34" x14ac:dyDescent="0.3">
      <c r="A94" s="11" t="s">
        <v>1923</v>
      </c>
      <c r="B94" s="12" t="s">
        <v>1924</v>
      </c>
      <c r="C94" s="12" t="s">
        <v>1922</v>
      </c>
      <c r="D94" s="13" t="s">
        <v>9</v>
      </c>
      <c r="E94" s="6">
        <v>41414</v>
      </c>
      <c r="F94" s="3">
        <v>322146</v>
      </c>
      <c r="G94" s="3">
        <v>54</v>
      </c>
      <c r="H94" s="3" t="s">
        <v>5974</v>
      </c>
      <c r="I94" s="3" t="s">
        <v>1809</v>
      </c>
      <c r="J94" s="3" t="s">
        <v>1810</v>
      </c>
      <c r="K94" s="3" t="s">
        <v>84</v>
      </c>
      <c r="L94" s="3">
        <v>0.71199999999999997</v>
      </c>
      <c r="M94" s="3">
        <v>0.5</v>
      </c>
      <c r="N94" s="3">
        <v>9</v>
      </c>
      <c r="O94" s="8">
        <v>-11948</v>
      </c>
      <c r="P94" s="3">
        <v>0</v>
      </c>
      <c r="Q94" s="3">
        <v>3.3799999999999997E-2</v>
      </c>
      <c r="R94" s="3">
        <v>0.82499999999999996</v>
      </c>
      <c r="S94" s="3">
        <v>0.314</v>
      </c>
      <c r="T94" s="3">
        <v>0.106</v>
      </c>
      <c r="U94" s="3">
        <v>0.68200000000000005</v>
      </c>
      <c r="V94" s="8">
        <v>90039</v>
      </c>
      <c r="W94" s="3">
        <v>4</v>
      </c>
      <c r="X94" s="3" t="str">
        <f t="shared" si="8"/>
        <v>-HAPPY-</v>
      </c>
      <c r="Y94" s="3" t="str">
        <f t="shared" si="9"/>
        <v>-ENERGY-</v>
      </c>
      <c r="Z94" s="4" t="str">
        <f t="shared" si="10"/>
        <v>{"couname":"The Game of Love","img":"https://i.scdn.co/image/ab67616d0000b2739b9b36b0e22870b9f542d937","pty":"54","artist":"Daft Punk","genres":"house francés,electrónica,electro","duration":"322146","spotId":"3ctALmweZBapfBdFiIVpji","Items":["-HAPPY-","-ENERGY-","","","GN_FrenchElectro"]},</v>
      </c>
      <c r="AA94" s="5" t="s">
        <v>6100</v>
      </c>
      <c r="AB94" s="3" t="str">
        <f t="shared" si="11"/>
        <v>["-HAPPY-","-ENERGY-","","","GN_FrenchElectro"]</v>
      </c>
      <c r="AC94" s="3" t="str">
        <f>_xlfn.XLOOKUP(A94,Album!A:A,Album!J:J)</f>
        <v>https://i.scdn.co/image/ab67616d0000b2739b9b36b0e22870b9f542d937</v>
      </c>
      <c r="AD94" s="3"/>
      <c r="AE94" s="3"/>
      <c r="AF94" s="3"/>
      <c r="AG94" s="3"/>
      <c r="AH94" s="3"/>
    </row>
    <row r="95" spans="1:34" x14ac:dyDescent="0.3">
      <c r="A95" s="11" t="s">
        <v>1927</v>
      </c>
      <c r="B95" s="12" t="s">
        <v>1928</v>
      </c>
      <c r="C95" s="12" t="s">
        <v>1922</v>
      </c>
      <c r="D95" s="13" t="s">
        <v>9</v>
      </c>
      <c r="E95" s="6">
        <v>41414</v>
      </c>
      <c r="F95" s="3">
        <v>228506</v>
      </c>
      <c r="G95" s="3">
        <v>54</v>
      </c>
      <c r="H95" s="3" t="s">
        <v>5973</v>
      </c>
      <c r="I95" s="3" t="s">
        <v>1809</v>
      </c>
      <c r="J95" s="3" t="s">
        <v>1810</v>
      </c>
      <c r="K95" s="3" t="s">
        <v>84</v>
      </c>
      <c r="L95" s="3">
        <v>0.70199999999999996</v>
      </c>
      <c r="M95" s="3">
        <v>0.29699999999999999</v>
      </c>
      <c r="N95" s="3">
        <v>10</v>
      </c>
      <c r="O95" s="8">
        <v>-14116</v>
      </c>
      <c r="P95" s="3">
        <v>0</v>
      </c>
      <c r="Q95" s="3">
        <v>3.1699999999999999E-2</v>
      </c>
      <c r="R95" s="3">
        <v>0.89400000000000002</v>
      </c>
      <c r="S95" s="3">
        <v>0.48499999999999999</v>
      </c>
      <c r="T95" s="3">
        <v>0.10299999999999999</v>
      </c>
      <c r="U95" s="3">
        <v>6.7599999999999993E-2</v>
      </c>
      <c r="V95" s="8">
        <v>110116</v>
      </c>
      <c r="W95" s="3">
        <v>4</v>
      </c>
      <c r="X95" s="3" t="str">
        <f t="shared" si="8"/>
        <v>-SADNE-</v>
      </c>
      <c r="Y95" s="3" t="str">
        <f t="shared" si="9"/>
        <v>-ENERGY-</v>
      </c>
      <c r="Z95" s="4" t="str">
        <f t="shared" si="10"/>
        <v>{"couname":"Within","img":"https://i.scdn.co/image/ab67616d0000b2739b9b36b0e22870b9f542d937","pty":"54","artist":"Daft Punk","genres":"house francés,electrónica,electro","duration":"228506","spotId":"7Bxv0WL7UC6WwQpk9TzdMJ","Items":["-SADNE-","-ENERGY-","","","GN_FrenchElectro"]},</v>
      </c>
      <c r="AA95" s="5" t="s">
        <v>6100</v>
      </c>
      <c r="AB95" s="3" t="str">
        <f t="shared" si="11"/>
        <v>["-SADNE-","-ENERGY-","","","GN_FrenchElectro"]</v>
      </c>
      <c r="AC95" s="3" t="str">
        <f>_xlfn.XLOOKUP(A95,Album!A:A,Album!J:J)</f>
        <v>https://i.scdn.co/image/ab67616d0000b2739b9b36b0e22870b9f542d937</v>
      </c>
      <c r="AD95" s="3"/>
      <c r="AE95" s="3"/>
      <c r="AF95" s="3"/>
      <c r="AG95" s="3"/>
      <c r="AH95" s="3"/>
    </row>
    <row r="96" spans="1:34" x14ac:dyDescent="0.3">
      <c r="A96" s="11" t="s">
        <v>1958</v>
      </c>
      <c r="B96" s="12" t="s">
        <v>1959</v>
      </c>
      <c r="C96" s="12" t="s">
        <v>1951</v>
      </c>
      <c r="D96" s="13" t="s">
        <v>9</v>
      </c>
      <c r="E96" s="6">
        <v>39405</v>
      </c>
      <c r="F96" s="3">
        <v>342626</v>
      </c>
      <c r="G96" s="3">
        <v>54</v>
      </c>
      <c r="H96" s="3" t="s">
        <v>5972</v>
      </c>
      <c r="I96" s="3" t="s">
        <v>1809</v>
      </c>
      <c r="J96" s="3" t="s">
        <v>1810</v>
      </c>
      <c r="K96" s="3" t="s">
        <v>1811</v>
      </c>
      <c r="L96" s="3">
        <v>0.629</v>
      </c>
      <c r="M96" s="3">
        <v>0.78700000000000003</v>
      </c>
      <c r="N96" s="3">
        <v>5</v>
      </c>
      <c r="O96" s="8">
        <v>-8399</v>
      </c>
      <c r="P96" s="3">
        <v>0</v>
      </c>
      <c r="Q96" s="3">
        <v>6.4600000000000005E-2</v>
      </c>
      <c r="R96" s="3">
        <v>1.5200000000000001E-3</v>
      </c>
      <c r="S96" s="3">
        <v>0.35899999999999999</v>
      </c>
      <c r="T96" s="3">
        <v>0.20899999999999999</v>
      </c>
      <c r="U96" s="3">
        <v>0.58099999999999996</v>
      </c>
      <c r="V96" s="8">
        <v>125998</v>
      </c>
      <c r="W96" s="3">
        <v>4</v>
      </c>
      <c r="X96" s="3" t="str">
        <f t="shared" si="8"/>
        <v>-HAPPY-</v>
      </c>
      <c r="Y96" s="3" t="str">
        <f t="shared" si="9"/>
        <v>-ENERGY-</v>
      </c>
      <c r="Z96" s="4" t="str">
        <f t="shared" si="10"/>
        <v>{"couname":"Around the World / Harder, Better, Faster, Stronger","img":"https://i.scdn.co/image/ab67616d0000b273673288fb985e5c194536ae27","pty":"54","artist":"Daft Punk","genres":"house francés,electrónica,electro","duration":"342626","spotId":"5RByQFt9Mlo8hDYJ921tCv","Items":["-HAPPY-","-ENERGY-","","","GN_FrenchElectro"]},</v>
      </c>
      <c r="AA96" s="5" t="s">
        <v>6100</v>
      </c>
      <c r="AB96" s="3" t="str">
        <f t="shared" si="11"/>
        <v>["-HAPPY-","-ENERGY-","","","GN_FrenchElectro"]</v>
      </c>
      <c r="AC96" s="3" t="str">
        <f>_xlfn.XLOOKUP(A96,Album!A:A,Album!J:J)</f>
        <v>https://i.scdn.co/image/ab67616d0000b273673288fb985e5c194536ae27</v>
      </c>
      <c r="AD96" s="3"/>
      <c r="AE96" s="3"/>
      <c r="AF96" s="3"/>
      <c r="AG96" s="3"/>
      <c r="AH96" s="3"/>
    </row>
    <row r="97" spans="1:34" x14ac:dyDescent="0.3">
      <c r="A97" s="11" t="s">
        <v>591</v>
      </c>
      <c r="B97" s="12" t="s">
        <v>592</v>
      </c>
      <c r="C97" s="12" t="s">
        <v>592</v>
      </c>
      <c r="D97" s="13" t="s">
        <v>2741</v>
      </c>
      <c r="E97" s="6">
        <v>45226</v>
      </c>
      <c r="F97" s="3">
        <v>180261</v>
      </c>
      <c r="G97" s="3">
        <v>53</v>
      </c>
      <c r="H97" s="3" t="s">
        <v>5971</v>
      </c>
      <c r="I97" s="3" t="s">
        <v>462</v>
      </c>
      <c r="J97" s="3" t="s">
        <v>593</v>
      </c>
      <c r="K97" s="3" t="s">
        <v>594</v>
      </c>
      <c r="L97" s="3">
        <v>0.64600000000000002</v>
      </c>
      <c r="M97" s="3">
        <v>0.95299999999999996</v>
      </c>
      <c r="N97" s="3">
        <v>1</v>
      </c>
      <c r="O97" s="8">
        <v>-4065</v>
      </c>
      <c r="P97" s="3">
        <v>1</v>
      </c>
      <c r="Q97" s="3">
        <v>3.1099999999999999E-2</v>
      </c>
      <c r="R97" s="3">
        <v>2.8700000000000002E-3</v>
      </c>
      <c r="S97" s="3">
        <v>8.4700000000000002E-6</v>
      </c>
      <c r="T97" s="3">
        <v>0.59499999999999997</v>
      </c>
      <c r="U97" s="3">
        <v>0.73699999999999999</v>
      </c>
      <c r="V97" s="8">
        <v>123036</v>
      </c>
      <c r="W97" s="3">
        <v>4</v>
      </c>
      <c r="X97" s="3" t="str">
        <f t="shared" si="8"/>
        <v>-HAPPY-</v>
      </c>
      <c r="Y97" s="3" t="str">
        <f t="shared" si="9"/>
        <v>-ENERGY-</v>
      </c>
      <c r="Z97" s="4" t="str">
        <f t="shared" si="10"/>
        <v>{"couname":"Ti Sento","img":"https://i.scdn.co/image/ab67616d0000b273241e84548e080e4f0f06c49e","pty":"53","artist":"Bob Sinclar, Matia Bazar, Antonella Ruggiero","genres":"house francés,disco house,italo dance,disco italiana","duration":"180261","spotId":"5PcmvoBshN5YfFmU4uSXwd","Items":["-HAPPY-","-ENERGY-","","","GN_FrenchElectro"]},</v>
      </c>
      <c r="AA97" s="5" t="s">
        <v>6100</v>
      </c>
      <c r="AB97" s="3" t="str">
        <f t="shared" si="11"/>
        <v>["-HAPPY-","-ENERGY-","","","GN_FrenchElectro"]</v>
      </c>
      <c r="AC97" s="3" t="str">
        <f>_xlfn.XLOOKUP(A97,Album!A:A,Album!J:J)</f>
        <v>https://i.scdn.co/image/ab67616d0000b273241e84548e080e4f0f06c49e</v>
      </c>
      <c r="AD97" s="3"/>
      <c r="AE97" s="3"/>
      <c r="AF97" s="3"/>
      <c r="AG97" s="3"/>
      <c r="AH97" s="3"/>
    </row>
    <row r="98" spans="1:34" x14ac:dyDescent="0.3">
      <c r="A98" s="11" t="s">
        <v>748</v>
      </c>
      <c r="B98" s="12" t="s">
        <v>749</v>
      </c>
      <c r="C98" s="12" t="s">
        <v>737</v>
      </c>
      <c r="D98" s="13" t="s">
        <v>3004</v>
      </c>
      <c r="E98" s="6">
        <v>45408</v>
      </c>
      <c r="F98" s="3">
        <v>245560</v>
      </c>
      <c r="G98" s="3">
        <v>53</v>
      </c>
      <c r="H98" s="3" t="s">
        <v>5970</v>
      </c>
      <c r="I98" s="3" t="s">
        <v>738</v>
      </c>
      <c r="J98" s="3" t="s">
        <v>750</v>
      </c>
      <c r="K98" s="3" t="s">
        <v>19</v>
      </c>
      <c r="L98" s="3">
        <v>0.64300000000000002</v>
      </c>
      <c r="M98" s="3">
        <v>0.71199999999999997</v>
      </c>
      <c r="N98" s="3">
        <v>1</v>
      </c>
      <c r="O98" s="8">
        <v>-9192</v>
      </c>
      <c r="P98" s="3">
        <v>1</v>
      </c>
      <c r="Q98" s="3">
        <v>4.9599999999999998E-2</v>
      </c>
      <c r="R98" s="3">
        <v>2.3699999999999999E-4</v>
      </c>
      <c r="S98" s="3">
        <v>0.71399999999999997</v>
      </c>
      <c r="T98" s="3">
        <v>0.54800000000000004</v>
      </c>
      <c r="U98" s="3">
        <v>0.73599999999999999</v>
      </c>
      <c r="V98" s="8">
        <v>111991</v>
      </c>
      <c r="W98" s="3">
        <v>4</v>
      </c>
      <c r="X98" s="3" t="str">
        <f t="shared" si="8"/>
        <v>-HAPPY-</v>
      </c>
      <c r="Y98" s="3" t="str">
        <f t="shared" si="9"/>
        <v>-ENERGY-</v>
      </c>
      <c r="Z98" s="4" t="str">
        <f t="shared" si="10"/>
        <v>{"couname":"Afterimage","img":"https://i.scdn.co/image/ab67616d0000b2738f4b5df3a6ee2abb733080a9","pty":"53","artist":"Justice, RIMON","genres":"house francés,new rave,rock electrónico,r&amp;b alternativo,neo soul","duration":"245560","spotId":"4IsbtqsROVspyi7kzh3Vkx","Items":["-HAPPY-","-ENERGY-","","","GN_FrenchElectro"]},</v>
      </c>
      <c r="AA98" s="5" t="s">
        <v>6100</v>
      </c>
      <c r="AB98" s="3" t="str">
        <f t="shared" si="11"/>
        <v>["-HAPPY-","-ENERGY-","","","GN_FrenchElectro"]</v>
      </c>
      <c r="AC98" s="3" t="str">
        <f>_xlfn.XLOOKUP(A98,Album!A:A,Album!J:J)</f>
        <v>https://i.scdn.co/image/ab67616d0000b2738f4b5df3a6ee2abb733080a9</v>
      </c>
      <c r="AD98" s="3"/>
      <c r="AE98" s="3"/>
      <c r="AF98" s="3"/>
      <c r="AG98" s="3"/>
      <c r="AH98" s="3"/>
    </row>
    <row r="99" spans="1:34" x14ac:dyDescent="0.3">
      <c r="A99" s="11" t="s">
        <v>909</v>
      </c>
      <c r="B99" s="12" t="s">
        <v>910</v>
      </c>
      <c r="C99" s="12" t="s">
        <v>911</v>
      </c>
      <c r="D99" s="13" t="s">
        <v>842</v>
      </c>
      <c r="E99" s="6">
        <v>41640</v>
      </c>
      <c r="F99" s="3">
        <v>181280</v>
      </c>
      <c r="G99" s="3">
        <v>53</v>
      </c>
      <c r="H99" s="3" t="s">
        <v>5969</v>
      </c>
      <c r="I99" s="3" t="s">
        <v>889</v>
      </c>
      <c r="J99" s="3" t="s">
        <v>844</v>
      </c>
      <c r="K99" s="3" t="s">
        <v>912</v>
      </c>
      <c r="L99" s="3">
        <v>0.187</v>
      </c>
      <c r="M99" s="3">
        <v>0.52600000000000002</v>
      </c>
      <c r="N99" s="3">
        <v>2</v>
      </c>
      <c r="O99" s="8">
        <v>-7291</v>
      </c>
      <c r="P99" s="3">
        <v>1</v>
      </c>
      <c r="Q99" s="3">
        <v>3.2599999999999997E-2</v>
      </c>
      <c r="R99" s="3">
        <v>2.6100000000000002E-2</v>
      </c>
      <c r="S99" s="3">
        <v>3.4200000000000001E-2</v>
      </c>
      <c r="T99" s="3">
        <v>0.17199999999999999</v>
      </c>
      <c r="U99" s="3">
        <v>7.3899999999999993E-2</v>
      </c>
      <c r="V99" s="8">
        <v>72259</v>
      </c>
      <c r="W99" s="3">
        <v>4</v>
      </c>
      <c r="X99" s="3" t="str">
        <f t="shared" si="8"/>
        <v>-SADNE-</v>
      </c>
      <c r="Y99" s="3" t="str">
        <f t="shared" si="9"/>
        <v>-ENERGY-</v>
      </c>
      <c r="Z99" s="4" t="str">
        <f t="shared" si="10"/>
        <v>{"couname":"I Need You","img":"https://i.scdn.co/image/ab67616d0000b27313c813c97d3bdf1ecb360853","pty":"53","artist":"M83","genres":"indietronica","duration":"181280","spotId":"1na2MOlie83rN9sTNRuEOj","Items":["-SADNE-","-ENERGY-","","","GN_FrenchElectro"]},</v>
      </c>
      <c r="AA99" s="5" t="s">
        <v>6100</v>
      </c>
      <c r="AB99" s="3" t="str">
        <f t="shared" si="11"/>
        <v>["-SADNE-","-ENERGY-","","","GN_FrenchElectro"]</v>
      </c>
      <c r="AC99" s="3" t="str">
        <f>_xlfn.XLOOKUP(A99,Album!A:A,Album!J:J)</f>
        <v>https://i.scdn.co/image/ab67616d0000b27313c813c97d3bdf1ecb360853</v>
      </c>
      <c r="AD99" s="3"/>
      <c r="AE99" s="3"/>
      <c r="AF99" s="3"/>
      <c r="AG99" s="3"/>
      <c r="AH99" s="3"/>
    </row>
    <row r="100" spans="1:34" x14ac:dyDescent="0.3">
      <c r="A100" s="11" t="s">
        <v>1049</v>
      </c>
      <c r="B100" s="12" t="s">
        <v>1050</v>
      </c>
      <c r="C100" s="12" t="s">
        <v>1050</v>
      </c>
      <c r="D100" s="13" t="s">
        <v>3384</v>
      </c>
      <c r="E100" s="6">
        <v>44231</v>
      </c>
      <c r="F100" s="3">
        <v>177800</v>
      </c>
      <c r="G100" s="3">
        <v>53</v>
      </c>
      <c r="H100" s="3" t="s">
        <v>5968</v>
      </c>
      <c r="I100" s="3" t="s">
        <v>1013</v>
      </c>
      <c r="J100" s="3" t="s">
        <v>1019</v>
      </c>
      <c r="K100" s="3" t="s">
        <v>1048</v>
      </c>
      <c r="L100" s="3">
        <v>0.57499999999999996</v>
      </c>
      <c r="M100" s="3">
        <v>0.84399999999999997</v>
      </c>
      <c r="N100" s="3">
        <v>6</v>
      </c>
      <c r="O100" s="8">
        <v>-4.8899999999999997</v>
      </c>
      <c r="P100" s="3">
        <v>0</v>
      </c>
      <c r="Q100" s="3">
        <v>7.1999999999999995E-2</v>
      </c>
      <c r="R100" s="3">
        <v>1.72E-3</v>
      </c>
      <c r="S100" s="3">
        <v>0</v>
      </c>
      <c r="T100" s="3">
        <v>0.114</v>
      </c>
      <c r="U100" s="3">
        <v>0.27700000000000002</v>
      </c>
      <c r="V100" s="8">
        <v>104914</v>
      </c>
      <c r="W100" s="3">
        <v>4</v>
      </c>
      <c r="X100" s="3" t="str">
        <f t="shared" si="8"/>
        <v>-SADNE-</v>
      </c>
      <c r="Y100" s="3" t="str">
        <f t="shared" si="9"/>
        <v>-ENERGY-</v>
      </c>
      <c r="Z100" s="4" t="str">
        <f t="shared" si="10"/>
        <v>{"couname":"Floating Through Space","img":"https://i.scdn.co/image/ab67616d0000b2739ad7b6d6069896719edfbf58","pty":"53","artist":"Sia, David Guetta","genres":"edm,dance","duration":"177800","spotId":"2AceGjiX9isUbXmMZa0Dl1","Items":["-SADNE-","-ENERGY-","","","GN_FrenchElectro"]},</v>
      </c>
      <c r="AA100" s="5" t="s">
        <v>6100</v>
      </c>
      <c r="AB100" s="3" t="str">
        <f t="shared" si="11"/>
        <v>["-SADNE-","-ENERGY-","","","GN_FrenchElectro"]</v>
      </c>
      <c r="AC100" s="3" t="str">
        <f>_xlfn.XLOOKUP(A100,Album!A:A,Album!J:J)</f>
        <v>https://i.scdn.co/image/ab67616d0000b2739ad7b6d6069896719edfbf58</v>
      </c>
      <c r="AD100" s="3"/>
      <c r="AE100" s="3"/>
      <c r="AF100" s="3"/>
      <c r="AG100" s="3"/>
      <c r="AH100" s="3"/>
    </row>
    <row r="101" spans="1:34" x14ac:dyDescent="0.3">
      <c r="A101" s="11" t="s">
        <v>1117</v>
      </c>
      <c r="B101" s="12" t="s">
        <v>1118</v>
      </c>
      <c r="C101" s="12" t="s">
        <v>1118</v>
      </c>
      <c r="D101" s="13" t="s">
        <v>3514</v>
      </c>
      <c r="E101" s="6">
        <v>45506</v>
      </c>
      <c r="F101" s="3">
        <v>138951</v>
      </c>
      <c r="G101" s="3">
        <v>53</v>
      </c>
      <c r="H101" s="3" t="s">
        <v>5967</v>
      </c>
      <c r="I101" s="3" t="s">
        <v>1013</v>
      </c>
      <c r="J101" s="3" t="s">
        <v>1047</v>
      </c>
      <c r="K101" s="3" t="s">
        <v>570</v>
      </c>
      <c r="L101" s="3">
        <v>0.70099999999999996</v>
      </c>
      <c r="M101" s="3">
        <v>0.95899999999999996</v>
      </c>
      <c r="N101" s="3">
        <v>0</v>
      </c>
      <c r="O101" s="8">
        <v>-4445</v>
      </c>
      <c r="P101" s="3">
        <v>1</v>
      </c>
      <c r="Q101" s="3">
        <v>5.2999999999999999E-2</v>
      </c>
      <c r="R101" s="3">
        <v>1.26E-2</v>
      </c>
      <c r="S101" s="3">
        <v>2.2100000000000002E-3</v>
      </c>
      <c r="T101" s="3">
        <v>0.113</v>
      </c>
      <c r="U101" s="3">
        <v>0.15</v>
      </c>
      <c r="V101" s="8">
        <v>130007</v>
      </c>
      <c r="W101" s="3">
        <v>4</v>
      </c>
      <c r="X101" s="3" t="str">
        <f t="shared" si="8"/>
        <v>-SADNE-</v>
      </c>
      <c r="Y101" s="3" t="str">
        <f t="shared" si="9"/>
        <v>-ENERGY-</v>
      </c>
      <c r="Z101" s="4" t="str">
        <f t="shared" si="10"/>
        <v>{"couname":"Raving","img":"https://i.scdn.co/image/ab67616d0000b2735acb672850223f28030fdee2","pty":"53","artist":"David Guetta, AFROJACK","genres":"edm,dance,big room","duration":"138951","spotId":"1U6hOheaJGUCWzn3ot1cbm","Items":["-SADNE-","-ENERGY-","","","GN_FrenchElectro"]},</v>
      </c>
      <c r="AA101" s="5" t="s">
        <v>6100</v>
      </c>
      <c r="AB101" s="3" t="str">
        <f t="shared" si="11"/>
        <v>["-SADNE-","-ENERGY-","","","GN_FrenchElectro"]</v>
      </c>
      <c r="AC101" s="3" t="str">
        <f>_xlfn.XLOOKUP(A101,Album!A:A,Album!J:J)</f>
        <v>https://i.scdn.co/image/ab67616d0000b2735acb672850223f28030fdee2</v>
      </c>
      <c r="AD101" s="3"/>
      <c r="AE101" s="3"/>
      <c r="AF101" s="3"/>
      <c r="AG101" s="3"/>
      <c r="AH101" s="3"/>
    </row>
    <row r="102" spans="1:34" x14ac:dyDescent="0.3">
      <c r="A102" s="11" t="s">
        <v>1146</v>
      </c>
      <c r="B102" s="15" t="s">
        <v>5965</v>
      </c>
      <c r="C102" s="12" t="s">
        <v>1148</v>
      </c>
      <c r="D102" s="13" t="s">
        <v>3574</v>
      </c>
      <c r="E102" s="6">
        <v>42913</v>
      </c>
      <c r="F102" s="3">
        <v>228300</v>
      </c>
      <c r="G102" s="3">
        <v>53</v>
      </c>
      <c r="H102" s="3" t="s">
        <v>5966</v>
      </c>
      <c r="I102" s="3" t="s">
        <v>1013</v>
      </c>
      <c r="J102" s="3" t="s">
        <v>1019</v>
      </c>
      <c r="K102" s="3" t="s">
        <v>1149</v>
      </c>
      <c r="L102" s="3">
        <v>0.747</v>
      </c>
      <c r="M102" s="3">
        <v>0.70099999999999996</v>
      </c>
      <c r="N102" s="3">
        <v>2</v>
      </c>
      <c r="O102" s="8">
        <v>-4902</v>
      </c>
      <c r="P102" s="3">
        <v>1</v>
      </c>
      <c r="Q102" s="3">
        <v>4.2900000000000001E-2</v>
      </c>
      <c r="R102" s="3">
        <v>0.108</v>
      </c>
      <c r="S102" s="3">
        <v>0</v>
      </c>
      <c r="T102" s="3">
        <v>7.1199999999999999E-2</v>
      </c>
      <c r="U102" s="3">
        <v>0.58899999999999997</v>
      </c>
      <c r="V102" s="8">
        <v>100012</v>
      </c>
      <c r="W102" s="3">
        <v>4</v>
      </c>
      <c r="X102" s="3" t="str">
        <f t="shared" si="8"/>
        <v>-HAPPY-</v>
      </c>
      <c r="Y102" s="3" t="str">
        <f t="shared" si="9"/>
        <v>-ENERGY-</v>
      </c>
      <c r="Z102" s="4" t="str">
        <f t="shared" si="10"/>
        <v>{"couname":"Versace on the Floor","img":"https://i.scdn.co/image/ab67616d0000b27362dc1f2be95dc25beea9f857","pty":"53","artist":"Bruno Mars, David Guetta","genres":"edm,dance","duration":"228300","spotId":"5UJshy5HDHdNEVqlJwzsQB","Items":["-HAPPY-","-ENERGY-","","","GN_FrenchElectro"]},</v>
      </c>
      <c r="AA102" s="5" t="s">
        <v>6100</v>
      </c>
      <c r="AB102" s="3" t="str">
        <f t="shared" si="11"/>
        <v>["-HAPPY-","-ENERGY-","","","GN_FrenchElectro"]</v>
      </c>
      <c r="AC102" s="3" t="str">
        <f>_xlfn.XLOOKUP(A102,Album!A:A,Album!J:J)</f>
        <v>https://i.scdn.co/image/ab67616d0000b27362dc1f2be95dc25beea9f857</v>
      </c>
      <c r="AD102" s="3"/>
      <c r="AE102" s="3"/>
      <c r="AF102" s="3"/>
      <c r="AG102" s="3"/>
      <c r="AH102" s="3"/>
    </row>
    <row r="103" spans="1:34" x14ac:dyDescent="0.3">
      <c r="A103" s="11" t="s">
        <v>1150</v>
      </c>
      <c r="B103" s="12" t="s">
        <v>1151</v>
      </c>
      <c r="C103" s="12" t="s">
        <v>1151</v>
      </c>
      <c r="D103" s="13" t="s">
        <v>3580</v>
      </c>
      <c r="E103" s="6">
        <v>45072</v>
      </c>
      <c r="F103" s="3">
        <v>170880</v>
      </c>
      <c r="G103" s="3">
        <v>53</v>
      </c>
      <c r="H103" s="3" t="s">
        <v>5964</v>
      </c>
      <c r="I103" s="3" t="s">
        <v>1013</v>
      </c>
      <c r="J103" s="3" t="s">
        <v>1019</v>
      </c>
      <c r="K103" s="3" t="s">
        <v>1123</v>
      </c>
      <c r="L103" s="3">
        <v>0.55000000000000004</v>
      </c>
      <c r="M103" s="3">
        <v>0.99</v>
      </c>
      <c r="N103" s="3">
        <v>7</v>
      </c>
      <c r="O103" s="8">
        <v>-4901</v>
      </c>
      <c r="P103" s="3">
        <v>1</v>
      </c>
      <c r="Q103" s="3">
        <v>8.6499999999999994E-2</v>
      </c>
      <c r="R103" s="3">
        <v>6.8999999999999999E-3</v>
      </c>
      <c r="S103" s="3">
        <v>0.89300000000000002</v>
      </c>
      <c r="T103" s="3">
        <v>0.20499999999999999</v>
      </c>
      <c r="U103" s="3">
        <v>0.27500000000000002</v>
      </c>
      <c r="V103" s="8">
        <v>124829</v>
      </c>
      <c r="W103" s="3">
        <v>4</v>
      </c>
      <c r="X103" s="3" t="str">
        <f t="shared" si="8"/>
        <v>-SADNE-</v>
      </c>
      <c r="Y103" s="3" t="str">
        <f t="shared" si="9"/>
        <v>-ENERGY-</v>
      </c>
      <c r="Z103" s="4" t="str">
        <f t="shared" si="10"/>
        <v>{"couname":"Lost In The Rhythm","img":"https://i.scdn.co/image/ab67616d0000b2739de10f2edf0af11271241885","pty":"53","artist":"David Guetta, MORTEN","genres":"edm,dance","duration":"170880","spotId":"5o06Ga8GxzI35T7AHCeARL","Items":["-SADNE-","-ENERGY-","","","GN_FrenchElectro"]},</v>
      </c>
      <c r="AA103" s="5" t="s">
        <v>6100</v>
      </c>
      <c r="AB103" s="3" t="str">
        <f t="shared" si="11"/>
        <v>["-SADNE-","-ENERGY-","","","GN_FrenchElectro"]</v>
      </c>
      <c r="AC103" s="3" t="str">
        <f>_xlfn.XLOOKUP(A103,Album!A:A,Album!J:J)</f>
        <v>https://i.scdn.co/image/ab67616d0000b2739de10f2edf0af11271241885</v>
      </c>
      <c r="AD103" s="3"/>
      <c r="AE103" s="3"/>
      <c r="AF103" s="3"/>
      <c r="AG103" s="3"/>
      <c r="AH103" s="3"/>
    </row>
    <row r="104" spans="1:34" x14ac:dyDescent="0.3">
      <c r="A104" s="11" t="s">
        <v>1159</v>
      </c>
      <c r="B104" s="12" t="s">
        <v>1160</v>
      </c>
      <c r="C104" s="12" t="s">
        <v>1160</v>
      </c>
      <c r="D104" s="13" t="s">
        <v>3602</v>
      </c>
      <c r="E104" s="6">
        <v>44638</v>
      </c>
      <c r="F104" s="3">
        <v>174215</v>
      </c>
      <c r="G104" s="3">
        <v>53</v>
      </c>
      <c r="H104" s="3" t="s">
        <v>5963</v>
      </c>
      <c r="I104" s="3" t="s">
        <v>1013</v>
      </c>
      <c r="J104" s="3" t="s">
        <v>1161</v>
      </c>
      <c r="K104" s="3" t="s">
        <v>53</v>
      </c>
      <c r="L104" s="3">
        <v>0.68700000000000006</v>
      </c>
      <c r="M104" s="3">
        <v>0.89500000000000002</v>
      </c>
      <c r="N104" s="3">
        <v>9</v>
      </c>
      <c r="O104" s="8">
        <v>-2983</v>
      </c>
      <c r="P104" s="3">
        <v>1</v>
      </c>
      <c r="Q104" s="3">
        <v>4.7399999999999998E-2</v>
      </c>
      <c r="R104" s="3">
        <v>0.14899999999999999</v>
      </c>
      <c r="S104" s="3">
        <v>5.9199999999999999E-3</v>
      </c>
      <c r="T104" s="3">
        <v>0.121</v>
      </c>
      <c r="U104" s="3">
        <v>0.68600000000000005</v>
      </c>
      <c r="V104" s="8">
        <v>124041</v>
      </c>
      <c r="W104" s="3">
        <v>4</v>
      </c>
      <c r="X104" s="3" t="str">
        <f t="shared" si="8"/>
        <v>-HAPPY-</v>
      </c>
      <c r="Y104" s="3" t="str">
        <f t="shared" si="9"/>
        <v>-ENERGY-</v>
      </c>
      <c r="Z104" s="4" t="str">
        <f t="shared" si="10"/>
        <v>{"couname":"What Would You Do?","img":"https://i.scdn.co/image/ab67616d0000b273db791b96e1ef04e80b09657f","pty":"53","artist":"Joel Corry, David Guetta, Bryson Tiller","genres":"dance pop,edm,dance,r&amp;b","duration":"174215","spotId":"1D2ZNECRd7KIlA4pyOUGsv","Items":["-HAPPY-","-ENERGY-","","","GN_FrenchElectro"]},</v>
      </c>
      <c r="AA104" s="5" t="s">
        <v>6100</v>
      </c>
      <c r="AB104" s="3" t="str">
        <f t="shared" si="11"/>
        <v>["-HAPPY-","-ENERGY-","","","GN_FrenchElectro"]</v>
      </c>
      <c r="AC104" s="3" t="str">
        <f>_xlfn.XLOOKUP(A104,Album!A:A,Album!J:J)</f>
        <v>https://i.scdn.co/image/ab67616d0000b273db791b96e1ef04e80b09657f</v>
      </c>
      <c r="AD104" s="3"/>
      <c r="AE104" s="3"/>
      <c r="AF104" s="3"/>
      <c r="AG104" s="3"/>
      <c r="AH104" s="3"/>
    </row>
    <row r="105" spans="1:34" x14ac:dyDescent="0.3">
      <c r="A105" s="11" t="s">
        <v>1173</v>
      </c>
      <c r="B105" s="12" t="s">
        <v>1174</v>
      </c>
      <c r="C105" s="12" t="s">
        <v>1175</v>
      </c>
      <c r="D105" s="13" t="s">
        <v>3580</v>
      </c>
      <c r="E105" s="6">
        <v>44029</v>
      </c>
      <c r="F105" s="3">
        <v>208095</v>
      </c>
      <c r="G105" s="3">
        <v>53</v>
      </c>
      <c r="H105" s="3" t="s">
        <v>5962</v>
      </c>
      <c r="I105" s="3" t="s">
        <v>1013</v>
      </c>
      <c r="J105" s="3" t="s">
        <v>1019</v>
      </c>
      <c r="K105" s="3" t="s">
        <v>83</v>
      </c>
      <c r="L105" s="3">
        <v>0.69799999999999995</v>
      </c>
      <c r="M105" s="3">
        <v>0.85899999999999999</v>
      </c>
      <c r="N105" s="3">
        <v>6</v>
      </c>
      <c r="O105" s="8">
        <v>-5234</v>
      </c>
      <c r="P105" s="3">
        <v>0</v>
      </c>
      <c r="Q105" s="3">
        <v>6.0499999999999998E-2</v>
      </c>
      <c r="R105" s="3">
        <v>0.114</v>
      </c>
      <c r="S105" s="3">
        <v>0.20799999999999999</v>
      </c>
      <c r="T105" s="3">
        <v>0.22800000000000001</v>
      </c>
      <c r="U105" s="3">
        <v>0.51800000000000002</v>
      </c>
      <c r="V105" s="8">
        <v>126039</v>
      </c>
      <c r="W105" s="3">
        <v>4</v>
      </c>
      <c r="X105" s="3" t="str">
        <f t="shared" si="8"/>
        <v>-HAPPY-</v>
      </c>
      <c r="Y105" s="3" t="str">
        <f t="shared" si="9"/>
        <v>-ENERGY-</v>
      </c>
      <c r="Z105" s="4" t="str">
        <f t="shared" si="10"/>
        <v>{"couname":"Kill Me Slow","img":"https://i.scdn.co/image/ab67616d0000b273d036cdc7102e5fd3ac7affe5","pty":"53","artist":"David Guetta, MORTEN","genres":"edm,dance","duration":"208095","spotId":"2NZJKUPIGfJqLAzONNr4gv","Items":["-HAPPY-","-ENERGY-","","","GN_FrenchElectro"]},</v>
      </c>
      <c r="AA105" s="5" t="s">
        <v>6100</v>
      </c>
      <c r="AB105" s="3" t="str">
        <f t="shared" si="11"/>
        <v>["-HAPPY-","-ENERGY-","","","GN_FrenchElectro"]</v>
      </c>
      <c r="AC105" s="3" t="str">
        <f>_xlfn.XLOOKUP(A105,Album!A:A,Album!J:J)</f>
        <v>https://i.scdn.co/image/ab67616d0000b273d036cdc7102e5fd3ac7affe5</v>
      </c>
      <c r="AD105" s="3"/>
      <c r="AE105" s="3"/>
      <c r="AF105" s="3"/>
      <c r="AG105" s="3"/>
      <c r="AH105" s="3"/>
    </row>
    <row r="106" spans="1:34" x14ac:dyDescent="0.3">
      <c r="A106" s="11" t="s">
        <v>1353</v>
      </c>
      <c r="B106" s="12" t="s">
        <v>1354</v>
      </c>
      <c r="C106" s="12" t="s">
        <v>1344</v>
      </c>
      <c r="D106" s="13" t="s">
        <v>1345</v>
      </c>
      <c r="E106" s="6">
        <v>38012</v>
      </c>
      <c r="F106" s="3">
        <v>291000</v>
      </c>
      <c r="G106" s="3">
        <v>53</v>
      </c>
      <c r="H106" s="3" t="s">
        <v>5961</v>
      </c>
      <c r="I106" s="3" t="s">
        <v>1336</v>
      </c>
      <c r="J106" s="3" t="s">
        <v>1337</v>
      </c>
      <c r="K106" s="3" t="s">
        <v>83</v>
      </c>
      <c r="L106" s="3">
        <v>0.52500000000000002</v>
      </c>
      <c r="M106" s="3">
        <v>0.36599999999999999</v>
      </c>
      <c r="N106" s="3">
        <v>0</v>
      </c>
      <c r="O106" s="8">
        <v>-16488</v>
      </c>
      <c r="P106" s="3">
        <v>1</v>
      </c>
      <c r="Q106" s="3">
        <v>7.1800000000000003E-2</v>
      </c>
      <c r="R106" s="3">
        <v>0.95799999999999996</v>
      </c>
      <c r="S106" s="3">
        <v>0.751</v>
      </c>
      <c r="T106" s="3">
        <v>0.13700000000000001</v>
      </c>
      <c r="U106" s="3">
        <v>7.85E-2</v>
      </c>
      <c r="V106" s="8">
        <v>179956</v>
      </c>
      <c r="W106" s="3">
        <v>4</v>
      </c>
      <c r="X106" s="3" t="str">
        <f t="shared" si="8"/>
        <v>-SADNE-</v>
      </c>
      <c r="Y106" s="3" t="str">
        <f t="shared" si="9"/>
        <v>-ENERGY-</v>
      </c>
      <c r="Z106" s="4" t="str">
        <f t="shared" si="10"/>
        <v>{"couname":"Alone in Kyoto","img":"https://i.scdn.co/image/ab67616d0000b2736400fab74f28e90759ac8815","pty":"53","artist":"Air","genres":"trip hop,downtempo,house francés","duration":"291000","spotId":"40UlFC0dIxv7lAEJaPZLnm","Items":["-SADNE-","-ENERGY-","","","GN_FrenchElectro"]},</v>
      </c>
      <c r="AA106" s="5" t="s">
        <v>6100</v>
      </c>
      <c r="AB106" s="3" t="str">
        <f t="shared" si="11"/>
        <v>["-SADNE-","-ENERGY-","","","GN_FrenchElectro"]</v>
      </c>
      <c r="AC106" s="3" t="str">
        <f>_xlfn.XLOOKUP(A106,Album!A:A,Album!J:J)</f>
        <v>https://i.scdn.co/image/ab67616d0000b2736400fab74f28e90759ac8815</v>
      </c>
      <c r="AD106" s="3"/>
      <c r="AE106" s="3"/>
      <c r="AF106" s="3"/>
      <c r="AG106" s="3"/>
      <c r="AH106" s="3"/>
    </row>
    <row r="107" spans="1:34" x14ac:dyDescent="0.3">
      <c r="A107" s="11" t="s">
        <v>1853</v>
      </c>
      <c r="B107" s="12" t="s">
        <v>1854</v>
      </c>
      <c r="C107" s="12" t="s">
        <v>1844</v>
      </c>
      <c r="D107" s="13" t="s">
        <v>9</v>
      </c>
      <c r="E107" s="6">
        <v>36962</v>
      </c>
      <c r="F107" s="3">
        <v>104466</v>
      </c>
      <c r="G107" s="3">
        <v>53</v>
      </c>
      <c r="H107" s="3" t="s">
        <v>5960</v>
      </c>
      <c r="I107" s="3" t="s">
        <v>1809</v>
      </c>
      <c r="J107" s="3" t="s">
        <v>1810</v>
      </c>
      <c r="K107" s="3" t="s">
        <v>1811</v>
      </c>
      <c r="L107" s="3">
        <v>0.49099999999999999</v>
      </c>
      <c r="M107" s="3">
        <v>0.186</v>
      </c>
      <c r="N107" s="3">
        <v>0</v>
      </c>
      <c r="O107" s="8">
        <v>-29512</v>
      </c>
      <c r="P107" s="3">
        <v>1</v>
      </c>
      <c r="Q107" s="3">
        <v>3.2099999999999997E-2</v>
      </c>
      <c r="R107" s="3">
        <v>0.84499999999999997</v>
      </c>
      <c r="S107" s="3">
        <v>0.91600000000000004</v>
      </c>
      <c r="T107" s="3">
        <v>0.109</v>
      </c>
      <c r="U107" s="3">
        <v>0.45700000000000002</v>
      </c>
      <c r="V107" s="8">
        <v>119883</v>
      </c>
      <c r="W107" s="3">
        <v>4</v>
      </c>
      <c r="X107" s="3" t="str">
        <f t="shared" si="8"/>
        <v>-HAPPY-</v>
      </c>
      <c r="Y107" s="3" t="str">
        <f t="shared" si="9"/>
        <v>-SLOWSS-</v>
      </c>
      <c r="Z107" s="4" t="str">
        <f t="shared" si="10"/>
        <v>{"couname":"Nightvision","img":"https://i.scdn.co/image/ab67616d0000b2732c25dad9f8fd54652f7ba5df","pty":"53","artist":"Daft Punk","genres":"house francés,electrónica,electro","duration":"104466","spotId":"63JXZZRbmzooashakb0zbu","Items":["-HAPPY-","-SLOWSS-","","","GN_FrenchElectro"]},</v>
      </c>
      <c r="AA107" s="5" t="s">
        <v>6100</v>
      </c>
      <c r="AB107" s="3" t="str">
        <f t="shared" si="11"/>
        <v>["-HAPPY-","-SLOWSS-","","","GN_FrenchElectro"]</v>
      </c>
      <c r="AC107" s="3" t="str">
        <f>_xlfn.XLOOKUP(A107,Album!A:A,Album!J:J)</f>
        <v>https://i.scdn.co/image/ab67616d0000b2732c25dad9f8fd54652f7ba5df</v>
      </c>
      <c r="AD107" s="3"/>
      <c r="AE107" s="3"/>
      <c r="AF107" s="3"/>
      <c r="AG107" s="3"/>
      <c r="AH107" s="3"/>
    </row>
    <row r="108" spans="1:34" x14ac:dyDescent="0.3">
      <c r="A108" s="11" t="s">
        <v>1857</v>
      </c>
      <c r="B108" s="12" t="s">
        <v>1858</v>
      </c>
      <c r="C108" s="12" t="s">
        <v>1844</v>
      </c>
      <c r="D108" s="13" t="s">
        <v>9</v>
      </c>
      <c r="E108" s="6">
        <v>36962</v>
      </c>
      <c r="F108" s="3">
        <v>201800</v>
      </c>
      <c r="G108" s="3">
        <v>53</v>
      </c>
      <c r="H108" s="3" t="s">
        <v>5959</v>
      </c>
      <c r="I108" s="3" t="s">
        <v>1809</v>
      </c>
      <c r="J108" s="3" t="s">
        <v>1810</v>
      </c>
      <c r="K108" s="3" t="s">
        <v>1811</v>
      </c>
      <c r="L108" s="3">
        <v>0.65300000000000002</v>
      </c>
      <c r="M108" s="3">
        <v>0.86899999999999999</v>
      </c>
      <c r="N108" s="3">
        <v>8</v>
      </c>
      <c r="O108" s="8">
        <v>-9393</v>
      </c>
      <c r="P108" s="3">
        <v>1</v>
      </c>
      <c r="Q108" s="3">
        <v>0.217</v>
      </c>
      <c r="R108" s="3">
        <v>4.3499999999999997E-3</v>
      </c>
      <c r="S108" s="3">
        <v>0.41299999999999998</v>
      </c>
      <c r="T108" s="3">
        <v>0.33400000000000002</v>
      </c>
      <c r="U108" s="3">
        <v>0.51500000000000001</v>
      </c>
      <c r="V108" s="8">
        <v>125207</v>
      </c>
      <c r="W108" s="3">
        <v>4</v>
      </c>
      <c r="X108" s="3" t="str">
        <f t="shared" si="8"/>
        <v>-HAPPY-</v>
      </c>
      <c r="Y108" s="3" t="str">
        <f t="shared" si="9"/>
        <v>-ENERGY-</v>
      </c>
      <c r="Z108" s="4" t="str">
        <f t="shared" si="10"/>
        <v>{"couname":"High Life","img":"https://i.scdn.co/image/ab67616d0000b2732c25dad9f8fd54652f7ba5df","pty":"53","artist":"Daft Punk","genres":"house francés,electrónica,electro","duration":"201800","spotId":"098ttCNmncrO4YvqWUNMvn","Items":["-HAPPY-","-ENERGY-","","","GN_FrenchElectro"]},</v>
      </c>
      <c r="AA108" s="5" t="s">
        <v>6100</v>
      </c>
      <c r="AB108" s="3" t="str">
        <f t="shared" si="11"/>
        <v>["-HAPPY-","-ENERGY-","","","GN_FrenchElectro"]</v>
      </c>
      <c r="AC108" s="3" t="str">
        <f>_xlfn.XLOOKUP(A108,Album!A:A,Album!J:J)</f>
        <v>https://i.scdn.co/image/ab67616d0000b2732c25dad9f8fd54652f7ba5df</v>
      </c>
      <c r="AD108" s="3"/>
      <c r="AE108" s="3"/>
      <c r="AF108" s="3"/>
      <c r="AG108" s="3"/>
      <c r="AH108" s="3"/>
    </row>
    <row r="109" spans="1:34" x14ac:dyDescent="0.3">
      <c r="A109" s="11" t="s">
        <v>692</v>
      </c>
      <c r="B109" s="12" t="s">
        <v>693</v>
      </c>
      <c r="C109" s="12" t="s">
        <v>694</v>
      </c>
      <c r="D109" s="13" t="s">
        <v>2926</v>
      </c>
      <c r="E109" s="6">
        <v>43552</v>
      </c>
      <c r="F109" s="3">
        <v>169303</v>
      </c>
      <c r="G109" s="3">
        <v>52</v>
      </c>
      <c r="H109" s="3" t="s">
        <v>5958</v>
      </c>
      <c r="I109" s="3" t="s">
        <v>639</v>
      </c>
      <c r="J109" s="3" t="s">
        <v>640</v>
      </c>
      <c r="K109" s="3" t="s">
        <v>641</v>
      </c>
      <c r="L109" s="3">
        <v>0.58499999999999996</v>
      </c>
      <c r="M109" s="3">
        <v>0.78200000000000003</v>
      </c>
      <c r="N109" s="3">
        <v>1</v>
      </c>
      <c r="O109" s="8">
        <v>-4101</v>
      </c>
      <c r="P109" s="3">
        <v>0</v>
      </c>
      <c r="Q109" s="3">
        <v>8.9700000000000002E-2</v>
      </c>
      <c r="R109" s="3">
        <v>0.26900000000000002</v>
      </c>
      <c r="S109" s="3">
        <v>0</v>
      </c>
      <c r="T109" s="3">
        <v>0.156</v>
      </c>
      <c r="U109" s="3">
        <v>0.52100000000000002</v>
      </c>
      <c r="V109" s="8">
        <v>121908</v>
      </c>
      <c r="W109" s="3">
        <v>4</v>
      </c>
      <c r="X109" s="3" t="str">
        <f t="shared" si="8"/>
        <v>-HAPPY-</v>
      </c>
      <c r="Y109" s="3" t="str">
        <f t="shared" si="9"/>
        <v>-ENERGY-</v>
      </c>
      <c r="Z109" s="4" t="str">
        <f t="shared" si="10"/>
        <v>{"couname":"All Day And Night","img":"https://i.scdn.co/image/ab67616d0000b273a382ac3d6d192d24f0858672","pty":"52","artist":"Jax Jones, Martin Solveig, Madison Beer, Europa","genres":"house francés","duration":"169303","spotId":"33CfD8UkDEcSdAP9j4QpUY","Items":["-HAPPY-","-ENERGY-","","","GN_FrenchElectro"]},</v>
      </c>
      <c r="AA109" s="5" t="s">
        <v>6100</v>
      </c>
      <c r="AB109" s="3" t="str">
        <f t="shared" si="11"/>
        <v>["-HAPPY-","-ENERGY-","","","GN_FrenchElectro"]</v>
      </c>
      <c r="AC109" s="3" t="str">
        <f>_xlfn.XLOOKUP(A109,Album!A:A,Album!J:J)</f>
        <v>https://i.scdn.co/image/ab67616d0000b273a382ac3d6d192d24f0858672</v>
      </c>
      <c r="AD109" s="3"/>
      <c r="AE109" s="3"/>
      <c r="AF109" s="3"/>
      <c r="AG109" s="3"/>
      <c r="AH109" s="3"/>
    </row>
    <row r="110" spans="1:34" x14ac:dyDescent="0.3">
      <c r="A110" s="11" t="s">
        <v>1064</v>
      </c>
      <c r="B110" s="12" t="s">
        <v>5956</v>
      </c>
      <c r="C110" s="12" t="s">
        <v>1018</v>
      </c>
      <c r="D110" s="13" t="s">
        <v>3414</v>
      </c>
      <c r="E110" s="6">
        <v>40779</v>
      </c>
      <c r="F110" s="3">
        <v>201000</v>
      </c>
      <c r="G110" s="3">
        <v>52</v>
      </c>
      <c r="H110" s="3" t="s">
        <v>5957</v>
      </c>
      <c r="I110" s="3" t="s">
        <v>1013</v>
      </c>
      <c r="J110" s="3" t="s">
        <v>1019</v>
      </c>
      <c r="K110" s="3" t="s">
        <v>83</v>
      </c>
      <c r="L110" s="3">
        <v>0.69099999999999995</v>
      </c>
      <c r="M110" s="3">
        <v>0.92100000000000004</v>
      </c>
      <c r="N110" s="3">
        <v>8</v>
      </c>
      <c r="O110" s="8">
        <v>-1702</v>
      </c>
      <c r="P110" s="3">
        <v>0</v>
      </c>
      <c r="Q110" s="3">
        <v>5.33E-2</v>
      </c>
      <c r="R110" s="3">
        <v>0.17299999999999999</v>
      </c>
      <c r="S110" s="3">
        <v>0</v>
      </c>
      <c r="T110" s="3">
        <v>0.33100000000000002</v>
      </c>
      <c r="U110" s="3">
        <v>0.8</v>
      </c>
      <c r="V110" s="8">
        <v>130072</v>
      </c>
      <c r="W110" s="3">
        <v>4</v>
      </c>
      <c r="X110" s="3" t="str">
        <f t="shared" si="8"/>
        <v>-HAPPY-</v>
      </c>
      <c r="Y110" s="3" t="str">
        <f t="shared" si="9"/>
        <v>-ENERGY-</v>
      </c>
      <c r="Z110" s="4" t="str">
        <f t="shared" si="10"/>
        <v>{"couname":"Play Hard","img":"https://i.scdn.co/image/ab67616d0000b273bd5ba80ea2ad342e488ba54d","pty":"52","artist":"David Guetta, Ne-Yo, Akon","genres":"edm,dance","duration":"201000","spotId":"0BBZuOGGBj9u4X3rAfmae8","Items":["-HAPPY-","-ENERGY-","","","GN_FrenchElectro"]},</v>
      </c>
      <c r="AA110" s="5" t="s">
        <v>6100</v>
      </c>
      <c r="AB110" s="3" t="str">
        <f t="shared" si="11"/>
        <v>["-HAPPY-","-ENERGY-","","","GN_FrenchElectro"]</v>
      </c>
      <c r="AC110" s="3" t="str">
        <f>_xlfn.XLOOKUP(A110,Album!A:A,Album!J:J)</f>
        <v>https://i.scdn.co/image/ab67616d0000b273bd5ba80ea2ad342e488ba54d</v>
      </c>
      <c r="AD110" s="3"/>
      <c r="AE110" s="3"/>
      <c r="AF110" s="3"/>
      <c r="AG110" s="3"/>
      <c r="AH110" s="3"/>
    </row>
    <row r="111" spans="1:34" x14ac:dyDescent="0.3">
      <c r="A111" s="11" t="s">
        <v>1124</v>
      </c>
      <c r="B111" s="12" t="s">
        <v>1125</v>
      </c>
      <c r="C111" s="12" t="s">
        <v>1125</v>
      </c>
      <c r="D111" s="13" t="s">
        <v>3530</v>
      </c>
      <c r="E111" s="6">
        <v>42699</v>
      </c>
      <c r="F111" s="3">
        <v>191379</v>
      </c>
      <c r="G111" s="3">
        <v>52</v>
      </c>
      <c r="H111" s="3" t="s">
        <v>5955</v>
      </c>
      <c r="I111" s="3" t="s">
        <v>1013</v>
      </c>
      <c r="J111" s="3" t="s">
        <v>1126</v>
      </c>
      <c r="K111" s="3" t="s">
        <v>1127</v>
      </c>
      <c r="L111" s="3">
        <v>0.48299999999999998</v>
      </c>
      <c r="M111" s="3">
        <v>0.78700000000000003</v>
      </c>
      <c r="N111" s="3">
        <v>8</v>
      </c>
      <c r="O111" s="8">
        <v>-5244</v>
      </c>
      <c r="P111" s="3">
        <v>1</v>
      </c>
      <c r="Q111" s="3">
        <v>0.10199999999999999</v>
      </c>
      <c r="R111" s="3">
        <v>0.112</v>
      </c>
      <c r="S111" s="3">
        <v>0</v>
      </c>
      <c r="T111" s="3">
        <v>0.25700000000000001</v>
      </c>
      <c r="U111" s="3">
        <v>0.57999999999999996</v>
      </c>
      <c r="V111" s="8">
        <v>122058</v>
      </c>
      <c r="W111" s="3">
        <v>4</v>
      </c>
      <c r="X111" s="3" t="str">
        <f t="shared" si="8"/>
        <v>-HAPPY-</v>
      </c>
      <c r="Y111" s="3" t="str">
        <f t="shared" si="9"/>
        <v>-ENERGY-</v>
      </c>
      <c r="Z111" s="4" t="str">
        <f t="shared" si="10"/>
        <v>{"couname":"Shed a Light","img":"https://i.scdn.co/image/ab67616d0000b2737be189f322bc8155c103d6c9","pty":"52","artist":"Robin Schulz, David Guetta, Cheat Codes","genres":"tropical house,edm,dance","duration":"191379","spotId":"1cG0umU5TKStygKsPFZ9pY","Items":["-HAPPY-","-ENERGY-","","","GN_FrenchElectro"]},</v>
      </c>
      <c r="AA111" s="5" t="s">
        <v>6100</v>
      </c>
      <c r="AB111" s="3" t="str">
        <f t="shared" si="11"/>
        <v>["-HAPPY-","-ENERGY-","","","GN_FrenchElectro"]</v>
      </c>
      <c r="AC111" s="3" t="str">
        <f>_xlfn.XLOOKUP(A111,Album!A:A,Album!J:J)</f>
        <v>https://i.scdn.co/image/ab67616d0000b2737be189f322bc8155c103d6c9</v>
      </c>
      <c r="AD111" s="3"/>
      <c r="AE111" s="3"/>
      <c r="AF111" s="3"/>
      <c r="AG111" s="3"/>
      <c r="AH111" s="3"/>
    </row>
    <row r="112" spans="1:34" x14ac:dyDescent="0.3">
      <c r="A112" s="11" t="s">
        <v>1154</v>
      </c>
      <c r="B112" s="12" t="s">
        <v>1155</v>
      </c>
      <c r="C112" s="12" t="s">
        <v>1155</v>
      </c>
      <c r="D112" s="13" t="s">
        <v>3592</v>
      </c>
      <c r="E112" s="6">
        <v>44687</v>
      </c>
      <c r="F112" s="3">
        <v>190217</v>
      </c>
      <c r="G112" s="3">
        <v>52</v>
      </c>
      <c r="H112" s="3" t="s">
        <v>5954</v>
      </c>
      <c r="I112" s="3" t="s">
        <v>1013</v>
      </c>
      <c r="J112" s="3" t="s">
        <v>1126</v>
      </c>
      <c r="K112" s="3" t="s">
        <v>1156</v>
      </c>
      <c r="L112" s="3">
        <v>0.60899999999999999</v>
      </c>
      <c r="M112" s="3">
        <v>0.80100000000000005</v>
      </c>
      <c r="N112" s="3">
        <v>1</v>
      </c>
      <c r="O112" s="8">
        <v>-8483</v>
      </c>
      <c r="P112" s="3">
        <v>0</v>
      </c>
      <c r="Q112" s="3">
        <v>6.9400000000000003E-2</v>
      </c>
      <c r="R112" s="3">
        <v>2.46E-2</v>
      </c>
      <c r="S112" s="3">
        <v>2.5500000000000002E-3</v>
      </c>
      <c r="T112" s="3">
        <v>0.37</v>
      </c>
      <c r="U112" s="3">
        <v>0.20200000000000001</v>
      </c>
      <c r="V112" s="8">
        <v>122958</v>
      </c>
      <c r="W112" s="3">
        <v>4</v>
      </c>
      <c r="X112" s="3" t="str">
        <f t="shared" si="8"/>
        <v>-SADNE-</v>
      </c>
      <c r="Y112" s="3" t="str">
        <f t="shared" si="9"/>
        <v>-ENERGY-</v>
      </c>
      <c r="Z112" s="4" t="str">
        <f t="shared" si="10"/>
        <v>{"couname":"On Repeat","img":"https://i.scdn.co/image/ab67616d0000b2731fba1231f8d1cf0d06d92339","pty":"52","artist":"Robin Schulz, David Guetta","genres":"tropical house,edm,dance","duration":"190217","spotId":"4xbXuRfZ2ZLktw5QEdGYnX","Items":["-SADNE-","-ENERGY-","","","GN_FrenchElectro"]},</v>
      </c>
      <c r="AA112" s="5" t="s">
        <v>6100</v>
      </c>
      <c r="AB112" s="3" t="str">
        <f t="shared" si="11"/>
        <v>["-SADNE-","-ENERGY-","","","GN_FrenchElectro"]</v>
      </c>
      <c r="AC112" s="3" t="str">
        <f>_xlfn.XLOOKUP(A112,Album!A:A,Album!J:J)</f>
        <v>https://i.scdn.co/image/ab67616d0000b2731fba1231f8d1cf0d06d92339</v>
      </c>
      <c r="AD112" s="3"/>
      <c r="AE112" s="3"/>
      <c r="AF112" s="3"/>
      <c r="AG112" s="3"/>
      <c r="AH112" s="3"/>
    </row>
    <row r="113" spans="1:34" x14ac:dyDescent="0.3">
      <c r="A113" s="11" t="s">
        <v>1185</v>
      </c>
      <c r="B113" s="12" t="s">
        <v>1186</v>
      </c>
      <c r="C113" s="12" t="s">
        <v>1186</v>
      </c>
      <c r="D113" s="13" t="s">
        <v>3652</v>
      </c>
      <c r="E113" s="6">
        <v>44988</v>
      </c>
      <c r="F113" s="3">
        <v>164541</v>
      </c>
      <c r="G113" s="3">
        <v>52</v>
      </c>
      <c r="H113" s="3" t="s">
        <v>5953</v>
      </c>
      <c r="I113" s="3" t="s">
        <v>1013</v>
      </c>
      <c r="J113" s="3" t="s">
        <v>1019</v>
      </c>
      <c r="K113" s="3" t="s">
        <v>1149</v>
      </c>
      <c r="L113" s="3">
        <v>0.55300000000000005</v>
      </c>
      <c r="M113" s="3">
        <v>0.94299999999999995</v>
      </c>
      <c r="N113" s="3">
        <v>8</v>
      </c>
      <c r="O113" s="8">
        <v>-3741</v>
      </c>
      <c r="P113" s="3">
        <v>0</v>
      </c>
      <c r="Q113" s="3">
        <v>5.67E-2</v>
      </c>
      <c r="R113" s="3">
        <v>7.8399999999999997E-3</v>
      </c>
      <c r="S113" s="3">
        <v>1.0399999999999999E-4</v>
      </c>
      <c r="T113" s="3">
        <v>5.6000000000000001E-2</v>
      </c>
      <c r="U113" s="3">
        <v>0.375</v>
      </c>
      <c r="V113" s="8">
        <v>129963</v>
      </c>
      <c r="W113" s="3">
        <v>4</v>
      </c>
      <c r="X113" s="3" t="str">
        <f t="shared" si="8"/>
        <v>-SADNE-</v>
      </c>
      <c r="Y113" s="3" t="str">
        <f t="shared" si="9"/>
        <v>-ENERGY-</v>
      </c>
      <c r="Z113" s="4" t="str">
        <f t="shared" si="10"/>
        <v>{"couname":"Here We Go Again","img":"https://i.scdn.co/image/ab67616d0000b2732d81b0bc54b1c1efb6f1b492","pty":"52","artist":"Oliver Tree, David Guetta","genres":"edm,dance","duration":"164541","spotId":"3WsbAGQt6HgTj9kg6f466M","Items":["-SADNE-","-ENERGY-","","","GN_FrenchElectro"]},</v>
      </c>
      <c r="AA113" s="5" t="s">
        <v>6100</v>
      </c>
      <c r="AB113" s="3" t="str">
        <f t="shared" si="11"/>
        <v>["-SADNE-","-ENERGY-","","","GN_FrenchElectro"]</v>
      </c>
      <c r="AC113" s="3" t="str">
        <f>_xlfn.XLOOKUP(A113,Album!A:A,Album!J:J)</f>
        <v>https://i.scdn.co/image/ab67616d0000b2732d81b0bc54b1c1efb6f1b492</v>
      </c>
      <c r="AD113" s="3"/>
      <c r="AE113" s="3"/>
      <c r="AF113" s="3"/>
      <c r="AG113" s="3"/>
      <c r="AH113" s="3"/>
    </row>
    <row r="114" spans="1:34" x14ac:dyDescent="0.3">
      <c r="A114" s="11" t="s">
        <v>1187</v>
      </c>
      <c r="B114" s="12" t="s">
        <v>5950</v>
      </c>
      <c r="C114" s="12" t="s">
        <v>1053</v>
      </c>
      <c r="D114" s="13" t="s">
        <v>5952</v>
      </c>
      <c r="E114" s="6">
        <v>41953</v>
      </c>
      <c r="F114" s="3">
        <v>207200</v>
      </c>
      <c r="G114" s="3">
        <v>52</v>
      </c>
      <c r="H114" s="3" t="s">
        <v>5951</v>
      </c>
      <c r="I114" s="3" t="s">
        <v>1013</v>
      </c>
      <c r="J114" s="3" t="s">
        <v>1019</v>
      </c>
      <c r="K114" s="3" t="s">
        <v>83</v>
      </c>
      <c r="L114" s="3">
        <v>0.49399999999999999</v>
      </c>
      <c r="M114" s="3">
        <v>0.72099999999999997</v>
      </c>
      <c r="N114" s="3">
        <v>2</v>
      </c>
      <c r="O114" s="8">
        <v>-4855</v>
      </c>
      <c r="P114" s="3">
        <v>1</v>
      </c>
      <c r="Q114" s="3">
        <v>4.1599999999999998E-2</v>
      </c>
      <c r="R114" s="3">
        <v>0.107</v>
      </c>
      <c r="S114" s="3">
        <v>0</v>
      </c>
      <c r="T114" s="3">
        <v>0.11899999999999999</v>
      </c>
      <c r="U114" s="3">
        <v>0.35599999999999998</v>
      </c>
      <c r="V114" s="8">
        <v>128.1</v>
      </c>
      <c r="W114" s="3">
        <v>4</v>
      </c>
      <c r="X114" s="3" t="str">
        <f t="shared" si="8"/>
        <v>-HAPPY-</v>
      </c>
      <c r="Y114" s="3" t="str">
        <f t="shared" si="9"/>
        <v>-ENERGY-</v>
      </c>
      <c r="Z114" s="4" t="str">
        <f t="shared" si="10"/>
        <v>{"couname":"What I Did for Love","img":"https://i.scdn.co/image/ab67616d0000b2733862d62a50dc6b928651bdeb","pty":"52","artist":"David Guetta, Emeli Sandé","genres":"edm,dance","duration":"207200","spotId":"1YRjRHdl0aEtzHEn1uGi8k","Items":["-HAPPY-","-ENERGY-","","","GN_FrenchElectro"]},</v>
      </c>
      <c r="AA114" s="5" t="s">
        <v>6100</v>
      </c>
      <c r="AB114" s="3" t="str">
        <f t="shared" si="11"/>
        <v>["-HAPPY-","-ENERGY-","","","GN_FrenchElectro"]</v>
      </c>
      <c r="AC114" s="3" t="str">
        <f>_xlfn.XLOOKUP(A114,Album!A:A,Album!J:J)</f>
        <v>https://i.scdn.co/image/ab67616d0000b2733862d62a50dc6b928651bdeb</v>
      </c>
      <c r="AD114" s="3"/>
      <c r="AE114" s="3"/>
      <c r="AF114" s="3"/>
      <c r="AG114" s="3"/>
      <c r="AH114" s="3"/>
    </row>
    <row r="115" spans="1:34" x14ac:dyDescent="0.3">
      <c r="A115" s="11" t="s">
        <v>1377</v>
      </c>
      <c r="B115" s="12" t="s">
        <v>1378</v>
      </c>
      <c r="C115" s="12" t="s">
        <v>1335</v>
      </c>
      <c r="D115" s="13" t="s">
        <v>1345</v>
      </c>
      <c r="E115" s="6">
        <v>35811</v>
      </c>
      <c r="F115" s="3">
        <v>226293</v>
      </c>
      <c r="G115" s="3">
        <v>52</v>
      </c>
      <c r="H115" s="3" t="s">
        <v>5949</v>
      </c>
      <c r="I115" s="3" t="s">
        <v>1336</v>
      </c>
      <c r="J115" s="3" t="s">
        <v>1337</v>
      </c>
      <c r="K115" s="3" t="s">
        <v>83</v>
      </c>
      <c r="L115" s="3">
        <v>0.52200000000000002</v>
      </c>
      <c r="M115" s="3">
        <v>0.72</v>
      </c>
      <c r="N115" s="3">
        <v>2</v>
      </c>
      <c r="O115" s="8">
        <v>-8.52</v>
      </c>
      <c r="P115" s="3">
        <v>1</v>
      </c>
      <c r="Q115" s="3">
        <v>2.8299999999999999E-2</v>
      </c>
      <c r="R115" s="3">
        <v>0.215</v>
      </c>
      <c r="S115" s="3">
        <v>0.746</v>
      </c>
      <c r="T115" s="3">
        <v>0.111</v>
      </c>
      <c r="U115" s="3">
        <v>0.315</v>
      </c>
      <c r="V115" s="8">
        <v>109851</v>
      </c>
      <c r="W115" s="3">
        <v>4</v>
      </c>
      <c r="X115" s="3" t="str">
        <f t="shared" si="8"/>
        <v>-HAPPY-</v>
      </c>
      <c r="Y115" s="3" t="str">
        <f t="shared" si="9"/>
        <v>-ENERGY-</v>
      </c>
      <c r="Z115" s="4" t="str">
        <f t="shared" si="10"/>
        <v>{"couname":"Kelly Watch the Stars","img":"https://i.scdn.co/image/ab67616d0000b2731216e4f7e84af70ef18146ed","pty":"52","artist":"Air","genres":"trip hop,downtempo,house francés","duration":"226293","spotId":"5tR13oIwi5J3elcTZPTTIU","Items":["-HAPPY-","-ENERGY-","","","GN_FrenchElectro"]},</v>
      </c>
      <c r="AA115" s="5" t="s">
        <v>6100</v>
      </c>
      <c r="AB115" s="3" t="str">
        <f t="shared" si="11"/>
        <v>["-HAPPY-","-ENERGY-","","","GN_FrenchElectro"]</v>
      </c>
      <c r="AC115" s="3" t="str">
        <f>_xlfn.XLOOKUP(A115,Album!A:A,Album!J:J)</f>
        <v>https://i.scdn.co/image/ab67616d0000b2731216e4f7e84af70ef18146ed</v>
      </c>
      <c r="AD115" s="3"/>
      <c r="AE115" s="3"/>
      <c r="AF115" s="3"/>
      <c r="AG115" s="3"/>
      <c r="AH115" s="3"/>
    </row>
    <row r="116" spans="1:34" x14ac:dyDescent="0.3">
      <c r="A116" s="11" t="s">
        <v>1671</v>
      </c>
      <c r="B116" s="12" t="s">
        <v>1672</v>
      </c>
      <c r="C116" s="12" t="s">
        <v>1673</v>
      </c>
      <c r="D116" s="13" t="s">
        <v>1674</v>
      </c>
      <c r="E116" s="6">
        <v>40707</v>
      </c>
      <c r="F116" s="3">
        <v>222407</v>
      </c>
      <c r="G116" s="3">
        <v>52</v>
      </c>
      <c r="H116" s="3" t="s">
        <v>5948</v>
      </c>
      <c r="I116" s="3" t="s">
        <v>1675</v>
      </c>
      <c r="J116" s="3" t="s">
        <v>463</v>
      </c>
      <c r="K116" s="3" t="s">
        <v>1676</v>
      </c>
      <c r="L116" s="3">
        <v>0.126</v>
      </c>
      <c r="M116" s="3">
        <v>0.79800000000000004</v>
      </c>
      <c r="N116" s="3">
        <v>9</v>
      </c>
      <c r="O116" s="8">
        <v>-5.62</v>
      </c>
      <c r="P116" s="3">
        <v>0</v>
      </c>
      <c r="Q116" s="3">
        <v>4.24E-2</v>
      </c>
      <c r="R116" s="3">
        <v>7.9299999999999995E-3</v>
      </c>
      <c r="S116" s="3">
        <v>0.23699999999999999</v>
      </c>
      <c r="T116" s="3">
        <v>0.221</v>
      </c>
      <c r="U116" s="3">
        <v>0.13600000000000001</v>
      </c>
      <c r="V116" s="8">
        <v>188718</v>
      </c>
      <c r="W116" s="3">
        <v>3</v>
      </c>
      <c r="X116" s="3" t="str">
        <f t="shared" si="8"/>
        <v>-SADNE-</v>
      </c>
      <c r="Y116" s="3" t="str">
        <f t="shared" si="9"/>
        <v>-ENERGY-</v>
      </c>
      <c r="Z116" s="4" t="str">
        <f t="shared" si="10"/>
        <v>{"couname":"I &lt;3 U SO","img":"https://i.scdn.co/image/ab67616d0000b2734f3d682578d8bd0fc547bec5","pty":"52","artist":"Cassius","genres":"house francés,disco house","duration":"222407","spotId":"0WWBeDKdXmGbZD1XVOVqot","Items":["-SADNE-","-ENERGY-","","","GN_FrenchElectro"]},</v>
      </c>
      <c r="AA116" s="5" t="s">
        <v>6100</v>
      </c>
      <c r="AB116" s="3" t="str">
        <f t="shared" si="11"/>
        <v>["-SADNE-","-ENERGY-","","","GN_FrenchElectro"]</v>
      </c>
      <c r="AC116" s="3" t="str">
        <f>_xlfn.XLOOKUP(A116,Album!A:A,Album!J:J)</f>
        <v>https://i.scdn.co/image/ab67616d0000b2734f3d682578d8bd0fc547bec5</v>
      </c>
      <c r="AD116" s="3"/>
      <c r="AE116" s="3"/>
      <c r="AF116" s="3"/>
      <c r="AG116" s="3"/>
      <c r="AH116" s="3"/>
    </row>
    <row r="117" spans="1:34" x14ac:dyDescent="0.3">
      <c r="A117" s="11" t="s">
        <v>1814</v>
      </c>
      <c r="B117" s="12" t="s">
        <v>1815</v>
      </c>
      <c r="C117" s="12" t="s">
        <v>1808</v>
      </c>
      <c r="D117" s="13" t="s">
        <v>9</v>
      </c>
      <c r="E117" s="6">
        <v>35447</v>
      </c>
      <c r="F117" s="3">
        <v>335026</v>
      </c>
      <c r="G117" s="3">
        <v>52</v>
      </c>
      <c r="H117" s="3" t="s">
        <v>5947</v>
      </c>
      <c r="I117" s="3" t="s">
        <v>1809</v>
      </c>
      <c r="J117" s="3" t="s">
        <v>1810</v>
      </c>
      <c r="K117" s="3" t="s">
        <v>1811</v>
      </c>
      <c r="L117" s="3">
        <v>0.745</v>
      </c>
      <c r="M117" s="3">
        <v>0.71599999999999997</v>
      </c>
      <c r="N117" s="3">
        <v>11</v>
      </c>
      <c r="O117" s="8">
        <v>-7918</v>
      </c>
      <c r="P117" s="3">
        <v>1</v>
      </c>
      <c r="Q117" s="3">
        <v>0.13600000000000001</v>
      </c>
      <c r="R117" s="3">
        <v>2.6499999999999999E-2</v>
      </c>
      <c r="S117" s="3">
        <v>0.84599999999999997</v>
      </c>
      <c r="T117" s="3">
        <v>0.246</v>
      </c>
      <c r="U117" s="3">
        <v>0.82799999999999996</v>
      </c>
      <c r="V117" s="8">
        <v>126527</v>
      </c>
      <c r="W117" s="3">
        <v>4</v>
      </c>
      <c r="X117" s="3" t="str">
        <f t="shared" si="8"/>
        <v>-HAPPY-</v>
      </c>
      <c r="Y117" s="3" t="str">
        <f t="shared" si="9"/>
        <v>-ENERGY-</v>
      </c>
      <c r="Z117" s="4" t="str">
        <f t="shared" si="10"/>
        <v>{"couname":"Revolution 909","img":"https://i.scdn.co/image/ab67616d0000b2738ac778cc7d88779f74d33311","pty":"52","artist":"Daft Punk","genres":"house francés,electrónica,electro","duration":"335026","spotId":"5pgZpHqfv4TSomtkfGZGrG","Items":["-HAPPY-","-ENERGY-","","","GN_FrenchElectro"]},</v>
      </c>
      <c r="AA117" s="5" t="s">
        <v>6100</v>
      </c>
      <c r="AB117" s="3" t="str">
        <f t="shared" si="11"/>
        <v>["-HAPPY-","-ENERGY-","","","GN_FrenchElectro"]</v>
      </c>
      <c r="AC117" s="3" t="str">
        <f>_xlfn.XLOOKUP(A117,Album!A:A,Album!J:J)</f>
        <v>https://i.scdn.co/image/ab67616d0000b2738ac778cc7d88779f74d33311</v>
      </c>
      <c r="AD117" s="3"/>
      <c r="AE117" s="3"/>
      <c r="AF117" s="3"/>
      <c r="AG117" s="3"/>
      <c r="AH117" s="3"/>
    </row>
    <row r="118" spans="1:34" x14ac:dyDescent="0.3">
      <c r="A118" s="11" t="s">
        <v>1868</v>
      </c>
      <c r="B118" s="12" t="s">
        <v>1869</v>
      </c>
      <c r="C118" s="12" t="s">
        <v>1844</v>
      </c>
      <c r="D118" s="13" t="s">
        <v>9</v>
      </c>
      <c r="E118" s="6">
        <v>36962</v>
      </c>
      <c r="F118" s="3">
        <v>600293</v>
      </c>
      <c r="G118" s="3">
        <v>52</v>
      </c>
      <c r="H118" s="3" t="s">
        <v>5946</v>
      </c>
      <c r="I118" s="3" t="s">
        <v>1809</v>
      </c>
      <c r="J118" s="3" t="s">
        <v>1810</v>
      </c>
      <c r="K118" s="3" t="s">
        <v>1811</v>
      </c>
      <c r="L118" s="3">
        <v>0.69199999999999995</v>
      </c>
      <c r="M118" s="3">
        <v>0.58199999999999996</v>
      </c>
      <c r="N118" s="3">
        <v>5</v>
      </c>
      <c r="O118" s="8">
        <v>-10164</v>
      </c>
      <c r="P118" s="3">
        <v>0</v>
      </c>
      <c r="Q118" s="3">
        <v>0.30099999999999999</v>
      </c>
      <c r="R118" s="3">
        <v>2.1099999999999999E-3</v>
      </c>
      <c r="S118" s="3">
        <v>0</v>
      </c>
      <c r="T118" s="3">
        <v>0.17699999999999999</v>
      </c>
      <c r="U118" s="3">
        <v>0.51300000000000001</v>
      </c>
      <c r="V118" s="8">
        <v>127017</v>
      </c>
      <c r="W118" s="3">
        <v>4</v>
      </c>
      <c r="X118" s="3" t="str">
        <f t="shared" si="8"/>
        <v>-HAPPY-</v>
      </c>
      <c r="Y118" s="3" t="str">
        <f t="shared" si="9"/>
        <v>-ENERGY-</v>
      </c>
      <c r="Z118" s="4" t="str">
        <f t="shared" si="10"/>
        <v>{"couname":"Too Long","img":"https://i.scdn.co/image/ab67616d0000b2732c25dad9f8fd54652f7ba5df","pty":"52","artist":"Daft Punk","genres":"house francés,electrónica,electro","duration":"600293","spotId":"3zMvotMEQK3xvH01vA9wAP","Items":["-HAPPY-","-ENERGY-","","","GN_FrenchElectro"]},</v>
      </c>
      <c r="AA118" s="5" t="s">
        <v>6100</v>
      </c>
      <c r="AB118" s="3" t="str">
        <f t="shared" si="11"/>
        <v>["-HAPPY-","-ENERGY-","","","GN_FrenchElectro"]</v>
      </c>
      <c r="AC118" s="3" t="str">
        <f>_xlfn.XLOOKUP(A118,Album!A:A,Album!J:J)</f>
        <v>https://i.scdn.co/image/ab67616d0000b2732c25dad9f8fd54652f7ba5df</v>
      </c>
      <c r="AD118" s="3"/>
      <c r="AE118" s="3"/>
      <c r="AF118" s="3"/>
      <c r="AG118" s="3"/>
      <c r="AH118" s="3"/>
    </row>
    <row r="119" spans="1:34" x14ac:dyDescent="0.3">
      <c r="A119" s="11" t="s">
        <v>1900</v>
      </c>
      <c r="B119" s="12" t="s">
        <v>5944</v>
      </c>
      <c r="C119" s="12" t="s">
        <v>1898</v>
      </c>
      <c r="D119" s="13" t="s">
        <v>9</v>
      </c>
      <c r="E119" s="6">
        <v>40515</v>
      </c>
      <c r="F119" s="3">
        <v>95226</v>
      </c>
      <c r="G119" s="3">
        <v>52</v>
      </c>
      <c r="H119" s="3" t="s">
        <v>5945</v>
      </c>
      <c r="I119" s="3" t="s">
        <v>1809</v>
      </c>
      <c r="J119" s="3" t="s">
        <v>1810</v>
      </c>
      <c r="K119" s="3" t="s">
        <v>51</v>
      </c>
      <c r="L119" s="3">
        <v>0.54300000000000004</v>
      </c>
      <c r="M119" s="3">
        <v>0.77500000000000002</v>
      </c>
      <c r="N119" s="3">
        <v>0</v>
      </c>
      <c r="O119" s="8">
        <v>-17616</v>
      </c>
      <c r="P119" s="3">
        <v>0</v>
      </c>
      <c r="Q119" s="3">
        <v>5.1999999999999998E-2</v>
      </c>
      <c r="R119" s="3">
        <v>0.90100000000000002</v>
      </c>
      <c r="S119" s="3">
        <v>0.90200000000000002</v>
      </c>
      <c r="T119" s="3">
        <v>0.25800000000000001</v>
      </c>
      <c r="U119" s="3">
        <v>2.2200000000000001E-2</v>
      </c>
      <c r="V119" s="8">
        <v>106018</v>
      </c>
      <c r="W119" s="3">
        <v>4</v>
      </c>
      <c r="X119" s="3" t="str">
        <f t="shared" si="8"/>
        <v>-SADNE-</v>
      </c>
      <c r="Y119" s="3" t="str">
        <f t="shared" si="9"/>
        <v>-ENERGY-</v>
      </c>
      <c r="Z119" s="4" t="str">
        <f t="shared" si="10"/>
        <v>{"couname":"The Son of Flynn","img":"https://i.scdn.co/image/ab67616d0000b27366919acb93950333962467f8","pty":"52","artist":"Daft Punk","genres":"house francés,electrónica,electro","duration":"95226","spotId":"1xPec5BN0Zxv77zrWKq43S","Items":["-SADNE-","-ENERGY-","","","GN_FrenchElectro"]},</v>
      </c>
      <c r="AA119" s="5" t="s">
        <v>6100</v>
      </c>
      <c r="AB119" s="3" t="str">
        <f t="shared" si="11"/>
        <v>["-SADNE-","-ENERGY-","","","GN_FrenchElectro"]</v>
      </c>
      <c r="AC119" s="3" t="str">
        <f>_xlfn.XLOOKUP(A119,Album!A:A,Album!J:J)</f>
        <v>https://i.scdn.co/image/ab67616d0000b27366919acb93950333962467f8</v>
      </c>
      <c r="AD119" s="3"/>
      <c r="AE119" s="3"/>
      <c r="AF119" s="3"/>
      <c r="AG119" s="3"/>
      <c r="AH119" s="3"/>
    </row>
    <row r="120" spans="1:34" x14ac:dyDescent="0.3">
      <c r="A120" s="11" t="s">
        <v>754</v>
      </c>
      <c r="B120" s="12" t="s">
        <v>755</v>
      </c>
      <c r="C120" s="12" t="s">
        <v>737</v>
      </c>
      <c r="D120" s="13" t="s">
        <v>3012</v>
      </c>
      <c r="E120" s="6">
        <v>45408</v>
      </c>
      <c r="F120" s="3">
        <v>207373</v>
      </c>
      <c r="G120" s="3">
        <v>51</v>
      </c>
      <c r="H120" s="3" t="s">
        <v>5943</v>
      </c>
      <c r="I120" s="3" t="s">
        <v>738</v>
      </c>
      <c r="J120" s="3" t="s">
        <v>742</v>
      </c>
      <c r="K120" s="3" t="s">
        <v>19</v>
      </c>
      <c r="L120" s="3">
        <v>0.65300000000000002</v>
      </c>
      <c r="M120" s="3">
        <v>0.621</v>
      </c>
      <c r="N120" s="3">
        <v>7</v>
      </c>
      <c r="O120" s="8">
        <v>-10086</v>
      </c>
      <c r="P120" s="3">
        <v>1</v>
      </c>
      <c r="Q120" s="3">
        <v>0.10199999999999999</v>
      </c>
      <c r="R120" s="3">
        <v>1.7399999999999999E-2</v>
      </c>
      <c r="S120" s="3">
        <v>6.0600000000000001E-2</v>
      </c>
      <c r="T120" s="3">
        <v>0.13700000000000001</v>
      </c>
      <c r="U120" s="3">
        <v>0.47</v>
      </c>
      <c r="V120" s="8">
        <v>112009</v>
      </c>
      <c r="W120" s="3">
        <v>4</v>
      </c>
      <c r="X120" s="3" t="str">
        <f t="shared" si="8"/>
        <v>-HAPPY-</v>
      </c>
      <c r="Y120" s="3" t="str">
        <f t="shared" si="9"/>
        <v>-ENERGY-</v>
      </c>
      <c r="Z120" s="4" t="str">
        <f t="shared" si="10"/>
        <v>{"couname":"Mannequin Love","img":"https://i.scdn.co/image/ab67616d0000b2738f4b5df3a6ee2abb733080a9","pty":"51","artist":"Justice, The Flints","genres":"house francés,new rave,rock electrónico","duration":"207373","spotId":"4csm3bIilOko37LEVW1v8P","Items":["-HAPPY-","-ENERGY-","","","GN_FrenchElectro"]},</v>
      </c>
      <c r="AA120" s="5" t="s">
        <v>6100</v>
      </c>
      <c r="AB120" s="3" t="str">
        <f t="shared" si="11"/>
        <v>["-HAPPY-","-ENERGY-","","","GN_FrenchElectro"]</v>
      </c>
      <c r="AC120" s="3" t="str">
        <f>_xlfn.XLOOKUP(A120,Album!A:A,Album!J:J)</f>
        <v>https://i.scdn.co/image/ab67616d0000b2738f4b5df3a6ee2abb733080a9</v>
      </c>
      <c r="AD120" s="3"/>
      <c r="AE120" s="3"/>
      <c r="AF120" s="3"/>
      <c r="AG120" s="3"/>
      <c r="AH120" s="3"/>
    </row>
    <row r="121" spans="1:34" x14ac:dyDescent="0.3">
      <c r="A121" s="11" t="s">
        <v>895</v>
      </c>
      <c r="B121" s="12" t="s">
        <v>852</v>
      </c>
      <c r="C121" s="12" t="s">
        <v>897</v>
      </c>
      <c r="D121" s="13" t="s">
        <v>3177</v>
      </c>
      <c r="E121" s="6">
        <v>45464</v>
      </c>
      <c r="F121" s="3">
        <v>335740</v>
      </c>
      <c r="G121" s="3">
        <v>51</v>
      </c>
      <c r="H121" s="3" t="s">
        <v>5942</v>
      </c>
      <c r="I121" s="3" t="s">
        <v>889</v>
      </c>
      <c r="J121" s="3" t="s">
        <v>898</v>
      </c>
      <c r="K121" s="3" t="s">
        <v>899</v>
      </c>
      <c r="L121" s="3">
        <v>0.58299999999999996</v>
      </c>
      <c r="M121" s="3">
        <v>0.53700000000000003</v>
      </c>
      <c r="N121" s="3">
        <v>2</v>
      </c>
      <c r="O121" s="8">
        <v>-9466</v>
      </c>
      <c r="P121" s="3">
        <v>1</v>
      </c>
      <c r="Q121" s="3">
        <v>2.5999999999999999E-2</v>
      </c>
      <c r="R121" s="3">
        <v>0.34100000000000003</v>
      </c>
      <c r="S121" s="3">
        <v>0.30099999999999999</v>
      </c>
      <c r="T121" s="3">
        <v>9.4899999999999998E-2</v>
      </c>
      <c r="U121" s="3">
        <v>6.88E-2</v>
      </c>
      <c r="V121" s="8">
        <v>100007</v>
      </c>
      <c r="W121" s="3">
        <v>4</v>
      </c>
      <c r="X121" s="3" t="str">
        <f t="shared" si="8"/>
        <v>-SADNE-</v>
      </c>
      <c r="Y121" s="3" t="str">
        <f t="shared" si="9"/>
        <v>-ENERGY-</v>
      </c>
      <c r="Z121" s="4" t="str">
        <f t="shared" si="10"/>
        <v>{"couname":"Wait","img":"https://i.scdn.co/image/ab67616d0000b27343c39d57c55a3580766551c9","pty":"51","artist":"Kygo, M83","genres":"tropical house,indietronica","duration":"335740","spotId":"1mshGixz5e5ZXIUmeaDnWd","Items":["-SADNE-","-ENERGY-","","","GN_FrenchElectro"]},</v>
      </c>
      <c r="AA121" s="5" t="s">
        <v>6100</v>
      </c>
      <c r="AB121" s="3" t="str">
        <f t="shared" si="11"/>
        <v>["-SADNE-","-ENERGY-","","","GN_FrenchElectro"]</v>
      </c>
      <c r="AC121" s="3" t="str">
        <f>_xlfn.XLOOKUP(A121,Album!A:A,Album!J:J)</f>
        <v>https://i.scdn.co/image/ab67616d0000b27343c39d57c55a3580766551c9</v>
      </c>
      <c r="AD121" s="3"/>
      <c r="AE121" s="3"/>
      <c r="AF121" s="3"/>
      <c r="AG121" s="3"/>
      <c r="AH121" s="3"/>
    </row>
    <row r="122" spans="1:34" x14ac:dyDescent="0.3">
      <c r="A122" s="11" t="s">
        <v>913</v>
      </c>
      <c r="B122" s="12" t="s">
        <v>914</v>
      </c>
      <c r="C122" s="12" t="s">
        <v>902</v>
      </c>
      <c r="D122" s="13" t="s">
        <v>3200</v>
      </c>
      <c r="E122" s="6">
        <v>41373</v>
      </c>
      <c r="F122" s="3">
        <v>221021</v>
      </c>
      <c r="G122" s="3">
        <v>51</v>
      </c>
      <c r="H122" s="3" t="s">
        <v>5941</v>
      </c>
      <c r="I122" s="3" t="s">
        <v>889</v>
      </c>
      <c r="J122" s="3" t="s">
        <v>915</v>
      </c>
      <c r="K122" s="3" t="s">
        <v>904</v>
      </c>
      <c r="L122" s="3">
        <v>0.32100000000000001</v>
      </c>
      <c r="M122" s="3">
        <v>0.17699999999999999</v>
      </c>
      <c r="N122" s="3">
        <v>8</v>
      </c>
      <c r="O122" s="8">
        <v>-12708</v>
      </c>
      <c r="P122" s="3">
        <v>1</v>
      </c>
      <c r="Q122" s="3">
        <v>3.5000000000000003E-2</v>
      </c>
      <c r="R122" s="3">
        <v>0.23699999999999999</v>
      </c>
      <c r="S122" s="3">
        <v>0.83699999999999997</v>
      </c>
      <c r="T122" s="3">
        <v>0.10199999999999999</v>
      </c>
      <c r="U122" s="3">
        <v>3.9899999999999998E-2</v>
      </c>
      <c r="V122" s="8">
        <v>99088</v>
      </c>
      <c r="W122" s="3">
        <v>4</v>
      </c>
      <c r="X122" s="3" t="str">
        <f t="shared" si="8"/>
        <v>-SADNE-</v>
      </c>
      <c r="Y122" s="3" t="str">
        <f t="shared" si="9"/>
        <v>-SLOWSS-</v>
      </c>
      <c r="Z122" s="4" t="str">
        <f t="shared" si="10"/>
        <v>{"couname":"StarWaves","img":"https://i.scdn.co/image/ab67616d0000b273c574dc72611d61885ac9669a","pty":"51","artist":"M83, Anthony Gonzalez, Joseph Trapanese","genres":"indietronica,banda sonora","duration":"221021","spotId":"0v9Ud7xm4hiYEFu5nKcYzC","Items":["-SADNE-","-SLOWSS-","","","GN_FrenchElectro"]},</v>
      </c>
      <c r="AA122" s="5" t="s">
        <v>6100</v>
      </c>
      <c r="AB122" s="3" t="str">
        <f t="shared" si="11"/>
        <v>["-SADNE-","-SLOWSS-","","","GN_FrenchElectro"]</v>
      </c>
      <c r="AC122" s="3" t="str">
        <f>_xlfn.XLOOKUP(A122,Album!A:A,Album!J:J)</f>
        <v>https://i.scdn.co/image/ab67616d0000b273c574dc72611d61885ac9669a</v>
      </c>
      <c r="AD122" s="3"/>
      <c r="AE122" s="3"/>
      <c r="AF122" s="3"/>
      <c r="AG122" s="3"/>
      <c r="AH122" s="3"/>
    </row>
    <row r="123" spans="1:34" x14ac:dyDescent="0.3">
      <c r="A123" s="11" t="s">
        <v>1086</v>
      </c>
      <c r="B123" s="12" t="s">
        <v>5939</v>
      </c>
      <c r="C123" s="12" t="s">
        <v>1018</v>
      </c>
      <c r="D123" s="13" t="s">
        <v>3458</v>
      </c>
      <c r="E123" s="6">
        <v>40779</v>
      </c>
      <c r="F123" s="3">
        <v>199680</v>
      </c>
      <c r="G123" s="3">
        <v>51</v>
      </c>
      <c r="H123" s="3" t="s">
        <v>5940</v>
      </c>
      <c r="I123" s="3" t="s">
        <v>1013</v>
      </c>
      <c r="J123" s="3" t="s">
        <v>1019</v>
      </c>
      <c r="K123" s="3" t="s">
        <v>83</v>
      </c>
      <c r="L123" s="3">
        <v>0.70399999999999996</v>
      </c>
      <c r="M123" s="3">
        <v>0.79300000000000004</v>
      </c>
      <c r="N123" s="3">
        <v>8</v>
      </c>
      <c r="O123" s="8">
        <v>-2266</v>
      </c>
      <c r="P123" s="3">
        <v>1</v>
      </c>
      <c r="Q123" s="3">
        <v>5.91E-2</v>
      </c>
      <c r="R123" s="3">
        <v>4.8800000000000003E-2</v>
      </c>
      <c r="S123" s="3">
        <v>0</v>
      </c>
      <c r="T123" s="3">
        <v>0.57499999999999996</v>
      </c>
      <c r="U123" s="3">
        <v>0.41199999999999998</v>
      </c>
      <c r="V123" s="8">
        <v>127.96</v>
      </c>
      <c r="W123" s="3">
        <v>4</v>
      </c>
      <c r="X123" s="3" t="str">
        <f t="shared" si="8"/>
        <v>-HAPPY-</v>
      </c>
      <c r="Y123" s="3" t="str">
        <f t="shared" si="9"/>
        <v>-ENERGY-</v>
      </c>
      <c r="Z123" s="4" t="str">
        <f t="shared" si="10"/>
        <v>{"couname":"Turn Me On","img":"https://i.scdn.co/image/ab67616d0000b273bd5ba80ea2ad342e488ba54d","pty":"51","artist":"David Guetta, Nicki Minaj","genres":"edm,dance","duration":"199680","spotId":"6F6TsdD0ijquDSjcr9lgIt","Items":["-HAPPY-","-ENERGY-","","","GN_FrenchElectro"]},</v>
      </c>
      <c r="AA123" s="5" t="s">
        <v>6100</v>
      </c>
      <c r="AB123" s="3" t="str">
        <f t="shared" si="11"/>
        <v>["-HAPPY-","-ENERGY-","","","GN_FrenchElectro"]</v>
      </c>
      <c r="AC123" s="3" t="str">
        <f>_xlfn.XLOOKUP(A123,Album!A:A,Album!J:J)</f>
        <v>https://i.scdn.co/image/ab67616d0000b273bd5ba80ea2ad342e488ba54d</v>
      </c>
      <c r="AD123" s="3"/>
      <c r="AE123" s="3"/>
      <c r="AF123" s="3"/>
      <c r="AG123" s="3"/>
      <c r="AH123" s="3"/>
    </row>
    <row r="124" spans="1:34" x14ac:dyDescent="0.3">
      <c r="A124" s="11" t="s">
        <v>1142</v>
      </c>
      <c r="B124" s="12" t="s">
        <v>5937</v>
      </c>
      <c r="C124" s="12" t="s">
        <v>1022</v>
      </c>
      <c r="D124" s="13" t="s">
        <v>3564</v>
      </c>
      <c r="E124" s="6">
        <v>40760</v>
      </c>
      <c r="F124" s="3">
        <v>188000</v>
      </c>
      <c r="G124" s="3">
        <v>51</v>
      </c>
      <c r="H124" s="3" t="s">
        <v>5938</v>
      </c>
      <c r="I124" s="3" t="s">
        <v>1013</v>
      </c>
      <c r="J124" s="3" t="s">
        <v>1019</v>
      </c>
      <c r="K124" s="3" t="s">
        <v>83</v>
      </c>
      <c r="L124" s="3">
        <v>0.61499999999999999</v>
      </c>
      <c r="M124" s="3">
        <v>0.91300000000000003</v>
      </c>
      <c r="N124" s="3">
        <v>10</v>
      </c>
      <c r="O124" s="8">
        <v>-5077</v>
      </c>
      <c r="P124" s="3">
        <v>0</v>
      </c>
      <c r="Q124" s="3">
        <v>8.1600000000000006E-2</v>
      </c>
      <c r="R124" s="3">
        <v>0.17799999999999999</v>
      </c>
      <c r="S124" s="3">
        <v>0</v>
      </c>
      <c r="T124" s="3">
        <v>7.7299999999999994E-2</v>
      </c>
      <c r="U124" s="3">
        <v>0.45</v>
      </c>
      <c r="V124" s="8">
        <v>129944</v>
      </c>
      <c r="W124" s="3">
        <v>4</v>
      </c>
      <c r="X124" s="3" t="str">
        <f t="shared" si="8"/>
        <v>-HAPPY-</v>
      </c>
      <c r="Y124" s="3" t="str">
        <f t="shared" si="9"/>
        <v>-ENERGY-</v>
      </c>
      <c r="Z124" s="4" t="str">
        <f t="shared" si="10"/>
        <v>{"couname":"Gettin' Over You","img":"https://i.scdn.co/image/ab67616d0000b273444d1ba6cd088e28bccee374","pty":"51","artist":"David Guetta, Chris Willis, Fergie, LMFAO","genres":"edm,dance","duration":"188000","spotId":"0QFhSpTIEGnv7F4VxHOvKA","Items":["-HAPPY-","-ENERGY-","","","GN_FrenchElectro"]},</v>
      </c>
      <c r="AA124" s="5" t="s">
        <v>6100</v>
      </c>
      <c r="AB124" s="3" t="str">
        <f t="shared" si="11"/>
        <v>["-HAPPY-","-ENERGY-","","","GN_FrenchElectro"]</v>
      </c>
      <c r="AC124" s="3" t="str">
        <f>_xlfn.XLOOKUP(A124,Album!A:A,Album!J:J)</f>
        <v>https://i.scdn.co/image/ab67616d0000b273444d1ba6cd088e28bccee374</v>
      </c>
      <c r="AD124" s="3"/>
      <c r="AE124" s="3"/>
      <c r="AF124" s="3"/>
      <c r="AG124" s="3"/>
      <c r="AH124" s="3"/>
    </row>
    <row r="125" spans="1:34" x14ac:dyDescent="0.3">
      <c r="A125" s="11" t="s">
        <v>1157</v>
      </c>
      <c r="B125" s="12" t="s">
        <v>98</v>
      </c>
      <c r="C125" s="12">
        <v>7</v>
      </c>
      <c r="D125" s="13" t="s">
        <v>3598</v>
      </c>
      <c r="E125" s="6">
        <v>43357</v>
      </c>
      <c r="F125" s="3">
        <v>172933</v>
      </c>
      <c r="G125" s="3">
        <v>51</v>
      </c>
      <c r="H125" s="3" t="s">
        <v>5936</v>
      </c>
      <c r="I125" s="3" t="s">
        <v>1013</v>
      </c>
      <c r="J125" s="3" t="s">
        <v>1019</v>
      </c>
      <c r="K125" s="3" t="s">
        <v>83</v>
      </c>
      <c r="L125" s="3">
        <v>0.74299999999999999</v>
      </c>
      <c r="M125" s="3">
        <v>0.52900000000000003</v>
      </c>
      <c r="N125" s="3">
        <v>7</v>
      </c>
      <c r="O125" s="8">
        <v>-6187</v>
      </c>
      <c r="P125" s="3">
        <v>0</v>
      </c>
      <c r="Q125" s="3">
        <v>5.0500000000000003E-2</v>
      </c>
      <c r="R125" s="3">
        <v>0.128</v>
      </c>
      <c r="S125" s="3">
        <v>0</v>
      </c>
      <c r="T125" s="3">
        <v>0.18099999999999999</v>
      </c>
      <c r="U125" s="3">
        <v>0.438</v>
      </c>
      <c r="V125" s="8">
        <v>102048</v>
      </c>
      <c r="W125" s="3">
        <v>4</v>
      </c>
      <c r="X125" s="3" t="str">
        <f t="shared" si="8"/>
        <v>-HAPPY-</v>
      </c>
      <c r="Y125" s="3" t="str">
        <f t="shared" si="9"/>
        <v>-ENERGY-</v>
      </c>
      <c r="Z125" s="4" t="str">
        <f t="shared" si="10"/>
        <v>{"couname":"Let It Be Me","img":"https://i.scdn.co/image/ab67616d0000b27367e400c9be79e6b0b0086880","pty":"51","artist":"David Guetta, Ava Max","genres":"edm,dance","duration":"172933","spotId":"2F83FxNVkK6PPMHuYnwyVc","Items":["-HAPPY-","-ENERGY-","","","GN_FrenchElectro"]},</v>
      </c>
      <c r="AA125" s="5" t="s">
        <v>6100</v>
      </c>
      <c r="AB125" s="3" t="str">
        <f t="shared" si="11"/>
        <v>["-HAPPY-","-ENERGY-","","","GN_FrenchElectro"]</v>
      </c>
      <c r="AC125" s="3" t="str">
        <f>_xlfn.XLOOKUP(A125,Album!A:A,Album!J:J)</f>
        <v>https://i.scdn.co/image/ab67616d0000b27367e400c9be79e6b0b0086880</v>
      </c>
      <c r="AD125" s="3"/>
      <c r="AE125" s="3"/>
      <c r="AF125" s="3"/>
      <c r="AG125" s="3"/>
      <c r="AH125" s="3"/>
    </row>
    <row r="126" spans="1:34" x14ac:dyDescent="0.3">
      <c r="A126" s="11" t="s">
        <v>1385</v>
      </c>
      <c r="B126" s="12" t="s">
        <v>1386</v>
      </c>
      <c r="C126" s="12" t="s">
        <v>1335</v>
      </c>
      <c r="D126" s="13" t="s">
        <v>1345</v>
      </c>
      <c r="E126" s="6">
        <v>35811</v>
      </c>
      <c r="F126" s="3">
        <v>219040</v>
      </c>
      <c r="G126" s="3">
        <v>51</v>
      </c>
      <c r="H126" s="3" t="s">
        <v>5935</v>
      </c>
      <c r="I126" s="3" t="s">
        <v>1336</v>
      </c>
      <c r="J126" s="3" t="s">
        <v>1337</v>
      </c>
      <c r="K126" s="3" t="s">
        <v>83</v>
      </c>
      <c r="L126" s="3">
        <v>0.307</v>
      </c>
      <c r="M126" s="3">
        <v>0.46200000000000002</v>
      </c>
      <c r="N126" s="3">
        <v>8</v>
      </c>
      <c r="O126" s="8">
        <v>-11878</v>
      </c>
      <c r="P126" s="3">
        <v>1</v>
      </c>
      <c r="Q126" s="3">
        <v>3.1E-2</v>
      </c>
      <c r="R126" s="3">
        <v>0.64400000000000002</v>
      </c>
      <c r="S126" s="3">
        <v>0.60599999999999998</v>
      </c>
      <c r="T126" s="3">
        <v>9.0499999999999997E-2</v>
      </c>
      <c r="U126" s="3">
        <v>0.151</v>
      </c>
      <c r="V126" s="8">
        <v>101822</v>
      </c>
      <c r="W126" s="3">
        <v>4</v>
      </c>
      <c r="X126" s="3" t="str">
        <f t="shared" si="8"/>
        <v>-SADNE-</v>
      </c>
      <c r="Y126" s="3" t="str">
        <f t="shared" si="9"/>
        <v>-SLOWSS-</v>
      </c>
      <c r="Z126" s="4" t="str">
        <f t="shared" si="10"/>
        <v>{"couname":"Ce matin-là","img":"https://i.scdn.co/image/ab67616d0000b2731216e4f7e84af70ef18146ed","pty":"51","artist":"Air","genres":"trip hop,downtempo,house francés","duration":"219040","spotId":"7yieArGOFIdoGJv1V8hDr2","Items":["-SADNE-","-SLOWSS-","","","GN_FrenchElectro"]},</v>
      </c>
      <c r="AA126" s="5" t="s">
        <v>6100</v>
      </c>
      <c r="AB126" s="3" t="str">
        <f t="shared" si="11"/>
        <v>["-SADNE-","-SLOWSS-","","","GN_FrenchElectro"]</v>
      </c>
      <c r="AC126" s="3" t="str">
        <f>_xlfn.XLOOKUP(A126,Album!A:A,Album!J:J)</f>
        <v>https://i.scdn.co/image/ab67616d0000b2731216e4f7e84af70ef18146ed</v>
      </c>
      <c r="AD126" s="3"/>
      <c r="AE126" s="3"/>
      <c r="AF126" s="3"/>
      <c r="AG126" s="3"/>
      <c r="AH126" s="3"/>
    </row>
    <row r="127" spans="1:34" x14ac:dyDescent="0.3">
      <c r="A127" s="11" t="s">
        <v>1510</v>
      </c>
      <c r="B127" s="12" t="s">
        <v>5933</v>
      </c>
      <c r="C127" s="12" t="s">
        <v>1511</v>
      </c>
      <c r="D127" s="13" t="s">
        <v>4134</v>
      </c>
      <c r="E127" s="6">
        <v>44259</v>
      </c>
      <c r="F127" s="3">
        <v>168648</v>
      </c>
      <c r="G127" s="3">
        <v>51</v>
      </c>
      <c r="H127" s="3" t="s">
        <v>5934</v>
      </c>
      <c r="I127" s="3" t="s">
        <v>1463</v>
      </c>
      <c r="J127" s="3" t="s">
        <v>1512</v>
      </c>
      <c r="K127" s="3" t="s">
        <v>1476</v>
      </c>
      <c r="L127" s="3">
        <v>0.72299999999999998</v>
      </c>
      <c r="M127" s="3">
        <v>0.64600000000000002</v>
      </c>
      <c r="N127" s="3">
        <v>5</v>
      </c>
      <c r="O127" s="8">
        <v>-7973</v>
      </c>
      <c r="P127" s="3">
        <v>0</v>
      </c>
      <c r="Q127" s="3">
        <v>0.10199999999999999</v>
      </c>
      <c r="R127" s="3">
        <v>2.06E-2</v>
      </c>
      <c r="S127" s="3">
        <v>0.35199999999999998</v>
      </c>
      <c r="T127" s="3">
        <v>9.9400000000000002E-2</v>
      </c>
      <c r="U127" s="3">
        <v>0.443</v>
      </c>
      <c r="V127" s="8">
        <v>110971</v>
      </c>
      <c r="W127" s="3">
        <v>4</v>
      </c>
      <c r="X127" s="3" t="str">
        <f t="shared" si="8"/>
        <v>-HAPPY-</v>
      </c>
      <c r="Y127" s="3" t="str">
        <f t="shared" si="9"/>
        <v>-ENERGY-</v>
      </c>
      <c r="Z127" s="4" t="str">
        <f t="shared" si="10"/>
        <v>{"couname":"Selfish Love","img":"https://i.scdn.co/image/ab67616d0000b2730a4a6bb7959ab3a38ff60324","pty":"51","artist":"DJ Snake, Selena Gomez","genres":"pop","duration":"168648","spotId":"3XoflnowYPFRPOh3uFvHcm","Items":["-HAPPY-","-ENERGY-","","","GN_FrenchElectro"]},</v>
      </c>
      <c r="AA127" s="5" t="s">
        <v>6100</v>
      </c>
      <c r="AB127" s="3" t="str">
        <f t="shared" si="11"/>
        <v>["-HAPPY-","-ENERGY-","","","GN_FrenchElectro"]</v>
      </c>
      <c r="AC127" s="3" t="str">
        <f>_xlfn.XLOOKUP(A127,Album!A:A,Album!J:J)</f>
        <v>https://i.scdn.co/image/ab67616d0000b2730a4a6bb7959ab3a38ff60324</v>
      </c>
      <c r="AD127" s="3"/>
      <c r="AE127" s="3"/>
      <c r="AF127" s="3"/>
      <c r="AG127" s="3"/>
      <c r="AH127" s="3"/>
    </row>
    <row r="128" spans="1:34" x14ac:dyDescent="0.3">
      <c r="A128" s="11" t="s">
        <v>1537</v>
      </c>
      <c r="B128" s="12" t="s">
        <v>5931</v>
      </c>
      <c r="C128" s="12" t="s">
        <v>1479</v>
      </c>
      <c r="D128" s="13" t="s">
        <v>4172</v>
      </c>
      <c r="E128" s="6">
        <v>43671</v>
      </c>
      <c r="F128" s="3">
        <v>195428</v>
      </c>
      <c r="G128" s="3">
        <v>51</v>
      </c>
      <c r="H128" s="3" t="s">
        <v>5932</v>
      </c>
      <c r="I128" s="3" t="s">
        <v>1463</v>
      </c>
      <c r="J128" s="3" t="s">
        <v>1539</v>
      </c>
      <c r="K128" s="3" t="s">
        <v>1476</v>
      </c>
      <c r="L128" s="3">
        <v>0.78</v>
      </c>
      <c r="M128" s="3">
        <v>0.85599999999999998</v>
      </c>
      <c r="N128" s="3">
        <v>8</v>
      </c>
      <c r="O128" s="8">
        <v>-6264</v>
      </c>
      <c r="P128" s="3">
        <v>0</v>
      </c>
      <c r="Q128" s="3">
        <v>0.26700000000000002</v>
      </c>
      <c r="R128" s="3">
        <v>2.3300000000000001E-2</v>
      </c>
      <c r="S128" s="3">
        <v>0</v>
      </c>
      <c r="T128" s="3">
        <v>9.1600000000000001E-2</v>
      </c>
      <c r="U128" s="3">
        <v>0.60499999999999998</v>
      </c>
      <c r="V128" s="8">
        <v>104904</v>
      </c>
      <c r="W128" s="3">
        <v>4</v>
      </c>
      <c r="X128" s="3" t="str">
        <f t="shared" si="8"/>
        <v>-HAPPY-</v>
      </c>
      <c r="Y128" s="3" t="str">
        <f t="shared" si="9"/>
        <v>-ENERGY-</v>
      </c>
      <c r="Z128" s="4" t="str">
        <f t="shared" si="10"/>
        <v>{"couname":"Fuego","img":"https://i.scdn.co/image/ab67616d0000b273caf82abb2338880577e472be","pty":"51","artist":"DJ Snake, Sean Paul, Anitta, Tainy","genres":"dancehall,pop brasileño,funk pop,funk carioca,funk,reggaetón","duration":"195428","spotId":"660eekzsNZ7sdATvfIsAkR","Items":["-HAPPY-","-ENERGY-","","","GN_FrenchElectro"]},</v>
      </c>
      <c r="AA128" s="5" t="s">
        <v>6100</v>
      </c>
      <c r="AB128" s="3" t="str">
        <f t="shared" si="11"/>
        <v>["-HAPPY-","-ENERGY-","","","GN_FrenchElectro"]</v>
      </c>
      <c r="AC128" s="3" t="str">
        <f>_xlfn.XLOOKUP(A128,Album!A:A,Album!J:J)</f>
        <v>https://i.scdn.co/image/ab67616d0000b273caf82abb2338880577e472be</v>
      </c>
      <c r="AD128" s="3"/>
      <c r="AE128" s="3"/>
      <c r="AF128" s="3"/>
      <c r="AG128" s="3"/>
      <c r="AH128" s="3"/>
    </row>
    <row r="129" spans="1:34" x14ac:dyDescent="0.3">
      <c r="A129" s="11" t="s">
        <v>1865</v>
      </c>
      <c r="B129" s="12" t="s">
        <v>1866</v>
      </c>
      <c r="C129" s="12" t="s">
        <v>1844</v>
      </c>
      <c r="D129" s="13" t="s">
        <v>9</v>
      </c>
      <c r="E129" s="6">
        <v>36962</v>
      </c>
      <c r="F129" s="3">
        <v>206866</v>
      </c>
      <c r="G129" s="3">
        <v>51</v>
      </c>
      <c r="H129" s="3" t="s">
        <v>5930</v>
      </c>
      <c r="I129" s="3" t="s">
        <v>1809</v>
      </c>
      <c r="J129" s="3" t="s">
        <v>1810</v>
      </c>
      <c r="K129" s="3" t="s">
        <v>1811</v>
      </c>
      <c r="L129" s="3">
        <v>0.53500000000000003</v>
      </c>
      <c r="M129" s="3">
        <v>0.55800000000000005</v>
      </c>
      <c r="N129" s="3">
        <v>6</v>
      </c>
      <c r="O129" s="8">
        <v>-10756</v>
      </c>
      <c r="P129" s="3">
        <v>1</v>
      </c>
      <c r="Q129" s="3">
        <v>7.4099999999999999E-2</v>
      </c>
      <c r="R129" s="3">
        <v>4.6100000000000004E-3</v>
      </c>
      <c r="S129" s="3">
        <v>0.82399999999999995</v>
      </c>
      <c r="T129" s="3">
        <v>8.2100000000000006E-2</v>
      </c>
      <c r="U129" s="3">
        <v>0.215</v>
      </c>
      <c r="V129" s="8">
        <v>109.69</v>
      </c>
      <c r="W129" s="3">
        <v>4</v>
      </c>
      <c r="X129" s="3" t="str">
        <f t="shared" si="8"/>
        <v>-SADNE-</v>
      </c>
      <c r="Y129" s="3" t="str">
        <f t="shared" si="9"/>
        <v>-ENERGY-</v>
      </c>
      <c r="Z129" s="4" t="str">
        <f t="shared" si="10"/>
        <v>{"couname":"Short Circuit","img":"https://i.scdn.co/image/ab67616d0000b2732c25dad9f8fd54652f7ba5df","pty":"51","artist":"Daft Punk","genres":"house francés,electrónica,electro","duration":"206866","spotId":"4npMbTuxrUA3Wd7edACZ2L","Items":["-SADNE-","-ENERGY-","","","GN_FrenchElectro"]},</v>
      </c>
      <c r="AA129" s="5" t="s">
        <v>6100</v>
      </c>
      <c r="AB129" s="3" t="str">
        <f t="shared" si="11"/>
        <v>["-SADNE-","-ENERGY-","","","GN_FrenchElectro"]</v>
      </c>
      <c r="AC129" s="3" t="str">
        <f>_xlfn.XLOOKUP(A129,Album!A:A,Album!J:J)</f>
        <v>https://i.scdn.co/image/ab67616d0000b2732c25dad9f8fd54652f7ba5df</v>
      </c>
      <c r="AD129" s="3"/>
      <c r="AE129" s="3"/>
      <c r="AF129" s="3"/>
      <c r="AG129" s="3"/>
      <c r="AH129" s="3"/>
    </row>
    <row r="130" spans="1:34" x14ac:dyDescent="0.3">
      <c r="A130" s="11" t="s">
        <v>1910</v>
      </c>
      <c r="B130" s="12" t="s">
        <v>5928</v>
      </c>
      <c r="C130" s="12" t="s">
        <v>1898</v>
      </c>
      <c r="D130" s="13" t="s">
        <v>9</v>
      </c>
      <c r="E130" s="6">
        <v>40515</v>
      </c>
      <c r="F130" s="3">
        <v>104120</v>
      </c>
      <c r="G130" s="3">
        <v>51</v>
      </c>
      <c r="H130" s="3" t="s">
        <v>5929</v>
      </c>
      <c r="I130" s="3" t="s">
        <v>1809</v>
      </c>
      <c r="J130" s="3" t="s">
        <v>1810</v>
      </c>
      <c r="K130" s="3" t="s">
        <v>51</v>
      </c>
      <c r="L130" s="3">
        <v>0.54</v>
      </c>
      <c r="M130" s="3">
        <v>0.63500000000000001</v>
      </c>
      <c r="N130" s="3">
        <v>1</v>
      </c>
      <c r="O130" s="8">
        <v>-10071</v>
      </c>
      <c r="P130" s="3">
        <v>1</v>
      </c>
      <c r="Q130" s="3">
        <v>5.1900000000000002E-2</v>
      </c>
      <c r="R130" s="3">
        <v>1.66E-3</v>
      </c>
      <c r="S130" s="3">
        <v>0.78800000000000003</v>
      </c>
      <c r="T130" s="3">
        <v>0.20899999999999999</v>
      </c>
      <c r="U130" s="3">
        <v>0.126</v>
      </c>
      <c r="V130" s="8">
        <v>119995</v>
      </c>
      <c r="W130" s="3">
        <v>4</v>
      </c>
      <c r="X130" s="3" t="str">
        <f t="shared" si="8"/>
        <v>-SADNE-</v>
      </c>
      <c r="Y130" s="3" t="str">
        <f t="shared" si="9"/>
        <v>-ENERGY-</v>
      </c>
      <c r="Z130" s="4" t="str">
        <f t="shared" si="10"/>
        <v>{"couname":"Derezzed","img":"https://i.scdn.co/image/ab67616d0000b27366919acb93950333962467f8","pty":"51","artist":"Daft Punk","genres":"house francés,electrónica,electro","duration":"104120","spotId":"5X4ojuZG2mZ68EcLyBQ1D3","Items":["-SADNE-","-ENERGY-","","","GN_FrenchElectro"]},</v>
      </c>
      <c r="AA130" s="5" t="s">
        <v>6100</v>
      </c>
      <c r="AB130" s="3" t="str">
        <f t="shared" si="11"/>
        <v>["-SADNE-","-ENERGY-","","","GN_FrenchElectro"]</v>
      </c>
      <c r="AC130" s="3" t="str">
        <f>_xlfn.XLOOKUP(A130,Album!A:A,Album!J:J)</f>
        <v>https://i.scdn.co/image/ab67616d0000b27366919acb93950333962467f8</v>
      </c>
      <c r="AD130" s="3"/>
      <c r="AE130" s="3"/>
      <c r="AF130" s="3"/>
      <c r="AG130" s="3"/>
      <c r="AH130" s="3"/>
    </row>
    <row r="131" spans="1:34" x14ac:dyDescent="0.3">
      <c r="A131" s="11" t="s">
        <v>1937</v>
      </c>
      <c r="B131" s="12" t="s">
        <v>1938</v>
      </c>
      <c r="C131" s="12" t="s">
        <v>1922</v>
      </c>
      <c r="D131" s="13" t="s">
        <v>9</v>
      </c>
      <c r="E131" s="6">
        <v>41414</v>
      </c>
      <c r="F131" s="3">
        <v>290240</v>
      </c>
      <c r="G131" s="3">
        <v>51</v>
      </c>
      <c r="H131" s="3" t="s">
        <v>5927</v>
      </c>
      <c r="I131" s="3" t="s">
        <v>1809</v>
      </c>
      <c r="J131" s="3" t="s">
        <v>1810</v>
      </c>
      <c r="K131" s="3" t="s">
        <v>84</v>
      </c>
      <c r="L131" s="3">
        <v>0.71599999999999997</v>
      </c>
      <c r="M131" s="3">
        <v>0.64800000000000002</v>
      </c>
      <c r="N131" s="3">
        <v>8</v>
      </c>
      <c r="O131" s="8">
        <v>-11.33</v>
      </c>
      <c r="P131" s="3">
        <v>0</v>
      </c>
      <c r="Q131" s="3">
        <v>3.3700000000000001E-2</v>
      </c>
      <c r="R131" s="3">
        <v>0.36699999999999999</v>
      </c>
      <c r="S131" s="3">
        <v>0.48499999999999999</v>
      </c>
      <c r="T131" s="3">
        <v>0.36799999999999999</v>
      </c>
      <c r="U131" s="3">
        <v>0.78900000000000003</v>
      </c>
      <c r="V131" s="8">
        <v>104022</v>
      </c>
      <c r="W131" s="3">
        <v>4</v>
      </c>
      <c r="X131" s="3" t="str">
        <f t="shared" ref="X131:X194" si="12">IF(OR(U131&lt;0.301, AND(U131&lt;0.4, P131=0)), "-SADNE-", "-HAPPY-")</f>
        <v>-HAPPY-</v>
      </c>
      <c r="Y131" s="3" t="str">
        <f t="shared" ref="Y131:Y194" si="13">IF(OR(AND(L131&lt;0.5,M131&lt;0.5),AND(L131&lt;0.45,V131&lt;100),AND(M131&lt;0.45,V131&lt;100),AND(U131&lt;0.39,V131&lt;100)),"-SLOWSS-","-ENERGY-")</f>
        <v>-ENERGY-</v>
      </c>
      <c r="Z131" s="4" t="str">
        <f t="shared" ref="Z131:Z194" si="14">"{"&amp;CHAR(34)&amp;"couname"&amp;CHAR(34)&amp;":"&amp;CHAR(34)&amp;B131&amp;CHAR(34)&amp;","&amp;CHAR(34)&amp;"img"&amp;CHAR(34)&amp;":"&amp;CHAR(34)&amp;AC131&amp;CHAR(34)&amp;","&amp;CHAR(34)&amp;"pty"&amp;CHAR(34)&amp;":"&amp;CHAR(34)&amp;G131&amp;CHAR(34)&amp;","&amp;CHAR(34)&amp;"artist"&amp;CHAR(34)&amp;":"&amp;CHAR(34)&amp;D131&amp;CHAR(34)&amp;","&amp;CHAR(34)&amp;"genres"&amp;CHAR(34)&amp;":"&amp;CHAR(34)&amp;J131&amp;CHAR(34)&amp;","&amp;CHAR(34)&amp;"duration"&amp;CHAR(34)&amp;":"&amp;CHAR(34)&amp;F131&amp;CHAR(34)&amp;","&amp;CHAR(34)&amp;"spotId"&amp;CHAR(34)&amp;":"&amp;CHAR(34)&amp;A131&amp;CHAR(34)&amp;","&amp;CHAR(34)&amp;"Items"&amp;CHAR(34)&amp;":"&amp;AB131&amp;"},"</f>
        <v>{"couname":"Beyond","img":"https://i.scdn.co/image/ab67616d0000b2739b9b36b0e22870b9f542d937","pty":"51","artist":"Daft Punk","genres":"house francés,electrónica,electro","duration":"290240","spotId":"0k1xMUwn9sb7bZiqdT9ygx","Items":["-HAPPY-","-ENERGY-","","","GN_FrenchElectro"]},</v>
      </c>
      <c r="AA131" s="5" t="s">
        <v>6100</v>
      </c>
      <c r="AB131" s="3" t="str">
        <f t="shared" ref="AB131:AB194" si="15" xml:space="preserve"> "[" &amp; _xlfn.TEXTJOIN(",",TRUE,CHAR(34) &amp; X131&amp; CHAR(34), CHAR(34) &amp; Y131 &amp; CHAR(34),  CHAR(34) &amp; AF131 &amp; CHAR(34), CHAR(34) &amp;AG131 &amp; CHAR(34), CHAR(34) &amp; AA131 &amp; CHAR(34)) &amp; "]"</f>
        <v>["-HAPPY-","-ENERGY-","","","GN_FrenchElectro"]</v>
      </c>
      <c r="AC131" s="3" t="str">
        <f>_xlfn.XLOOKUP(A131,Album!A:A,Album!J:J)</f>
        <v>https://i.scdn.co/image/ab67616d0000b2739b9b36b0e22870b9f542d937</v>
      </c>
      <c r="AD131" s="3"/>
      <c r="AE131" s="3"/>
      <c r="AF131" s="3"/>
      <c r="AG131" s="3"/>
      <c r="AH131" s="3"/>
    </row>
    <row r="132" spans="1:34" x14ac:dyDescent="0.3">
      <c r="A132" s="11" t="s">
        <v>1954</v>
      </c>
      <c r="B132" s="12" t="s">
        <v>1955</v>
      </c>
      <c r="C132" s="12" t="s">
        <v>1951</v>
      </c>
      <c r="D132" s="13" t="s">
        <v>9</v>
      </c>
      <c r="E132" s="6">
        <v>39405</v>
      </c>
      <c r="F132" s="3">
        <v>290840</v>
      </c>
      <c r="G132" s="3">
        <v>51</v>
      </c>
      <c r="H132" s="3" t="s">
        <v>5926</v>
      </c>
      <c r="I132" s="3" t="s">
        <v>1809</v>
      </c>
      <c r="J132" s="3" t="s">
        <v>1810</v>
      </c>
      <c r="K132" s="3" t="s">
        <v>1811</v>
      </c>
      <c r="L132" s="3">
        <v>0.57999999999999996</v>
      </c>
      <c r="M132" s="3">
        <v>0.78600000000000003</v>
      </c>
      <c r="N132" s="3">
        <v>6</v>
      </c>
      <c r="O132" s="8">
        <v>-9979</v>
      </c>
      <c r="P132" s="3">
        <v>1</v>
      </c>
      <c r="Q132" s="3">
        <v>6.7500000000000004E-2</v>
      </c>
      <c r="R132" s="3">
        <v>6.5300000000000002E-5</v>
      </c>
      <c r="S132" s="3">
        <v>0.20699999999999999</v>
      </c>
      <c r="T132" s="3">
        <v>0.46100000000000002</v>
      </c>
      <c r="U132" s="3">
        <v>0.55800000000000005</v>
      </c>
      <c r="V132" s="8">
        <v>126004</v>
      </c>
      <c r="W132" s="3">
        <v>4</v>
      </c>
      <c r="X132" s="3" t="str">
        <f t="shared" si="12"/>
        <v>-HAPPY-</v>
      </c>
      <c r="Y132" s="3" t="str">
        <f t="shared" si="13"/>
        <v>-ENERGY-</v>
      </c>
      <c r="Z132" s="4" t="str">
        <f t="shared" si="14"/>
        <v>{"couname":"Television Rules the Nation / Crescendolls","img":"https://i.scdn.co/image/ab67616d0000b273673288fb985e5c194536ae27","pty":"51","artist":"Daft Punk","genres":"house francés,electrónica,electro","duration":"290840","spotId":"1E8S3CSv20KrKT0C1yAjkO","Items":["-HAPPY-","-ENERGY-","","","GN_FrenchElectro"]},</v>
      </c>
      <c r="AA132" s="5" t="s">
        <v>6100</v>
      </c>
      <c r="AB132" s="3" t="str">
        <f t="shared" si="15"/>
        <v>["-HAPPY-","-ENERGY-","","","GN_FrenchElectro"]</v>
      </c>
      <c r="AC132" s="3" t="str">
        <f>_xlfn.XLOOKUP(A132,Album!A:A,Album!J:J)</f>
        <v>https://i.scdn.co/image/ab67616d0000b273673288fb985e5c194536ae27</v>
      </c>
      <c r="AD132" s="3"/>
      <c r="AE132" s="3"/>
      <c r="AF132" s="3"/>
      <c r="AG132" s="3"/>
      <c r="AH132" s="3"/>
    </row>
    <row r="133" spans="1:34" x14ac:dyDescent="0.3">
      <c r="A133" s="11" t="s">
        <v>920</v>
      </c>
      <c r="B133" s="12" t="s">
        <v>847</v>
      </c>
      <c r="C133" s="12" t="s">
        <v>922</v>
      </c>
      <c r="D133" s="13" t="s">
        <v>3210</v>
      </c>
      <c r="E133" s="6">
        <v>40963</v>
      </c>
      <c r="F133" s="3">
        <v>361740</v>
      </c>
      <c r="G133" s="3">
        <v>50</v>
      </c>
      <c r="H133" s="3" t="s">
        <v>5925</v>
      </c>
      <c r="I133" s="3" t="s">
        <v>889</v>
      </c>
      <c r="J133" s="3" t="s">
        <v>844</v>
      </c>
      <c r="K133" s="3" t="s">
        <v>890</v>
      </c>
      <c r="L133" s="3">
        <v>0.54100000000000004</v>
      </c>
      <c r="M133" s="3">
        <v>0.85399999999999998</v>
      </c>
      <c r="N133" s="3">
        <v>11</v>
      </c>
      <c r="O133" s="8">
        <v>-7.54</v>
      </c>
      <c r="P133" s="3">
        <v>0</v>
      </c>
      <c r="Q133" s="3">
        <v>5.9900000000000002E-2</v>
      </c>
      <c r="R133" s="3">
        <v>1.4499999999999999E-3</v>
      </c>
      <c r="S133" s="3">
        <v>0.69499999999999995</v>
      </c>
      <c r="T133" s="3">
        <v>0.129</v>
      </c>
      <c r="U133" s="3">
        <v>0.35099999999999998</v>
      </c>
      <c r="V133" s="8">
        <v>125021</v>
      </c>
      <c r="W133" s="3">
        <v>4</v>
      </c>
      <c r="X133" s="3" t="str">
        <f t="shared" si="12"/>
        <v>-SADNE-</v>
      </c>
      <c r="Y133" s="3" t="str">
        <f t="shared" si="13"/>
        <v>-ENERGY-</v>
      </c>
      <c r="Z133" s="4" t="str">
        <f t="shared" si="14"/>
        <v>{"couname":"Midnight City","img":"https://i.scdn.co/image/ab67616d0000b2732e119106a5e213ea4f34e12d","pty":"50","artist":"M83, Eric Prydz","genres":"indietronica","duration":"361740","spotId":"0FoSiffuAmaJ3VyPaebY6I","Items":["-SADNE-","-ENERGY-","","","GN_FrenchElectro"]},</v>
      </c>
      <c r="AA133" s="5" t="s">
        <v>6100</v>
      </c>
      <c r="AB133" s="3" t="str">
        <f t="shared" si="15"/>
        <v>["-SADNE-","-ENERGY-","","","GN_FrenchElectro"]</v>
      </c>
      <c r="AC133" s="3" t="str">
        <f>_xlfn.XLOOKUP(A133,Album!A:A,Album!J:J)</f>
        <v>https://i.scdn.co/image/ab67616d0000b2732e119106a5e213ea4f34e12d</v>
      </c>
      <c r="AD133" s="3"/>
      <c r="AE133" s="3"/>
      <c r="AF133" s="3"/>
      <c r="AG133" s="3"/>
      <c r="AH133" s="3"/>
    </row>
    <row r="134" spans="1:34" x14ac:dyDescent="0.3">
      <c r="A134" s="11" t="s">
        <v>1162</v>
      </c>
      <c r="B134" s="12" t="s">
        <v>5923</v>
      </c>
      <c r="C134" s="12" t="s">
        <v>1163</v>
      </c>
      <c r="D134" s="13" t="s">
        <v>3608</v>
      </c>
      <c r="E134" s="6">
        <v>43307</v>
      </c>
      <c r="F134" s="3">
        <v>183750</v>
      </c>
      <c r="G134" s="3">
        <v>50</v>
      </c>
      <c r="H134" s="3" t="s">
        <v>5924</v>
      </c>
      <c r="I134" s="3" t="s">
        <v>1013</v>
      </c>
      <c r="J134" s="3" t="s">
        <v>1019</v>
      </c>
      <c r="K134" s="3" t="s">
        <v>83</v>
      </c>
      <c r="L134" s="3">
        <v>0.65900000000000003</v>
      </c>
      <c r="M134" s="3">
        <v>0.73799999999999999</v>
      </c>
      <c r="N134" s="3">
        <v>4</v>
      </c>
      <c r="O134" s="8">
        <v>-5072</v>
      </c>
      <c r="P134" s="3">
        <v>0</v>
      </c>
      <c r="Q134" s="3">
        <v>4.7699999999999999E-2</v>
      </c>
      <c r="R134" s="3">
        <v>0.11799999999999999</v>
      </c>
      <c r="S134" s="3">
        <v>0</v>
      </c>
      <c r="T134" s="3">
        <v>0.115</v>
      </c>
      <c r="U134" s="3">
        <v>0.48099999999999998</v>
      </c>
      <c r="V134" s="8">
        <v>127.95</v>
      </c>
      <c r="W134" s="3">
        <v>4</v>
      </c>
      <c r="X134" s="3" t="str">
        <f t="shared" si="12"/>
        <v>-HAPPY-</v>
      </c>
      <c r="Y134" s="3" t="str">
        <f t="shared" si="13"/>
        <v>-ENERGY-</v>
      </c>
      <c r="Z134" s="4" t="str">
        <f t="shared" si="14"/>
        <v>{"couname":"Don't Leave Me Alone","img":"https://i.scdn.co/image/ab67616d0000b27303889a8b80ee94dccdbe34f5","pty":"50","artist":"David Guetta, Anne-Marie","genres":"edm,dance","duration":"183750","spotId":"2lYTJK94hb0fd1LQtb6Dhk","Items":["-HAPPY-","-ENERGY-","","","GN_FrenchElectro"]},</v>
      </c>
      <c r="AA134" s="5" t="s">
        <v>6100</v>
      </c>
      <c r="AB134" s="3" t="str">
        <f t="shared" si="15"/>
        <v>["-HAPPY-","-ENERGY-","","","GN_FrenchElectro"]</v>
      </c>
      <c r="AC134" s="3" t="str">
        <f>_xlfn.XLOOKUP(A134,Album!A:A,Album!J:J)</f>
        <v>https://i.scdn.co/image/ab67616d0000b27303889a8b80ee94dccdbe34f5</v>
      </c>
      <c r="AD134" s="3"/>
      <c r="AE134" s="3"/>
      <c r="AF134" s="3"/>
      <c r="AG134" s="3"/>
      <c r="AH134" s="3"/>
    </row>
    <row r="135" spans="1:34" x14ac:dyDescent="0.3">
      <c r="A135" s="11" t="s">
        <v>1368</v>
      </c>
      <c r="B135" s="12" t="s">
        <v>1369</v>
      </c>
      <c r="C135" s="12" t="s">
        <v>1335</v>
      </c>
      <c r="D135" s="13" t="s">
        <v>1345</v>
      </c>
      <c r="E135" s="6">
        <v>35811</v>
      </c>
      <c r="F135" s="3">
        <v>256706</v>
      </c>
      <c r="G135" s="3">
        <v>50</v>
      </c>
      <c r="H135" s="3" t="s">
        <v>5922</v>
      </c>
      <c r="I135" s="3" t="s">
        <v>1336</v>
      </c>
      <c r="J135" s="3" t="s">
        <v>1337</v>
      </c>
      <c r="K135" s="3" t="s">
        <v>83</v>
      </c>
      <c r="L135" s="3">
        <v>0.55600000000000005</v>
      </c>
      <c r="M135" s="3">
        <v>0.56599999999999995</v>
      </c>
      <c r="N135" s="3">
        <v>11</v>
      </c>
      <c r="O135" s="8">
        <v>-11128</v>
      </c>
      <c r="P135" s="3">
        <v>0</v>
      </c>
      <c r="Q135" s="3">
        <v>3.04E-2</v>
      </c>
      <c r="R135" s="3">
        <v>5.6500000000000002E-2</v>
      </c>
      <c r="S135" s="3">
        <v>0.85499999999999998</v>
      </c>
      <c r="T135" s="3">
        <v>0.122</v>
      </c>
      <c r="U135" s="3">
        <v>0.249</v>
      </c>
      <c r="V135" s="8">
        <v>132.93</v>
      </c>
      <c r="W135" s="3">
        <v>4</v>
      </c>
      <c r="X135" s="3" t="str">
        <f t="shared" si="12"/>
        <v>-SADNE-</v>
      </c>
      <c r="Y135" s="3" t="str">
        <f t="shared" si="13"/>
        <v>-ENERGY-</v>
      </c>
      <c r="Z135" s="4" t="str">
        <f t="shared" si="14"/>
        <v>{"couname":"Talisman","img":"https://i.scdn.co/image/ab67616d0000b2731216e4f7e84af70ef18146ed","pty":"50","artist":"Air","genres":"trip hop,downtempo,house francés","duration":"256706","spotId":"4XxbBFfKlXY2E5PN3dHAfz","Items":["-SADNE-","-ENERGY-","","","GN_FrenchElectro"]},</v>
      </c>
      <c r="AA135" s="5" t="s">
        <v>6100</v>
      </c>
      <c r="AB135" s="3" t="str">
        <f t="shared" si="15"/>
        <v>["-SADNE-","-ENERGY-","","","GN_FrenchElectro"]</v>
      </c>
      <c r="AC135" s="3" t="str">
        <f>_xlfn.XLOOKUP(A135,Album!A:A,Album!J:J)</f>
        <v>https://i.scdn.co/image/ab67616d0000b2731216e4f7e84af70ef18146ed</v>
      </c>
      <c r="AD135" s="3"/>
      <c r="AE135" s="3"/>
      <c r="AF135" s="3"/>
      <c r="AG135" s="3"/>
      <c r="AH135" s="3"/>
    </row>
    <row r="136" spans="1:34" x14ac:dyDescent="0.3">
      <c r="A136" s="11" t="s">
        <v>1879</v>
      </c>
      <c r="B136" s="12" t="s">
        <v>1880</v>
      </c>
      <c r="C136" s="12" t="s">
        <v>1876</v>
      </c>
      <c r="D136" s="13" t="s">
        <v>9</v>
      </c>
      <c r="E136" s="6">
        <v>38425</v>
      </c>
      <c r="F136" s="3">
        <v>287720</v>
      </c>
      <c r="G136" s="3">
        <v>50</v>
      </c>
      <c r="H136" s="3" t="s">
        <v>5921</v>
      </c>
      <c r="I136" s="3" t="s">
        <v>1809</v>
      </c>
      <c r="J136" s="3" t="s">
        <v>1810</v>
      </c>
      <c r="K136" s="3" t="s">
        <v>1811</v>
      </c>
      <c r="L136" s="3">
        <v>0.59</v>
      </c>
      <c r="M136" s="3">
        <v>0.78700000000000003</v>
      </c>
      <c r="N136" s="3">
        <v>7</v>
      </c>
      <c r="O136" s="8">
        <v>-5766</v>
      </c>
      <c r="P136" s="3">
        <v>1</v>
      </c>
      <c r="Q136" s="3">
        <v>5.1200000000000002E-2</v>
      </c>
      <c r="R136" s="3">
        <v>6.9399999999999996E-6</v>
      </c>
      <c r="S136" s="3">
        <v>0.84499999999999997</v>
      </c>
      <c r="T136" s="3">
        <v>2.93E-2</v>
      </c>
      <c r="U136" s="3">
        <v>0.59799999999999998</v>
      </c>
      <c r="V136" s="8">
        <v>111926</v>
      </c>
      <c r="W136" s="3">
        <v>4</v>
      </c>
      <c r="X136" s="3" t="str">
        <f t="shared" si="12"/>
        <v>-HAPPY-</v>
      </c>
      <c r="Y136" s="3" t="str">
        <f t="shared" si="13"/>
        <v>-ENERGY-</v>
      </c>
      <c r="Z136" s="4" t="str">
        <f t="shared" si="14"/>
        <v>{"couname":"Robot Rock","img":"https://i.scdn.co/image/ab67616d0000b273d8601e15fa1b4351fe1fc6ae","pty":"50","artist":"Daft Punk","genres":"house francés,electrónica,electro","duration":"287720","spotId":"4zu9wo2FXoBSsKjO6tRB3R","Items":["-HAPPY-","-ENERGY-","","","GN_FrenchElectro"]},</v>
      </c>
      <c r="AA136" s="5" t="s">
        <v>6100</v>
      </c>
      <c r="AB136" s="3" t="str">
        <f t="shared" si="15"/>
        <v>["-HAPPY-","-ENERGY-","","","GN_FrenchElectro"]</v>
      </c>
      <c r="AC136" s="3" t="str">
        <f>_xlfn.XLOOKUP(A136,Album!A:A,Album!J:J)</f>
        <v>https://i.scdn.co/image/ab67616d0000b273d8601e15fa1b4351fe1fc6ae</v>
      </c>
      <c r="AD136" s="3"/>
      <c r="AE136" s="3"/>
      <c r="AF136" s="3"/>
      <c r="AG136" s="3"/>
      <c r="AH136" s="3"/>
    </row>
    <row r="137" spans="1:34" x14ac:dyDescent="0.3">
      <c r="A137" s="11" t="s">
        <v>1912</v>
      </c>
      <c r="B137" s="12" t="s">
        <v>5919</v>
      </c>
      <c r="C137" s="12" t="s">
        <v>1898</v>
      </c>
      <c r="D137" s="13" t="s">
        <v>9</v>
      </c>
      <c r="E137" s="6">
        <v>40515</v>
      </c>
      <c r="F137" s="3">
        <v>162120</v>
      </c>
      <c r="G137" s="3">
        <v>50</v>
      </c>
      <c r="H137" s="3" t="s">
        <v>5920</v>
      </c>
      <c r="I137" s="3" t="s">
        <v>1809</v>
      </c>
      <c r="J137" s="3" t="s">
        <v>1810</v>
      </c>
      <c r="K137" s="3" t="s">
        <v>51</v>
      </c>
      <c r="L137" s="3">
        <v>0.17899999999999999</v>
      </c>
      <c r="M137" s="3">
        <v>0.16700000000000001</v>
      </c>
      <c r="N137" s="3">
        <v>1</v>
      </c>
      <c r="O137" s="8">
        <v>-23408</v>
      </c>
      <c r="P137" s="3">
        <v>1</v>
      </c>
      <c r="Q137" s="3">
        <v>3.9399999999999998E-2</v>
      </c>
      <c r="R137" s="3">
        <v>0.85199999999999998</v>
      </c>
      <c r="S137" s="3">
        <v>0.748</v>
      </c>
      <c r="T137" s="3">
        <v>0.106</v>
      </c>
      <c r="U137" s="3">
        <v>3.9899999999999998E-2</v>
      </c>
      <c r="V137" s="8">
        <v>124266</v>
      </c>
      <c r="W137" s="3">
        <v>3</v>
      </c>
      <c r="X137" s="3" t="str">
        <f t="shared" si="12"/>
        <v>-SADNE-</v>
      </c>
      <c r="Y137" s="3" t="str">
        <f t="shared" si="13"/>
        <v>-SLOWSS-</v>
      </c>
      <c r="Z137" s="4" t="str">
        <f t="shared" si="14"/>
        <v>{"couname":"Solar Sailer","img":"https://i.scdn.co/image/ab67616d0000b27366919acb93950333962467f8","pty":"50","artist":"Daft Punk","genres":"house francés,electrónica,electro","duration":"162120","spotId":"0Jc2SfIHv63JNsUZpunh54","Items":["-SADNE-","-SLOWSS-","","","GN_FrenchElectro"]},</v>
      </c>
      <c r="AA137" s="5" t="s">
        <v>6100</v>
      </c>
      <c r="AB137" s="3" t="str">
        <f t="shared" si="15"/>
        <v>["-SADNE-","-SLOWSS-","","","GN_FrenchElectro"]</v>
      </c>
      <c r="AC137" s="3" t="str">
        <f>_xlfn.XLOOKUP(A137,Album!A:A,Album!J:J)</f>
        <v>https://i.scdn.co/image/ab67616d0000b27366919acb93950333962467f8</v>
      </c>
      <c r="AD137" s="3"/>
      <c r="AE137" s="3"/>
      <c r="AF137" s="3"/>
      <c r="AG137" s="3"/>
      <c r="AH137" s="3"/>
    </row>
    <row r="138" spans="1:34" x14ac:dyDescent="0.3">
      <c r="A138" s="11" t="s">
        <v>1947</v>
      </c>
      <c r="B138" s="12" t="s">
        <v>1948</v>
      </c>
      <c r="C138" s="12" t="s">
        <v>1922</v>
      </c>
      <c r="D138" s="13" t="s">
        <v>9</v>
      </c>
      <c r="E138" s="6">
        <v>41414</v>
      </c>
      <c r="F138" s="3">
        <v>383626</v>
      </c>
      <c r="G138" s="3">
        <v>50</v>
      </c>
      <c r="H138" s="3" t="s">
        <v>5918</v>
      </c>
      <c r="I138" s="3" t="s">
        <v>1809</v>
      </c>
      <c r="J138" s="3" t="s">
        <v>1810</v>
      </c>
      <c r="K138" s="3" t="s">
        <v>84</v>
      </c>
      <c r="L138" s="3">
        <v>0.4</v>
      </c>
      <c r="M138" s="3">
        <v>0.75600000000000001</v>
      </c>
      <c r="N138" s="3">
        <v>11</v>
      </c>
      <c r="O138" s="8">
        <v>-8423</v>
      </c>
      <c r="P138" s="3">
        <v>0</v>
      </c>
      <c r="Q138" s="3">
        <v>4.9200000000000001E-2</v>
      </c>
      <c r="R138" s="3">
        <v>2.82E-3</v>
      </c>
      <c r="S138" s="3">
        <v>0.753</v>
      </c>
      <c r="T138" s="3">
        <v>6.9500000000000006E-2</v>
      </c>
      <c r="U138" s="3">
        <v>9.2399999999999996E-2</v>
      </c>
      <c r="V138" s="8">
        <v>123828</v>
      </c>
      <c r="W138" s="3">
        <v>4</v>
      </c>
      <c r="X138" s="3" t="str">
        <f t="shared" si="12"/>
        <v>-SADNE-</v>
      </c>
      <c r="Y138" s="3" t="str">
        <f t="shared" si="13"/>
        <v>-ENERGY-</v>
      </c>
      <c r="Z138" s="4" t="str">
        <f t="shared" si="14"/>
        <v>{"couname":"Contact","img":"https://i.scdn.co/image/ab67616d0000b2739b9b36b0e22870b9f542d937","pty":"50","artist":"Daft Punk","genres":"house francés,electrónica,electro","duration":"383626","spotId":"2KHRENHQzTIQ001nlP9Gdc","Items":["-SADNE-","-ENERGY-","","","GN_FrenchElectro"]},</v>
      </c>
      <c r="AA138" s="5" t="s">
        <v>6100</v>
      </c>
      <c r="AB138" s="3" t="str">
        <f t="shared" si="15"/>
        <v>["-SADNE-","-ENERGY-","","","GN_FrenchElectro"]</v>
      </c>
      <c r="AC138" s="3" t="str">
        <f>_xlfn.XLOOKUP(A138,Album!A:A,Album!J:J)</f>
        <v>https://i.scdn.co/image/ab67616d0000b2739b9b36b0e22870b9f542d937</v>
      </c>
      <c r="AD138" s="3"/>
      <c r="AE138" s="3"/>
      <c r="AF138" s="3"/>
      <c r="AG138" s="3"/>
      <c r="AH138" s="3"/>
    </row>
    <row r="139" spans="1:34" x14ac:dyDescent="0.3">
      <c r="A139" s="11" t="s">
        <v>663</v>
      </c>
      <c r="B139" s="12" t="s">
        <v>664</v>
      </c>
      <c r="C139" s="12" t="s">
        <v>664</v>
      </c>
      <c r="D139" s="13" t="s">
        <v>2878</v>
      </c>
      <c r="E139" s="6">
        <v>43805</v>
      </c>
      <c r="F139" s="3">
        <v>204514</v>
      </c>
      <c r="G139" s="3">
        <v>49</v>
      </c>
      <c r="H139" s="3" t="s">
        <v>5917</v>
      </c>
      <c r="I139" s="3" t="s">
        <v>639</v>
      </c>
      <c r="J139" s="3" t="s">
        <v>640</v>
      </c>
      <c r="K139" s="3" t="s">
        <v>665</v>
      </c>
      <c r="L139" s="3">
        <v>0.71199999999999997</v>
      </c>
      <c r="M139" s="3">
        <v>0.66400000000000003</v>
      </c>
      <c r="N139" s="3">
        <v>11</v>
      </c>
      <c r="O139" s="8">
        <v>-8026</v>
      </c>
      <c r="P139" s="3">
        <v>1</v>
      </c>
      <c r="Q139" s="3">
        <v>3.4500000000000003E-2</v>
      </c>
      <c r="R139" s="3">
        <v>4.1599999999999998E-2</v>
      </c>
      <c r="S139" s="3">
        <v>1.0399999999999999E-4</v>
      </c>
      <c r="T139" s="3">
        <v>6.6799999999999998E-2</v>
      </c>
      <c r="U139" s="3">
        <v>0.78100000000000003</v>
      </c>
      <c r="V139" s="8">
        <v>122014</v>
      </c>
      <c r="W139" s="3">
        <v>4</v>
      </c>
      <c r="X139" s="3" t="str">
        <f t="shared" si="12"/>
        <v>-HAPPY-</v>
      </c>
      <c r="Y139" s="3" t="str">
        <f t="shared" si="13"/>
        <v>-ENERGY-</v>
      </c>
      <c r="Z139" s="4" t="str">
        <f t="shared" si="14"/>
        <v>{"couname":"Juliet &amp; Romeo","img":"https://i.scdn.co/image/ab67616d0000b273d774de200b0f8d0b001b25ae","pty":"49","artist":"Martin Solveig, Roy Woods","genres":"house francés","duration":"204514","spotId":"1CRy08G60mS5jvhB27xMpS","Items":["-HAPPY-","-ENERGY-","","","GN_FrenchElectro"]},</v>
      </c>
      <c r="AA139" s="5" t="s">
        <v>6100</v>
      </c>
      <c r="AB139" s="3" t="str">
        <f t="shared" si="15"/>
        <v>["-HAPPY-","-ENERGY-","","","GN_FrenchElectro"]</v>
      </c>
      <c r="AC139" s="3" t="str">
        <f>_xlfn.XLOOKUP(A139,Album!A:A,Album!J:J)</f>
        <v>https://i.scdn.co/image/ab67616d0000b273d774de200b0f8d0b001b25ae</v>
      </c>
      <c r="AD139" s="3"/>
      <c r="AE139" s="3"/>
      <c r="AF139" s="3"/>
      <c r="AG139" s="3"/>
      <c r="AH139" s="3"/>
    </row>
    <row r="140" spans="1:34" x14ac:dyDescent="0.3">
      <c r="A140" s="11" t="s">
        <v>743</v>
      </c>
      <c r="B140" s="12" t="s">
        <v>744</v>
      </c>
      <c r="C140" s="12" t="s">
        <v>737</v>
      </c>
      <c r="D140" s="13" t="s">
        <v>745</v>
      </c>
      <c r="E140" s="6">
        <v>45408</v>
      </c>
      <c r="F140" s="3">
        <v>282746</v>
      </c>
      <c r="G140" s="3">
        <v>49</v>
      </c>
      <c r="H140" s="3" t="s">
        <v>5916</v>
      </c>
      <c r="I140" s="3" t="s">
        <v>738</v>
      </c>
      <c r="J140" s="3" t="s">
        <v>742</v>
      </c>
      <c r="K140" s="3" t="s">
        <v>19</v>
      </c>
      <c r="L140" s="3">
        <v>0.51500000000000001</v>
      </c>
      <c r="M140" s="3">
        <v>0.62</v>
      </c>
      <c r="N140" s="3">
        <v>1</v>
      </c>
      <c r="O140" s="8">
        <v>-9749</v>
      </c>
      <c r="P140" s="3">
        <v>1</v>
      </c>
      <c r="Q140" s="3">
        <v>0.122</v>
      </c>
      <c r="R140" s="3">
        <v>2.9799999999999998E-4</v>
      </c>
      <c r="S140" s="3">
        <v>0.83499999999999996</v>
      </c>
      <c r="T140" s="3">
        <v>0.27900000000000003</v>
      </c>
      <c r="U140" s="3">
        <v>0.41699999999999998</v>
      </c>
      <c r="V140" s="8">
        <v>112022</v>
      </c>
      <c r="W140" s="3">
        <v>4</v>
      </c>
      <c r="X140" s="3" t="str">
        <f t="shared" si="12"/>
        <v>-HAPPY-</v>
      </c>
      <c r="Y140" s="3" t="str">
        <f t="shared" si="13"/>
        <v>-ENERGY-</v>
      </c>
      <c r="Z140" s="4" t="str">
        <f t="shared" si="14"/>
        <v>{"couname":"Generator","img":"https://i.scdn.co/image/ab67616d0000b2738f4b5df3a6ee2abb733080a9","pty":"49","artist":"Justice","genres":"house francés,new rave,rock electrónico","duration":"282746","spotId":"4sF1MqAGu6HKx2Ggw20Xn4","Items":["-HAPPY-","-ENERGY-","","","GN_FrenchElectro"]},</v>
      </c>
      <c r="AA140" s="5" t="s">
        <v>6100</v>
      </c>
      <c r="AB140" s="3" t="str">
        <f t="shared" si="15"/>
        <v>["-HAPPY-","-ENERGY-","","","GN_FrenchElectro"]</v>
      </c>
      <c r="AC140" s="3" t="str">
        <f>_xlfn.XLOOKUP(A140,Album!A:A,Album!J:J)</f>
        <v>https://i.scdn.co/image/ab67616d0000b2738f4b5df3a6ee2abb733080a9</v>
      </c>
      <c r="AD140" s="3"/>
      <c r="AE140" s="3"/>
      <c r="AF140" s="3"/>
      <c r="AG140" s="3"/>
      <c r="AH140" s="3"/>
    </row>
    <row r="141" spans="1:34" x14ac:dyDescent="0.3">
      <c r="A141" s="11" t="s">
        <v>1152</v>
      </c>
      <c r="B141" s="12" t="s">
        <v>5914</v>
      </c>
      <c r="C141" s="12" t="s">
        <v>1153</v>
      </c>
      <c r="D141" s="13" t="s">
        <v>3586</v>
      </c>
      <c r="E141" s="6">
        <v>45135</v>
      </c>
      <c r="F141" s="3">
        <v>175748</v>
      </c>
      <c r="G141" s="3">
        <v>49</v>
      </c>
      <c r="H141" s="3" t="s">
        <v>5915</v>
      </c>
      <c r="I141" s="3" t="s">
        <v>1013</v>
      </c>
      <c r="J141" s="3" t="s">
        <v>1019</v>
      </c>
      <c r="K141" s="3" t="s">
        <v>1015</v>
      </c>
      <c r="L141" s="3">
        <v>0.56299999999999994</v>
      </c>
      <c r="M141" s="3">
        <v>0.875</v>
      </c>
      <c r="N141" s="3">
        <v>8</v>
      </c>
      <c r="O141" s="8">
        <v>-3517</v>
      </c>
      <c r="P141" s="3">
        <v>1</v>
      </c>
      <c r="Q141" s="3">
        <v>6.5699999999999995E-2</v>
      </c>
      <c r="R141" s="3">
        <v>6.5500000000000003E-2</v>
      </c>
      <c r="S141" s="3">
        <v>1.7099999999999999E-5</v>
      </c>
      <c r="T141" s="3">
        <v>0.11</v>
      </c>
      <c r="U141" s="3">
        <v>0.41399999999999998</v>
      </c>
      <c r="V141" s="8">
        <v>126.92</v>
      </c>
      <c r="W141" s="3">
        <v>4</v>
      </c>
      <c r="X141" s="3" t="str">
        <f t="shared" si="12"/>
        <v>-HAPPY-</v>
      </c>
      <c r="Y141" s="3" t="str">
        <f t="shared" si="13"/>
        <v>-ENERGY-</v>
      </c>
      <c r="Z141" s="4" t="str">
        <f t="shared" si="14"/>
        <v>{"couname":"Something To Hold On To","img":"https://i.scdn.co/image/ab67616d0000b273524b6f9b6c3d79d96729eb59","pty":"49","artist":"David Guetta, MORTEN, Clementine Douglas","genres":"edm,dance","duration":"175748","spotId":"617tj2kCbyrza6mHhzT6JQ","Items":["-HAPPY-","-ENERGY-","","","GN_FrenchElectro"]},</v>
      </c>
      <c r="AA141" s="5" t="s">
        <v>6100</v>
      </c>
      <c r="AB141" s="3" t="str">
        <f t="shared" si="15"/>
        <v>["-HAPPY-","-ENERGY-","","","GN_FrenchElectro"]</v>
      </c>
      <c r="AC141" s="3" t="str">
        <f>_xlfn.XLOOKUP(A141,Album!A:A,Album!J:J)</f>
        <v>https://i.scdn.co/image/ab67616d0000b273524b6f9b6c3d79d96729eb59</v>
      </c>
      <c r="AD141" s="3"/>
      <c r="AE141" s="3"/>
      <c r="AF141" s="3"/>
      <c r="AG141" s="3"/>
      <c r="AH141" s="3"/>
    </row>
    <row r="142" spans="1:34" x14ac:dyDescent="0.3">
      <c r="A142" s="11" t="s">
        <v>1191</v>
      </c>
      <c r="B142" s="12" t="s">
        <v>21</v>
      </c>
      <c r="C142" s="12" t="s">
        <v>1192</v>
      </c>
      <c r="D142" s="13" t="s">
        <v>3669</v>
      </c>
      <c r="E142" s="6">
        <v>44498</v>
      </c>
      <c r="F142" s="3">
        <v>158994</v>
      </c>
      <c r="G142" s="3">
        <v>49</v>
      </c>
      <c r="H142" s="3" t="s">
        <v>5913</v>
      </c>
      <c r="I142" s="3" t="s">
        <v>1013</v>
      </c>
      <c r="J142" s="3" t="s">
        <v>1193</v>
      </c>
      <c r="K142" s="3" t="s">
        <v>1149</v>
      </c>
      <c r="L142" s="3">
        <v>0.68700000000000006</v>
      </c>
      <c r="M142" s="3">
        <v>0.71699999999999997</v>
      </c>
      <c r="N142" s="3">
        <v>11</v>
      </c>
      <c r="O142" s="8">
        <v>-6.61</v>
      </c>
      <c r="P142" s="3">
        <v>1</v>
      </c>
      <c r="Q142" s="3">
        <v>7.5499999999999998E-2</v>
      </c>
      <c r="R142" s="3">
        <v>7.4399999999999994E-2</v>
      </c>
      <c r="S142" s="3">
        <v>0</v>
      </c>
      <c r="T142" s="3">
        <v>0.13400000000000001</v>
      </c>
      <c r="U142" s="3">
        <v>0.68500000000000005</v>
      </c>
      <c r="V142" s="8">
        <v>88063</v>
      </c>
      <c r="W142" s="3">
        <v>4</v>
      </c>
      <c r="X142" s="3" t="str">
        <f t="shared" si="12"/>
        <v>-HAPPY-</v>
      </c>
      <c r="Y142" s="3" t="str">
        <f t="shared" si="13"/>
        <v>-ENERGY-</v>
      </c>
      <c r="Z142" s="4" t="str">
        <f t="shared" si="14"/>
        <v>{"couname":"Family","img":"https://i.scdn.co/image/ab67616d0000b273b82ff18687ec3b164b569877","pty":"49","artist":"David Guetta, Bebe Rexha, Ty Dolla $ign, A Boogie Wit da Hoodie","genres":"edm,dance,rap melódico","duration":"158994","spotId":"0HLhptvI8NozbOHRLNniFz","Items":["-HAPPY-","-ENERGY-","","","GN_FrenchElectro"]},</v>
      </c>
      <c r="AA142" s="5" t="s">
        <v>6100</v>
      </c>
      <c r="AB142" s="3" t="str">
        <f t="shared" si="15"/>
        <v>["-HAPPY-","-ENERGY-","","","GN_FrenchElectro"]</v>
      </c>
      <c r="AC142" s="3" t="str">
        <f>_xlfn.XLOOKUP(A142,Album!A:A,Album!J:J)</f>
        <v>https://i.scdn.co/image/ab67616d0000b273b82ff18687ec3b164b569877</v>
      </c>
      <c r="AD142" s="3"/>
      <c r="AE142" s="3"/>
      <c r="AF142" s="3"/>
      <c r="AG142" s="3"/>
      <c r="AH142" s="3"/>
    </row>
    <row r="143" spans="1:34" x14ac:dyDescent="0.3">
      <c r="A143" s="11" t="s">
        <v>1194</v>
      </c>
      <c r="B143" s="12" t="s">
        <v>5911</v>
      </c>
      <c r="C143" s="12" t="s">
        <v>1195</v>
      </c>
      <c r="D143" s="13" t="s">
        <v>3677</v>
      </c>
      <c r="E143" s="6">
        <v>43041</v>
      </c>
      <c r="F143" s="3">
        <v>172687</v>
      </c>
      <c r="G143" s="3">
        <v>49</v>
      </c>
      <c r="H143" s="3" t="s">
        <v>5912</v>
      </c>
      <c r="I143" s="3" t="s">
        <v>1013</v>
      </c>
      <c r="J143" s="3" t="s">
        <v>1196</v>
      </c>
      <c r="K143" s="3" t="s">
        <v>83</v>
      </c>
      <c r="L143" s="3">
        <v>0.72099999999999997</v>
      </c>
      <c r="M143" s="3">
        <v>0.873</v>
      </c>
      <c r="N143" s="3">
        <v>1</v>
      </c>
      <c r="O143" s="8">
        <v>-4741</v>
      </c>
      <c r="P143" s="3">
        <v>1</v>
      </c>
      <c r="Q143" s="3">
        <v>0.11899999999999999</v>
      </c>
      <c r="R143" s="3">
        <v>7.8899999999999998E-2</v>
      </c>
      <c r="S143" s="3">
        <v>0</v>
      </c>
      <c r="T143" s="3">
        <v>8.2400000000000001E-2</v>
      </c>
      <c r="U143" s="3">
        <v>0.55200000000000005</v>
      </c>
      <c r="V143" s="8">
        <v>79943</v>
      </c>
      <c r="W143" s="3">
        <v>4</v>
      </c>
      <c r="X143" s="3" t="str">
        <f t="shared" si="12"/>
        <v>-HAPPY-</v>
      </c>
      <c r="Y143" s="3" t="str">
        <f t="shared" si="13"/>
        <v>-ENERGY-</v>
      </c>
      <c r="Z143" s="4" t="str">
        <f t="shared" si="14"/>
        <v>{"couname":"Dirty Sexy Money","img":"https://i.scdn.co/image/ab67616d0000b273657bb3660936e0d47e785dcd","pty":"49","artist":"David Guetta, AFROJACK, Charli xcx, French Montana","genres":"edm,dance,big room,hyperpop,art pop","duration":"172687","spotId":"0tPQPaOKM32WgMSbPCYyRH","Items":["-HAPPY-","-ENERGY-","","","GN_FrenchElectro"]},</v>
      </c>
      <c r="AA143" s="5" t="s">
        <v>6100</v>
      </c>
      <c r="AB143" s="3" t="str">
        <f t="shared" si="15"/>
        <v>["-HAPPY-","-ENERGY-","","","GN_FrenchElectro"]</v>
      </c>
      <c r="AC143" s="3" t="str">
        <f>_xlfn.XLOOKUP(A143,Album!A:A,Album!J:J)</f>
        <v>https://i.scdn.co/image/ab67616d0000b273657bb3660936e0d47e785dcd</v>
      </c>
      <c r="AD143" s="3"/>
      <c r="AE143" s="3"/>
      <c r="AF143" s="3"/>
      <c r="AG143" s="3"/>
      <c r="AH143" s="3"/>
    </row>
    <row r="144" spans="1:34" x14ac:dyDescent="0.3">
      <c r="A144" s="11" t="s">
        <v>1197</v>
      </c>
      <c r="B144" s="12" t="s">
        <v>5909</v>
      </c>
      <c r="C144" s="12" t="s">
        <v>1198</v>
      </c>
      <c r="D144" s="13" t="s">
        <v>3685</v>
      </c>
      <c r="E144" s="6">
        <v>43594</v>
      </c>
      <c r="F144" s="3">
        <v>185942</v>
      </c>
      <c r="G144" s="3">
        <v>49</v>
      </c>
      <c r="H144" s="3" t="s">
        <v>5910</v>
      </c>
      <c r="I144" s="3" t="s">
        <v>1013</v>
      </c>
      <c r="J144" s="3" t="s">
        <v>1019</v>
      </c>
      <c r="K144" s="3" t="s">
        <v>83</v>
      </c>
      <c r="L144" s="3">
        <v>0.66900000000000004</v>
      </c>
      <c r="M144" s="3">
        <v>0.79700000000000004</v>
      </c>
      <c r="N144" s="3">
        <v>9</v>
      </c>
      <c r="O144" s="8">
        <v>-5.68</v>
      </c>
      <c r="P144" s="3">
        <v>0</v>
      </c>
      <c r="Q144" s="3">
        <v>6.2399999999999997E-2</v>
      </c>
      <c r="R144" s="3">
        <v>0.25900000000000001</v>
      </c>
      <c r="S144" s="3">
        <v>0</v>
      </c>
      <c r="T144" s="3">
        <v>0.19900000000000001</v>
      </c>
      <c r="U144" s="3">
        <v>0.55200000000000005</v>
      </c>
      <c r="V144" s="8">
        <v>119865</v>
      </c>
      <c r="W144" s="3">
        <v>4</v>
      </c>
      <c r="X144" s="3" t="str">
        <f t="shared" si="12"/>
        <v>-HAPPY-</v>
      </c>
      <c r="Y144" s="3" t="str">
        <f t="shared" si="13"/>
        <v>-ENERGY-</v>
      </c>
      <c r="Z144" s="4" t="str">
        <f t="shared" si="14"/>
        <v>{"couname":"Stay","img":"https://i.scdn.co/image/ab67616d0000b2734fe606cc6e4b8cb29d736def","pty":"49","artist":"David Guetta, RAYE","genres":"edm,dance","duration":"185942","spotId":"4YhN72dRYL2Z3MsaKyT7rS","Items":["-HAPPY-","-ENERGY-","","","GN_FrenchElectro"]},</v>
      </c>
      <c r="AA144" s="5" t="s">
        <v>6100</v>
      </c>
      <c r="AB144" s="3" t="str">
        <f t="shared" si="15"/>
        <v>["-HAPPY-","-ENERGY-","","","GN_FrenchElectro"]</v>
      </c>
      <c r="AC144" s="3" t="str">
        <f>_xlfn.XLOOKUP(A144,Album!A:A,Album!J:J)</f>
        <v>https://i.scdn.co/image/ab67616d0000b2734fe606cc6e4b8cb29d736def</v>
      </c>
      <c r="AD144" s="3"/>
      <c r="AE144" s="3"/>
      <c r="AF144" s="3"/>
      <c r="AG144" s="3"/>
      <c r="AH144" s="3"/>
    </row>
    <row r="145" spans="1:34" x14ac:dyDescent="0.3">
      <c r="A145" s="11" t="s">
        <v>1201</v>
      </c>
      <c r="B145" s="12" t="s">
        <v>1202</v>
      </c>
      <c r="C145" s="12" t="s">
        <v>1202</v>
      </c>
      <c r="D145" s="13" t="s">
        <v>3695</v>
      </c>
      <c r="E145" s="6">
        <v>43265</v>
      </c>
      <c r="F145" s="3">
        <v>185620</v>
      </c>
      <c r="G145" s="3">
        <v>49</v>
      </c>
      <c r="H145" s="3" t="s">
        <v>5908</v>
      </c>
      <c r="I145" s="3" t="s">
        <v>1013</v>
      </c>
      <c r="J145" s="3" t="s">
        <v>1079</v>
      </c>
      <c r="K145" s="3" t="s">
        <v>83</v>
      </c>
      <c r="L145" s="3">
        <v>0.57099999999999995</v>
      </c>
      <c r="M145" s="3">
        <v>0.93700000000000006</v>
      </c>
      <c r="N145" s="3">
        <v>2</v>
      </c>
      <c r="O145" s="8">
        <v>-2682</v>
      </c>
      <c r="P145" s="3">
        <v>0</v>
      </c>
      <c r="Q145" s="3">
        <v>3.3599999999999998E-2</v>
      </c>
      <c r="R145" s="3">
        <v>9.9699999999999997E-2</v>
      </c>
      <c r="S145" s="3">
        <v>0.496</v>
      </c>
      <c r="T145" s="3">
        <v>0.125</v>
      </c>
      <c r="U145" s="3">
        <v>0.51200000000000001</v>
      </c>
      <c r="V145" s="8">
        <v>125027</v>
      </c>
      <c r="W145" s="3">
        <v>4</v>
      </c>
      <c r="X145" s="3" t="str">
        <f t="shared" si="12"/>
        <v>-HAPPY-</v>
      </c>
      <c r="Y145" s="3" t="str">
        <f t="shared" si="13"/>
        <v>-ENERGY-</v>
      </c>
      <c r="Z145" s="4" t="str">
        <f t="shared" si="14"/>
        <v>{"couname":"Your Love","img":"https://i.scdn.co/image/ab67616d0000b2737b91491e4093aa2a6459f424","pty":"49","artist":"David Guetta, Showtek","genres":"edm,dance,hardstyle,big room,electrónica","duration":"185620","spotId":"0tgbSxoFjZ20MjfoKwWevV","Items":["-HAPPY-","-ENERGY-","","","GN_FrenchElectro"]},</v>
      </c>
      <c r="AA145" s="5" t="s">
        <v>6100</v>
      </c>
      <c r="AB145" s="3" t="str">
        <f t="shared" si="15"/>
        <v>["-HAPPY-","-ENERGY-","","","GN_FrenchElectro"]</v>
      </c>
      <c r="AC145" s="3" t="str">
        <f>_xlfn.XLOOKUP(A145,Album!A:A,Album!J:J)</f>
        <v>https://i.scdn.co/image/ab67616d0000b2737b91491e4093aa2a6459f424</v>
      </c>
      <c r="AD145" s="3"/>
      <c r="AE145" s="3"/>
      <c r="AF145" s="3"/>
      <c r="AG145" s="3"/>
      <c r="AH145" s="3"/>
    </row>
    <row r="146" spans="1:34" x14ac:dyDescent="0.3">
      <c r="A146" s="11" t="s">
        <v>1491</v>
      </c>
      <c r="B146" s="12" t="s">
        <v>1492</v>
      </c>
      <c r="C146" s="12" t="s">
        <v>1492</v>
      </c>
      <c r="D146" s="13" t="s">
        <v>1487</v>
      </c>
      <c r="E146" s="6">
        <v>44712</v>
      </c>
      <c r="F146" s="3">
        <v>184799</v>
      </c>
      <c r="G146" s="3">
        <v>49</v>
      </c>
      <c r="H146" s="3" t="s">
        <v>5907</v>
      </c>
      <c r="I146" s="3" t="s">
        <v>1463</v>
      </c>
      <c r="J146" s="3"/>
      <c r="K146" s="3" t="s">
        <v>1476</v>
      </c>
      <c r="L146" s="3">
        <v>0.65500000000000003</v>
      </c>
      <c r="M146" s="3">
        <v>0.92300000000000004</v>
      </c>
      <c r="N146" s="3">
        <v>7</v>
      </c>
      <c r="O146" s="8">
        <v>-3.5</v>
      </c>
      <c r="P146" s="3">
        <v>1</v>
      </c>
      <c r="Q146" s="3">
        <v>0.216</v>
      </c>
      <c r="R146" s="3">
        <v>5.8099999999999999E-2</v>
      </c>
      <c r="S146" s="3">
        <v>2.5899999999999999E-3</v>
      </c>
      <c r="T146" s="3">
        <v>0.38200000000000001</v>
      </c>
      <c r="U146" s="3">
        <v>0.45</v>
      </c>
      <c r="V146" s="8">
        <v>99961</v>
      </c>
      <c r="W146" s="3">
        <v>4</v>
      </c>
      <c r="X146" s="3" t="str">
        <f t="shared" si="12"/>
        <v>-HAPPY-</v>
      </c>
      <c r="Y146" s="3" t="str">
        <f t="shared" si="13"/>
        <v>-ENERGY-</v>
      </c>
      <c r="Z146" s="4" t="str">
        <f t="shared" si="14"/>
        <v>{"couname":"Disco Maghreb","img":"https://i.scdn.co/image/ab67616d0000b27315bd045bc6f9d2884d20a46d","pty":"49","artist":"DJ Snake","genres":"","duration":"184799","spotId":"0RVmOh80HfpuygCBt2d1va","Items":["-HAPPY-","-ENERGY-","","","GN_FrenchElectro"]},</v>
      </c>
      <c r="AA146" s="5" t="s">
        <v>6100</v>
      </c>
      <c r="AB146" s="3" t="str">
        <f t="shared" si="15"/>
        <v>["-HAPPY-","-ENERGY-","","","GN_FrenchElectro"]</v>
      </c>
      <c r="AC146" s="3" t="str">
        <f>_xlfn.XLOOKUP(A146,Album!A:A,Album!J:J)</f>
        <v>https://i.scdn.co/image/ab67616d0000b27315bd045bc6f9d2884d20a46d</v>
      </c>
      <c r="AD146" s="3"/>
      <c r="AE146" s="3"/>
      <c r="AF146" s="3"/>
      <c r="AG146" s="3"/>
      <c r="AH146" s="3"/>
    </row>
    <row r="147" spans="1:34" x14ac:dyDescent="0.3">
      <c r="A147" s="11" t="s">
        <v>1578</v>
      </c>
      <c r="B147" s="12" t="s">
        <v>1579</v>
      </c>
      <c r="C147" s="12" t="s">
        <v>1579</v>
      </c>
      <c r="D147" s="13" t="s">
        <v>4232</v>
      </c>
      <c r="E147" s="6">
        <v>43334</v>
      </c>
      <c r="F147" s="3">
        <v>194777</v>
      </c>
      <c r="G147" s="3">
        <v>49</v>
      </c>
      <c r="H147" s="3" t="s">
        <v>5906</v>
      </c>
      <c r="I147" s="3" t="s">
        <v>1463</v>
      </c>
      <c r="J147" s="3"/>
      <c r="K147" s="3" t="s">
        <v>1580</v>
      </c>
      <c r="L147" s="3">
        <v>0.44900000000000001</v>
      </c>
      <c r="M147" s="3">
        <v>0.59699999999999998</v>
      </c>
      <c r="N147" s="3">
        <v>9</v>
      </c>
      <c r="O147" s="8">
        <v>-4401</v>
      </c>
      <c r="P147" s="3">
        <v>0</v>
      </c>
      <c r="Q147" s="3">
        <v>0.14000000000000001</v>
      </c>
      <c r="R147" s="3">
        <v>0.34699999999999998</v>
      </c>
      <c r="S147" s="3">
        <v>1.03E-5</v>
      </c>
      <c r="T147" s="3">
        <v>0.19700000000000001</v>
      </c>
      <c r="U147" s="3">
        <v>0.505</v>
      </c>
      <c r="V147" s="8">
        <v>134598</v>
      </c>
      <c r="W147" s="3">
        <v>5</v>
      </c>
      <c r="X147" s="3" t="str">
        <f t="shared" si="12"/>
        <v>-HAPPY-</v>
      </c>
      <c r="Y147" s="3" t="str">
        <f t="shared" si="13"/>
        <v>-ENERGY-</v>
      </c>
      <c r="Z147" s="4" t="str">
        <f t="shared" si="14"/>
        <v>{"couname":"Creep On Me","img":"https://i.scdn.co/image/ab67616d0000b2736efc266bad5eb6bbc0358189","pty":"49","artist":"GASHI, French Montana, DJ Snake","genres":"","duration":"194777","spotId":"1MUL6DO2gVimj2YrVedubd","Items":["-HAPPY-","-ENERGY-","","","GN_FrenchElectro"]},</v>
      </c>
      <c r="AA147" s="5" t="s">
        <v>6100</v>
      </c>
      <c r="AB147" s="3" t="str">
        <f t="shared" si="15"/>
        <v>["-HAPPY-","-ENERGY-","","","GN_FrenchElectro"]</v>
      </c>
      <c r="AC147" s="3" t="str">
        <f>_xlfn.XLOOKUP(A147,Album!A:A,Album!J:J)</f>
        <v>https://i.scdn.co/image/ab67616d0000b2736efc266bad5eb6bbc0358189</v>
      </c>
      <c r="AD147" s="3"/>
      <c r="AE147" s="3"/>
      <c r="AF147" s="3"/>
      <c r="AG147" s="3"/>
      <c r="AH147" s="3"/>
    </row>
    <row r="148" spans="1:34" x14ac:dyDescent="0.3">
      <c r="A148" s="11" t="s">
        <v>1653</v>
      </c>
      <c r="B148" s="12" t="s">
        <v>1654</v>
      </c>
      <c r="C148" s="12" t="s">
        <v>1655</v>
      </c>
      <c r="D148" s="13" t="s">
        <v>1649</v>
      </c>
      <c r="E148" s="6">
        <v>41275</v>
      </c>
      <c r="F148" s="3">
        <v>224386</v>
      </c>
      <c r="G148" s="3">
        <v>49</v>
      </c>
      <c r="H148" s="3" t="s">
        <v>5905</v>
      </c>
      <c r="I148" s="3" t="s">
        <v>1650</v>
      </c>
      <c r="J148" s="3" t="s">
        <v>1651</v>
      </c>
      <c r="K148" s="3" t="s">
        <v>1656</v>
      </c>
      <c r="L148" s="3">
        <v>0.56299999999999994</v>
      </c>
      <c r="M148" s="3">
        <v>0.64200000000000002</v>
      </c>
      <c r="N148" s="3">
        <v>1</v>
      </c>
      <c r="O148" s="8">
        <v>-4426</v>
      </c>
      <c r="P148" s="3">
        <v>0</v>
      </c>
      <c r="Q148" s="3">
        <v>3.7199999999999997E-2</v>
      </c>
      <c r="R148" s="3">
        <v>2.92E-2</v>
      </c>
      <c r="S148" s="3">
        <v>0.88800000000000001</v>
      </c>
      <c r="T148" s="3">
        <v>8.5199999999999998E-2</v>
      </c>
      <c r="U148" s="3">
        <v>0.12</v>
      </c>
      <c r="V148" s="8">
        <v>120.07</v>
      </c>
      <c r="W148" s="3">
        <v>4</v>
      </c>
      <c r="X148" s="3" t="str">
        <f t="shared" si="12"/>
        <v>-SADNE-</v>
      </c>
      <c r="Y148" s="3" t="str">
        <f t="shared" si="13"/>
        <v>-ENERGY-</v>
      </c>
      <c r="Z148" s="4" t="str">
        <f t="shared" si="14"/>
        <v>{"couname":"Roadgame","img":"https://i.scdn.co/image/ab67616d0000b2731c08bca073e89ae32c68ffaa","pty":"49","artist":"Kavinsky","genres":"synthwave,house francés","duration":"224386","spotId":"7D1Dq1oEmlKNJltvzTL0wN","Items":["-SADNE-","-ENERGY-","","","GN_FrenchElectro"]},</v>
      </c>
      <c r="AA148" s="5" t="s">
        <v>6100</v>
      </c>
      <c r="AB148" s="3" t="str">
        <f t="shared" si="15"/>
        <v>["-SADNE-","-ENERGY-","","","GN_FrenchElectro"]</v>
      </c>
      <c r="AC148" s="3" t="str">
        <f>_xlfn.XLOOKUP(A148,Album!A:A,Album!J:J)</f>
        <v>https://i.scdn.co/image/ab67616d0000b2731c08bca073e89ae32c68ffaa</v>
      </c>
      <c r="AD148" s="3"/>
      <c r="AE148" s="3"/>
      <c r="AF148" s="3"/>
      <c r="AG148" s="3"/>
      <c r="AH148" s="3"/>
    </row>
    <row r="149" spans="1:34" x14ac:dyDescent="0.3">
      <c r="A149" s="11" t="s">
        <v>1677</v>
      </c>
      <c r="B149" s="12" t="s">
        <v>1678</v>
      </c>
      <c r="C149" s="12" t="s">
        <v>1679</v>
      </c>
      <c r="D149" s="13" t="s">
        <v>1674</v>
      </c>
      <c r="E149" s="6">
        <v>2006</v>
      </c>
      <c r="F149" s="3">
        <v>167493</v>
      </c>
      <c r="G149" s="3">
        <v>49</v>
      </c>
      <c r="H149" s="3" t="s">
        <v>5904</v>
      </c>
      <c r="I149" s="3" t="s">
        <v>1675</v>
      </c>
      <c r="J149" s="3" t="s">
        <v>463</v>
      </c>
      <c r="K149" s="3" t="s">
        <v>1680</v>
      </c>
      <c r="L149" s="3">
        <v>0.76900000000000002</v>
      </c>
      <c r="M149" s="3">
        <v>0.83599999999999997</v>
      </c>
      <c r="N149" s="3">
        <v>2</v>
      </c>
      <c r="O149" s="8">
        <v>-4621</v>
      </c>
      <c r="P149" s="3">
        <v>1</v>
      </c>
      <c r="Q149" s="3">
        <v>0.26600000000000001</v>
      </c>
      <c r="R149" s="3">
        <v>8.8999999999999996E-2</v>
      </c>
      <c r="S149" s="3">
        <v>2.83E-6</v>
      </c>
      <c r="T149" s="3">
        <v>0.36899999999999999</v>
      </c>
      <c r="U149" s="3">
        <v>0.91600000000000004</v>
      </c>
      <c r="V149" s="8">
        <v>131989</v>
      </c>
      <c r="W149" s="3">
        <v>4</v>
      </c>
      <c r="X149" s="3" t="str">
        <f t="shared" si="12"/>
        <v>-HAPPY-</v>
      </c>
      <c r="Y149" s="3" t="str">
        <f t="shared" si="13"/>
        <v>-ENERGY-</v>
      </c>
      <c r="Z149" s="4" t="str">
        <f t="shared" si="14"/>
        <v>{"couname":"Toop Toop","img":"https://i.scdn.co/image/ab67616d0000b27324ee286d8ebcaf83d4b899ab","pty":"49","artist":"Cassius","genres":"house francés,disco house","duration":"167493","spotId":"7cHhpJV9fC2AqgdiLvq1AO","Items":["-HAPPY-","-ENERGY-","","","GN_FrenchElectro"]},</v>
      </c>
      <c r="AA149" s="5" t="s">
        <v>6100</v>
      </c>
      <c r="AB149" s="3" t="str">
        <f t="shared" si="15"/>
        <v>["-HAPPY-","-ENERGY-","","","GN_FrenchElectro"]</v>
      </c>
      <c r="AC149" s="3" t="str">
        <f>_xlfn.XLOOKUP(A149,Album!A:A,Album!J:J)</f>
        <v>https://i.scdn.co/image/ab67616d0000b27324ee286d8ebcaf83d4b899ab</v>
      </c>
      <c r="AD149" s="3"/>
      <c r="AE149" s="3"/>
      <c r="AF149" s="3"/>
      <c r="AG149" s="3"/>
      <c r="AH149" s="3"/>
    </row>
    <row r="150" spans="1:34" x14ac:dyDescent="0.3">
      <c r="A150" s="11" t="s">
        <v>1681</v>
      </c>
      <c r="B150" s="12" t="s">
        <v>5902</v>
      </c>
      <c r="C150" s="12" t="s">
        <v>1683</v>
      </c>
      <c r="D150" s="13" t="s">
        <v>1674</v>
      </c>
      <c r="E150" s="6">
        <v>1999</v>
      </c>
      <c r="F150" s="3">
        <v>221733</v>
      </c>
      <c r="G150" s="3">
        <v>49</v>
      </c>
      <c r="H150" s="3" t="s">
        <v>5903</v>
      </c>
      <c r="I150" s="3" t="s">
        <v>1675</v>
      </c>
      <c r="J150" s="3" t="s">
        <v>463</v>
      </c>
      <c r="K150" s="3" t="s">
        <v>1680</v>
      </c>
      <c r="L150" s="3">
        <v>0.81699999999999995</v>
      </c>
      <c r="M150" s="3">
        <v>0.81200000000000006</v>
      </c>
      <c r="N150" s="3">
        <v>9</v>
      </c>
      <c r="O150" s="8">
        <v>-9073</v>
      </c>
      <c r="P150" s="3">
        <v>0</v>
      </c>
      <c r="Q150" s="3">
        <v>0.28799999999999998</v>
      </c>
      <c r="R150" s="3">
        <v>4.3100000000000001E-4</v>
      </c>
      <c r="S150" s="3">
        <v>6.0100000000000001E-2</v>
      </c>
      <c r="T150" s="3">
        <v>5.8900000000000001E-2</v>
      </c>
      <c r="U150" s="3">
        <v>0.77</v>
      </c>
      <c r="V150" s="8">
        <v>127073</v>
      </c>
      <c r="W150" s="3">
        <v>4</v>
      </c>
      <c r="X150" s="3" t="str">
        <f t="shared" si="12"/>
        <v>-HAPPY-</v>
      </c>
      <c r="Y150" s="3" t="str">
        <f t="shared" si="13"/>
        <v>-ENERGY-</v>
      </c>
      <c r="Z150" s="4" t="str">
        <f t="shared" si="14"/>
        <v>{"couname":"Cassius 1999","img":"https://i.scdn.co/image/ab67616d0000b2731d86f0dd2c46c5d75cf07bdd","pty":"49","artist":"Cassius","genres":"house francés,disco house","duration":"221733","spotId":"4CHGyhVoq5AVpG47klsVrL","Items":["-HAPPY-","-ENERGY-","","","GN_FrenchElectro"]},</v>
      </c>
      <c r="AA150" s="5" t="s">
        <v>6100</v>
      </c>
      <c r="AB150" s="3" t="str">
        <f t="shared" si="15"/>
        <v>["-HAPPY-","-ENERGY-","","","GN_FrenchElectro"]</v>
      </c>
      <c r="AC150" s="3" t="str">
        <f>_xlfn.XLOOKUP(A150,Album!A:A,Album!J:J)</f>
        <v>https://i.scdn.co/image/ab67616d0000b2731d86f0dd2c46c5d75cf07bdd</v>
      </c>
      <c r="AD150" s="3"/>
      <c r="AE150" s="3"/>
      <c r="AF150" s="3"/>
      <c r="AG150" s="3"/>
      <c r="AH150" s="3"/>
    </row>
    <row r="151" spans="1:34" x14ac:dyDescent="0.3">
      <c r="A151" s="11" t="s">
        <v>1939</v>
      </c>
      <c r="B151" s="12" t="s">
        <v>1940</v>
      </c>
      <c r="C151" s="12" t="s">
        <v>1922</v>
      </c>
      <c r="D151" s="13" t="s">
        <v>9</v>
      </c>
      <c r="E151" s="6">
        <v>41414</v>
      </c>
      <c r="F151" s="3">
        <v>341653</v>
      </c>
      <c r="G151" s="3">
        <v>49</v>
      </c>
      <c r="H151" s="3" t="s">
        <v>5901</v>
      </c>
      <c r="I151" s="3" t="s">
        <v>1809</v>
      </c>
      <c r="J151" s="3" t="s">
        <v>1810</v>
      </c>
      <c r="K151" s="3" t="s">
        <v>84</v>
      </c>
      <c r="L151" s="3">
        <v>0.54800000000000004</v>
      </c>
      <c r="M151" s="3">
        <v>0.70699999999999996</v>
      </c>
      <c r="N151" s="3">
        <v>4</v>
      </c>
      <c r="O151" s="8">
        <v>-14902</v>
      </c>
      <c r="P151" s="3">
        <v>0</v>
      </c>
      <c r="Q151" s="3">
        <v>3.5200000000000002E-2</v>
      </c>
      <c r="R151" s="3">
        <v>0.51200000000000001</v>
      </c>
      <c r="S151" s="3">
        <v>0.92200000000000004</v>
      </c>
      <c r="T151" s="3">
        <v>0.105</v>
      </c>
      <c r="U151" s="3">
        <v>0.28399999999999997</v>
      </c>
      <c r="V151" s="8">
        <v>103009</v>
      </c>
      <c r="W151" s="3">
        <v>4</v>
      </c>
      <c r="X151" s="3" t="str">
        <f t="shared" si="12"/>
        <v>-SADNE-</v>
      </c>
      <c r="Y151" s="3" t="str">
        <f t="shared" si="13"/>
        <v>-ENERGY-</v>
      </c>
      <c r="Z151" s="4" t="str">
        <f t="shared" si="14"/>
        <v>{"couname":"Motherboard","img":"https://i.scdn.co/image/ab67616d0000b2739b9b36b0e22870b9f542d937","pty":"49","artist":"Daft Punk","genres":"house francés,electrónica,electro","duration":"341653","spotId":"79koEJRtKOOGJ0VSAF3FMk","Items":["-SADNE-","-ENERGY-","","","GN_FrenchElectro"]},</v>
      </c>
      <c r="AA151" s="5" t="s">
        <v>6100</v>
      </c>
      <c r="AB151" s="3" t="str">
        <f t="shared" si="15"/>
        <v>["-SADNE-","-ENERGY-","","","GN_FrenchElectro"]</v>
      </c>
      <c r="AC151" s="3" t="str">
        <f>_xlfn.XLOOKUP(A151,Album!A:A,Album!J:J)</f>
        <v>https://i.scdn.co/image/ab67616d0000b2739b9b36b0e22870b9f542d937</v>
      </c>
      <c r="AD151" s="3"/>
      <c r="AE151" s="3"/>
      <c r="AF151" s="3"/>
      <c r="AG151" s="3"/>
      <c r="AH151" s="3"/>
    </row>
    <row r="152" spans="1:34" x14ac:dyDescent="0.3">
      <c r="A152" s="11" t="s">
        <v>1952</v>
      </c>
      <c r="B152" s="12" t="s">
        <v>1953</v>
      </c>
      <c r="C152" s="12" t="s">
        <v>1951</v>
      </c>
      <c r="D152" s="13" t="s">
        <v>9</v>
      </c>
      <c r="E152" s="6">
        <v>39405</v>
      </c>
      <c r="F152" s="3">
        <v>329653</v>
      </c>
      <c r="G152" s="3">
        <v>49</v>
      </c>
      <c r="H152" s="3" t="s">
        <v>5900</v>
      </c>
      <c r="I152" s="3" t="s">
        <v>1809</v>
      </c>
      <c r="J152" s="3" t="s">
        <v>1810</v>
      </c>
      <c r="K152" s="3" t="s">
        <v>1811</v>
      </c>
      <c r="L152" s="3">
        <v>0.52</v>
      </c>
      <c r="M152" s="3">
        <v>0.54500000000000004</v>
      </c>
      <c r="N152" s="3">
        <v>11</v>
      </c>
      <c r="O152" s="8">
        <v>-12.67</v>
      </c>
      <c r="P152" s="3">
        <v>0</v>
      </c>
      <c r="Q152" s="3">
        <v>0.158</v>
      </c>
      <c r="R152" s="3">
        <v>4.9399999999999999E-3</v>
      </c>
      <c r="S152" s="3">
        <v>0.28499999999999998</v>
      </c>
      <c r="T152" s="3">
        <v>0.46400000000000002</v>
      </c>
      <c r="U152" s="3">
        <v>0.23300000000000001</v>
      </c>
      <c r="V152" s="8">
        <v>121.78</v>
      </c>
      <c r="W152" s="3">
        <v>4</v>
      </c>
      <c r="X152" s="3" t="str">
        <f t="shared" si="12"/>
        <v>-SADNE-</v>
      </c>
      <c r="Y152" s="3" t="str">
        <f t="shared" si="13"/>
        <v>-ENERGY-</v>
      </c>
      <c r="Z152" s="4" t="str">
        <f t="shared" si="14"/>
        <v>{"couname":"Touch It / Technologic","img":"https://i.scdn.co/image/ab67616d0000b273673288fb985e5c194536ae27","pty":"49","artist":"Daft Punk","genres":"house francés,electrónica,electro","duration":"329653","spotId":"4IdiGMOzEYXOh2897XOV8i","Items":["-SADNE-","-ENERGY-","","","GN_FrenchElectro"]},</v>
      </c>
      <c r="AA152" s="5" t="s">
        <v>6100</v>
      </c>
      <c r="AB152" s="3" t="str">
        <f t="shared" si="15"/>
        <v>["-SADNE-","-ENERGY-","","","GN_FrenchElectro"]</v>
      </c>
      <c r="AC152" s="3" t="str">
        <f>_xlfn.XLOOKUP(A152,Album!A:A,Album!J:J)</f>
        <v>https://i.scdn.co/image/ab67616d0000b273673288fb985e5c194536ae27</v>
      </c>
      <c r="AD152" s="3"/>
      <c r="AE152" s="3"/>
      <c r="AF152" s="3"/>
      <c r="AG152" s="3"/>
      <c r="AH152" s="3"/>
    </row>
    <row r="153" spans="1:34" x14ac:dyDescent="0.3">
      <c r="A153" s="11" t="s">
        <v>474</v>
      </c>
      <c r="B153" s="12" t="s">
        <v>5898</v>
      </c>
      <c r="C153" s="12" t="s">
        <v>476</v>
      </c>
      <c r="D153" s="13" t="s">
        <v>2543</v>
      </c>
      <c r="E153" s="6">
        <v>45562</v>
      </c>
      <c r="F153" s="3">
        <v>218057</v>
      </c>
      <c r="G153" s="3">
        <v>48</v>
      </c>
      <c r="H153" s="3" t="s">
        <v>5899</v>
      </c>
      <c r="I153" s="3" t="s">
        <v>462</v>
      </c>
      <c r="J153" s="3" t="s">
        <v>477</v>
      </c>
      <c r="K153" s="3" t="s">
        <v>469</v>
      </c>
      <c r="L153" s="3">
        <v>0.73399999999999999</v>
      </c>
      <c r="M153" s="3">
        <v>0.88700000000000001</v>
      </c>
      <c r="N153" s="3">
        <v>6</v>
      </c>
      <c r="O153" s="8">
        <v>-6491</v>
      </c>
      <c r="P153" s="3">
        <v>0</v>
      </c>
      <c r="Q153" s="3">
        <v>7.9500000000000001E-2</v>
      </c>
      <c r="R153" s="3">
        <v>9.2999999999999999E-2</v>
      </c>
      <c r="S153" s="3">
        <v>0.67</v>
      </c>
      <c r="T153" s="3">
        <v>0.108</v>
      </c>
      <c r="U153" s="3">
        <v>0.63600000000000001</v>
      </c>
      <c r="V153" s="8">
        <v>121006</v>
      </c>
      <c r="W153" s="3">
        <v>4</v>
      </c>
      <c r="X153" s="3" t="str">
        <f t="shared" si="12"/>
        <v>-HAPPY-</v>
      </c>
      <c r="Y153" s="3" t="str">
        <f t="shared" si="13"/>
        <v>-ENERGY-</v>
      </c>
      <c r="Z153" s="4" t="str">
        <f t="shared" si="14"/>
        <v>{"couname":"World Hold On","img":"https://i.scdn.co/image/ab67616d0000b273835c0d22cb6459a6cfef2d74","pty":"48","artist":"Bob Sinclar, Soubeiran, Sasson (FR), Steve Edwards","genres":"house francés,disco house,afro house,house melódico","duration":"218057","spotId":"0Rx9o4cMFrDQommZX3r3UC","Items":["-HAPPY-","-ENERGY-","","","GN_FrenchElectro"]},</v>
      </c>
      <c r="AA153" s="5" t="s">
        <v>6100</v>
      </c>
      <c r="AB153" s="3" t="str">
        <f t="shared" si="15"/>
        <v>["-HAPPY-","-ENERGY-","","","GN_FrenchElectro"]</v>
      </c>
      <c r="AC153" s="3" t="str">
        <f>_xlfn.XLOOKUP(A153,Album!A:A,Album!J:J)</f>
        <v>https://i.scdn.co/image/ab67616d0000b273835c0d22cb6459a6cfef2d74</v>
      </c>
      <c r="AD153" s="3"/>
      <c r="AE153" s="3"/>
      <c r="AF153" s="3"/>
      <c r="AG153" s="3"/>
      <c r="AH153" s="3"/>
    </row>
    <row r="154" spans="1:34" x14ac:dyDescent="0.3">
      <c r="A154" s="11" t="s">
        <v>740</v>
      </c>
      <c r="B154" s="12" t="s">
        <v>741</v>
      </c>
      <c r="C154" s="12" t="s">
        <v>737</v>
      </c>
      <c r="D154" s="13" t="s">
        <v>2996</v>
      </c>
      <c r="E154" s="6">
        <v>45408</v>
      </c>
      <c r="F154" s="3">
        <v>254346</v>
      </c>
      <c r="G154" s="3">
        <v>48</v>
      </c>
      <c r="H154" s="3" t="s">
        <v>5897</v>
      </c>
      <c r="I154" s="3" t="s">
        <v>738</v>
      </c>
      <c r="J154" s="3" t="s">
        <v>742</v>
      </c>
      <c r="K154" s="3" t="s">
        <v>19</v>
      </c>
      <c r="L154" s="3">
        <v>0.42899999999999999</v>
      </c>
      <c r="M154" s="3">
        <v>0.53700000000000003</v>
      </c>
      <c r="N154" s="3">
        <v>5</v>
      </c>
      <c r="O154" s="8">
        <v>-10275</v>
      </c>
      <c r="P154" s="3">
        <v>1</v>
      </c>
      <c r="Q154" s="3">
        <v>3.7199999999999997E-2</v>
      </c>
      <c r="R154" s="3">
        <v>5.0299999999999997E-4</v>
      </c>
      <c r="S154" s="3">
        <v>9.7599999999999996E-3</v>
      </c>
      <c r="T154" s="3">
        <v>0.13100000000000001</v>
      </c>
      <c r="U154" s="3">
        <v>0.215</v>
      </c>
      <c r="V154" s="8">
        <v>79464</v>
      </c>
      <c r="W154" s="3">
        <v>4</v>
      </c>
      <c r="X154" s="3" t="str">
        <f t="shared" si="12"/>
        <v>-SADNE-</v>
      </c>
      <c r="Y154" s="3" t="str">
        <f t="shared" si="13"/>
        <v>-ENERGY-</v>
      </c>
      <c r="Z154" s="4" t="str">
        <f t="shared" si="14"/>
        <v>{"couname":"The End","img":"https://i.scdn.co/image/ab67616d0000b2738f4b5df3a6ee2abb733080a9","pty":"48","artist":"Justice, Thundercat","genres":"house francés,new rave,rock electrónico","duration":"254346","spotId":"5lhIY0YgH7JhszpQNUC1dm","Items":["-SADNE-","-ENERGY-","","","GN_FrenchElectro"]},</v>
      </c>
      <c r="AA154" s="5" t="s">
        <v>6100</v>
      </c>
      <c r="AB154" s="3" t="str">
        <f t="shared" si="15"/>
        <v>["-SADNE-","-ENERGY-","","","GN_FrenchElectro"]</v>
      </c>
      <c r="AC154" s="3" t="str">
        <f>_xlfn.XLOOKUP(A154,Album!A:A,Album!J:J)</f>
        <v>https://i.scdn.co/image/ab67616d0000b2738f4b5df3a6ee2abb733080a9</v>
      </c>
      <c r="AD154" s="3"/>
      <c r="AE154" s="3"/>
      <c r="AF154" s="3"/>
      <c r="AG154" s="3"/>
      <c r="AH154" s="3"/>
    </row>
    <row r="155" spans="1:34" x14ac:dyDescent="0.3">
      <c r="A155" s="11" t="s">
        <v>917</v>
      </c>
      <c r="B155" s="12" t="s">
        <v>918</v>
      </c>
      <c r="C155" s="12" t="s">
        <v>919</v>
      </c>
      <c r="D155" s="13" t="s">
        <v>3204</v>
      </c>
      <c r="E155" s="6">
        <v>42468</v>
      </c>
      <c r="F155" s="3">
        <v>235733</v>
      </c>
      <c r="G155" s="3">
        <v>48</v>
      </c>
      <c r="H155" s="3" t="s">
        <v>5896</v>
      </c>
      <c r="I155" s="3" t="s">
        <v>889</v>
      </c>
      <c r="J155" s="3" t="s">
        <v>844</v>
      </c>
      <c r="K155" s="3" t="s">
        <v>890</v>
      </c>
      <c r="L155" s="3">
        <v>0.497</v>
      </c>
      <c r="M155" s="3">
        <v>0.74199999999999999</v>
      </c>
      <c r="N155" s="3">
        <v>7</v>
      </c>
      <c r="O155" s="8">
        <v>-6353</v>
      </c>
      <c r="P155" s="3">
        <v>0</v>
      </c>
      <c r="Q155" s="3">
        <v>2.9100000000000001E-2</v>
      </c>
      <c r="R155" s="3">
        <v>1.32E-3</v>
      </c>
      <c r="S155" s="3">
        <v>3.95E-2</v>
      </c>
      <c r="T155" s="3">
        <v>5.2200000000000003E-2</v>
      </c>
      <c r="U155" s="3">
        <v>0.20899999999999999</v>
      </c>
      <c r="V155" s="8">
        <v>90994</v>
      </c>
      <c r="W155" s="3">
        <v>4</v>
      </c>
      <c r="X155" s="3" t="str">
        <f t="shared" si="12"/>
        <v>-SADNE-</v>
      </c>
      <c r="Y155" s="3" t="str">
        <f t="shared" si="13"/>
        <v>-ENERGY-</v>
      </c>
      <c r="Z155" s="4" t="str">
        <f t="shared" si="14"/>
        <v>{"couname":"Go!","img":"https://i.scdn.co/image/ab67616d0000b27395e27fa175bad6817721f1ca","pty":"48","artist":"M83, MAI LAN","genres":"indietronica","duration":"235733","spotId":"18mNRyfNGQvVfwTJo27sNR","Items":["-SADNE-","-ENERGY-","","","GN_FrenchElectro"]},</v>
      </c>
      <c r="AA155" s="5" t="s">
        <v>6100</v>
      </c>
      <c r="AB155" s="3" t="str">
        <f t="shared" si="15"/>
        <v>["-SADNE-","-ENERGY-","","","GN_FrenchElectro"]</v>
      </c>
      <c r="AC155" s="3" t="str">
        <f>_xlfn.XLOOKUP(A155,Album!A:A,Album!J:J)</f>
        <v>https://i.scdn.co/image/ab67616d0000b27395e27fa175bad6817721f1ca</v>
      </c>
      <c r="AD155" s="3"/>
      <c r="AE155" s="3"/>
      <c r="AF155" s="3"/>
      <c r="AG155" s="3"/>
      <c r="AH155" s="3"/>
    </row>
    <row r="156" spans="1:34" x14ac:dyDescent="0.3">
      <c r="A156" s="11" t="s">
        <v>1891</v>
      </c>
      <c r="B156" s="12" t="s">
        <v>1892</v>
      </c>
      <c r="C156" s="12" t="s">
        <v>1876</v>
      </c>
      <c r="D156" s="13" t="s">
        <v>9</v>
      </c>
      <c r="E156" s="6">
        <v>38425</v>
      </c>
      <c r="F156" s="3">
        <v>284280</v>
      </c>
      <c r="G156" s="3">
        <v>48</v>
      </c>
      <c r="H156" s="3" t="s">
        <v>5895</v>
      </c>
      <c r="I156" s="3" t="s">
        <v>1809</v>
      </c>
      <c r="J156" s="3" t="s">
        <v>1810</v>
      </c>
      <c r="K156" s="3" t="s">
        <v>1811</v>
      </c>
      <c r="L156" s="3">
        <v>0.81200000000000006</v>
      </c>
      <c r="M156" s="3">
        <v>0.51600000000000001</v>
      </c>
      <c r="N156" s="3">
        <v>9</v>
      </c>
      <c r="O156" s="8">
        <v>-6963</v>
      </c>
      <c r="P156" s="3">
        <v>1</v>
      </c>
      <c r="Q156" s="3">
        <v>0.224</v>
      </c>
      <c r="R156" s="3">
        <v>3.6900000000000002E-4</v>
      </c>
      <c r="S156" s="3">
        <v>1.0900000000000001E-5</v>
      </c>
      <c r="T156" s="3">
        <v>9.9099999999999994E-2</v>
      </c>
      <c r="U156" s="3">
        <v>0.63300000000000001</v>
      </c>
      <c r="V156" s="8">
        <v>127498</v>
      </c>
      <c r="W156" s="3">
        <v>4</v>
      </c>
      <c r="X156" s="3" t="str">
        <f t="shared" si="12"/>
        <v>-HAPPY-</v>
      </c>
      <c r="Y156" s="3" t="str">
        <f t="shared" si="13"/>
        <v>-ENERGY-</v>
      </c>
      <c r="Z156" s="4" t="str">
        <f t="shared" si="14"/>
        <v>{"couname":"Technologic","img":"https://i.scdn.co/image/ab67616d0000b273d8601e15fa1b4351fe1fc6ae","pty":"48","artist":"Daft Punk","genres":"house francés,electrónica,electro","duration":"284280","spotId":"0LSLM0zuWRkEYemF7JcfEE","Items":["-HAPPY-","-ENERGY-","","","GN_FrenchElectro"]},</v>
      </c>
      <c r="AA156" s="5" t="s">
        <v>6100</v>
      </c>
      <c r="AB156" s="3" t="str">
        <f t="shared" si="15"/>
        <v>["-HAPPY-","-ENERGY-","","","GN_FrenchElectro"]</v>
      </c>
      <c r="AC156" s="3" t="str">
        <f>_xlfn.XLOOKUP(A156,Album!A:A,Album!J:J)</f>
        <v>https://i.scdn.co/image/ab67616d0000b273d8601e15fa1b4351fe1fc6ae</v>
      </c>
      <c r="AD156" s="3"/>
      <c r="AE156" s="3"/>
      <c r="AF156" s="3"/>
      <c r="AG156" s="3"/>
      <c r="AH156" s="3"/>
    </row>
    <row r="157" spans="1:34" x14ac:dyDescent="0.3">
      <c r="A157" s="11" t="s">
        <v>1949</v>
      </c>
      <c r="B157" s="12" t="s">
        <v>1950</v>
      </c>
      <c r="C157" s="12" t="s">
        <v>1951</v>
      </c>
      <c r="D157" s="13" t="s">
        <v>9</v>
      </c>
      <c r="E157" s="6">
        <v>39405</v>
      </c>
      <c r="F157" s="3">
        <v>387506</v>
      </c>
      <c r="G157" s="3">
        <v>48</v>
      </c>
      <c r="H157" s="3" t="s">
        <v>5894</v>
      </c>
      <c r="I157" s="3" t="s">
        <v>1809</v>
      </c>
      <c r="J157" s="3" t="s">
        <v>1810</v>
      </c>
      <c r="K157" s="3" t="s">
        <v>1811</v>
      </c>
      <c r="L157" s="3">
        <v>0.47899999999999998</v>
      </c>
      <c r="M157" s="3">
        <v>0.67800000000000005</v>
      </c>
      <c r="N157" s="3">
        <v>2</v>
      </c>
      <c r="O157" s="8">
        <v>-12.17</v>
      </c>
      <c r="P157" s="3">
        <v>1</v>
      </c>
      <c r="Q157" s="3">
        <v>7.5800000000000006E-2</v>
      </c>
      <c r="R157" s="3">
        <v>1.8000000000000001E-4</v>
      </c>
      <c r="S157" s="3">
        <v>0.66100000000000003</v>
      </c>
      <c r="T157" s="3">
        <v>0.42099999999999999</v>
      </c>
      <c r="U157" s="3">
        <v>0.22700000000000001</v>
      </c>
      <c r="V157" s="8">
        <v>116033</v>
      </c>
      <c r="W157" s="3">
        <v>4</v>
      </c>
      <c r="X157" s="3" t="str">
        <f t="shared" si="12"/>
        <v>-SADNE-</v>
      </c>
      <c r="Y157" s="3" t="str">
        <f t="shared" si="13"/>
        <v>-ENERGY-</v>
      </c>
      <c r="Z157" s="4" t="str">
        <f t="shared" si="14"/>
        <v>{"couname":"Robot Rock / Oh Yeah","img":"https://i.scdn.co/image/ab67616d0000b273673288fb985e5c194536ae27","pty":"48","artist":"Daft Punk","genres":"house francés,electrónica,electro","duration":"387506","spotId":"5eS6pTvDNOvh2kyxeZtK3r","Items":["-SADNE-","-ENERGY-","","","GN_FrenchElectro"]},</v>
      </c>
      <c r="AA157" s="5" t="s">
        <v>6100</v>
      </c>
      <c r="AB157" s="3" t="str">
        <f t="shared" si="15"/>
        <v>["-SADNE-","-ENERGY-","","","GN_FrenchElectro"]</v>
      </c>
      <c r="AC157" s="3" t="str">
        <f>_xlfn.XLOOKUP(A157,Album!A:A,Album!J:J)</f>
        <v>https://i.scdn.co/image/ab67616d0000b273673288fb985e5c194536ae27</v>
      </c>
      <c r="AD157" s="3"/>
      <c r="AE157" s="3"/>
      <c r="AF157" s="3"/>
      <c r="AG157" s="3"/>
      <c r="AH157" s="3"/>
    </row>
    <row r="158" spans="1:34" x14ac:dyDescent="0.3">
      <c r="A158" s="11" t="s">
        <v>1956</v>
      </c>
      <c r="B158" s="12" t="s">
        <v>1957</v>
      </c>
      <c r="C158" s="12" t="s">
        <v>1951</v>
      </c>
      <c r="D158" s="13" t="s">
        <v>9</v>
      </c>
      <c r="E158" s="6">
        <v>39405</v>
      </c>
      <c r="F158" s="3">
        <v>421600</v>
      </c>
      <c r="G158" s="3">
        <v>48</v>
      </c>
      <c r="H158" s="3" t="s">
        <v>5893</v>
      </c>
      <c r="I158" s="3" t="s">
        <v>1809</v>
      </c>
      <c r="J158" s="3" t="s">
        <v>1810</v>
      </c>
      <c r="K158" s="3" t="s">
        <v>1811</v>
      </c>
      <c r="L158" s="3">
        <v>0.38100000000000001</v>
      </c>
      <c r="M158" s="3">
        <v>0.72099999999999997</v>
      </c>
      <c r="N158" s="3">
        <v>5</v>
      </c>
      <c r="O158" s="8">
        <v>-9967</v>
      </c>
      <c r="P158" s="3">
        <v>0</v>
      </c>
      <c r="Q158" s="3">
        <v>4.6399999999999997E-2</v>
      </c>
      <c r="R158" s="3">
        <v>6.0499999999999996E-4</v>
      </c>
      <c r="S158" s="3">
        <v>0.77600000000000002</v>
      </c>
      <c r="T158" s="3">
        <v>0.112</v>
      </c>
      <c r="U158" s="3">
        <v>0.22500000000000001</v>
      </c>
      <c r="V158" s="8">
        <v>125603</v>
      </c>
      <c r="W158" s="3">
        <v>4</v>
      </c>
      <c r="X158" s="3" t="str">
        <f t="shared" si="12"/>
        <v>-SADNE-</v>
      </c>
      <c r="Y158" s="3" t="str">
        <f t="shared" si="13"/>
        <v>-ENERGY-</v>
      </c>
      <c r="Z158" s="4" t="str">
        <f t="shared" si="14"/>
        <v>{"couname":"Too Long / Steam Machine","img":"https://i.scdn.co/image/ab67616d0000b273673288fb985e5c194536ae27","pty":"48","artist":"Daft Punk","genres":"house francés,electrónica,electro","duration":"421600","spotId":"3n4ow4XGzwSIPxA3JHLF9p","Items":["-SADNE-","-ENERGY-","","","GN_FrenchElectro"]},</v>
      </c>
      <c r="AA158" s="5" t="s">
        <v>6100</v>
      </c>
      <c r="AB158" s="3" t="str">
        <f t="shared" si="15"/>
        <v>["-SADNE-","-ENERGY-","","","GN_FrenchElectro"]</v>
      </c>
      <c r="AC158" s="3" t="str">
        <f>_xlfn.XLOOKUP(A158,Album!A:A,Album!J:J)</f>
        <v>https://i.scdn.co/image/ab67616d0000b273673288fb985e5c194536ae27</v>
      </c>
      <c r="AD158" s="3"/>
      <c r="AE158" s="3"/>
      <c r="AF158" s="3"/>
      <c r="AG158" s="3"/>
      <c r="AH158" s="3"/>
    </row>
    <row r="159" spans="1:34" x14ac:dyDescent="0.3">
      <c r="A159" s="11" t="s">
        <v>1964</v>
      </c>
      <c r="B159" s="12" t="s">
        <v>1965</v>
      </c>
      <c r="C159" s="12" t="s">
        <v>1951</v>
      </c>
      <c r="D159" s="13" t="s">
        <v>9</v>
      </c>
      <c r="E159" s="6">
        <v>39405</v>
      </c>
      <c r="F159" s="3">
        <v>370533</v>
      </c>
      <c r="G159" s="3">
        <v>48</v>
      </c>
      <c r="H159" s="3" t="s">
        <v>5892</v>
      </c>
      <c r="I159" s="3" t="s">
        <v>1809</v>
      </c>
      <c r="J159" s="3" t="s">
        <v>1810</v>
      </c>
      <c r="K159" s="3" t="s">
        <v>1811</v>
      </c>
      <c r="L159" s="3">
        <v>0.45</v>
      </c>
      <c r="M159" s="3">
        <v>0.84599999999999997</v>
      </c>
      <c r="N159" s="3">
        <v>11</v>
      </c>
      <c r="O159" s="8">
        <v>-9996</v>
      </c>
      <c r="P159" s="3">
        <v>0</v>
      </c>
      <c r="Q159" s="3">
        <v>0.10199999999999999</v>
      </c>
      <c r="R159" s="3">
        <v>3.7999999999999999E-2</v>
      </c>
      <c r="S159" s="3">
        <v>0.26600000000000001</v>
      </c>
      <c r="T159" s="3">
        <v>0.222</v>
      </c>
      <c r="U159" s="3">
        <v>0.41399999999999998</v>
      </c>
      <c r="V159" s="8">
        <v>124239</v>
      </c>
      <c r="W159" s="3">
        <v>4</v>
      </c>
      <c r="X159" s="3" t="str">
        <f t="shared" si="12"/>
        <v>-HAPPY-</v>
      </c>
      <c r="Y159" s="3" t="str">
        <f t="shared" si="13"/>
        <v>-ENERGY-</v>
      </c>
      <c r="Z159" s="4" t="str">
        <f t="shared" si="14"/>
        <v>{"couname":"One More Time / Aerodynamic","img":"https://i.scdn.co/image/ab67616d0000b273673288fb985e5c194536ae27","pty":"48","artist":"Daft Punk","genres":"house francés,electrónica,electro","duration":"370533","spotId":"1H1d4dr7Hk5Rrd8Tb5y5yr","Items":["-HAPPY-","-ENERGY-","","","GN_FrenchElectro"]},</v>
      </c>
      <c r="AA159" s="5" t="s">
        <v>6100</v>
      </c>
      <c r="AB159" s="3" t="str">
        <f t="shared" si="15"/>
        <v>["-HAPPY-","-ENERGY-","","","GN_FrenchElectro"]</v>
      </c>
      <c r="AC159" s="3" t="str">
        <f>_xlfn.XLOOKUP(A159,Album!A:A,Album!J:J)</f>
        <v>https://i.scdn.co/image/ab67616d0000b273673288fb985e5c194536ae27</v>
      </c>
      <c r="AD159" s="3"/>
      <c r="AE159" s="3"/>
      <c r="AF159" s="3"/>
      <c r="AG159" s="3"/>
      <c r="AH159" s="3"/>
    </row>
    <row r="160" spans="1:34" x14ac:dyDescent="0.3">
      <c r="A160" s="11" t="s">
        <v>765</v>
      </c>
      <c r="B160" s="12" t="s">
        <v>766</v>
      </c>
      <c r="C160" s="12" t="s">
        <v>737</v>
      </c>
      <c r="D160" s="13" t="s">
        <v>3026</v>
      </c>
      <c r="E160" s="6">
        <v>45408</v>
      </c>
      <c r="F160" s="3">
        <v>201533</v>
      </c>
      <c r="G160" s="3">
        <v>47</v>
      </c>
      <c r="H160" s="3" t="s">
        <v>5891</v>
      </c>
      <c r="I160" s="3" t="s">
        <v>738</v>
      </c>
      <c r="J160" s="3" t="s">
        <v>767</v>
      </c>
      <c r="K160" s="3" t="s">
        <v>19</v>
      </c>
      <c r="L160" s="3">
        <v>0.435</v>
      </c>
      <c r="M160" s="3">
        <v>0.32400000000000001</v>
      </c>
      <c r="N160" s="3">
        <v>5</v>
      </c>
      <c r="O160" s="8">
        <v>-9937</v>
      </c>
      <c r="P160" s="3">
        <v>1</v>
      </c>
      <c r="Q160" s="3">
        <v>0.30599999999999999</v>
      </c>
      <c r="R160" s="3">
        <v>5.9100000000000003E-3</v>
      </c>
      <c r="S160" s="3">
        <v>0</v>
      </c>
      <c r="T160" s="3">
        <v>0.57399999999999995</v>
      </c>
      <c r="U160" s="3">
        <v>0.65300000000000002</v>
      </c>
      <c r="V160" s="8">
        <v>190481</v>
      </c>
      <c r="W160" s="3">
        <v>4</v>
      </c>
      <c r="X160" s="3" t="str">
        <f t="shared" si="12"/>
        <v>-HAPPY-</v>
      </c>
      <c r="Y160" s="3" t="str">
        <f t="shared" si="13"/>
        <v>-SLOWSS-</v>
      </c>
      <c r="Z160" s="4" t="str">
        <f t="shared" si="14"/>
        <v>{"couname":"Saturnine","img":"https://i.scdn.co/image/ab67616d0000b2738f4b5df3a6ee2abb733080a9","pty":"47","artist":"Justice, Miguel","genres":"house francés,new rave,rock electrónico,r&amp;b","duration":"201533","spotId":"0pKV7fa9uYAEcYmNkk6Pld","Items":["-HAPPY-","-SLOWSS-","","","GN_FrenchElectro"]},</v>
      </c>
      <c r="AA160" s="5" t="s">
        <v>6100</v>
      </c>
      <c r="AB160" s="3" t="str">
        <f t="shared" si="15"/>
        <v>["-HAPPY-","-SLOWSS-","","","GN_FrenchElectro"]</v>
      </c>
      <c r="AC160" s="3" t="str">
        <f>_xlfn.XLOOKUP(A160,Album!A:A,Album!J:J)</f>
        <v>https://i.scdn.co/image/ab67616d0000b2738f4b5df3a6ee2abb733080a9</v>
      </c>
      <c r="AD160" s="3"/>
      <c r="AE160" s="3"/>
      <c r="AF160" s="3"/>
      <c r="AG160" s="3"/>
      <c r="AH160" s="3"/>
    </row>
    <row r="161" spans="1:34" x14ac:dyDescent="0.3">
      <c r="A161" s="11" t="s">
        <v>1188</v>
      </c>
      <c r="B161" s="12" t="s">
        <v>1189</v>
      </c>
      <c r="C161" s="12" t="s">
        <v>1189</v>
      </c>
      <c r="D161" s="13" t="s">
        <v>3663</v>
      </c>
      <c r="E161" s="6">
        <v>45226</v>
      </c>
      <c r="F161" s="3">
        <v>161770</v>
      </c>
      <c r="G161" s="3">
        <v>47</v>
      </c>
      <c r="H161" s="3" t="s">
        <v>5890</v>
      </c>
      <c r="I161" s="3" t="s">
        <v>1013</v>
      </c>
      <c r="J161" s="3" t="s">
        <v>1190</v>
      </c>
      <c r="K161" s="3" t="s">
        <v>1015</v>
      </c>
      <c r="L161" s="3">
        <v>0.77400000000000002</v>
      </c>
      <c r="M161" s="3">
        <v>0.71099999999999997</v>
      </c>
      <c r="N161" s="3">
        <v>11</v>
      </c>
      <c r="O161" s="8">
        <v>-7.97</v>
      </c>
      <c r="P161" s="3">
        <v>0</v>
      </c>
      <c r="Q161" s="3">
        <v>0.18</v>
      </c>
      <c r="R161" s="3">
        <v>0.24299999999999999</v>
      </c>
      <c r="S161" s="3">
        <v>5.1999999999999995E-4</v>
      </c>
      <c r="T161" s="3">
        <v>7.3200000000000001E-2</v>
      </c>
      <c r="U161" s="3">
        <v>0.61199999999999999</v>
      </c>
      <c r="V161" s="8">
        <v>125.14</v>
      </c>
      <c r="W161" s="3">
        <v>4</v>
      </c>
      <c r="X161" s="3" t="str">
        <f t="shared" si="12"/>
        <v>-HAPPY-</v>
      </c>
      <c r="Y161" s="3" t="str">
        <f t="shared" si="13"/>
        <v>-ENERGY-</v>
      </c>
      <c r="Z161" s="4" t="str">
        <f t="shared" si="14"/>
        <v>{"couname":"Big FU","img":"https://i.scdn.co/image/ab67616d0000b273cda26a0b4a1753c1f6e33acf","pty":"47","artist":"David Guetta, Ayra Starr, Lil Durk","genres":"edm,dance,afrobeats,afrobeat,afropop,afro soul,drill","duration":"161770","spotId":"2HbTwmup8SWz5tMcKZXFLh","Items":["-HAPPY-","-ENERGY-","","","GN_FrenchElectro"]},</v>
      </c>
      <c r="AA161" s="5" t="s">
        <v>6100</v>
      </c>
      <c r="AB161" s="3" t="str">
        <f t="shared" si="15"/>
        <v>["-HAPPY-","-ENERGY-","","","GN_FrenchElectro"]</v>
      </c>
      <c r="AC161" s="3" t="str">
        <f>_xlfn.XLOOKUP(A161,Album!A:A,Album!J:J)</f>
        <v>https://i.scdn.co/image/ab67616d0000b273cda26a0b4a1753c1f6e33acf</v>
      </c>
      <c r="AD161" s="3"/>
      <c r="AE161" s="3"/>
      <c r="AF161" s="3"/>
      <c r="AG161" s="3"/>
      <c r="AH161" s="3"/>
    </row>
    <row r="162" spans="1:34" x14ac:dyDescent="0.3">
      <c r="A162" s="11" t="s">
        <v>1274</v>
      </c>
      <c r="B162" s="12" t="s">
        <v>1275</v>
      </c>
      <c r="C162" s="12" t="s">
        <v>1275</v>
      </c>
      <c r="D162" s="13" t="s">
        <v>1206</v>
      </c>
      <c r="E162" s="6">
        <v>44678</v>
      </c>
      <c r="F162" s="3">
        <v>214103</v>
      </c>
      <c r="G162" s="3">
        <v>47</v>
      </c>
      <c r="H162" s="3" t="s">
        <v>5889</v>
      </c>
      <c r="I162" s="3" t="s">
        <v>1207</v>
      </c>
      <c r="J162" s="3" t="s">
        <v>1208</v>
      </c>
      <c r="K162" s="3" t="s">
        <v>1270</v>
      </c>
      <c r="L162" s="3">
        <v>0.51100000000000001</v>
      </c>
      <c r="M162" s="3">
        <v>0.71799999999999997</v>
      </c>
      <c r="N162" s="3">
        <v>11</v>
      </c>
      <c r="O162" s="8">
        <v>-7.46</v>
      </c>
      <c r="P162" s="3">
        <v>1</v>
      </c>
      <c r="Q162" s="3">
        <v>3.6700000000000003E-2</v>
      </c>
      <c r="R162" s="3">
        <v>4.5399999999999998E-3</v>
      </c>
      <c r="S162" s="3">
        <v>9.6100000000000005E-5</v>
      </c>
      <c r="T162" s="3">
        <v>9.1300000000000006E-2</v>
      </c>
      <c r="U162" s="3">
        <v>0.27400000000000002</v>
      </c>
      <c r="V162" s="8">
        <v>106016</v>
      </c>
      <c r="W162" s="3">
        <v>4</v>
      </c>
      <c r="X162" s="3" t="str">
        <f t="shared" si="12"/>
        <v>-SADNE-</v>
      </c>
      <c r="Y162" s="3" t="str">
        <f t="shared" si="13"/>
        <v>-ENERGY-</v>
      </c>
      <c r="Z162" s="4" t="str">
        <f t="shared" si="14"/>
        <v>{"couname":"Love You Back","img":"https://i.scdn.co/image/ab67616d0000b27339f82b80fe2720663b045422","pty":"47","artist":"Madeon","genres":"edm,house francés","duration":"214103","spotId":"5wM6LOw2U6XeIFHfsgI6wU","Items":["-SADNE-","-ENERGY-","","","GN_FrenchElectro"]},</v>
      </c>
      <c r="AA162" s="5" t="s">
        <v>6100</v>
      </c>
      <c r="AB162" s="3" t="str">
        <f t="shared" si="15"/>
        <v>["-SADNE-","-ENERGY-","","","GN_FrenchElectro"]</v>
      </c>
      <c r="AC162" s="3" t="str">
        <f>_xlfn.XLOOKUP(A162,Album!A:A,Album!J:J)</f>
        <v>https://i.scdn.co/image/ab67616d0000b27339f82b80fe2720663b045422</v>
      </c>
      <c r="AD162" s="3"/>
      <c r="AE162" s="3"/>
      <c r="AF162" s="3"/>
      <c r="AG162" s="3"/>
      <c r="AH162" s="3"/>
    </row>
    <row r="163" spans="1:34" x14ac:dyDescent="0.3">
      <c r="A163" s="11" t="s">
        <v>1454</v>
      </c>
      <c r="B163" s="12" t="s">
        <v>1455</v>
      </c>
      <c r="C163" s="12" t="s">
        <v>1335</v>
      </c>
      <c r="D163" s="13" t="s">
        <v>3893</v>
      </c>
      <c r="E163" s="6">
        <v>35811</v>
      </c>
      <c r="F163" s="3">
        <v>241533</v>
      </c>
      <c r="G163" s="3">
        <v>47</v>
      </c>
      <c r="H163" s="3" t="s">
        <v>5888</v>
      </c>
      <c r="I163" s="3" t="s">
        <v>1453</v>
      </c>
      <c r="J163" s="3" t="s">
        <v>1337</v>
      </c>
      <c r="K163" s="3" t="s">
        <v>83</v>
      </c>
      <c r="L163" s="3">
        <v>0.63900000000000001</v>
      </c>
      <c r="M163" s="3">
        <v>0.49199999999999999</v>
      </c>
      <c r="N163" s="3">
        <v>5</v>
      </c>
      <c r="O163" s="8">
        <v>-11023</v>
      </c>
      <c r="P163" s="3">
        <v>1</v>
      </c>
      <c r="Q163" s="3">
        <v>2.7900000000000001E-2</v>
      </c>
      <c r="R163" s="3">
        <v>0.22</v>
      </c>
      <c r="S163" s="3">
        <v>9.0699999999999999E-3</v>
      </c>
      <c r="T163" s="3">
        <v>8.5999999999999993E-2</v>
      </c>
      <c r="U163" s="3">
        <v>0.39400000000000002</v>
      </c>
      <c r="V163" s="8">
        <v>109844</v>
      </c>
      <c r="W163" s="3">
        <v>4</v>
      </c>
      <c r="X163" s="3" t="str">
        <f t="shared" si="12"/>
        <v>-HAPPY-</v>
      </c>
      <c r="Y163" s="3" t="str">
        <f t="shared" si="13"/>
        <v>-ENERGY-</v>
      </c>
      <c r="Z163" s="4" t="str">
        <f t="shared" si="14"/>
        <v>{"couname":"You Make It Easy","img":"https://i.scdn.co/image/ab67616d0000b2731216e4f7e84af70ef18146ed","pty":"47","artist":"Air, Beth Hirsch","genres":"trip hop,downtempo,house francés","duration":"241533","spotId":"6kYwzIqAj4Wp6ApoPpoqny","Items":["-HAPPY-","-ENERGY-","","","GN_FrenchElectro"]},</v>
      </c>
      <c r="AA163" s="5" t="s">
        <v>6100</v>
      </c>
      <c r="AB163" s="3" t="str">
        <f t="shared" si="15"/>
        <v>["-HAPPY-","-ENERGY-","","","GN_FrenchElectro"]</v>
      </c>
      <c r="AC163" s="3" t="str">
        <f>_xlfn.XLOOKUP(A163,Album!A:A,Album!J:J)</f>
        <v>https://i.scdn.co/image/ab67616d0000b2731216e4f7e84af70ef18146ed</v>
      </c>
      <c r="AD163" s="3"/>
      <c r="AE163" s="3"/>
      <c r="AF163" s="3"/>
      <c r="AG163" s="3"/>
      <c r="AH163" s="3"/>
    </row>
    <row r="164" spans="1:34" x14ac:dyDescent="0.3">
      <c r="A164" s="11" t="s">
        <v>1458</v>
      </c>
      <c r="B164" s="12" t="s">
        <v>1459</v>
      </c>
      <c r="C164" s="12" t="s">
        <v>1335</v>
      </c>
      <c r="D164" s="13" t="s">
        <v>1345</v>
      </c>
      <c r="E164" s="6">
        <v>35811</v>
      </c>
      <c r="F164" s="3">
        <v>190866</v>
      </c>
      <c r="G164" s="3">
        <v>47</v>
      </c>
      <c r="H164" s="3" t="s">
        <v>5887</v>
      </c>
      <c r="I164" s="3" t="s">
        <v>1453</v>
      </c>
      <c r="J164" s="3" t="s">
        <v>1337</v>
      </c>
      <c r="K164" s="3" t="s">
        <v>83</v>
      </c>
      <c r="L164" s="3">
        <v>0.51100000000000001</v>
      </c>
      <c r="M164" s="3">
        <v>0.503</v>
      </c>
      <c r="N164" s="3">
        <v>2</v>
      </c>
      <c r="O164" s="8">
        <v>-10056</v>
      </c>
      <c r="P164" s="3">
        <v>0</v>
      </c>
      <c r="Q164" s="3">
        <v>3.0499999999999999E-2</v>
      </c>
      <c r="R164" s="3">
        <v>0.60499999999999998</v>
      </c>
      <c r="S164" s="3">
        <v>0.92400000000000004</v>
      </c>
      <c r="T164" s="3">
        <v>0.21</v>
      </c>
      <c r="U164" s="3">
        <v>0.27100000000000002</v>
      </c>
      <c r="V164" s="8">
        <v>129832</v>
      </c>
      <c r="W164" s="3">
        <v>4</v>
      </c>
      <c r="X164" s="3" t="str">
        <f t="shared" si="12"/>
        <v>-SADNE-</v>
      </c>
      <c r="Y164" s="3" t="str">
        <f t="shared" si="13"/>
        <v>-ENERGY-</v>
      </c>
      <c r="Z164" s="4" t="str">
        <f t="shared" si="14"/>
        <v>{"couname":"Le voyage de Pénélope","img":"https://i.scdn.co/image/ab67616d0000b2731216e4f7e84af70ef18146ed","pty":"47","artist":"Air","genres":"trip hop,downtempo,house francés","duration":"190866","spotId":"2AFttonwFsCFpC6Cos9pcZ","Items":["-SADNE-","-ENERGY-","","","GN_FrenchElectro"]},</v>
      </c>
      <c r="AA164" s="5" t="s">
        <v>6100</v>
      </c>
      <c r="AB164" s="3" t="str">
        <f t="shared" si="15"/>
        <v>["-SADNE-","-ENERGY-","","","GN_FrenchElectro"]</v>
      </c>
      <c r="AC164" s="3" t="str">
        <f>_xlfn.XLOOKUP(A164,Album!A:A,Album!J:J)</f>
        <v>https://i.scdn.co/image/ab67616d0000b2731216e4f7e84af70ef18146ed</v>
      </c>
      <c r="AD164" s="3"/>
      <c r="AE164" s="3"/>
      <c r="AF164" s="3"/>
      <c r="AG164" s="3"/>
      <c r="AH164" s="3"/>
    </row>
    <row r="165" spans="1:34" x14ac:dyDescent="0.3">
      <c r="A165" s="11" t="s">
        <v>753</v>
      </c>
      <c r="B165" s="12" t="s">
        <v>15</v>
      </c>
      <c r="C165" s="12" t="s">
        <v>737</v>
      </c>
      <c r="D165" s="13" t="s">
        <v>745</v>
      </c>
      <c r="E165" s="6">
        <v>45408</v>
      </c>
      <c r="F165" s="3">
        <v>241760</v>
      </c>
      <c r="G165" s="3">
        <v>46</v>
      </c>
      <c r="H165" s="3" t="s">
        <v>5886</v>
      </c>
      <c r="I165" s="3" t="s">
        <v>738</v>
      </c>
      <c r="J165" s="3" t="s">
        <v>742</v>
      </c>
      <c r="K165" s="3" t="s">
        <v>19</v>
      </c>
      <c r="L165" s="3">
        <v>0.60699999999999998</v>
      </c>
      <c r="M165" s="3">
        <v>0.53700000000000003</v>
      </c>
      <c r="N165" s="3">
        <v>5</v>
      </c>
      <c r="O165" s="8">
        <v>-10852</v>
      </c>
      <c r="P165" s="3">
        <v>0</v>
      </c>
      <c r="Q165" s="3">
        <v>0.36599999999999999</v>
      </c>
      <c r="R165" s="3">
        <v>6.3E-3</v>
      </c>
      <c r="S165" s="3">
        <v>7.4299999999999995E-4</v>
      </c>
      <c r="T165" s="3">
        <v>0.128</v>
      </c>
      <c r="U165" s="3">
        <v>0.27400000000000002</v>
      </c>
      <c r="V165" s="8">
        <v>123</v>
      </c>
      <c r="W165" s="3">
        <v>4</v>
      </c>
      <c r="X165" s="3" t="str">
        <f t="shared" si="12"/>
        <v>-SADNE-</v>
      </c>
      <c r="Y165" s="3" t="str">
        <f t="shared" si="13"/>
        <v>-ENERGY-</v>
      </c>
      <c r="Z165" s="4" t="str">
        <f t="shared" si="14"/>
        <v>{"couname":"Incognito","img":"https://i.scdn.co/image/ab67616d0000b2738f4b5df3a6ee2abb733080a9","pty":"46","artist":"Justice","genres":"house francés,new rave,rock electrónico","duration":"241760","spotId":"2hgJytc4y91EjqJ1LHXqDz","Items":["-SADNE-","-ENERGY-","","","GN_FrenchElectro"]},</v>
      </c>
      <c r="AA165" s="5" t="s">
        <v>6100</v>
      </c>
      <c r="AB165" s="3" t="str">
        <f t="shared" si="15"/>
        <v>["-SADNE-","-ENERGY-","","","GN_FrenchElectro"]</v>
      </c>
      <c r="AC165" s="3" t="str">
        <f>_xlfn.XLOOKUP(A165,Album!A:A,Album!J:J)</f>
        <v>https://i.scdn.co/image/ab67616d0000b2738f4b5df3a6ee2abb733080a9</v>
      </c>
      <c r="AD165" s="3"/>
      <c r="AE165" s="3"/>
      <c r="AF165" s="3"/>
      <c r="AG165" s="3"/>
      <c r="AH165" s="3"/>
    </row>
    <row r="166" spans="1:34" x14ac:dyDescent="0.3">
      <c r="A166" s="11" t="s">
        <v>923</v>
      </c>
      <c r="B166" s="12" t="s">
        <v>924</v>
      </c>
      <c r="C166" s="12" t="s">
        <v>902</v>
      </c>
      <c r="D166" s="13" t="s">
        <v>3200</v>
      </c>
      <c r="E166" s="6">
        <v>41373</v>
      </c>
      <c r="F166" s="3">
        <v>249316</v>
      </c>
      <c r="G166" s="3">
        <v>46</v>
      </c>
      <c r="H166" s="3" t="s">
        <v>5885</v>
      </c>
      <c r="I166" s="3" t="s">
        <v>889</v>
      </c>
      <c r="J166" s="3" t="s">
        <v>915</v>
      </c>
      <c r="K166" s="3" t="s">
        <v>904</v>
      </c>
      <c r="L166" s="3">
        <v>0.40500000000000003</v>
      </c>
      <c r="M166" s="3">
        <v>0.504</v>
      </c>
      <c r="N166" s="3">
        <v>0</v>
      </c>
      <c r="O166" s="8">
        <v>-13048</v>
      </c>
      <c r="P166" s="3">
        <v>0</v>
      </c>
      <c r="Q166" s="3">
        <v>3.7400000000000003E-2</v>
      </c>
      <c r="R166" s="3">
        <v>0.54300000000000004</v>
      </c>
      <c r="S166" s="3">
        <v>0.87</v>
      </c>
      <c r="T166" s="3">
        <v>0.152</v>
      </c>
      <c r="U166" s="3">
        <v>0.154</v>
      </c>
      <c r="V166" s="8">
        <v>95518</v>
      </c>
      <c r="W166" s="3">
        <v>4</v>
      </c>
      <c r="X166" s="3" t="str">
        <f t="shared" si="12"/>
        <v>-SADNE-</v>
      </c>
      <c r="Y166" s="3" t="str">
        <f t="shared" si="13"/>
        <v>-ENERGY-</v>
      </c>
      <c r="Z166" s="4" t="str">
        <f t="shared" si="14"/>
        <v>{"couname":"Waking Up","img":"https://i.scdn.co/image/ab67616d0000b273c574dc72611d61885ac9669a","pty":"46","artist":"M83, Anthony Gonzalez, Joseph Trapanese","genres":"indietronica,banda sonora","duration":"249316","spotId":"5enkqK9P5NU5SofFUOl9e6","Items":["-SADNE-","-ENERGY-","","","GN_FrenchElectro"]},</v>
      </c>
      <c r="AA166" s="5" t="s">
        <v>6100</v>
      </c>
      <c r="AB166" s="3" t="str">
        <f t="shared" si="15"/>
        <v>["-SADNE-","-ENERGY-","","","GN_FrenchElectro"]</v>
      </c>
      <c r="AC166" s="3" t="str">
        <f>_xlfn.XLOOKUP(A166,Album!A:A,Album!J:J)</f>
        <v>https://i.scdn.co/image/ab67616d0000b273c574dc72611d61885ac9669a</v>
      </c>
      <c r="AD166" s="3"/>
      <c r="AE166" s="3"/>
      <c r="AF166" s="3"/>
      <c r="AG166" s="3"/>
      <c r="AH166" s="3"/>
    </row>
    <row r="167" spans="1:34" x14ac:dyDescent="0.3">
      <c r="A167" s="11" t="s">
        <v>927</v>
      </c>
      <c r="B167" s="12" t="s">
        <v>928</v>
      </c>
      <c r="C167" s="12" t="s">
        <v>919</v>
      </c>
      <c r="D167" s="13" t="s">
        <v>842</v>
      </c>
      <c r="E167" s="6">
        <v>42468</v>
      </c>
      <c r="F167" s="3">
        <v>217440</v>
      </c>
      <c r="G167" s="3">
        <v>46</v>
      </c>
      <c r="H167" s="3" t="s">
        <v>5884</v>
      </c>
      <c r="I167" s="3" t="s">
        <v>889</v>
      </c>
      <c r="J167" s="3" t="s">
        <v>844</v>
      </c>
      <c r="K167" s="3" t="s">
        <v>890</v>
      </c>
      <c r="L167" s="3">
        <v>0.57999999999999996</v>
      </c>
      <c r="M167" s="3">
        <v>0.70699999999999996</v>
      </c>
      <c r="N167" s="3">
        <v>7</v>
      </c>
      <c r="O167" s="8">
        <v>-7355</v>
      </c>
      <c r="P167" s="3">
        <v>0</v>
      </c>
      <c r="Q167" s="3">
        <v>3.6299999999999999E-2</v>
      </c>
      <c r="R167" s="3">
        <v>1.8700000000000001E-2</v>
      </c>
      <c r="S167" s="3">
        <v>1.4E-2</v>
      </c>
      <c r="T167" s="3">
        <v>3.4000000000000002E-2</v>
      </c>
      <c r="U167" s="3">
        <v>0.156</v>
      </c>
      <c r="V167" s="8">
        <v>116949</v>
      </c>
      <c r="W167" s="3">
        <v>4</v>
      </c>
      <c r="X167" s="3" t="str">
        <f t="shared" si="12"/>
        <v>-SADNE-</v>
      </c>
      <c r="Y167" s="3" t="str">
        <f t="shared" si="13"/>
        <v>-ENERGY-</v>
      </c>
      <c r="Z167" s="4" t="str">
        <f t="shared" si="14"/>
        <v>{"couname":"Do It, Try It","img":"https://i.scdn.co/image/ab67616d0000b27395e27fa175bad6817721f1ca","pty":"46","artist":"M83","genres":"indietronica","duration":"217440","spotId":"7DzQAoFm8oJIZjXXif6mcn","Items":["-SADNE-","-ENERGY-","","","GN_FrenchElectro"]},</v>
      </c>
      <c r="AA167" s="5" t="s">
        <v>6100</v>
      </c>
      <c r="AB167" s="3" t="str">
        <f t="shared" si="15"/>
        <v>["-SADNE-","-ENERGY-","","","GN_FrenchElectro"]</v>
      </c>
      <c r="AC167" s="3" t="str">
        <f>_xlfn.XLOOKUP(A167,Album!A:A,Album!J:J)</f>
        <v>https://i.scdn.co/image/ab67616d0000b27395e27fa175bad6817721f1ca</v>
      </c>
      <c r="AD167" s="3"/>
      <c r="AE167" s="3"/>
      <c r="AF167" s="3"/>
      <c r="AG167" s="3"/>
      <c r="AH167" s="3"/>
    </row>
    <row r="168" spans="1:34" x14ac:dyDescent="0.3">
      <c r="A168" s="11" t="s">
        <v>929</v>
      </c>
      <c r="B168" s="12" t="s">
        <v>930</v>
      </c>
      <c r="C168" s="12" t="s">
        <v>931</v>
      </c>
      <c r="D168" s="13" t="s">
        <v>842</v>
      </c>
      <c r="E168" s="6">
        <v>2008</v>
      </c>
      <c r="F168" s="3">
        <v>302746</v>
      </c>
      <c r="G168" s="3">
        <v>46</v>
      </c>
      <c r="H168" s="3" t="s">
        <v>5883</v>
      </c>
      <c r="I168" s="3" t="s">
        <v>889</v>
      </c>
      <c r="J168" s="3" t="s">
        <v>844</v>
      </c>
      <c r="K168" s="3" t="s">
        <v>890</v>
      </c>
      <c r="L168" s="3">
        <v>0.40300000000000002</v>
      </c>
      <c r="M168" s="3">
        <v>0.747</v>
      </c>
      <c r="N168" s="3">
        <v>9</v>
      </c>
      <c r="O168" s="8">
        <v>-6334</v>
      </c>
      <c r="P168" s="3">
        <v>1</v>
      </c>
      <c r="Q168" s="3">
        <v>3.2300000000000002E-2</v>
      </c>
      <c r="R168" s="3">
        <v>1.18E-4</v>
      </c>
      <c r="S168" s="3">
        <v>4.3299999999999998E-2</v>
      </c>
      <c r="T168" s="3">
        <v>0.10100000000000001</v>
      </c>
      <c r="U168" s="3">
        <v>0.23699999999999999</v>
      </c>
      <c r="V168" s="8">
        <v>140056</v>
      </c>
      <c r="W168" s="3">
        <v>4</v>
      </c>
      <c r="X168" s="3" t="str">
        <f t="shared" si="12"/>
        <v>-SADNE-</v>
      </c>
      <c r="Y168" s="3" t="str">
        <f t="shared" si="13"/>
        <v>-ENERGY-</v>
      </c>
      <c r="Z168" s="4" t="str">
        <f t="shared" si="14"/>
        <v>{"couname":"We Own the Sky","img":"https://i.scdn.co/image/ab67616d0000b273fb1ed9d614dc2fa4d5ead013","pty":"46","artist":"M83","genres":"indietronica","duration":"302746","spotId":"2s8q3MEyTXW7wZjmXkDxDW","Items":["-SADNE-","-ENERGY-","","","GN_FrenchElectro"]},</v>
      </c>
      <c r="AA168" s="5" t="s">
        <v>6100</v>
      </c>
      <c r="AB168" s="3" t="str">
        <f t="shared" si="15"/>
        <v>["-SADNE-","-ENERGY-","","","GN_FrenchElectro"]</v>
      </c>
      <c r="AC168" s="3" t="str">
        <f>_xlfn.XLOOKUP(A168,Album!A:A,Album!J:J)</f>
        <v>https://i.scdn.co/image/ab67616d0000b273fb1ed9d614dc2fa4d5ead013</v>
      </c>
      <c r="AD168" s="3"/>
      <c r="AE168" s="3"/>
      <c r="AF168" s="3"/>
      <c r="AG168" s="3"/>
      <c r="AH168" s="3"/>
    </row>
    <row r="169" spans="1:34" x14ac:dyDescent="0.3">
      <c r="A169" s="11" t="s">
        <v>1696</v>
      </c>
      <c r="B169" s="12" t="s">
        <v>1697</v>
      </c>
      <c r="C169" s="12" t="s">
        <v>1683</v>
      </c>
      <c r="D169" s="13" t="s">
        <v>1674</v>
      </c>
      <c r="E169" s="6">
        <v>1999</v>
      </c>
      <c r="F169" s="3">
        <v>277800</v>
      </c>
      <c r="G169" s="3">
        <v>46</v>
      </c>
      <c r="H169" s="3" t="s">
        <v>5882</v>
      </c>
      <c r="I169" s="3" t="s">
        <v>1675</v>
      </c>
      <c r="J169" s="3" t="s">
        <v>463</v>
      </c>
      <c r="K169" s="3" t="s">
        <v>1680</v>
      </c>
      <c r="L169" s="3">
        <v>0.82799999999999996</v>
      </c>
      <c r="M169" s="3">
        <v>0.76900000000000002</v>
      </c>
      <c r="N169" s="3">
        <v>6</v>
      </c>
      <c r="O169" s="8">
        <v>-10409</v>
      </c>
      <c r="P169" s="3">
        <v>1</v>
      </c>
      <c r="Q169" s="3">
        <v>8.2799999999999999E-2</v>
      </c>
      <c r="R169" s="3">
        <v>1.4100000000000001E-4</v>
      </c>
      <c r="S169" s="3">
        <v>0.74099999999999999</v>
      </c>
      <c r="T169" s="3">
        <v>0.184</v>
      </c>
      <c r="U169" s="3">
        <v>0.73</v>
      </c>
      <c r="V169" s="8">
        <v>133055</v>
      </c>
      <c r="W169" s="3">
        <v>4</v>
      </c>
      <c r="X169" s="3" t="str">
        <f t="shared" si="12"/>
        <v>-HAPPY-</v>
      </c>
      <c r="Y169" s="3" t="str">
        <f t="shared" si="13"/>
        <v>-ENERGY-</v>
      </c>
      <c r="Z169" s="4" t="str">
        <f t="shared" si="14"/>
        <v>{"couname":"Feeling for You","img":"https://i.scdn.co/image/ab67616d0000b2731d86f0dd2c46c5d75cf07bdd","pty":"46","artist":"Cassius","genres":"house francés,disco house","duration":"277800","spotId":"0UHhtA7tNKZaEPh7hYZVGP","Items":["-HAPPY-","-ENERGY-","","","GN_FrenchElectro"]},</v>
      </c>
      <c r="AA169" s="5" t="s">
        <v>6100</v>
      </c>
      <c r="AB169" s="3" t="str">
        <f t="shared" si="15"/>
        <v>["-HAPPY-","-ENERGY-","","","GN_FrenchElectro"]</v>
      </c>
      <c r="AC169" s="3" t="str">
        <f>_xlfn.XLOOKUP(A169,Album!A:A,Album!J:J)</f>
        <v>https://i.scdn.co/image/ab67616d0000b2731d86f0dd2c46c5d75cf07bdd</v>
      </c>
      <c r="AD169" s="3"/>
      <c r="AE169" s="3"/>
      <c r="AF169" s="3"/>
      <c r="AG169" s="3"/>
      <c r="AH169" s="3"/>
    </row>
    <row r="170" spans="1:34" x14ac:dyDescent="0.3">
      <c r="A170" s="11" t="s">
        <v>1820</v>
      </c>
      <c r="B170" s="12" t="s">
        <v>1821</v>
      </c>
      <c r="C170" s="12" t="s">
        <v>1808</v>
      </c>
      <c r="D170" s="13" t="s">
        <v>9</v>
      </c>
      <c r="E170" s="6">
        <v>35447</v>
      </c>
      <c r="F170" s="3">
        <v>244400</v>
      </c>
      <c r="G170" s="3">
        <v>46</v>
      </c>
      <c r="H170" s="3" t="s">
        <v>5881</v>
      </c>
      <c r="I170" s="3" t="s">
        <v>1809</v>
      </c>
      <c r="J170" s="3" t="s">
        <v>1810</v>
      </c>
      <c r="K170" s="3" t="s">
        <v>1811</v>
      </c>
      <c r="L170" s="3">
        <v>0.503</v>
      </c>
      <c r="M170" s="3">
        <v>0.95199999999999996</v>
      </c>
      <c r="N170" s="3">
        <v>1</v>
      </c>
      <c r="O170" s="8">
        <v>-9308</v>
      </c>
      <c r="P170" s="3">
        <v>1</v>
      </c>
      <c r="Q170" s="3">
        <v>0.57199999999999995</v>
      </c>
      <c r="R170" s="3">
        <v>0.26800000000000002</v>
      </c>
      <c r="S170" s="3">
        <v>0.27200000000000002</v>
      </c>
      <c r="T170" s="3">
        <v>0.875</v>
      </c>
      <c r="U170" s="3">
        <v>0.17399999999999999</v>
      </c>
      <c r="V170" s="8">
        <v>126345</v>
      </c>
      <c r="W170" s="3">
        <v>4</v>
      </c>
      <c r="X170" s="3" t="str">
        <f t="shared" si="12"/>
        <v>-SADNE-</v>
      </c>
      <c r="Y170" s="3" t="str">
        <f t="shared" si="13"/>
        <v>-ENERGY-</v>
      </c>
      <c r="Z170" s="4" t="str">
        <f t="shared" si="14"/>
        <v>{"couname":"Fresh","img":"https://i.scdn.co/image/ab67616d0000b2738ac778cc7d88779f74d33311","pty":"46","artist":"Daft Punk","genres":"house francés,electrónica,electro","duration":"244400","spotId":"78H72MElkOY9cRnaudxZFY","Items":["-SADNE-","-ENERGY-","","","GN_FrenchElectro"]},</v>
      </c>
      <c r="AA170" s="5" t="s">
        <v>6100</v>
      </c>
      <c r="AB170" s="3" t="str">
        <f t="shared" si="15"/>
        <v>["-SADNE-","-ENERGY-","","","GN_FrenchElectro"]</v>
      </c>
      <c r="AC170" s="3" t="str">
        <f>_xlfn.XLOOKUP(A170,Album!A:A,Album!J:J)</f>
        <v>https://i.scdn.co/image/ab67616d0000b2738ac778cc7d88779f74d33311</v>
      </c>
      <c r="AD170" s="3"/>
      <c r="AE170" s="3"/>
      <c r="AF170" s="3"/>
      <c r="AG170" s="3"/>
      <c r="AH170" s="3"/>
    </row>
    <row r="171" spans="1:34" x14ac:dyDescent="0.3">
      <c r="A171" s="11" t="s">
        <v>751</v>
      </c>
      <c r="B171" s="12" t="s">
        <v>752</v>
      </c>
      <c r="C171" s="12" t="s">
        <v>737</v>
      </c>
      <c r="D171" s="13" t="s">
        <v>745</v>
      </c>
      <c r="E171" s="6">
        <v>45408</v>
      </c>
      <c r="F171" s="3">
        <v>333040</v>
      </c>
      <c r="G171" s="3">
        <v>45</v>
      </c>
      <c r="H171" s="3" t="s">
        <v>5880</v>
      </c>
      <c r="I171" s="3" t="s">
        <v>738</v>
      </c>
      <c r="J171" s="3" t="s">
        <v>742</v>
      </c>
      <c r="K171" s="3" t="s">
        <v>19</v>
      </c>
      <c r="L171" s="3">
        <v>0.65700000000000003</v>
      </c>
      <c r="M171" s="3">
        <v>0.53800000000000003</v>
      </c>
      <c r="N171" s="3">
        <v>10</v>
      </c>
      <c r="O171" s="8">
        <v>-11877</v>
      </c>
      <c r="P171" s="3">
        <v>1</v>
      </c>
      <c r="Q171" s="3">
        <v>3.6900000000000002E-2</v>
      </c>
      <c r="R171" s="3">
        <v>2.0799999999999999E-2</v>
      </c>
      <c r="S171" s="3">
        <v>0.89900000000000002</v>
      </c>
      <c r="T171" s="3">
        <v>0.245</v>
      </c>
      <c r="U171" s="3">
        <v>0.60599999999999998</v>
      </c>
      <c r="V171" s="8">
        <v>115028</v>
      </c>
      <c r="W171" s="3">
        <v>4</v>
      </c>
      <c r="X171" s="3" t="str">
        <f t="shared" si="12"/>
        <v>-HAPPY-</v>
      </c>
      <c r="Y171" s="3" t="str">
        <f t="shared" si="13"/>
        <v>-ENERGY-</v>
      </c>
      <c r="Z171" s="4" t="str">
        <f t="shared" si="14"/>
        <v>{"couname":"Dear Alan","img":"https://i.scdn.co/image/ab67616d0000b2738f4b5df3a6ee2abb733080a9","pty":"45","artist":"Justice","genres":"house francés,new rave,rock electrónico","duration":"333040","spotId":"7sgHtLlsrOSRUPlYhGkPDD","Items":["-HAPPY-","-ENERGY-","","","GN_FrenchElectro"]},</v>
      </c>
      <c r="AA171" s="5" t="s">
        <v>6100</v>
      </c>
      <c r="AB171" s="3" t="str">
        <f t="shared" si="15"/>
        <v>["-HAPPY-","-ENERGY-","","","GN_FrenchElectro"]</v>
      </c>
      <c r="AC171" s="3" t="str">
        <f>_xlfn.XLOOKUP(A171,Album!A:A,Album!J:J)</f>
        <v>https://i.scdn.co/image/ab67616d0000b2738f4b5df3a6ee2abb733080a9</v>
      </c>
      <c r="AD171" s="3"/>
      <c r="AE171" s="3"/>
      <c r="AF171" s="3"/>
      <c r="AG171" s="3"/>
      <c r="AH171" s="3"/>
    </row>
    <row r="172" spans="1:34" x14ac:dyDescent="0.3">
      <c r="A172" s="11" t="s">
        <v>803</v>
      </c>
      <c r="B172" s="12" t="s">
        <v>804</v>
      </c>
      <c r="C172" s="12" t="s">
        <v>745</v>
      </c>
      <c r="D172" s="13" t="s">
        <v>745</v>
      </c>
      <c r="E172" s="6">
        <v>39244</v>
      </c>
      <c r="F172" s="3">
        <v>262266</v>
      </c>
      <c r="G172" s="3">
        <v>45</v>
      </c>
      <c r="H172" s="3" t="s">
        <v>5879</v>
      </c>
      <c r="I172" s="3" t="s">
        <v>738</v>
      </c>
      <c r="J172" s="3" t="s">
        <v>742</v>
      </c>
      <c r="K172" s="3" t="s">
        <v>770</v>
      </c>
      <c r="L172" s="3">
        <v>0.627</v>
      </c>
      <c r="M172" s="3">
        <v>0.48</v>
      </c>
      <c r="N172" s="3">
        <v>2</v>
      </c>
      <c r="O172" s="8">
        <v>-4462</v>
      </c>
      <c r="P172" s="3">
        <v>1</v>
      </c>
      <c r="Q172" s="3">
        <v>6.5199999999999994E-2</v>
      </c>
      <c r="R172" s="3">
        <v>8.1700000000000002E-3</v>
      </c>
      <c r="S172" s="3">
        <v>1.4E-2</v>
      </c>
      <c r="T172" s="3">
        <v>0.17899999999999999</v>
      </c>
      <c r="U172" s="3">
        <v>0.10199999999999999</v>
      </c>
      <c r="V172" s="8">
        <v>117009</v>
      </c>
      <c r="W172" s="3">
        <v>4</v>
      </c>
      <c r="X172" s="3" t="str">
        <f t="shared" si="12"/>
        <v>-SADNE-</v>
      </c>
      <c r="Y172" s="3" t="str">
        <f t="shared" si="13"/>
        <v>-ENERGY-</v>
      </c>
      <c r="Z172" s="4" t="str">
        <f t="shared" si="14"/>
        <v>{"couname":"Phantom","img":"https://i.scdn.co/image/ab67616d0000b2731c0bcf8b536295438d26c70d","pty":"45","artist":"Justice","genres":"house francés,new rave,rock electrónico","duration":"262266","spotId":"2weNFSRqkClXtfBPTteafY","Items":["-SADNE-","-ENERGY-","","","GN_FrenchElectro"]},</v>
      </c>
      <c r="AA172" s="5" t="s">
        <v>6100</v>
      </c>
      <c r="AB172" s="3" t="str">
        <f t="shared" si="15"/>
        <v>["-SADNE-","-ENERGY-","","","GN_FrenchElectro"]</v>
      </c>
      <c r="AC172" s="3" t="str">
        <f>_xlfn.XLOOKUP(A172,Album!A:A,Album!J:J)</f>
        <v>https://i.scdn.co/image/ab67616d0000b2731c0bcf8b536295438d26c70d</v>
      </c>
      <c r="AD172" s="3"/>
      <c r="AE172" s="3"/>
      <c r="AF172" s="3"/>
      <c r="AG172" s="3"/>
      <c r="AH172" s="3"/>
    </row>
    <row r="173" spans="1:34" x14ac:dyDescent="0.3">
      <c r="A173" s="11" t="s">
        <v>932</v>
      </c>
      <c r="B173" s="12" t="s">
        <v>933</v>
      </c>
      <c r="C173" s="12" t="s">
        <v>902</v>
      </c>
      <c r="D173" s="13" t="s">
        <v>3200</v>
      </c>
      <c r="E173" s="6">
        <v>41373</v>
      </c>
      <c r="F173" s="3">
        <v>189766</v>
      </c>
      <c r="G173" s="3">
        <v>45</v>
      </c>
      <c r="H173" s="3" t="s">
        <v>5878</v>
      </c>
      <c r="I173" s="3" t="s">
        <v>889</v>
      </c>
      <c r="J173" s="3" t="s">
        <v>915</v>
      </c>
      <c r="K173" s="3" t="s">
        <v>904</v>
      </c>
      <c r="L173" s="3">
        <v>0.39800000000000002</v>
      </c>
      <c r="M173" s="3">
        <v>0.38800000000000001</v>
      </c>
      <c r="N173" s="3">
        <v>5</v>
      </c>
      <c r="O173" s="8">
        <v>-12847</v>
      </c>
      <c r="P173" s="3">
        <v>0</v>
      </c>
      <c r="Q173" s="3">
        <v>3.6200000000000003E-2</v>
      </c>
      <c r="R173" s="3">
        <v>0.42099999999999999</v>
      </c>
      <c r="S173" s="3">
        <v>0.91100000000000003</v>
      </c>
      <c r="T173" s="3">
        <v>0.111</v>
      </c>
      <c r="U173" s="3">
        <v>4.4600000000000001E-2</v>
      </c>
      <c r="V173" s="8">
        <v>120094</v>
      </c>
      <c r="W173" s="3">
        <v>3</v>
      </c>
      <c r="X173" s="3" t="str">
        <f t="shared" si="12"/>
        <v>-SADNE-</v>
      </c>
      <c r="Y173" s="3" t="str">
        <f t="shared" si="13"/>
        <v>-SLOWSS-</v>
      </c>
      <c r="Z173" s="4" t="str">
        <f t="shared" si="14"/>
        <v>{"couname":"Fearful Odds","img":"https://i.scdn.co/image/ab67616d0000b273c574dc72611d61885ac9669a","pty":"45","artist":"M83, Anthony Gonzalez, Joseph Trapanese","genres":"indietronica,banda sonora","duration":"189766","spotId":"6TXjm95ccVAvzv6QeW1Z1j","Items":["-SADNE-","-SLOWSS-","","","GN_FrenchElectro"]},</v>
      </c>
      <c r="AA173" s="5" t="s">
        <v>6100</v>
      </c>
      <c r="AB173" s="3" t="str">
        <f t="shared" si="15"/>
        <v>["-SADNE-","-SLOWSS-","","","GN_FrenchElectro"]</v>
      </c>
      <c r="AC173" s="3" t="str">
        <f>_xlfn.XLOOKUP(A173,Album!A:A,Album!J:J)</f>
        <v>https://i.scdn.co/image/ab67616d0000b273c574dc72611d61885ac9669a</v>
      </c>
      <c r="AD173" s="3"/>
      <c r="AE173" s="3"/>
      <c r="AF173" s="3"/>
      <c r="AG173" s="3"/>
      <c r="AH173" s="3"/>
    </row>
    <row r="174" spans="1:34" x14ac:dyDescent="0.3">
      <c r="A174" s="11" t="s">
        <v>1045</v>
      </c>
      <c r="B174" s="12" t="s">
        <v>5876</v>
      </c>
      <c r="C174" s="12" t="s">
        <v>1046</v>
      </c>
      <c r="D174" s="13" t="s">
        <v>3378</v>
      </c>
      <c r="E174" s="6">
        <v>43125</v>
      </c>
      <c r="F174" s="3">
        <v>237372</v>
      </c>
      <c r="G174" s="3">
        <v>45</v>
      </c>
      <c r="H174" s="3" t="s">
        <v>5877</v>
      </c>
      <c r="I174" s="3" t="s">
        <v>1013</v>
      </c>
      <c r="J174" s="3" t="s">
        <v>1047</v>
      </c>
      <c r="K174" s="3" t="s">
        <v>1048</v>
      </c>
      <c r="L174" s="3">
        <v>0.54200000000000004</v>
      </c>
      <c r="M174" s="3">
        <v>0.58699999999999997</v>
      </c>
      <c r="N174" s="3">
        <v>4</v>
      </c>
      <c r="O174" s="8">
        <v>-6145</v>
      </c>
      <c r="P174" s="3">
        <v>1</v>
      </c>
      <c r="Q174" s="3">
        <v>3.5000000000000003E-2</v>
      </c>
      <c r="R174" s="3">
        <v>9.7699999999999995E-2</v>
      </c>
      <c r="S174" s="3">
        <v>0</v>
      </c>
      <c r="T174" s="3">
        <v>0.2</v>
      </c>
      <c r="U174" s="3">
        <v>0.24299999999999999</v>
      </c>
      <c r="V174" s="8">
        <v>136915</v>
      </c>
      <c r="W174" s="3">
        <v>4</v>
      </c>
      <c r="X174" s="3" t="str">
        <f t="shared" si="12"/>
        <v>-SADNE-</v>
      </c>
      <c r="Y174" s="3" t="str">
        <f t="shared" si="13"/>
        <v>-ENERGY-</v>
      </c>
      <c r="Z174" s="4" t="str">
        <f t="shared" si="14"/>
        <v>{"couname":"Helium","img":"https://i.scdn.co/image/ab67616d0000b2734ea06a1c957c5ef3473a16f8","pty":"45","artist":"Sia, David Guetta, AFROJACK","genres":"edm,dance,big room","duration":"237372","spotId":"2ludbmtPoyCPe2K08fAlFl","Items":["-SADNE-","-ENERGY-","","","GN_FrenchElectro"]},</v>
      </c>
      <c r="AA174" s="5" t="s">
        <v>6100</v>
      </c>
      <c r="AB174" s="3" t="str">
        <f t="shared" si="15"/>
        <v>["-SADNE-","-ENERGY-","","","GN_FrenchElectro"]</v>
      </c>
      <c r="AC174" s="3" t="str">
        <f>_xlfn.XLOOKUP(A174,Album!A:A,Album!J:J)</f>
        <v>https://i.scdn.co/image/ab67616d0000b2734ea06a1c957c5ef3473a16f8</v>
      </c>
      <c r="AD174" s="3"/>
      <c r="AE174" s="3"/>
      <c r="AF174" s="3"/>
      <c r="AG174" s="3"/>
      <c r="AH174" s="3"/>
    </row>
    <row r="175" spans="1:34" x14ac:dyDescent="0.3">
      <c r="A175" s="11" t="s">
        <v>1498</v>
      </c>
      <c r="B175" s="12" t="s">
        <v>1499</v>
      </c>
      <c r="C175" s="12" t="s">
        <v>1462</v>
      </c>
      <c r="D175" s="13" t="s">
        <v>1487</v>
      </c>
      <c r="E175" s="6">
        <v>42587</v>
      </c>
      <c r="F175" s="3">
        <v>249600</v>
      </c>
      <c r="G175" s="3">
        <v>45</v>
      </c>
      <c r="H175" s="3" t="s">
        <v>5875</v>
      </c>
      <c r="I175" s="3" t="s">
        <v>1463</v>
      </c>
      <c r="J175" s="3"/>
      <c r="K175" s="3" t="s">
        <v>1464</v>
      </c>
      <c r="L175" s="3">
        <v>0.65500000000000003</v>
      </c>
      <c r="M175" s="3">
        <v>0.92800000000000005</v>
      </c>
      <c r="N175" s="3">
        <v>1</v>
      </c>
      <c r="O175" s="8">
        <v>-3937</v>
      </c>
      <c r="P175" s="3">
        <v>1</v>
      </c>
      <c r="Q175" s="3">
        <v>9.4E-2</v>
      </c>
      <c r="R175" s="3">
        <v>2.1299999999999999E-3</v>
      </c>
      <c r="S175" s="3">
        <v>0.6</v>
      </c>
      <c r="T175" s="3">
        <v>0.64900000000000002</v>
      </c>
      <c r="U175" s="3">
        <v>0.23699999999999999</v>
      </c>
      <c r="V175" s="8">
        <v>150071</v>
      </c>
      <c r="W175" s="3">
        <v>4</v>
      </c>
      <c r="X175" s="3" t="str">
        <f t="shared" si="12"/>
        <v>-SADNE-</v>
      </c>
      <c r="Y175" s="3" t="str">
        <f t="shared" si="13"/>
        <v>-ENERGY-</v>
      </c>
      <c r="Z175" s="4" t="str">
        <f t="shared" si="14"/>
        <v>{"couname":"Propaganda","img":"https://i.scdn.co/image/ab67616d0000b273212d776c31027c511f0ee3bc","pty":"45","artist":"DJ Snake","genres":"","duration":"249600","spotId":"7sn0OyaKn1XKx18JjUZkSw","Items":["-SADNE-","-ENERGY-","","","GN_FrenchElectro"]},</v>
      </c>
      <c r="AA175" s="5" t="s">
        <v>6100</v>
      </c>
      <c r="AB175" s="3" t="str">
        <f t="shared" si="15"/>
        <v>["-SADNE-","-ENERGY-","","","GN_FrenchElectro"]</v>
      </c>
      <c r="AC175" s="3" t="str">
        <f>_xlfn.XLOOKUP(A175,Album!A:A,Album!J:J)</f>
        <v>https://i.scdn.co/image/ab67616d0000b273212d776c31027c511f0ee3bc</v>
      </c>
      <c r="AD175" s="3"/>
      <c r="AE175" s="3"/>
      <c r="AF175" s="3"/>
      <c r="AG175" s="3"/>
      <c r="AH175" s="3"/>
    </row>
    <row r="176" spans="1:34" x14ac:dyDescent="0.3">
      <c r="A176" s="11" t="s">
        <v>1540</v>
      </c>
      <c r="B176" s="12" t="s">
        <v>1541</v>
      </c>
      <c r="C176" s="12" t="s">
        <v>1462</v>
      </c>
      <c r="D176" s="13" t="s">
        <v>4176</v>
      </c>
      <c r="E176" s="6">
        <v>42587</v>
      </c>
      <c r="F176" s="3">
        <v>237960</v>
      </c>
      <c r="G176" s="3">
        <v>45</v>
      </c>
      <c r="H176" s="3" t="s">
        <v>5874</v>
      </c>
      <c r="I176" s="3" t="s">
        <v>1463</v>
      </c>
      <c r="J176" s="3"/>
      <c r="K176" s="3" t="s">
        <v>1464</v>
      </c>
      <c r="L176" s="3">
        <v>0.57199999999999995</v>
      </c>
      <c r="M176" s="3">
        <v>0.80600000000000005</v>
      </c>
      <c r="N176" s="3">
        <v>7</v>
      </c>
      <c r="O176" s="8">
        <v>-4408</v>
      </c>
      <c r="P176" s="3">
        <v>1</v>
      </c>
      <c r="Q176" s="3">
        <v>8.1100000000000005E-2</v>
      </c>
      <c r="R176" s="3">
        <v>9.2999999999999992E-3</v>
      </c>
      <c r="S176" s="3">
        <v>0</v>
      </c>
      <c r="T176" s="3">
        <v>0.124</v>
      </c>
      <c r="U176" s="3">
        <v>0.25600000000000001</v>
      </c>
      <c r="V176" s="8">
        <v>118.08</v>
      </c>
      <c r="W176" s="3">
        <v>4</v>
      </c>
      <c r="X176" s="3" t="str">
        <f t="shared" si="12"/>
        <v>-SADNE-</v>
      </c>
      <c r="Y176" s="3" t="str">
        <f t="shared" si="13"/>
        <v>-ENERGY-</v>
      </c>
      <c r="Z176" s="4" t="str">
        <f t="shared" si="14"/>
        <v>{"couname":"Talk","img":"https://i.scdn.co/image/ab67616d0000b273212d776c31027c511f0ee3bc","pty":"45","artist":"DJ Snake, George Maple","genres":"","duration":"237960","spotId":"5Mf84BbHYdrewDABZOH5H6","Items":["-SADNE-","-ENERGY-","","","GN_FrenchElectro"]},</v>
      </c>
      <c r="AA176" s="5" t="s">
        <v>6100</v>
      </c>
      <c r="AB176" s="3" t="str">
        <f t="shared" si="15"/>
        <v>["-SADNE-","-ENERGY-","","","GN_FrenchElectro"]</v>
      </c>
      <c r="AC176" s="3" t="str">
        <f>_xlfn.XLOOKUP(A176,Album!A:A,Album!J:J)</f>
        <v>https://i.scdn.co/image/ab67616d0000b273212d776c31027c511f0ee3bc</v>
      </c>
      <c r="AD176" s="3"/>
      <c r="AE176" s="3"/>
      <c r="AF176" s="3"/>
      <c r="AG176" s="3"/>
      <c r="AH176" s="3"/>
    </row>
    <row r="177" spans="1:34" x14ac:dyDescent="0.3">
      <c r="A177" s="11" t="s">
        <v>1608</v>
      </c>
      <c r="B177" s="12" t="s">
        <v>1609</v>
      </c>
      <c r="C177" s="12" t="s">
        <v>1610</v>
      </c>
      <c r="D177" s="13" t="s">
        <v>4282</v>
      </c>
      <c r="E177" s="6">
        <v>41562</v>
      </c>
      <c r="F177" s="3">
        <v>249600</v>
      </c>
      <c r="G177" s="3">
        <v>45</v>
      </c>
      <c r="H177" s="3" t="s">
        <v>5873</v>
      </c>
      <c r="I177" s="3" t="s">
        <v>1463</v>
      </c>
      <c r="J177" s="3" t="s">
        <v>1525</v>
      </c>
      <c r="K177" s="3" t="s">
        <v>1548</v>
      </c>
      <c r="L177" s="3">
        <v>0.85599999999999998</v>
      </c>
      <c r="M177" s="3">
        <v>0.873</v>
      </c>
      <c r="N177" s="3">
        <v>0</v>
      </c>
      <c r="O177" s="8">
        <v>-2652</v>
      </c>
      <c r="P177" s="3">
        <v>1</v>
      </c>
      <c r="Q177" s="3">
        <v>8.9099999999999999E-2</v>
      </c>
      <c r="R177" s="3">
        <v>1.74E-3</v>
      </c>
      <c r="S177" s="3">
        <v>0.89900000000000002</v>
      </c>
      <c r="T177" s="3">
        <v>0.11799999999999999</v>
      </c>
      <c r="U177" s="3">
        <v>0.22</v>
      </c>
      <c r="V177" s="8">
        <v>99984</v>
      </c>
      <c r="W177" s="3">
        <v>4</v>
      </c>
      <c r="X177" s="3" t="str">
        <f t="shared" si="12"/>
        <v>-SADNE-</v>
      </c>
      <c r="Y177" s="3" t="str">
        <f t="shared" si="13"/>
        <v>-ENERGY-</v>
      </c>
      <c r="Z177" s="4" t="str">
        <f t="shared" si="14"/>
        <v>{"couname":"Slow Down","img":"https://i.scdn.co/image/ab67616d0000b273e61ee9e9088e6a236fe0c7fb","pty":"45","artist":"Spanker, DJ Snake, Yellow Claw","genres":"edm,edm trap","duration":"249600","spotId":"30d50iqspscgtULK3QcEpf","Items":["-SADNE-","-ENERGY-","","","GN_FrenchElectro"]},</v>
      </c>
      <c r="AA177" s="5" t="s">
        <v>6100</v>
      </c>
      <c r="AB177" s="3" t="str">
        <f t="shared" si="15"/>
        <v>["-SADNE-","-ENERGY-","","","GN_FrenchElectro"]</v>
      </c>
      <c r="AC177" s="3" t="str">
        <f>_xlfn.XLOOKUP(A177,Album!A:A,Album!J:J)</f>
        <v>https://i.scdn.co/image/ab67616d0000b273e61ee9e9088e6a236fe0c7fb</v>
      </c>
      <c r="AD177" s="3"/>
      <c r="AE177" s="3"/>
      <c r="AF177" s="3"/>
      <c r="AG177" s="3"/>
      <c r="AH177" s="3"/>
    </row>
    <row r="178" spans="1:34" x14ac:dyDescent="0.3">
      <c r="A178" s="11" t="s">
        <v>1806</v>
      </c>
      <c r="B178" s="12" t="s">
        <v>1807</v>
      </c>
      <c r="C178" s="12" t="s">
        <v>1808</v>
      </c>
      <c r="D178" s="13" t="s">
        <v>9</v>
      </c>
      <c r="E178" s="6">
        <v>35447</v>
      </c>
      <c r="F178" s="3">
        <v>164560</v>
      </c>
      <c r="G178" s="3">
        <v>45</v>
      </c>
      <c r="H178" s="3" t="s">
        <v>5872</v>
      </c>
      <c r="I178" s="3" t="s">
        <v>1809</v>
      </c>
      <c r="J178" s="3" t="s">
        <v>1810</v>
      </c>
      <c r="K178" s="3" t="s">
        <v>1811</v>
      </c>
      <c r="L178" s="3">
        <v>0.88300000000000001</v>
      </c>
      <c r="M178" s="3">
        <v>0.74299999999999999</v>
      </c>
      <c r="N178" s="3">
        <v>5</v>
      </c>
      <c r="O178" s="8">
        <v>-8418</v>
      </c>
      <c r="P178" s="3">
        <v>0</v>
      </c>
      <c r="Q178" s="3">
        <v>0.16200000000000001</v>
      </c>
      <c r="R178" s="3">
        <v>6.9499999999999996E-3</v>
      </c>
      <c r="S178" s="3">
        <v>0.79600000000000004</v>
      </c>
      <c r="T178" s="3">
        <v>9.3600000000000003E-2</v>
      </c>
      <c r="U178" s="3">
        <v>0.33600000000000002</v>
      </c>
      <c r="V178" s="8">
        <v>111019</v>
      </c>
      <c r="W178" s="3">
        <v>4</v>
      </c>
      <c r="X178" s="3" t="str">
        <f t="shared" si="12"/>
        <v>-SADNE-</v>
      </c>
      <c r="Y178" s="3" t="str">
        <f t="shared" si="13"/>
        <v>-ENERGY-</v>
      </c>
      <c r="Z178" s="4" t="str">
        <f t="shared" si="14"/>
        <v>{"couname":"Daftendirekt","img":"https://i.scdn.co/image/ab67616d0000b2738ac778cc7d88779f74d33311","pty":"45","artist":"Daft Punk","genres":"house francés,electrónica,electro","duration":"164560","spotId":"7fYIXtdOUl8WqXAqQGyIHQ","Items":["-SADNE-","-ENERGY-","","","GN_FrenchElectro"]},</v>
      </c>
      <c r="AA178" s="5" t="s">
        <v>6100</v>
      </c>
      <c r="AB178" s="3" t="str">
        <f t="shared" si="15"/>
        <v>["-SADNE-","-ENERGY-","","","GN_FrenchElectro"]</v>
      </c>
      <c r="AC178" s="3" t="str">
        <f>_xlfn.XLOOKUP(A178,Album!A:A,Album!J:J)</f>
        <v>https://i.scdn.co/image/ab67616d0000b2738ac778cc7d88779f74d33311</v>
      </c>
      <c r="AD178" s="3"/>
      <c r="AE178" s="3"/>
      <c r="AF178" s="3"/>
      <c r="AG178" s="3"/>
      <c r="AH178" s="3"/>
    </row>
    <row r="179" spans="1:34" x14ac:dyDescent="0.3">
      <c r="A179" s="11" t="s">
        <v>636</v>
      </c>
      <c r="B179" s="12" t="s">
        <v>5870</v>
      </c>
      <c r="C179" s="12" t="s">
        <v>638</v>
      </c>
      <c r="D179" s="13" t="s">
        <v>2827</v>
      </c>
      <c r="E179" s="6">
        <v>43714</v>
      </c>
      <c r="F179" s="3">
        <v>210967</v>
      </c>
      <c r="G179" s="3">
        <v>44</v>
      </c>
      <c r="H179" s="3" t="s">
        <v>5871</v>
      </c>
      <c r="I179" s="3" t="s">
        <v>639</v>
      </c>
      <c r="J179" s="3" t="s">
        <v>640</v>
      </c>
      <c r="K179" s="3" t="s">
        <v>641</v>
      </c>
      <c r="L179" s="3">
        <v>0.77300000000000002</v>
      </c>
      <c r="M179" s="3">
        <v>0.69499999999999995</v>
      </c>
      <c r="N179" s="3">
        <v>1</v>
      </c>
      <c r="O179" s="8">
        <v>-7101</v>
      </c>
      <c r="P179" s="3">
        <v>0</v>
      </c>
      <c r="Q179" s="3">
        <v>9.5399999999999999E-2</v>
      </c>
      <c r="R179" s="3">
        <v>1.4400000000000001E-3</v>
      </c>
      <c r="S179" s="3">
        <v>1.7600000000000001E-2</v>
      </c>
      <c r="T179" s="3">
        <v>0.111</v>
      </c>
      <c r="U179" s="3">
        <v>0.83699999999999997</v>
      </c>
      <c r="V179" s="8">
        <v>124</v>
      </c>
      <c r="W179" s="3">
        <v>4</v>
      </c>
      <c r="X179" s="3" t="str">
        <f t="shared" si="12"/>
        <v>-HAPPY-</v>
      </c>
      <c r="Y179" s="3" t="str">
        <f t="shared" si="13"/>
        <v>-ENERGY-</v>
      </c>
      <c r="Z179" s="4" t="str">
        <f t="shared" si="14"/>
        <v>{"couname":"Tequila","img":"https://i.scdn.co/image/ab67616d0000b2734979572d04a804394f849aeb","pty":"44","artist":"Jax Jones, Martin Solveig, RAYE, Europa","genres":"house francés","duration":"210967","spotId":"6fU55C7VdMSSkJ0ZGmX2Kg","Items":["-HAPPY-","-ENERGY-","","","GN_FrenchElectro"]},</v>
      </c>
      <c r="AA179" s="5" t="s">
        <v>6100</v>
      </c>
      <c r="AB179" s="3" t="str">
        <f t="shared" si="15"/>
        <v>["-HAPPY-","-ENERGY-","","","GN_FrenchElectro"]</v>
      </c>
      <c r="AC179" s="3" t="str">
        <f>_xlfn.XLOOKUP(A179,Album!A:A,Album!J:J)</f>
        <v>https://i.scdn.co/image/ab67616d0000b2734979572d04a804394f849aeb</v>
      </c>
      <c r="AD179" s="3"/>
      <c r="AE179" s="3"/>
      <c r="AF179" s="3"/>
      <c r="AG179" s="3"/>
      <c r="AH179" s="3"/>
    </row>
    <row r="180" spans="1:34" x14ac:dyDescent="0.3">
      <c r="A180" s="11" t="s">
        <v>1041</v>
      </c>
      <c r="B180" s="12" t="s">
        <v>5868</v>
      </c>
      <c r="C180" s="12" t="s">
        <v>1018</v>
      </c>
      <c r="D180" s="13" t="s">
        <v>3318</v>
      </c>
      <c r="E180" s="6">
        <v>40779</v>
      </c>
      <c r="F180" s="3">
        <v>222500</v>
      </c>
      <c r="G180" s="3">
        <v>44</v>
      </c>
      <c r="H180" s="3" t="s">
        <v>5869</v>
      </c>
      <c r="I180" s="3" t="s">
        <v>1013</v>
      </c>
      <c r="J180" s="3" t="s">
        <v>1019</v>
      </c>
      <c r="K180" s="3" t="s">
        <v>83</v>
      </c>
      <c r="L180" s="3">
        <v>0.49199999999999999</v>
      </c>
      <c r="M180" s="3">
        <v>0.85699999999999998</v>
      </c>
      <c r="N180" s="3">
        <v>7</v>
      </c>
      <c r="O180" s="8">
        <v>-2634</v>
      </c>
      <c r="P180" s="3">
        <v>1</v>
      </c>
      <c r="Q180" s="3">
        <v>6.5500000000000003E-2</v>
      </c>
      <c r="R180" s="3">
        <v>8.4099999999999994E-2</v>
      </c>
      <c r="S180" s="3">
        <v>7.8199999999999997E-6</v>
      </c>
      <c r="T180" s="3">
        <v>0.34399999999999997</v>
      </c>
      <c r="U180" s="3">
        <v>0.39300000000000002</v>
      </c>
      <c r="V180" s="8">
        <v>129973</v>
      </c>
      <c r="W180" s="3">
        <v>4</v>
      </c>
      <c r="X180" s="3" t="str">
        <f t="shared" si="12"/>
        <v>-HAPPY-</v>
      </c>
      <c r="Y180" s="3" t="str">
        <f t="shared" si="13"/>
        <v>-ENERGY-</v>
      </c>
      <c r="Z180" s="4" t="str">
        <f t="shared" si="14"/>
        <v>{"couname":"She Wolf","img":"https://i.scdn.co/image/ab67616d0000b273bd5ba80ea2ad342e488ba54d","pty":"44","artist":"David Guetta, Sia","genres":"edm,dance","duration":"222500","spotId":"4zuy08yhEhlu5YSTM3WqRD","Items":["-HAPPY-","-ENERGY-","","","GN_FrenchElectro"]},</v>
      </c>
      <c r="AA180" s="5" t="s">
        <v>6100</v>
      </c>
      <c r="AB180" s="3" t="str">
        <f t="shared" si="15"/>
        <v>["-HAPPY-","-ENERGY-","","","GN_FrenchElectro"]</v>
      </c>
      <c r="AC180" s="3" t="str">
        <f>_xlfn.XLOOKUP(A180,Album!A:A,Album!J:J)</f>
        <v>https://i.scdn.co/image/ab67616d0000b273bd5ba80ea2ad342e488ba54d</v>
      </c>
      <c r="AD180" s="3"/>
      <c r="AE180" s="3"/>
      <c r="AF180" s="3"/>
      <c r="AG180" s="3"/>
      <c r="AH180" s="3"/>
    </row>
    <row r="181" spans="1:34" x14ac:dyDescent="0.3">
      <c r="A181" s="11" t="s">
        <v>1363</v>
      </c>
      <c r="B181" s="12" t="s">
        <v>1364</v>
      </c>
      <c r="C181" s="12" t="s">
        <v>1344</v>
      </c>
      <c r="D181" s="13" t="s">
        <v>1345</v>
      </c>
      <c r="E181" s="6">
        <v>38012</v>
      </c>
      <c r="F181" s="3">
        <v>223373</v>
      </c>
      <c r="G181" s="3">
        <v>44</v>
      </c>
      <c r="H181" s="3" t="s">
        <v>5867</v>
      </c>
      <c r="I181" s="3" t="s">
        <v>1336</v>
      </c>
      <c r="J181" s="3" t="s">
        <v>1337</v>
      </c>
      <c r="K181" s="3" t="s">
        <v>83</v>
      </c>
      <c r="L181" s="3">
        <v>0.505</v>
      </c>
      <c r="M181" s="3">
        <v>0.755</v>
      </c>
      <c r="N181" s="3">
        <v>8</v>
      </c>
      <c r="O181" s="8">
        <v>-7568</v>
      </c>
      <c r="P181" s="3">
        <v>1</v>
      </c>
      <c r="Q181" s="3">
        <v>3.15E-2</v>
      </c>
      <c r="R181" s="3">
        <v>7.6000000000000004E-4</v>
      </c>
      <c r="S181" s="3">
        <v>7.2499999999999995E-2</v>
      </c>
      <c r="T181" s="3">
        <v>0.34799999999999998</v>
      </c>
      <c r="U181" s="3">
        <v>0.53200000000000003</v>
      </c>
      <c r="V181" s="8">
        <v>157993</v>
      </c>
      <c r="W181" s="3">
        <v>4</v>
      </c>
      <c r="X181" s="3" t="str">
        <f t="shared" si="12"/>
        <v>-HAPPY-</v>
      </c>
      <c r="Y181" s="3" t="str">
        <f t="shared" si="13"/>
        <v>-ENERGY-</v>
      </c>
      <c r="Z181" s="4" t="str">
        <f t="shared" si="14"/>
        <v>{"couname":"Surfing on a Rocket","img":"https://i.scdn.co/image/ab67616d0000b2736400fab74f28e90759ac8815","pty":"44","artist":"Air","genres":"trip hop,downtempo,house francés","duration":"223373","spotId":"0RFduQOfkrP1jhoV0m8US2","Items":["-HAPPY-","-ENERGY-","","","GN_FrenchElectro"]},</v>
      </c>
      <c r="AA181" s="5" t="s">
        <v>6100</v>
      </c>
      <c r="AB181" s="3" t="str">
        <f t="shared" si="15"/>
        <v>["-HAPPY-","-ENERGY-","","","GN_FrenchElectro"]</v>
      </c>
      <c r="AC181" s="3" t="str">
        <f>_xlfn.XLOOKUP(A181,Album!A:A,Album!J:J)</f>
        <v>https://i.scdn.co/image/ab67616d0000b2736400fab74f28e90759ac8815</v>
      </c>
      <c r="AD181" s="3"/>
      <c r="AE181" s="3"/>
      <c r="AF181" s="3"/>
      <c r="AG181" s="3"/>
      <c r="AH181" s="3"/>
    </row>
    <row r="182" spans="1:34" x14ac:dyDescent="0.3">
      <c r="A182" s="11" t="s">
        <v>1542</v>
      </c>
      <c r="B182" s="12" t="s">
        <v>1543</v>
      </c>
      <c r="C182" s="12" t="s">
        <v>1462</v>
      </c>
      <c r="D182" s="13" t="s">
        <v>4180</v>
      </c>
      <c r="E182" s="6">
        <v>42587</v>
      </c>
      <c r="F182" s="3">
        <v>217373</v>
      </c>
      <c r="G182" s="3">
        <v>44</v>
      </c>
      <c r="H182" s="3" t="s">
        <v>5866</v>
      </c>
      <c r="I182" s="3" t="s">
        <v>1463</v>
      </c>
      <c r="J182" s="3" t="s">
        <v>1544</v>
      </c>
      <c r="K182" s="3" t="s">
        <v>1464</v>
      </c>
      <c r="L182" s="3">
        <v>0.70399999999999996</v>
      </c>
      <c r="M182" s="3">
        <v>0.69599999999999995</v>
      </c>
      <c r="N182" s="3">
        <v>11</v>
      </c>
      <c r="O182" s="8">
        <v>-3359</v>
      </c>
      <c r="P182" s="3">
        <v>1</v>
      </c>
      <c r="Q182" s="3">
        <v>0.112</v>
      </c>
      <c r="R182" s="3">
        <v>1.12E-2</v>
      </c>
      <c r="S182" s="3">
        <v>0</v>
      </c>
      <c r="T182" s="3">
        <v>0.69099999999999995</v>
      </c>
      <c r="U182" s="3">
        <v>0.44</v>
      </c>
      <c r="V182" s="8">
        <v>169988</v>
      </c>
      <c r="W182" s="3">
        <v>4</v>
      </c>
      <c r="X182" s="3" t="str">
        <f t="shared" si="12"/>
        <v>-HAPPY-</v>
      </c>
      <c r="Y182" s="3" t="str">
        <f t="shared" si="13"/>
        <v>-ENERGY-</v>
      </c>
      <c r="Z182" s="4" t="str">
        <f t="shared" si="14"/>
        <v>{"couname":"The Half","img":"https://i.scdn.co/image/ab67616d0000b273212d776c31027c511f0ee3bc","pty":"44","artist":"DJ Snake, Jeremih, Young Thug, Swizz Beatz","genres":"rap,rap melódico,trap","duration":"217373","spotId":"69bDRy5MeWQl1lNeEJQIBE","Items":["-HAPPY-","-ENERGY-","","","GN_FrenchElectro"]},</v>
      </c>
      <c r="AA182" s="5" t="s">
        <v>6100</v>
      </c>
      <c r="AB182" s="3" t="str">
        <f t="shared" si="15"/>
        <v>["-HAPPY-","-ENERGY-","","","GN_FrenchElectro"]</v>
      </c>
      <c r="AC182" s="3" t="str">
        <f>_xlfn.XLOOKUP(A182,Album!A:A,Album!J:J)</f>
        <v>https://i.scdn.co/image/ab67616d0000b273212d776c31027c511f0ee3bc</v>
      </c>
      <c r="AD182" s="3"/>
      <c r="AE182" s="3"/>
      <c r="AF182" s="3"/>
      <c r="AG182" s="3"/>
      <c r="AH182" s="3"/>
    </row>
    <row r="183" spans="1:34" x14ac:dyDescent="0.3">
      <c r="A183" s="11" t="s">
        <v>1596</v>
      </c>
      <c r="B183" s="12" t="s">
        <v>5864</v>
      </c>
      <c r="C183" s="12" t="s">
        <v>1479</v>
      </c>
      <c r="D183" s="13" t="s">
        <v>4264</v>
      </c>
      <c r="E183" s="6">
        <v>43671</v>
      </c>
      <c r="F183" s="3">
        <v>248053</v>
      </c>
      <c r="G183" s="3">
        <v>44</v>
      </c>
      <c r="H183" s="3" t="s">
        <v>5865</v>
      </c>
      <c r="I183" s="3" t="s">
        <v>1463</v>
      </c>
      <c r="J183" s="3" t="s">
        <v>1598</v>
      </c>
      <c r="K183" s="3" t="s">
        <v>1476</v>
      </c>
      <c r="L183" s="3">
        <v>0.78500000000000003</v>
      </c>
      <c r="M183" s="3">
        <v>0.72699999999999998</v>
      </c>
      <c r="N183" s="3">
        <v>2</v>
      </c>
      <c r="O183" s="8">
        <v>-4209</v>
      </c>
      <c r="P183" s="3">
        <v>1</v>
      </c>
      <c r="Q183" s="3">
        <v>3.85E-2</v>
      </c>
      <c r="R183" s="3">
        <v>7.2400000000000006E-2</v>
      </c>
      <c r="S183" s="3">
        <v>4.2200000000000003E-6</v>
      </c>
      <c r="T183" s="3">
        <v>0.316</v>
      </c>
      <c r="U183" s="3">
        <v>0.183</v>
      </c>
      <c r="V183" s="8">
        <v>119962</v>
      </c>
      <c r="W183" s="3">
        <v>4</v>
      </c>
      <c r="X183" s="3" t="str">
        <f t="shared" si="12"/>
        <v>-SADNE-</v>
      </c>
      <c r="Y183" s="3" t="str">
        <f t="shared" si="13"/>
        <v>-ENERGY-</v>
      </c>
      <c r="Z183" s="4" t="str">
        <f t="shared" si="14"/>
        <v>{"couname":"Enzo","img":"https://i.scdn.co/image/ab67616d0000b273caf82abb2338880577e472be","pty":"44","artist":"DJ Snake, Sheck Wes, Offset, 21 Savage, Gucci Mane","genres":"hip hop sureño americano,rap,trap","duration":"248053","spotId":"5w8wL9IpVlOerzOzOvkjvG","Items":["-SADNE-","-ENERGY-","","","GN_FrenchElectro"]},</v>
      </c>
      <c r="AA183" s="5" t="s">
        <v>6100</v>
      </c>
      <c r="AB183" s="3" t="str">
        <f t="shared" si="15"/>
        <v>["-SADNE-","-ENERGY-","","","GN_FrenchElectro"]</v>
      </c>
      <c r="AC183" s="3" t="str">
        <f>_xlfn.XLOOKUP(A183,Album!A:A,Album!J:J)</f>
        <v>https://i.scdn.co/image/ab67616d0000b273caf82abb2338880577e472be</v>
      </c>
      <c r="AD183" s="3"/>
      <c r="AE183" s="3"/>
      <c r="AF183" s="3"/>
      <c r="AG183" s="3"/>
      <c r="AH183" s="3"/>
    </row>
    <row r="184" spans="1:34" x14ac:dyDescent="0.3">
      <c r="A184" s="11" t="s">
        <v>1818</v>
      </c>
      <c r="B184" s="12" t="s">
        <v>1819</v>
      </c>
      <c r="C184" s="12" t="s">
        <v>1808</v>
      </c>
      <c r="D184" s="13" t="s">
        <v>9</v>
      </c>
      <c r="E184" s="6">
        <v>35447</v>
      </c>
      <c r="F184" s="3">
        <v>297106</v>
      </c>
      <c r="G184" s="3">
        <v>44</v>
      </c>
      <c r="H184" s="3" t="s">
        <v>5863</v>
      </c>
      <c r="I184" s="3" t="s">
        <v>1809</v>
      </c>
      <c r="J184" s="3" t="s">
        <v>1810</v>
      </c>
      <c r="K184" s="3" t="s">
        <v>1811</v>
      </c>
      <c r="L184" s="3">
        <v>0.80400000000000005</v>
      </c>
      <c r="M184" s="3">
        <v>0.71899999999999997</v>
      </c>
      <c r="N184" s="3">
        <v>7</v>
      </c>
      <c r="O184" s="8">
        <v>-8207</v>
      </c>
      <c r="P184" s="3">
        <v>1</v>
      </c>
      <c r="Q184" s="3">
        <v>8.3500000000000005E-2</v>
      </c>
      <c r="R184" s="3">
        <v>1.91E-5</v>
      </c>
      <c r="S184" s="3">
        <v>0.92600000000000005</v>
      </c>
      <c r="T184" s="3">
        <v>8.4699999999999998E-2</v>
      </c>
      <c r="U184" s="3">
        <v>0.56899999999999995</v>
      </c>
      <c r="V184" s="8">
        <v>126874</v>
      </c>
      <c r="W184" s="3">
        <v>4</v>
      </c>
      <c r="X184" s="3" t="str">
        <f t="shared" si="12"/>
        <v>-HAPPY-</v>
      </c>
      <c r="Y184" s="3" t="str">
        <f t="shared" si="13"/>
        <v>-ENERGY-</v>
      </c>
      <c r="Z184" s="4" t="str">
        <f t="shared" si="14"/>
        <v>{"couname":"Phoenix","img":"https://i.scdn.co/image/ab67616d0000b2738ac778cc7d88779f74d33311","pty":"44","artist":"Daft Punk","genres":"house francés,electrónica,electro","duration":"297106","spotId":"6nQy5XEEEJKu8FE1FS2Wbt","Items":["-HAPPY-","-ENERGY-","","","GN_FrenchElectro"]},</v>
      </c>
      <c r="AA184" s="5" t="s">
        <v>6100</v>
      </c>
      <c r="AB184" s="3" t="str">
        <f t="shared" si="15"/>
        <v>["-HAPPY-","-ENERGY-","","","GN_FrenchElectro"]</v>
      </c>
      <c r="AC184" s="3" t="str">
        <f>_xlfn.XLOOKUP(A184,Album!A:A,Album!J:J)</f>
        <v>https://i.scdn.co/image/ab67616d0000b2738ac778cc7d88779f74d33311</v>
      </c>
      <c r="AD184" s="3"/>
      <c r="AE184" s="3"/>
      <c r="AF184" s="3"/>
      <c r="AG184" s="3"/>
      <c r="AH184" s="3"/>
    </row>
    <row r="185" spans="1:34" x14ac:dyDescent="0.3">
      <c r="A185" s="11" t="s">
        <v>1918</v>
      </c>
      <c r="B185" s="12" t="s">
        <v>5861</v>
      </c>
      <c r="C185" s="12" t="s">
        <v>1898</v>
      </c>
      <c r="D185" s="13" t="s">
        <v>9</v>
      </c>
      <c r="E185" s="6">
        <v>40515</v>
      </c>
      <c r="F185" s="3">
        <v>197826</v>
      </c>
      <c r="G185" s="3">
        <v>44</v>
      </c>
      <c r="H185" s="3" t="s">
        <v>5862</v>
      </c>
      <c r="I185" s="3" t="s">
        <v>1809</v>
      </c>
      <c r="J185" s="3" t="s">
        <v>1810</v>
      </c>
      <c r="K185" s="3" t="s">
        <v>51</v>
      </c>
      <c r="L185" s="3">
        <v>0.43</v>
      </c>
      <c r="M185" s="3">
        <v>0.82899999999999996</v>
      </c>
      <c r="N185" s="3">
        <v>1</v>
      </c>
      <c r="O185" s="8">
        <v>-9142</v>
      </c>
      <c r="P185" s="3">
        <v>0</v>
      </c>
      <c r="Q185" s="3">
        <v>4.2999999999999997E-2</v>
      </c>
      <c r="R185" s="3">
        <v>1.6200000000000001E-5</v>
      </c>
      <c r="S185" s="3">
        <v>0.879</v>
      </c>
      <c r="T185" s="3">
        <v>0.35799999999999998</v>
      </c>
      <c r="U185" s="3">
        <v>4.0599999999999997E-2</v>
      </c>
      <c r="V185" s="8">
        <v>101974</v>
      </c>
      <c r="W185" s="3">
        <v>4</v>
      </c>
      <c r="X185" s="3" t="str">
        <f t="shared" si="12"/>
        <v>-SADNE-</v>
      </c>
      <c r="Y185" s="3" t="str">
        <f t="shared" si="13"/>
        <v>-ENERGY-</v>
      </c>
      <c r="Z185" s="4" t="str">
        <f t="shared" si="14"/>
        <v>{"couname":"TRON Legacy","img":"https://i.scdn.co/image/ab67616d0000b27366919acb93950333962467f8","pty":"44","artist":"Daft Punk","genres":"house francés,electrónica,electro","duration":"197826","spotId":"0mHayzmzEB485RkUCETcCL","Items":["-SADNE-","-ENERGY-","","","GN_FrenchElectro"]},</v>
      </c>
      <c r="AA185" s="5" t="s">
        <v>6100</v>
      </c>
      <c r="AB185" s="3" t="str">
        <f t="shared" si="15"/>
        <v>["-SADNE-","-ENERGY-","","","GN_FrenchElectro"]</v>
      </c>
      <c r="AC185" s="3" t="str">
        <f>_xlfn.XLOOKUP(A185,Album!A:A,Album!J:J)</f>
        <v>https://i.scdn.co/image/ab67616d0000b27366919acb93950333962467f8</v>
      </c>
      <c r="AD185" s="3"/>
      <c r="AE185" s="3"/>
      <c r="AF185" s="3"/>
      <c r="AG185" s="3"/>
      <c r="AH185" s="3"/>
    </row>
    <row r="186" spans="1:34" x14ac:dyDescent="0.3">
      <c r="A186" s="11" t="s">
        <v>577</v>
      </c>
      <c r="B186" s="12" t="s">
        <v>578</v>
      </c>
      <c r="C186" s="12" t="s">
        <v>573</v>
      </c>
      <c r="D186" s="13" t="s">
        <v>2715</v>
      </c>
      <c r="E186" s="6">
        <v>39216</v>
      </c>
      <c r="F186" s="3">
        <v>245643</v>
      </c>
      <c r="G186" s="3">
        <v>43</v>
      </c>
      <c r="H186" s="3" t="s">
        <v>5860</v>
      </c>
      <c r="I186" s="3" t="s">
        <v>462</v>
      </c>
      <c r="J186" s="3" t="s">
        <v>463</v>
      </c>
      <c r="K186" s="3" t="s">
        <v>469</v>
      </c>
      <c r="L186" s="3">
        <v>0.77500000000000002</v>
      </c>
      <c r="M186" s="3">
        <v>0.90600000000000003</v>
      </c>
      <c r="N186" s="3">
        <v>0</v>
      </c>
      <c r="O186" s="8">
        <v>-1941</v>
      </c>
      <c r="P186" s="3">
        <v>1</v>
      </c>
      <c r="Q186" s="3">
        <v>0.159</v>
      </c>
      <c r="R186" s="3">
        <v>3.4000000000000002E-2</v>
      </c>
      <c r="S186" s="3">
        <v>0</v>
      </c>
      <c r="T186" s="3">
        <v>9.2700000000000005E-2</v>
      </c>
      <c r="U186" s="3">
        <v>0.94899999999999995</v>
      </c>
      <c r="V186" s="8">
        <v>128678</v>
      </c>
      <c r="W186" s="3">
        <v>4</v>
      </c>
      <c r="X186" s="3" t="str">
        <f t="shared" si="12"/>
        <v>-HAPPY-</v>
      </c>
      <c r="Y186" s="3" t="str">
        <f t="shared" si="13"/>
        <v>-ENERGY-</v>
      </c>
      <c r="Z186" s="4" t="str">
        <f t="shared" si="14"/>
        <v>{"couname":"Sound of Freedom","img":"https://i.scdn.co/image/ab67616d0000b273c40516e2e21d191f41971456","pty":"43","artist":"Bob Sinclar, Gary Pine, DollarMan","genres":"house francés,disco house","duration":"245643","spotId":"0QBsRtRPoEvBssTHpepcup","Items":["-HAPPY-","-ENERGY-","","","GN_FrenchElectro"]},</v>
      </c>
      <c r="AA186" s="5" t="s">
        <v>6100</v>
      </c>
      <c r="AB186" s="3" t="str">
        <f t="shared" si="15"/>
        <v>["-HAPPY-","-ENERGY-","","","GN_FrenchElectro"]</v>
      </c>
      <c r="AC186" s="3" t="str">
        <f>_xlfn.XLOOKUP(A186,Album!A:A,Album!J:J)</f>
        <v>https://i.scdn.co/image/ab67616d0000b273c40516e2e21d191f41971456</v>
      </c>
      <c r="AD186" s="3"/>
      <c r="AE186" s="3"/>
      <c r="AF186" s="3"/>
      <c r="AG186" s="3"/>
      <c r="AH186" s="3"/>
    </row>
    <row r="187" spans="1:34" x14ac:dyDescent="0.3">
      <c r="A187" s="11" t="s">
        <v>756</v>
      </c>
      <c r="B187" s="12" t="s">
        <v>757</v>
      </c>
      <c r="C187" s="12" t="s">
        <v>737</v>
      </c>
      <c r="D187" s="13" t="s">
        <v>745</v>
      </c>
      <c r="E187" s="6">
        <v>45408</v>
      </c>
      <c r="F187" s="3">
        <v>120453</v>
      </c>
      <c r="G187" s="3">
        <v>43</v>
      </c>
      <c r="H187" s="3" t="s">
        <v>5859</v>
      </c>
      <c r="I187" s="3" t="s">
        <v>738</v>
      </c>
      <c r="J187" s="3" t="s">
        <v>742</v>
      </c>
      <c r="K187" s="3" t="s">
        <v>19</v>
      </c>
      <c r="L187" s="3">
        <v>0.27100000000000002</v>
      </c>
      <c r="M187" s="3">
        <v>0.26300000000000001</v>
      </c>
      <c r="N187" s="3">
        <v>9</v>
      </c>
      <c r="O187" s="8">
        <v>-15314</v>
      </c>
      <c r="P187" s="3">
        <v>0</v>
      </c>
      <c r="Q187" s="3">
        <v>3.2300000000000002E-2</v>
      </c>
      <c r="R187" s="3">
        <v>0.25600000000000001</v>
      </c>
      <c r="S187" s="3">
        <v>0.58399999999999996</v>
      </c>
      <c r="T187" s="3">
        <v>0.111</v>
      </c>
      <c r="U187" s="3">
        <v>3.9800000000000002E-2</v>
      </c>
      <c r="V187" s="8">
        <v>67202</v>
      </c>
      <c r="W187" s="3">
        <v>4</v>
      </c>
      <c r="X187" s="3" t="str">
        <f t="shared" si="12"/>
        <v>-SADNE-</v>
      </c>
      <c r="Y187" s="3" t="str">
        <f t="shared" si="13"/>
        <v>-SLOWSS-</v>
      </c>
      <c r="Z187" s="4" t="str">
        <f t="shared" si="14"/>
        <v>{"couname":"Moonlight Rendez-vous","img":"https://i.scdn.co/image/ab67616d0000b2738f4b5df3a6ee2abb733080a9","pty":"43","artist":"Justice","genres":"house francés,new rave,rock electrónico","duration":"120453","spotId":"48cyBWVdq8n5sZ6G8qghOJ","Items":["-SADNE-","-SLOWSS-","","","GN_FrenchElectro"]},</v>
      </c>
      <c r="AA187" s="5" t="s">
        <v>6100</v>
      </c>
      <c r="AB187" s="3" t="str">
        <f t="shared" si="15"/>
        <v>["-SADNE-","-SLOWSS-","","","GN_FrenchElectro"]</v>
      </c>
      <c r="AC187" s="3" t="str">
        <f>_xlfn.XLOOKUP(A187,Album!A:A,Album!J:J)</f>
        <v>https://i.scdn.co/image/ab67616d0000b2738f4b5df3a6ee2abb733080a9</v>
      </c>
      <c r="AD187" s="3"/>
      <c r="AE187" s="3"/>
      <c r="AF187" s="3"/>
      <c r="AG187" s="3"/>
      <c r="AH187" s="3"/>
    </row>
    <row r="188" spans="1:34" x14ac:dyDescent="0.3">
      <c r="A188" s="11" t="s">
        <v>758</v>
      </c>
      <c r="B188" s="12" t="s">
        <v>759</v>
      </c>
      <c r="C188" s="12" t="s">
        <v>737</v>
      </c>
      <c r="D188" s="13" t="s">
        <v>3018</v>
      </c>
      <c r="E188" s="6">
        <v>45408</v>
      </c>
      <c r="F188" s="3">
        <v>249466</v>
      </c>
      <c r="G188" s="3">
        <v>43</v>
      </c>
      <c r="H188" s="3" t="s">
        <v>5858</v>
      </c>
      <c r="I188" s="3" t="s">
        <v>738</v>
      </c>
      <c r="J188" s="3" t="s">
        <v>760</v>
      </c>
      <c r="K188" s="3" t="s">
        <v>19</v>
      </c>
      <c r="L188" s="3">
        <v>0.60599999999999998</v>
      </c>
      <c r="M188" s="3">
        <v>0.28699999999999998</v>
      </c>
      <c r="N188" s="3">
        <v>5</v>
      </c>
      <c r="O188" s="8">
        <v>-11394</v>
      </c>
      <c r="P188" s="3">
        <v>0</v>
      </c>
      <c r="Q188" s="3">
        <v>5.1499999999999997E-2</v>
      </c>
      <c r="R188" s="3">
        <v>7.5800000000000006E-2</v>
      </c>
      <c r="S188" s="3">
        <v>0.38500000000000001</v>
      </c>
      <c r="T188" s="3">
        <v>0.107</v>
      </c>
      <c r="U188" s="3">
        <v>0.35199999999999998</v>
      </c>
      <c r="V188" s="8">
        <v>78025</v>
      </c>
      <c r="W188" s="3">
        <v>4</v>
      </c>
      <c r="X188" s="3" t="str">
        <f t="shared" si="12"/>
        <v>-SADNE-</v>
      </c>
      <c r="Y188" s="3" t="str">
        <f t="shared" si="13"/>
        <v>-ENERGY-</v>
      </c>
      <c r="Z188" s="4" t="str">
        <f t="shared" si="14"/>
        <v>{"couname":"Explorer","img":"https://i.scdn.co/image/ab67616d0000b2738f4b5df3a6ee2abb733080a9","pty":"43","artist":"Justice, Connan Mockasin","genres":"house francés,new rave,rock electrónico,pop psicodélico","duration":"249466","spotId":"2L4XgrYkmihRb0wNLe2qUu","Items":["-SADNE-","-ENERGY-","","","GN_FrenchElectro"]},</v>
      </c>
      <c r="AA188" s="5" t="s">
        <v>6100</v>
      </c>
      <c r="AB188" s="3" t="str">
        <f t="shared" si="15"/>
        <v>["-SADNE-","-ENERGY-","","","GN_FrenchElectro"]</v>
      </c>
      <c r="AC188" s="3" t="str">
        <f>_xlfn.XLOOKUP(A188,Album!A:A,Album!J:J)</f>
        <v>https://i.scdn.co/image/ab67616d0000b2738f4b5df3a6ee2abb733080a9</v>
      </c>
      <c r="AD188" s="3"/>
      <c r="AE188" s="3"/>
      <c r="AF188" s="3"/>
      <c r="AG188" s="3"/>
      <c r="AH188" s="3"/>
    </row>
    <row r="189" spans="1:34" x14ac:dyDescent="0.3">
      <c r="A189" s="11" t="s">
        <v>807</v>
      </c>
      <c r="B189" s="12" t="s">
        <v>808</v>
      </c>
      <c r="C189" s="12" t="s">
        <v>745</v>
      </c>
      <c r="D189" s="13" t="s">
        <v>745</v>
      </c>
      <c r="E189" s="6">
        <v>39244</v>
      </c>
      <c r="F189" s="3">
        <v>295946</v>
      </c>
      <c r="G189" s="3">
        <v>43</v>
      </c>
      <c r="H189" s="3" t="s">
        <v>5857</v>
      </c>
      <c r="I189" s="3" t="s">
        <v>738</v>
      </c>
      <c r="J189" s="3" t="s">
        <v>742</v>
      </c>
      <c r="K189" s="3" t="s">
        <v>770</v>
      </c>
      <c r="L189" s="3">
        <v>0.61199999999999999</v>
      </c>
      <c r="M189" s="3">
        <v>0.88900000000000001</v>
      </c>
      <c r="N189" s="3">
        <v>8</v>
      </c>
      <c r="O189" s="8">
        <v>-3.28</v>
      </c>
      <c r="P189" s="3">
        <v>1</v>
      </c>
      <c r="Q189" s="3">
        <v>5.45E-2</v>
      </c>
      <c r="R189" s="3">
        <v>1.2E-4</v>
      </c>
      <c r="S189" s="3">
        <v>2.75E-2</v>
      </c>
      <c r="T189" s="3">
        <v>0.185</v>
      </c>
      <c r="U189" s="3">
        <v>4.5199999999999997E-2</v>
      </c>
      <c r="V189" s="8">
        <v>122991</v>
      </c>
      <c r="W189" s="3">
        <v>4</v>
      </c>
      <c r="X189" s="3" t="str">
        <f t="shared" si="12"/>
        <v>-SADNE-</v>
      </c>
      <c r="Y189" s="3" t="str">
        <f t="shared" si="13"/>
        <v>-ENERGY-</v>
      </c>
      <c r="Z189" s="4" t="str">
        <f t="shared" si="14"/>
        <v>{"couname":"Let There Be Light","img":"https://i.scdn.co/image/ab67616d0000b2731c0bcf8b536295438d26c70d","pty":"43","artist":"Justice","genres":"house francés,new rave,rock electrónico","duration":"295946","spotId":"7LG6dQGMIDFKV1SazzWGjK","Items":["-SADNE-","-ENERGY-","","","GN_FrenchElectro"]},</v>
      </c>
      <c r="AA189" s="5" t="s">
        <v>6100</v>
      </c>
      <c r="AB189" s="3" t="str">
        <f t="shared" si="15"/>
        <v>["-SADNE-","-ENERGY-","","","GN_FrenchElectro"]</v>
      </c>
      <c r="AC189" s="3" t="str">
        <f>_xlfn.XLOOKUP(A189,Album!A:A,Album!J:J)</f>
        <v>https://i.scdn.co/image/ab67616d0000b2731c0bcf8b536295438d26c70d</v>
      </c>
      <c r="AD189" s="3"/>
      <c r="AE189" s="3"/>
      <c r="AF189" s="3"/>
      <c r="AG189" s="3"/>
      <c r="AH189" s="3"/>
    </row>
    <row r="190" spans="1:34" x14ac:dyDescent="0.3">
      <c r="A190" s="11" t="s">
        <v>839</v>
      </c>
      <c r="B190" s="12" t="s">
        <v>840</v>
      </c>
      <c r="C190" s="12" t="s">
        <v>841</v>
      </c>
      <c r="D190" s="13" t="s">
        <v>842</v>
      </c>
      <c r="E190" s="6">
        <v>2011</v>
      </c>
      <c r="F190" s="3">
        <v>322760</v>
      </c>
      <c r="G190" s="3">
        <v>43</v>
      </c>
      <c r="H190" s="3" t="s">
        <v>5856</v>
      </c>
      <c r="I190" s="3" t="s">
        <v>843</v>
      </c>
      <c r="J190" s="3" t="s">
        <v>844</v>
      </c>
      <c r="K190" s="3" t="s">
        <v>845</v>
      </c>
      <c r="L190" s="3">
        <v>0.40799999999999997</v>
      </c>
      <c r="M190" s="3">
        <v>0.76</v>
      </c>
      <c r="N190" s="3">
        <v>6</v>
      </c>
      <c r="O190" s="8">
        <v>-6844</v>
      </c>
      <c r="P190" s="3">
        <v>1</v>
      </c>
      <c r="Q190" s="3">
        <v>3.1600000000000003E-2</v>
      </c>
      <c r="R190" s="3">
        <v>9.7300000000000002E-4</v>
      </c>
      <c r="S190" s="3">
        <v>7.2899999999999997E-5</v>
      </c>
      <c r="T190" s="3">
        <v>0.112</v>
      </c>
      <c r="U190" s="3">
        <v>3.7999999999999999E-2</v>
      </c>
      <c r="V190" s="8">
        <v>105008</v>
      </c>
      <c r="W190" s="3">
        <v>4</v>
      </c>
      <c r="X190" s="3" t="str">
        <f t="shared" si="12"/>
        <v>-SADNE-</v>
      </c>
      <c r="Y190" s="3" t="str">
        <f t="shared" si="13"/>
        <v>-ENERGY-</v>
      </c>
      <c r="Z190" s="4" t="str">
        <f t="shared" si="14"/>
        <v>{"couname":"Intro","img":"https://i.scdn.co/image/ab67616d0000b273fff2cb485c36a6d8f639bdba","pty":"43","artist":"M83","genres":"indietronica","duration":"322760","spotId":"6XDFFeinPXgy3auyC7huoC","Items":["-SADNE-","-ENERGY-","","","GN_FrenchElectro"]},</v>
      </c>
      <c r="AA190" s="5" t="s">
        <v>6100</v>
      </c>
      <c r="AB190" s="3" t="str">
        <f t="shared" si="15"/>
        <v>["-SADNE-","-ENERGY-","","","GN_FrenchElectro"]</v>
      </c>
      <c r="AC190" s="3" t="str">
        <f>_xlfn.XLOOKUP(A190,Album!A:A,Album!J:J)</f>
        <v>https://i.scdn.co/image/ab67616d0000b273fff2cb485c36a6d8f639bdba</v>
      </c>
      <c r="AD190" s="3"/>
      <c r="AE190" s="3"/>
      <c r="AF190" s="3"/>
      <c r="AG190" s="3"/>
      <c r="AH190" s="3"/>
    </row>
    <row r="191" spans="1:34" x14ac:dyDescent="0.3">
      <c r="A191" s="11" t="s">
        <v>943</v>
      </c>
      <c r="B191" s="12" t="s">
        <v>944</v>
      </c>
      <c r="C191" s="12" t="s">
        <v>888</v>
      </c>
      <c r="D191" s="13" t="s">
        <v>842</v>
      </c>
      <c r="E191" s="6">
        <v>40833</v>
      </c>
      <c r="F191" s="3">
        <v>106213</v>
      </c>
      <c r="G191" s="3">
        <v>43</v>
      </c>
      <c r="H191" s="3" t="s">
        <v>5855</v>
      </c>
      <c r="I191" s="3" t="s">
        <v>889</v>
      </c>
      <c r="J191" s="3" t="s">
        <v>844</v>
      </c>
      <c r="K191" s="3" t="s">
        <v>890</v>
      </c>
      <c r="L191" s="3">
        <v>0.13700000000000001</v>
      </c>
      <c r="M191" s="3">
        <v>6.8000000000000005E-2</v>
      </c>
      <c r="N191" s="3">
        <v>11</v>
      </c>
      <c r="O191" s="8">
        <v>-14839</v>
      </c>
      <c r="P191" s="3">
        <v>1</v>
      </c>
      <c r="Q191" s="3">
        <v>3.6999999999999998E-2</v>
      </c>
      <c r="R191" s="3">
        <v>1.9400000000000001E-2</v>
      </c>
      <c r="S191" s="3">
        <v>0.91800000000000004</v>
      </c>
      <c r="T191" s="3">
        <v>0.13500000000000001</v>
      </c>
      <c r="U191" s="3">
        <v>3.7999999999999999E-2</v>
      </c>
      <c r="V191" s="8">
        <v>141.11000000000001</v>
      </c>
      <c r="W191" s="3">
        <v>3</v>
      </c>
      <c r="X191" s="3" t="str">
        <f t="shared" si="12"/>
        <v>-SADNE-</v>
      </c>
      <c r="Y191" s="3" t="str">
        <f t="shared" si="13"/>
        <v>-SLOWSS-</v>
      </c>
      <c r="Z191" s="4" t="str">
        <f t="shared" si="14"/>
        <v>{"couname":"Where the Boats Go","img":"https://i.scdn.co/image/ab67616d0000b273b3591763154a27326b3f431a","pty":"43","artist":"M83","genres":"indietronica","duration":"106213","spotId":"1wDmpfDEpw9DJhGShl072X","Items":["-SADNE-","-SLOWSS-","","","GN_FrenchElectro"]},</v>
      </c>
      <c r="AA191" s="5" t="s">
        <v>6100</v>
      </c>
      <c r="AB191" s="3" t="str">
        <f t="shared" si="15"/>
        <v>["-SADNE-","-SLOWSS-","","","GN_FrenchElectro"]</v>
      </c>
      <c r="AC191" s="3" t="str">
        <f>_xlfn.XLOOKUP(A191,Album!A:A,Album!J:J)</f>
        <v>https://i.scdn.co/image/ab67616d0000b273b3591763154a27326b3f431a</v>
      </c>
      <c r="AD191" s="3"/>
      <c r="AE191" s="3"/>
      <c r="AF191" s="3"/>
      <c r="AG191" s="3"/>
      <c r="AH191" s="3"/>
    </row>
    <row r="192" spans="1:34" x14ac:dyDescent="0.3">
      <c r="A192" s="11" t="s">
        <v>950</v>
      </c>
      <c r="B192" s="12" t="s">
        <v>951</v>
      </c>
      <c r="C192" s="12" t="s">
        <v>902</v>
      </c>
      <c r="D192" s="13" t="s">
        <v>3200</v>
      </c>
      <c r="E192" s="6">
        <v>41373</v>
      </c>
      <c r="F192" s="3">
        <v>338094</v>
      </c>
      <c r="G192" s="3">
        <v>43</v>
      </c>
      <c r="H192" s="3" t="s">
        <v>5854</v>
      </c>
      <c r="I192" s="3" t="s">
        <v>889</v>
      </c>
      <c r="J192" s="3" t="s">
        <v>915</v>
      </c>
      <c r="K192" s="3" t="s">
        <v>904</v>
      </c>
      <c r="L192" s="3">
        <v>0.26200000000000001</v>
      </c>
      <c r="M192" s="3">
        <v>0.127</v>
      </c>
      <c r="N192" s="3">
        <v>4</v>
      </c>
      <c r="O192" s="8">
        <v>-15804</v>
      </c>
      <c r="P192" s="3">
        <v>0</v>
      </c>
      <c r="Q192" s="3">
        <v>4.1200000000000001E-2</v>
      </c>
      <c r="R192" s="3">
        <v>0.79400000000000004</v>
      </c>
      <c r="S192" s="3">
        <v>0.879</v>
      </c>
      <c r="T192" s="3">
        <v>0.128</v>
      </c>
      <c r="U192" s="3">
        <v>3.27E-2</v>
      </c>
      <c r="V192" s="8">
        <v>128.08000000000001</v>
      </c>
      <c r="W192" s="3">
        <v>4</v>
      </c>
      <c r="X192" s="3" t="str">
        <f t="shared" si="12"/>
        <v>-SADNE-</v>
      </c>
      <c r="Y192" s="3" t="str">
        <f t="shared" si="13"/>
        <v>-SLOWSS-</v>
      </c>
      <c r="Z192" s="4" t="str">
        <f t="shared" si="14"/>
        <v>{"couname":"I'm Sending You Away","img":"https://i.scdn.co/image/ab67616d0000b273c574dc72611d61885ac9669a","pty":"43","artist":"M83, Anthony Gonzalez, Joseph Trapanese","genres":"indietronica,banda sonora","duration":"338094","spotId":"1ztl4JF98F6Q3qBDYcbsuf","Items":["-SADNE-","-SLOWSS-","","","GN_FrenchElectro"]},</v>
      </c>
      <c r="AA192" s="5" t="s">
        <v>6100</v>
      </c>
      <c r="AB192" s="3" t="str">
        <f t="shared" si="15"/>
        <v>["-SADNE-","-SLOWSS-","","","GN_FrenchElectro"]</v>
      </c>
      <c r="AC192" s="3" t="str">
        <f>_xlfn.XLOOKUP(A192,Album!A:A,Album!J:J)</f>
        <v>https://i.scdn.co/image/ab67616d0000b273c574dc72611d61885ac9669a</v>
      </c>
      <c r="AD192" s="3"/>
      <c r="AE192" s="3"/>
      <c r="AF192" s="3"/>
      <c r="AG192" s="3"/>
      <c r="AH192" s="3"/>
    </row>
    <row r="193" spans="1:34" x14ac:dyDescent="0.3">
      <c r="A193" s="11" t="s">
        <v>1167</v>
      </c>
      <c r="B193" s="12" t="s">
        <v>1168</v>
      </c>
      <c r="C193" s="12" t="s">
        <v>1168</v>
      </c>
      <c r="D193" s="13" t="s">
        <v>3620</v>
      </c>
      <c r="E193" s="6">
        <v>38310</v>
      </c>
      <c r="F193" s="3">
        <v>219946</v>
      </c>
      <c r="G193" s="3">
        <v>43</v>
      </c>
      <c r="H193" s="3" t="s">
        <v>5853</v>
      </c>
      <c r="I193" s="3" t="s">
        <v>1013</v>
      </c>
      <c r="J193" s="3" t="s">
        <v>1169</v>
      </c>
      <c r="K193" s="3" t="s">
        <v>83</v>
      </c>
      <c r="L193" s="3">
        <v>0.65900000000000003</v>
      </c>
      <c r="M193" s="3">
        <v>0.93100000000000005</v>
      </c>
      <c r="N193" s="3">
        <v>11</v>
      </c>
      <c r="O193" s="8">
        <v>-4723</v>
      </c>
      <c r="P193" s="3">
        <v>0</v>
      </c>
      <c r="Q193" s="3">
        <v>0.105</v>
      </c>
      <c r="R193" s="3">
        <v>1.3799999999999999E-4</v>
      </c>
      <c r="S193" s="3">
        <v>8.4600000000000005E-3</v>
      </c>
      <c r="T193" s="3">
        <v>5.0799999999999998E-2</v>
      </c>
      <c r="U193" s="3">
        <v>0.49399999999999999</v>
      </c>
      <c r="V193" s="8">
        <v>127874</v>
      </c>
      <c r="W193" s="3">
        <v>4</v>
      </c>
      <c r="X193" s="3" t="str">
        <f t="shared" si="12"/>
        <v>-HAPPY-</v>
      </c>
      <c r="Y193" s="3" t="str">
        <f t="shared" si="13"/>
        <v>-ENERGY-</v>
      </c>
      <c r="Z193" s="4" t="str">
        <f t="shared" si="14"/>
        <v>{"couname":"The World Is Mine","img":"https://i.scdn.co/image/ab67616d0000b273591558125e5710a3b724242a","pty":"43","artist":"Joachim Garraud, JD Davis, David Guetta","genres":"electro house,edm,dance","duration":"219946","spotId":"1q6IK1l4qpYykOaWaLJkWG","Items":["-HAPPY-","-ENERGY-","","","GN_FrenchElectro"]},</v>
      </c>
      <c r="AA193" s="5" t="s">
        <v>6100</v>
      </c>
      <c r="AB193" s="3" t="str">
        <f t="shared" si="15"/>
        <v>["-HAPPY-","-ENERGY-","","","GN_FrenchElectro"]</v>
      </c>
      <c r="AC193" s="3" t="str">
        <f>_xlfn.XLOOKUP(A193,Album!A:A,Album!J:J)</f>
        <v>https://i.scdn.co/image/ab67616d0000b273591558125e5710a3b724242a</v>
      </c>
      <c r="AD193" s="3"/>
      <c r="AE193" s="3"/>
      <c r="AF193" s="3"/>
      <c r="AG193" s="3"/>
      <c r="AH193" s="3"/>
    </row>
    <row r="194" spans="1:34" x14ac:dyDescent="0.3">
      <c r="A194" s="11" t="s">
        <v>1451</v>
      </c>
      <c r="B194" s="12" t="s">
        <v>1452</v>
      </c>
      <c r="C194" s="12" t="s">
        <v>1335</v>
      </c>
      <c r="D194" s="13" t="s">
        <v>1345</v>
      </c>
      <c r="E194" s="6">
        <v>35811</v>
      </c>
      <c r="F194" s="3">
        <v>154293</v>
      </c>
      <c r="G194" s="3">
        <v>43</v>
      </c>
      <c r="H194" s="3" t="s">
        <v>5852</v>
      </c>
      <c r="I194" s="3" t="s">
        <v>1453</v>
      </c>
      <c r="J194" s="3" t="s">
        <v>1337</v>
      </c>
      <c r="K194" s="3" t="s">
        <v>83</v>
      </c>
      <c r="L194" s="3">
        <v>0.45100000000000001</v>
      </c>
      <c r="M194" s="3">
        <v>0.71699999999999997</v>
      </c>
      <c r="N194" s="3">
        <v>5</v>
      </c>
      <c r="O194" s="8">
        <v>-7438</v>
      </c>
      <c r="P194" s="3">
        <v>0</v>
      </c>
      <c r="Q194" s="3">
        <v>3.61E-2</v>
      </c>
      <c r="R194" s="3">
        <v>0.115</v>
      </c>
      <c r="S194" s="3">
        <v>0.21299999999999999</v>
      </c>
      <c r="T194" s="3">
        <v>8.6099999999999996E-2</v>
      </c>
      <c r="U194" s="3">
        <v>0.375</v>
      </c>
      <c r="V194" s="8">
        <v>116758</v>
      </c>
      <c r="W194" s="3">
        <v>4</v>
      </c>
      <c r="X194" s="3" t="str">
        <f t="shared" si="12"/>
        <v>-SADNE-</v>
      </c>
      <c r="Y194" s="3" t="str">
        <f t="shared" si="13"/>
        <v>-ENERGY-</v>
      </c>
      <c r="Z194" s="4" t="str">
        <f t="shared" si="14"/>
        <v>{"couname":"Remember","img":"https://i.scdn.co/image/ab67616d0000b2731216e4f7e84af70ef18146ed","pty":"43","artist":"Air","genres":"trip hop,downtempo,house francés","duration":"154293","spotId":"49yNskzLtR1VNTWhSF90mu","Items":["-SADNE-","-ENERGY-","","","GN_FrenchElectro"]},</v>
      </c>
      <c r="AA194" s="5" t="s">
        <v>6100</v>
      </c>
      <c r="AB194" s="3" t="str">
        <f t="shared" si="15"/>
        <v>["-SADNE-","-ENERGY-","","","GN_FrenchElectro"]</v>
      </c>
      <c r="AC194" s="3" t="str">
        <f>_xlfn.XLOOKUP(A194,Album!A:A,Album!J:J)</f>
        <v>https://i.scdn.co/image/ab67616d0000b2731216e4f7e84af70ef18146ed</v>
      </c>
      <c r="AD194" s="3"/>
      <c r="AE194" s="3"/>
      <c r="AF194" s="3"/>
      <c r="AG194" s="3"/>
      <c r="AH194" s="3"/>
    </row>
    <row r="195" spans="1:34" x14ac:dyDescent="0.3">
      <c r="A195" s="11" t="s">
        <v>1456</v>
      </c>
      <c r="B195" s="12" t="s">
        <v>1457</v>
      </c>
      <c r="C195" s="12" t="s">
        <v>1335</v>
      </c>
      <c r="D195" s="13" t="s">
        <v>1345</v>
      </c>
      <c r="E195" s="6">
        <v>35811</v>
      </c>
      <c r="F195" s="3">
        <v>340600</v>
      </c>
      <c r="G195" s="3">
        <v>43</v>
      </c>
      <c r="H195" s="3" t="s">
        <v>5851</v>
      </c>
      <c r="I195" s="3" t="s">
        <v>1453</v>
      </c>
      <c r="J195" s="3" t="s">
        <v>1337</v>
      </c>
      <c r="K195" s="3" t="s">
        <v>83</v>
      </c>
      <c r="L195" s="3">
        <v>0.47499999999999998</v>
      </c>
      <c r="M195" s="3">
        <v>0.318</v>
      </c>
      <c r="N195" s="3">
        <v>9</v>
      </c>
      <c r="O195" s="8">
        <v>-13358</v>
      </c>
      <c r="P195" s="3">
        <v>1</v>
      </c>
      <c r="Q195" s="3">
        <v>2.7E-2</v>
      </c>
      <c r="R195" s="3">
        <v>0.59599999999999997</v>
      </c>
      <c r="S195" s="3">
        <v>0.95599999999999996</v>
      </c>
      <c r="T195" s="3">
        <v>0.69899999999999995</v>
      </c>
      <c r="U195" s="3">
        <v>0.125</v>
      </c>
      <c r="V195" s="8">
        <v>129831</v>
      </c>
      <c r="W195" s="3">
        <v>4</v>
      </c>
      <c r="X195" s="3" t="str">
        <f t="shared" ref="X195:X258" si="16">IF(OR(U195&lt;0.301, AND(U195&lt;0.4, P195=0)), "-SADNE-", "-HAPPY-")</f>
        <v>-SADNE-</v>
      </c>
      <c r="Y195" s="3" t="str">
        <f t="shared" ref="Y195:Y258" si="17">IF(OR(AND(L195&lt;0.5,M195&lt;0.5),AND(L195&lt;0.45,V195&lt;100),AND(M195&lt;0.45,V195&lt;100),AND(U195&lt;0.39,V195&lt;100)),"-SLOWSS-","-ENERGY-")</f>
        <v>-SLOWSS-</v>
      </c>
      <c r="Z195" s="4" t="str">
        <f t="shared" ref="Z195:Z258" si="18">"{"&amp;CHAR(34)&amp;"couname"&amp;CHAR(34)&amp;":"&amp;CHAR(34)&amp;B195&amp;CHAR(34)&amp;","&amp;CHAR(34)&amp;"img"&amp;CHAR(34)&amp;":"&amp;CHAR(34)&amp;AC195&amp;CHAR(34)&amp;","&amp;CHAR(34)&amp;"pty"&amp;CHAR(34)&amp;":"&amp;CHAR(34)&amp;G195&amp;CHAR(34)&amp;","&amp;CHAR(34)&amp;"artist"&amp;CHAR(34)&amp;":"&amp;CHAR(34)&amp;D195&amp;CHAR(34)&amp;","&amp;CHAR(34)&amp;"genres"&amp;CHAR(34)&amp;":"&amp;CHAR(34)&amp;J195&amp;CHAR(34)&amp;","&amp;CHAR(34)&amp;"duration"&amp;CHAR(34)&amp;":"&amp;CHAR(34)&amp;F195&amp;CHAR(34)&amp;","&amp;CHAR(34)&amp;"spotId"&amp;CHAR(34)&amp;":"&amp;CHAR(34)&amp;A195&amp;CHAR(34)&amp;","&amp;CHAR(34)&amp;"Items"&amp;CHAR(34)&amp;":"&amp;AB195&amp;"},"</f>
        <v>{"couname":"New Star in the Sky","img":"https://i.scdn.co/image/ab67616d0000b2731216e4f7e84af70ef18146ed","pty":"43","artist":"Air","genres":"trip hop,downtempo,house francés","duration":"340600","spotId":"7E2NpVcD3i6AIm3uyd343i","Items":["-SADNE-","-SLOWSS-","","","GN_FrenchElectro"]},</v>
      </c>
      <c r="AA195" s="5" t="s">
        <v>6100</v>
      </c>
      <c r="AB195" s="3" t="str">
        <f t="shared" ref="AB195:AB258" si="19" xml:space="preserve"> "[" &amp; _xlfn.TEXTJOIN(",",TRUE,CHAR(34) &amp; X195&amp; CHAR(34), CHAR(34) &amp; Y195 &amp; CHAR(34),  CHAR(34) &amp; AF195 &amp; CHAR(34), CHAR(34) &amp;AG195 &amp; CHAR(34), CHAR(34) &amp; AA195 &amp; CHAR(34)) &amp; "]"</f>
        <v>["-SADNE-","-SLOWSS-","","","GN_FrenchElectro"]</v>
      </c>
      <c r="AC195" s="3" t="str">
        <f>_xlfn.XLOOKUP(A195,Album!A:A,Album!J:J)</f>
        <v>https://i.scdn.co/image/ab67616d0000b2731216e4f7e84af70ef18146ed</v>
      </c>
      <c r="AD195" s="3"/>
      <c r="AE195" s="3"/>
      <c r="AF195" s="3"/>
      <c r="AG195" s="3"/>
      <c r="AH195" s="3"/>
    </row>
    <row r="196" spans="1:34" x14ac:dyDescent="0.3">
      <c r="A196" s="11" t="s">
        <v>1529</v>
      </c>
      <c r="B196" s="12" t="s">
        <v>5849</v>
      </c>
      <c r="C196" s="12" t="s">
        <v>1479</v>
      </c>
      <c r="D196" s="13" t="s">
        <v>4160</v>
      </c>
      <c r="E196" s="6">
        <v>43671</v>
      </c>
      <c r="F196" s="3">
        <v>251428</v>
      </c>
      <c r="G196" s="3">
        <v>43</v>
      </c>
      <c r="H196" s="3" t="s">
        <v>5850</v>
      </c>
      <c r="I196" s="3" t="s">
        <v>1463</v>
      </c>
      <c r="J196" s="3" t="s">
        <v>1531</v>
      </c>
      <c r="K196" s="3" t="s">
        <v>1476</v>
      </c>
      <c r="L196" s="3">
        <v>0.83599999999999997</v>
      </c>
      <c r="M196" s="3">
        <v>0.94899999999999995</v>
      </c>
      <c r="N196" s="3">
        <v>11</v>
      </c>
      <c r="O196" s="8">
        <v>-4127</v>
      </c>
      <c r="P196" s="3">
        <v>0</v>
      </c>
      <c r="Q196" s="3">
        <v>7.8700000000000006E-2</v>
      </c>
      <c r="R196" s="3">
        <v>2.98E-3</v>
      </c>
      <c r="S196" s="3">
        <v>0.248</v>
      </c>
      <c r="T196" s="3">
        <v>5.4199999999999998E-2</v>
      </c>
      <c r="U196" s="3">
        <v>0.50600000000000001</v>
      </c>
      <c r="V196" s="8">
        <v>126006</v>
      </c>
      <c r="W196" s="3">
        <v>4</v>
      </c>
      <c r="X196" s="3" t="str">
        <f t="shared" si="16"/>
        <v>-HAPPY-</v>
      </c>
      <c r="Y196" s="3" t="str">
        <f t="shared" si="17"/>
        <v>-ENERGY-</v>
      </c>
      <c r="Z196" s="4" t="str">
        <f t="shared" si="18"/>
        <v>{"couname":"Made In France","img":"https://i.scdn.co/image/ab67616d0000b273caf82abb2338880577e472be","pty":"43","artist":"DJ Snake, Tchami, Malaa, Mercer","genres":"future house,bass house,g-house,house","duration":"251428","spotId":"0E3L4BNuUlZyvcZyySTfKr","Items":["-HAPPY-","-ENERGY-","","","GN_FrenchElectro"]},</v>
      </c>
      <c r="AA196" s="5" t="s">
        <v>6100</v>
      </c>
      <c r="AB196" s="3" t="str">
        <f t="shared" si="19"/>
        <v>["-HAPPY-","-ENERGY-","","","GN_FrenchElectro"]</v>
      </c>
      <c r="AC196" s="3" t="str">
        <f>_xlfn.XLOOKUP(A196,Album!A:A,Album!J:J)</f>
        <v>https://i.scdn.co/image/ab67616d0000b273caf82abb2338880577e472be</v>
      </c>
      <c r="AD196" s="3"/>
      <c r="AE196" s="3"/>
      <c r="AF196" s="3"/>
      <c r="AG196" s="3"/>
      <c r="AH196" s="3"/>
    </row>
    <row r="197" spans="1:34" x14ac:dyDescent="0.3">
      <c r="A197" s="11" t="s">
        <v>1824</v>
      </c>
      <c r="B197" s="12" t="s">
        <v>1825</v>
      </c>
      <c r="C197" s="12" t="s">
        <v>1808</v>
      </c>
      <c r="D197" s="13" t="s">
        <v>9</v>
      </c>
      <c r="E197" s="6">
        <v>35447</v>
      </c>
      <c r="F197" s="3">
        <v>448626</v>
      </c>
      <c r="G197" s="3">
        <v>43</v>
      </c>
      <c r="H197" s="3" t="s">
        <v>5848</v>
      </c>
      <c r="I197" s="3" t="s">
        <v>1809</v>
      </c>
      <c r="J197" s="3" t="s">
        <v>1810</v>
      </c>
      <c r="K197" s="3" t="s">
        <v>1811</v>
      </c>
      <c r="L197" s="3">
        <v>0.82199999999999995</v>
      </c>
      <c r="M197" s="3">
        <v>0.79100000000000004</v>
      </c>
      <c r="N197" s="3">
        <v>1</v>
      </c>
      <c r="O197" s="8">
        <v>-4.87</v>
      </c>
      <c r="P197" s="3">
        <v>1</v>
      </c>
      <c r="Q197" s="3">
        <v>4.1399999999999999E-2</v>
      </c>
      <c r="R197" s="3">
        <v>1.08E-3</v>
      </c>
      <c r="S197" s="3">
        <v>0.621</v>
      </c>
      <c r="T197" s="3">
        <v>5.67E-2</v>
      </c>
      <c r="U197" s="3">
        <v>0.21</v>
      </c>
      <c r="V197" s="8">
        <v>130059</v>
      </c>
      <c r="W197" s="3">
        <v>4</v>
      </c>
      <c r="X197" s="3" t="str">
        <f t="shared" si="16"/>
        <v>-SADNE-</v>
      </c>
      <c r="Y197" s="3" t="str">
        <f t="shared" si="17"/>
        <v>-ENERGY-</v>
      </c>
      <c r="Z197" s="4" t="str">
        <f t="shared" si="18"/>
        <v>{"couname":"Rollin' &amp; Scratchin'","img":"https://i.scdn.co/image/ab67616d0000b2738ac778cc7d88779f74d33311","pty":"43","artist":"Daft Punk","genres":"house francés,electrónica,electro","duration":"448626","spotId":"6hgBJPTHoDJyxydmtFWHKf","Items":["-SADNE-","-ENERGY-","","","GN_FrenchElectro"]},</v>
      </c>
      <c r="AA197" s="5" t="s">
        <v>6100</v>
      </c>
      <c r="AB197" s="3" t="str">
        <f t="shared" si="19"/>
        <v>["-SADNE-","-ENERGY-","","","GN_FrenchElectro"]</v>
      </c>
      <c r="AC197" s="3" t="str">
        <f>_xlfn.XLOOKUP(A197,Album!A:A,Album!J:J)</f>
        <v>https://i.scdn.co/image/ab67616d0000b2738ac778cc7d88779f74d33311</v>
      </c>
      <c r="AD197" s="3"/>
      <c r="AE197" s="3"/>
      <c r="AF197" s="3"/>
      <c r="AG197" s="3"/>
      <c r="AH197" s="3"/>
    </row>
    <row r="198" spans="1:34" x14ac:dyDescent="0.3">
      <c r="A198" s="11" t="s">
        <v>1960</v>
      </c>
      <c r="B198" s="12" t="s">
        <v>1961</v>
      </c>
      <c r="C198" s="12" t="s">
        <v>1951</v>
      </c>
      <c r="D198" s="13" t="s">
        <v>9</v>
      </c>
      <c r="E198" s="6">
        <v>39405</v>
      </c>
      <c r="F198" s="3">
        <v>431506</v>
      </c>
      <c r="G198" s="3">
        <v>43</v>
      </c>
      <c r="H198" s="3" t="s">
        <v>5847</v>
      </c>
      <c r="I198" s="3" t="s">
        <v>1809</v>
      </c>
      <c r="J198" s="3" t="s">
        <v>1810</v>
      </c>
      <c r="K198" s="3" t="s">
        <v>1811</v>
      </c>
      <c r="L198" s="3">
        <v>0.60199999999999998</v>
      </c>
      <c r="M198" s="3">
        <v>0.79300000000000004</v>
      </c>
      <c r="N198" s="3">
        <v>10</v>
      </c>
      <c r="O198" s="8">
        <v>-10462</v>
      </c>
      <c r="P198" s="3">
        <v>0</v>
      </c>
      <c r="Q198" s="3">
        <v>9.4600000000000004E-2</v>
      </c>
      <c r="R198" s="3">
        <v>2.0699999999999999E-4</v>
      </c>
      <c r="S198" s="3">
        <v>4.7600000000000003E-2</v>
      </c>
      <c r="T198" s="3">
        <v>0.68600000000000005</v>
      </c>
      <c r="U198" s="3">
        <v>0.35</v>
      </c>
      <c r="V198" s="8">
        <v>127016</v>
      </c>
      <c r="W198" s="3">
        <v>4</v>
      </c>
      <c r="X198" s="3" t="str">
        <f t="shared" si="16"/>
        <v>-SADNE-</v>
      </c>
      <c r="Y198" s="3" t="str">
        <f t="shared" si="17"/>
        <v>-ENERGY-</v>
      </c>
      <c r="Z198" s="4" t="str">
        <f t="shared" si="18"/>
        <v>{"couname":"Burnin' / Too Long","img":"https://i.scdn.co/image/ab67616d0000b273673288fb985e5c194536ae27","pty":"43","artist":"Daft Punk","genres":"house francés,electrónica,electro","duration":"431506","spotId":"3Ons6C3wXBMi8nYpLBMlVe","Items":["-SADNE-","-ENERGY-","","","GN_FrenchElectro"]},</v>
      </c>
      <c r="AA198" s="5" t="s">
        <v>6100</v>
      </c>
      <c r="AB198" s="3" t="str">
        <f t="shared" si="19"/>
        <v>["-SADNE-","-ENERGY-","","","GN_FrenchElectro"]</v>
      </c>
      <c r="AC198" s="3" t="str">
        <f>_xlfn.XLOOKUP(A198,Album!A:A,Album!J:J)</f>
        <v>https://i.scdn.co/image/ab67616d0000b273673288fb985e5c194536ae27</v>
      </c>
      <c r="AD198" s="3"/>
      <c r="AE198" s="3"/>
      <c r="AF198" s="3"/>
      <c r="AG198" s="3"/>
      <c r="AH198" s="3"/>
    </row>
    <row r="199" spans="1:34" x14ac:dyDescent="0.3">
      <c r="A199" s="11" t="s">
        <v>1990</v>
      </c>
      <c r="B199" s="12" t="s">
        <v>1991</v>
      </c>
      <c r="C199" s="12" t="s">
        <v>1992</v>
      </c>
      <c r="D199" s="13" t="s">
        <v>1993</v>
      </c>
      <c r="E199" s="6">
        <v>39325</v>
      </c>
      <c r="F199" s="3">
        <v>261920</v>
      </c>
      <c r="G199" s="3">
        <v>43</v>
      </c>
      <c r="H199" s="3" t="s">
        <v>5846</v>
      </c>
      <c r="I199" s="3" t="s">
        <v>1983</v>
      </c>
      <c r="J199" s="3" t="s">
        <v>1994</v>
      </c>
      <c r="K199" s="3" t="s">
        <v>83</v>
      </c>
      <c r="L199" s="3">
        <v>0.92400000000000004</v>
      </c>
      <c r="M199" s="3">
        <v>0.65100000000000002</v>
      </c>
      <c r="N199" s="3">
        <v>7</v>
      </c>
      <c r="O199" s="8">
        <v>-3894</v>
      </c>
      <c r="P199" s="3">
        <v>1</v>
      </c>
      <c r="Q199" s="3">
        <v>0.124</v>
      </c>
      <c r="R199" s="3">
        <v>2.0299999999999999E-2</v>
      </c>
      <c r="S199" s="3">
        <v>6.8999999999999999E-3</v>
      </c>
      <c r="T199" s="3">
        <v>5.8999999999999997E-2</v>
      </c>
      <c r="U199" s="3">
        <v>0.89800000000000002</v>
      </c>
      <c r="V199" s="8">
        <v>126947</v>
      </c>
      <c r="W199" s="3">
        <v>4</v>
      </c>
      <c r="X199" s="3" t="str">
        <f t="shared" si="16"/>
        <v>-HAPPY-</v>
      </c>
      <c r="Y199" s="3" t="str">
        <f t="shared" si="17"/>
        <v>-ENERGY-</v>
      </c>
      <c r="Z199" s="4" t="str">
        <f t="shared" si="18"/>
        <v>{"couname":"Je veux te voir","img":"https://i.scdn.co/image/ab67616d0000b2735da1104c8104431eb16f831c","pty":"43","artist":"Yelle","genres":"pop francés,house francés,electroclash,electropop","duration":"261920","spotId":"4H9637mkUDyk9Rq0WgDEwc","Items":["-HAPPY-","-ENERGY-","","","GN_FrenchElectro"]},</v>
      </c>
      <c r="AA199" s="5" t="s">
        <v>6100</v>
      </c>
      <c r="AB199" s="3" t="str">
        <f t="shared" si="19"/>
        <v>["-HAPPY-","-ENERGY-","","","GN_FrenchElectro"]</v>
      </c>
      <c r="AC199" s="3" t="str">
        <f>_xlfn.XLOOKUP(A199,Album!A:A,Album!J:J)</f>
        <v>https://i.scdn.co/image/ab67616d0000b2735da1104c8104431eb16f831c</v>
      </c>
      <c r="AD199" s="3"/>
      <c r="AE199" s="3"/>
      <c r="AF199" s="3"/>
      <c r="AG199" s="3"/>
      <c r="AH199" s="3"/>
    </row>
    <row r="200" spans="1:34" x14ac:dyDescent="0.3">
      <c r="A200" s="11" t="s">
        <v>284</v>
      </c>
      <c r="B200" s="12" t="s">
        <v>285</v>
      </c>
      <c r="C200" s="12" t="s">
        <v>280</v>
      </c>
      <c r="D200" s="13" t="s">
        <v>2315</v>
      </c>
      <c r="E200" s="6">
        <v>42496</v>
      </c>
      <c r="F200" s="3">
        <v>241013</v>
      </c>
      <c r="G200" s="3">
        <v>42</v>
      </c>
      <c r="H200" s="3" t="s">
        <v>5845</v>
      </c>
      <c r="I200" s="3" t="s">
        <v>102</v>
      </c>
      <c r="J200" s="3" t="s">
        <v>286</v>
      </c>
      <c r="K200" s="3" t="s">
        <v>84</v>
      </c>
      <c r="L200" s="3">
        <v>0.53900000000000003</v>
      </c>
      <c r="M200" s="3">
        <v>0.83699999999999997</v>
      </c>
      <c r="N200" s="3">
        <v>1</v>
      </c>
      <c r="O200" s="8">
        <v>-6812</v>
      </c>
      <c r="P200" s="3">
        <v>1</v>
      </c>
      <c r="Q200" s="3">
        <v>3.5700000000000003E-2</v>
      </c>
      <c r="R200" s="3">
        <v>2.9700000000000001E-2</v>
      </c>
      <c r="S200" s="3">
        <v>3.4700000000000002E-2</v>
      </c>
      <c r="T200" s="3">
        <v>9.7900000000000001E-2</v>
      </c>
      <c r="U200" s="3">
        <v>0.39300000000000002</v>
      </c>
      <c r="V200" s="8">
        <v>112006</v>
      </c>
      <c r="W200" s="3">
        <v>4</v>
      </c>
      <c r="X200" s="3" t="str">
        <f t="shared" si="16"/>
        <v>-HAPPY-</v>
      </c>
      <c r="Y200" s="3" t="str">
        <f t="shared" si="17"/>
        <v>-ENERGY-</v>
      </c>
      <c r="Z200" s="4" t="str">
        <f t="shared" si="18"/>
        <v>{"couname":"Brick England","img":"https://i.scdn.co/image/ab67616d0000b273359a423dd08ed414400e0cb7","pty":"42","artist":"Jean-Michel Jarre, Pet Shop Boys","genres":"new age,electrónica,space music,synthpop,new wave","duration":"241013","spotId":"45VG6m5fYU3rIMT7dnBq9h","Items":["-HAPPY-","-ENERGY-","","","GN_FrenchElectro"]},</v>
      </c>
      <c r="AA200" s="5" t="s">
        <v>6100</v>
      </c>
      <c r="AB200" s="3" t="str">
        <f t="shared" si="19"/>
        <v>["-HAPPY-","-ENERGY-","","","GN_FrenchElectro"]</v>
      </c>
      <c r="AC200" s="3" t="str">
        <f>_xlfn.XLOOKUP(A200,Album!A:A,Album!J:J)</f>
        <v>https://i.scdn.co/image/ab67616d0000b273359a423dd08ed414400e0cb7</v>
      </c>
      <c r="AD200" s="3"/>
      <c r="AE200" s="3"/>
      <c r="AF200" s="3"/>
      <c r="AG200" s="3"/>
      <c r="AH200" s="3"/>
    </row>
    <row r="201" spans="1:34" x14ac:dyDescent="0.3">
      <c r="A201" s="11" t="s">
        <v>465</v>
      </c>
      <c r="B201" s="12" t="s">
        <v>5843</v>
      </c>
      <c r="C201" s="12" t="s">
        <v>467</v>
      </c>
      <c r="D201" s="13" t="s">
        <v>2531</v>
      </c>
      <c r="E201" s="6">
        <v>45646</v>
      </c>
      <c r="F201" s="3">
        <v>194400</v>
      </c>
      <c r="G201" s="3">
        <v>42</v>
      </c>
      <c r="H201" s="3" t="s">
        <v>5844</v>
      </c>
      <c r="I201" s="3" t="s">
        <v>462</v>
      </c>
      <c r="J201" s="3" t="s">
        <v>468</v>
      </c>
      <c r="K201" s="3" t="s">
        <v>469</v>
      </c>
      <c r="L201" s="3">
        <v>0.65900000000000003</v>
      </c>
      <c r="M201" s="3">
        <v>0.9</v>
      </c>
      <c r="N201" s="3">
        <v>6</v>
      </c>
      <c r="O201" s="8">
        <v>-4628</v>
      </c>
      <c r="P201" s="3">
        <v>0</v>
      </c>
      <c r="Q201" s="3">
        <v>3.7999999999999999E-2</v>
      </c>
      <c r="R201" s="3">
        <v>5.5500000000000005E-4</v>
      </c>
      <c r="S201" s="3">
        <v>0.22900000000000001</v>
      </c>
      <c r="T201" s="3">
        <v>4.6800000000000001E-2</v>
      </c>
      <c r="U201" s="3">
        <v>0.56200000000000006</v>
      </c>
      <c r="V201" s="8">
        <v>122014</v>
      </c>
      <c r="W201" s="3">
        <v>4</v>
      </c>
      <c r="X201" s="3" t="str">
        <f t="shared" si="16"/>
        <v>-HAPPY-</v>
      </c>
      <c r="Y201" s="3" t="str">
        <f t="shared" si="17"/>
        <v>-ENERGY-</v>
      </c>
      <c r="Z201" s="4" t="str">
        <f t="shared" si="18"/>
        <v>{"couname":"Amora Amor","img":"https://i.scdn.co/image/ab67616d0000b2733b32a86445629a1c158d069f","pty":"42","artist":"Bob Sinclar, Sagan","genres":"house francés,disco house,future house","duration":"194400","spotId":"0TP2cAD0rKVqGigB6dAwVv","Items":["-HAPPY-","-ENERGY-","","","GN_FrenchElectro"]},</v>
      </c>
      <c r="AA201" s="5" t="s">
        <v>6100</v>
      </c>
      <c r="AB201" s="3" t="str">
        <f t="shared" si="19"/>
        <v>["-HAPPY-","-ENERGY-","","","GN_FrenchElectro"]</v>
      </c>
      <c r="AC201" s="3" t="str">
        <f>_xlfn.XLOOKUP(A201,Album!A:A,Album!J:J)</f>
        <v>https://i.scdn.co/image/ab67616d0000b2733b32a86445629a1c158d069f</v>
      </c>
      <c r="AD201" s="3"/>
      <c r="AE201" s="3"/>
      <c r="AF201" s="3"/>
      <c r="AG201" s="3"/>
      <c r="AH201" s="3"/>
    </row>
    <row r="202" spans="1:34" x14ac:dyDescent="0.3">
      <c r="A202" s="11" t="s">
        <v>761</v>
      </c>
      <c r="B202" s="12" t="s">
        <v>762</v>
      </c>
      <c r="C202" s="12" t="s">
        <v>737</v>
      </c>
      <c r="D202" s="13" t="s">
        <v>745</v>
      </c>
      <c r="E202" s="6">
        <v>45408</v>
      </c>
      <c r="F202" s="3">
        <v>250253</v>
      </c>
      <c r="G202" s="3">
        <v>42</v>
      </c>
      <c r="H202" s="3" t="s">
        <v>5842</v>
      </c>
      <c r="I202" s="3" t="s">
        <v>738</v>
      </c>
      <c r="J202" s="3" t="s">
        <v>742</v>
      </c>
      <c r="K202" s="3" t="s">
        <v>19</v>
      </c>
      <c r="L202" s="3">
        <v>0.47699999999999998</v>
      </c>
      <c r="M202" s="3">
        <v>0.17199999999999999</v>
      </c>
      <c r="N202" s="3">
        <v>4</v>
      </c>
      <c r="O202" s="8">
        <v>-14153</v>
      </c>
      <c r="P202" s="3">
        <v>0</v>
      </c>
      <c r="Q202" s="3">
        <v>4.4600000000000001E-2</v>
      </c>
      <c r="R202" s="3">
        <v>0.109</v>
      </c>
      <c r="S202" s="3">
        <v>0.83799999999999997</v>
      </c>
      <c r="T202" s="3">
        <v>0.23100000000000001</v>
      </c>
      <c r="U202" s="3">
        <v>0.189</v>
      </c>
      <c r="V202" s="8">
        <v>170031</v>
      </c>
      <c r="W202" s="3">
        <v>4</v>
      </c>
      <c r="X202" s="3" t="str">
        <f t="shared" si="16"/>
        <v>-SADNE-</v>
      </c>
      <c r="Y202" s="3" t="str">
        <f t="shared" si="17"/>
        <v>-SLOWSS-</v>
      </c>
      <c r="Z202" s="4" t="str">
        <f t="shared" si="18"/>
        <v>{"couname":"Muscle Memory","img":"https://i.scdn.co/image/ab67616d0000b2738f4b5df3a6ee2abb733080a9","pty":"42","artist":"Justice","genres":"house francés,new rave,rock electrónico","duration":"250253","spotId":"5Jhp7Fbg1hmJ0WZlEYoVf3","Items":["-SADNE-","-SLOWSS-","","","GN_FrenchElectro"]},</v>
      </c>
      <c r="AA202" s="5" t="s">
        <v>6100</v>
      </c>
      <c r="AB202" s="3" t="str">
        <f t="shared" si="19"/>
        <v>["-SADNE-","-SLOWSS-","","","GN_FrenchElectro"]</v>
      </c>
      <c r="AC202" s="3" t="str">
        <f>_xlfn.XLOOKUP(A202,Album!A:A,Album!J:J)</f>
        <v>https://i.scdn.co/image/ab67616d0000b2738f4b5df3a6ee2abb733080a9</v>
      </c>
      <c r="AD202" s="3"/>
      <c r="AE202" s="3"/>
      <c r="AF202" s="3"/>
      <c r="AG202" s="3"/>
      <c r="AH202" s="3"/>
    </row>
    <row r="203" spans="1:34" x14ac:dyDescent="0.3">
      <c r="A203" s="11" t="s">
        <v>805</v>
      </c>
      <c r="B203" s="12" t="s">
        <v>806</v>
      </c>
      <c r="C203" s="12" t="s">
        <v>745</v>
      </c>
      <c r="D203" s="13" t="s">
        <v>745</v>
      </c>
      <c r="E203" s="6">
        <v>39244</v>
      </c>
      <c r="F203" s="3">
        <v>243426</v>
      </c>
      <c r="G203" s="3">
        <v>42</v>
      </c>
      <c r="H203" s="3" t="s">
        <v>5841</v>
      </c>
      <c r="I203" s="3" t="s">
        <v>738</v>
      </c>
      <c r="J203" s="3" t="s">
        <v>742</v>
      </c>
      <c r="K203" s="3" t="s">
        <v>770</v>
      </c>
      <c r="L203" s="3">
        <v>0.66100000000000003</v>
      </c>
      <c r="M203" s="3">
        <v>0.84699999999999998</v>
      </c>
      <c r="N203" s="3">
        <v>11</v>
      </c>
      <c r="O203" s="8">
        <v>-7343</v>
      </c>
      <c r="P203" s="3">
        <v>1</v>
      </c>
      <c r="Q203" s="3">
        <v>7.1400000000000005E-2</v>
      </c>
      <c r="R203" s="3">
        <v>0.314</v>
      </c>
      <c r="S203" s="3">
        <v>4.7299999999999998E-3</v>
      </c>
      <c r="T203" s="3">
        <v>0.80600000000000005</v>
      </c>
      <c r="U203" s="3">
        <v>0.45500000000000002</v>
      </c>
      <c r="V203" s="8">
        <v>119.99</v>
      </c>
      <c r="W203" s="3">
        <v>4</v>
      </c>
      <c r="X203" s="3" t="str">
        <f t="shared" si="16"/>
        <v>-HAPPY-</v>
      </c>
      <c r="Y203" s="3" t="str">
        <f t="shared" si="17"/>
        <v>-ENERGY-</v>
      </c>
      <c r="Z203" s="4" t="str">
        <f t="shared" si="18"/>
        <v>{"couname":"The Party","img":"https://i.scdn.co/image/ab67616d0000b2731c0bcf8b536295438d26c70d","pty":"42","artist":"Justice","genres":"house francés,new rave,rock electrónico","duration":"243426","spotId":"1z4835vzYgbtb26uRWpGhq","Items":["-HAPPY-","-ENERGY-","","","GN_FrenchElectro"]},</v>
      </c>
      <c r="AA203" s="5" t="s">
        <v>6100</v>
      </c>
      <c r="AB203" s="3" t="str">
        <f t="shared" si="19"/>
        <v>["-HAPPY-","-ENERGY-","","","GN_FrenchElectro"]</v>
      </c>
      <c r="AC203" s="3" t="str">
        <f>_xlfn.XLOOKUP(A203,Album!A:A,Album!J:J)</f>
        <v>https://i.scdn.co/image/ab67616d0000b2731c0bcf8b536295438d26c70d</v>
      </c>
      <c r="AD203" s="3"/>
      <c r="AE203" s="3"/>
      <c r="AF203" s="3"/>
      <c r="AG203" s="3"/>
      <c r="AH203" s="3"/>
    </row>
    <row r="204" spans="1:34" x14ac:dyDescent="0.3">
      <c r="A204" s="11" t="s">
        <v>821</v>
      </c>
      <c r="B204" s="12" t="s">
        <v>822</v>
      </c>
      <c r="C204" s="12" t="s">
        <v>745</v>
      </c>
      <c r="D204" s="13" t="s">
        <v>745</v>
      </c>
      <c r="E204" s="6">
        <v>39244</v>
      </c>
      <c r="F204" s="3">
        <v>176253</v>
      </c>
      <c r="G204" s="3">
        <v>42</v>
      </c>
      <c r="H204" s="3" t="s">
        <v>5840</v>
      </c>
      <c r="I204" s="3" t="s">
        <v>738</v>
      </c>
      <c r="J204" s="3" t="s">
        <v>742</v>
      </c>
      <c r="K204" s="3" t="s">
        <v>770</v>
      </c>
      <c r="L204" s="3">
        <v>0.51300000000000001</v>
      </c>
      <c r="M204" s="3">
        <v>0.60899999999999999</v>
      </c>
      <c r="N204" s="3">
        <v>11</v>
      </c>
      <c r="O204" s="8">
        <v>-8838</v>
      </c>
      <c r="P204" s="3">
        <v>1</v>
      </c>
      <c r="Q204" s="3">
        <v>6.8699999999999997E-2</v>
      </c>
      <c r="R204" s="3">
        <v>2.4199999999999999E-2</v>
      </c>
      <c r="S204" s="3">
        <v>0.83</v>
      </c>
      <c r="T204" s="3">
        <v>0.27100000000000002</v>
      </c>
      <c r="U204" s="3">
        <v>0.192</v>
      </c>
      <c r="V204" s="8">
        <v>104584</v>
      </c>
      <c r="W204" s="3">
        <v>4</v>
      </c>
      <c r="X204" s="3" t="str">
        <f t="shared" si="16"/>
        <v>-SADNE-</v>
      </c>
      <c r="Y204" s="3" t="str">
        <f t="shared" si="17"/>
        <v>-ENERGY-</v>
      </c>
      <c r="Z204" s="4" t="str">
        <f t="shared" si="18"/>
        <v>{"couname":"Valentine","img":"https://i.scdn.co/image/ab67616d0000b2731c0bcf8b536295438d26c70d","pty":"42","artist":"Justice","genres":"house francés,new rave,rock electrónico","duration":"176253","spotId":"5Q6OXP4UlS1stbtGfBLZ9I","Items":["-SADNE-","-ENERGY-","","","GN_FrenchElectro"]},</v>
      </c>
      <c r="AA204" s="5" t="s">
        <v>6100</v>
      </c>
      <c r="AB204" s="3" t="str">
        <f t="shared" si="19"/>
        <v>["-SADNE-","-ENERGY-","","","GN_FrenchElectro"]</v>
      </c>
      <c r="AC204" s="3" t="str">
        <f>_xlfn.XLOOKUP(A204,Album!A:A,Album!J:J)</f>
        <v>https://i.scdn.co/image/ab67616d0000b2731c0bcf8b536295438d26c70d</v>
      </c>
      <c r="AD204" s="3"/>
      <c r="AE204" s="3"/>
      <c r="AF204" s="3"/>
      <c r="AG204" s="3"/>
      <c r="AH204" s="3"/>
    </row>
    <row r="205" spans="1:34" x14ac:dyDescent="0.3">
      <c r="A205" s="11" t="s">
        <v>848</v>
      </c>
      <c r="B205" s="12" t="s">
        <v>22</v>
      </c>
      <c r="C205" s="12" t="s">
        <v>841</v>
      </c>
      <c r="D205" s="13" t="s">
        <v>842</v>
      </c>
      <c r="E205" s="6">
        <v>2011</v>
      </c>
      <c r="F205" s="3">
        <v>235374</v>
      </c>
      <c r="G205" s="3">
        <v>42</v>
      </c>
      <c r="H205" s="3" t="s">
        <v>5839</v>
      </c>
      <c r="I205" s="3" t="s">
        <v>843</v>
      </c>
      <c r="J205" s="3" t="s">
        <v>844</v>
      </c>
      <c r="K205" s="3" t="s">
        <v>845</v>
      </c>
      <c r="L205" s="3">
        <v>0.42799999999999999</v>
      </c>
      <c r="M205" s="3">
        <v>0.82399999999999995</v>
      </c>
      <c r="N205" s="3">
        <v>7</v>
      </c>
      <c r="O205" s="8">
        <v>-5022</v>
      </c>
      <c r="P205" s="3">
        <v>1</v>
      </c>
      <c r="Q205" s="3">
        <v>4.5900000000000003E-2</v>
      </c>
      <c r="R205" s="3">
        <v>5.8499999999999999E-5</v>
      </c>
      <c r="S205" s="3">
        <v>2.5300000000000002E-4</v>
      </c>
      <c r="T205" s="3">
        <v>0.126</v>
      </c>
      <c r="U205" s="3">
        <v>0.27500000000000002</v>
      </c>
      <c r="V205" s="8">
        <v>124006</v>
      </c>
      <c r="W205" s="3">
        <v>4</v>
      </c>
      <c r="X205" s="3" t="str">
        <f t="shared" si="16"/>
        <v>-SADNE-</v>
      </c>
      <c r="Y205" s="3" t="str">
        <f t="shared" si="17"/>
        <v>-ENERGY-</v>
      </c>
      <c r="Z205" s="4" t="str">
        <f t="shared" si="18"/>
        <v>{"couname":"Reunion","img":"https://i.scdn.co/image/ab67616d0000b273fff2cb485c36a6d8f639bdba","pty":"42","artist":"M83","genres":"indietronica","duration":"235374","spotId":"7zZkPiqHnL7icGGb4Almf6","Items":["-SADNE-","-ENERGY-","","","GN_FrenchElectro"]},</v>
      </c>
      <c r="AA205" s="5" t="s">
        <v>6100</v>
      </c>
      <c r="AB205" s="3" t="str">
        <f t="shared" si="19"/>
        <v>["-SADNE-","-ENERGY-","","","GN_FrenchElectro"]</v>
      </c>
      <c r="AC205" s="3" t="str">
        <f>_xlfn.XLOOKUP(A205,Album!A:A,Album!J:J)</f>
        <v>https://i.scdn.co/image/ab67616d0000b273fff2cb485c36a6d8f639bdba</v>
      </c>
      <c r="AD205" s="3"/>
      <c r="AE205" s="3"/>
      <c r="AF205" s="3"/>
      <c r="AG205" s="3"/>
      <c r="AH205" s="3"/>
    </row>
    <row r="206" spans="1:34" x14ac:dyDescent="0.3">
      <c r="A206" s="11" t="s">
        <v>945</v>
      </c>
      <c r="B206" s="12" t="s">
        <v>5837</v>
      </c>
      <c r="C206" s="12" t="s">
        <v>946</v>
      </c>
      <c r="D206" s="13" t="s">
        <v>3235</v>
      </c>
      <c r="E206" s="6">
        <v>42080</v>
      </c>
      <c r="F206" s="3">
        <v>261306</v>
      </c>
      <c r="G206" s="3">
        <v>42</v>
      </c>
      <c r="H206" s="3" t="s">
        <v>5838</v>
      </c>
      <c r="I206" s="3" t="s">
        <v>889</v>
      </c>
      <c r="J206" s="3" t="s">
        <v>844</v>
      </c>
      <c r="K206" s="3" t="s">
        <v>947</v>
      </c>
      <c r="L206" s="3">
        <v>0.34100000000000003</v>
      </c>
      <c r="M206" s="3">
        <v>0.49399999999999999</v>
      </c>
      <c r="N206" s="3">
        <v>0</v>
      </c>
      <c r="O206" s="8">
        <v>-9123</v>
      </c>
      <c r="P206" s="3">
        <v>1</v>
      </c>
      <c r="Q206" s="3">
        <v>2.93E-2</v>
      </c>
      <c r="R206" s="3">
        <v>0.14599999999999999</v>
      </c>
      <c r="S206" s="3">
        <v>1.6799999999999999E-2</v>
      </c>
      <c r="T206" s="3">
        <v>0.109</v>
      </c>
      <c r="U206" s="3">
        <v>7.7600000000000002E-2</v>
      </c>
      <c r="V206" s="8">
        <v>68704</v>
      </c>
      <c r="W206" s="3">
        <v>4</v>
      </c>
      <c r="X206" s="3" t="str">
        <f t="shared" si="16"/>
        <v>-SADNE-</v>
      </c>
      <c r="Y206" s="3" t="str">
        <f t="shared" si="17"/>
        <v>-SLOWSS-</v>
      </c>
      <c r="Z206" s="4" t="str">
        <f t="shared" si="18"/>
        <v>{"couname":"Holes In The Sky","img":"https://i.scdn.co/image/ab67616d0000b2735bfc23b4816ff8a36fb8f8a3","pty":"42","artist":"M83, HAIM","genres":"indietronica","duration":"261306","spotId":"0m6pHsgfp0w35w1mEOVepJ","Items":["-SADNE-","-SLOWSS-","","","GN_FrenchElectro"]},</v>
      </c>
      <c r="AA206" s="5" t="s">
        <v>6100</v>
      </c>
      <c r="AB206" s="3" t="str">
        <f t="shared" si="19"/>
        <v>["-SADNE-","-SLOWSS-","","","GN_FrenchElectro"]</v>
      </c>
      <c r="AC206" s="3" t="str">
        <f>_xlfn.XLOOKUP(A206,Album!A:A,Album!J:J)</f>
        <v>https://i.scdn.co/image/ab67616d0000b2735bfc23b4816ff8a36fb8f8a3</v>
      </c>
      <c r="AD206" s="3"/>
      <c r="AE206" s="3"/>
      <c r="AF206" s="3"/>
      <c r="AG206" s="3"/>
      <c r="AH206" s="3"/>
    </row>
    <row r="207" spans="1:34" x14ac:dyDescent="0.3">
      <c r="A207" s="11" t="s">
        <v>1119</v>
      </c>
      <c r="B207" s="12" t="s">
        <v>5835</v>
      </c>
      <c r="C207" s="12" t="s">
        <v>1022</v>
      </c>
      <c r="D207" s="13" t="s">
        <v>3520</v>
      </c>
      <c r="E207" s="6">
        <v>40504</v>
      </c>
      <c r="F207" s="3">
        <v>182013</v>
      </c>
      <c r="G207" s="3">
        <v>42</v>
      </c>
      <c r="H207" s="3" t="s">
        <v>5836</v>
      </c>
      <c r="I207" s="3" t="s">
        <v>1013</v>
      </c>
      <c r="J207" s="3" t="s">
        <v>1019</v>
      </c>
      <c r="K207" s="3" t="s">
        <v>83</v>
      </c>
      <c r="L207" s="3">
        <v>0.71399999999999997</v>
      </c>
      <c r="M207" s="3">
        <v>0.81599999999999995</v>
      </c>
      <c r="N207" s="3">
        <v>10</v>
      </c>
      <c r="O207" s="8">
        <v>-4415</v>
      </c>
      <c r="P207" s="3">
        <v>1</v>
      </c>
      <c r="Q207" s="3">
        <v>7.9600000000000004E-2</v>
      </c>
      <c r="R207" s="3">
        <v>0.21</v>
      </c>
      <c r="S207" s="3">
        <v>0</v>
      </c>
      <c r="T207" s="3">
        <v>0.19600000000000001</v>
      </c>
      <c r="U207" s="3">
        <v>0.624</v>
      </c>
      <c r="V207" s="8">
        <v>129822</v>
      </c>
      <c r="W207" s="3">
        <v>4</v>
      </c>
      <c r="X207" s="3" t="str">
        <f t="shared" si="16"/>
        <v>-HAPPY-</v>
      </c>
      <c r="Y207" s="3" t="str">
        <f t="shared" si="17"/>
        <v>-ENERGY-</v>
      </c>
      <c r="Z207" s="4" t="str">
        <f t="shared" si="18"/>
        <v>{"couname":"Gettin' Over","img":"https://i.scdn.co/image/ab67616d0000b273f45c50e7cff5f2376c1e36ea","pty":"42","artist":"David Guetta, Chris Willis, Fergie","genres":"edm,dance","duration":"182013","spotId":"4fqwEothoIOcKr3pARJCgu","Items":["-HAPPY-","-ENERGY-","","","GN_FrenchElectro"]},</v>
      </c>
      <c r="AA207" s="5" t="s">
        <v>6100</v>
      </c>
      <c r="AB207" s="3" t="str">
        <f t="shared" si="19"/>
        <v>["-HAPPY-","-ENERGY-","","","GN_FrenchElectro"]</v>
      </c>
      <c r="AC207" s="3" t="str">
        <f>_xlfn.XLOOKUP(A207,Album!A:A,Album!J:J)</f>
        <v>https://i.scdn.co/image/ab67616d0000b273f45c50e7cff5f2376c1e36ea</v>
      </c>
      <c r="AD207" s="3"/>
      <c r="AE207" s="3"/>
      <c r="AF207" s="3"/>
      <c r="AG207" s="3"/>
      <c r="AH207" s="3"/>
    </row>
    <row r="208" spans="1:34" x14ac:dyDescent="0.3">
      <c r="A208" s="11" t="s">
        <v>1131</v>
      </c>
      <c r="B208" s="12" t="s">
        <v>5833</v>
      </c>
      <c r="C208" s="12" t="s">
        <v>1018</v>
      </c>
      <c r="D208" s="13" t="s">
        <v>3542</v>
      </c>
      <c r="E208" s="6">
        <v>40779</v>
      </c>
      <c r="F208" s="3">
        <v>192275</v>
      </c>
      <c r="G208" s="3">
        <v>42</v>
      </c>
      <c r="H208" s="3" t="s">
        <v>5834</v>
      </c>
      <c r="I208" s="3" t="s">
        <v>1013</v>
      </c>
      <c r="J208" s="3" t="s">
        <v>1133</v>
      </c>
      <c r="K208" s="3" t="s">
        <v>83</v>
      </c>
      <c r="L208" s="3">
        <v>0.66800000000000004</v>
      </c>
      <c r="M208" s="3">
        <v>0.82899999999999996</v>
      </c>
      <c r="N208" s="3">
        <v>11</v>
      </c>
      <c r="O208" s="8">
        <v>-2748</v>
      </c>
      <c r="P208" s="3">
        <v>0</v>
      </c>
      <c r="Q208" s="3">
        <v>3.3399999999999999E-2</v>
      </c>
      <c r="R208" s="3">
        <v>5.7200000000000003E-3</v>
      </c>
      <c r="S208" s="3">
        <v>0</v>
      </c>
      <c r="T208" s="3">
        <v>0.35799999999999998</v>
      </c>
      <c r="U208" s="3">
        <v>0.64800000000000002</v>
      </c>
      <c r="V208" s="8">
        <v>127</v>
      </c>
      <c r="W208" s="3">
        <v>4</v>
      </c>
      <c r="X208" s="3" t="str">
        <f t="shared" si="16"/>
        <v>-HAPPY-</v>
      </c>
      <c r="Y208" s="3" t="str">
        <f t="shared" si="17"/>
        <v>-ENERGY-</v>
      </c>
      <c r="Z208" s="4" t="str">
        <f t="shared" si="18"/>
        <v>{"couname":"Little Bad Girl","img":"https://i.scdn.co/image/ab67616d0000b273bd5ba80ea2ad342e488ba54d","pty":"42","artist":"David Guetta, Ludacris, Taio Cruz","genres":"edm,dance,hip hop sureño americano","duration":"192275","spotId":"6KBD2g9nzhDlPdW7cbAEix","Items":["-HAPPY-","-ENERGY-","","","GN_FrenchElectro"]},</v>
      </c>
      <c r="AA208" s="5" t="s">
        <v>6100</v>
      </c>
      <c r="AB208" s="3" t="str">
        <f t="shared" si="19"/>
        <v>["-HAPPY-","-ENERGY-","","","GN_FrenchElectro"]</v>
      </c>
      <c r="AC208" s="3" t="str">
        <f>_xlfn.XLOOKUP(A208,Album!A:A,Album!J:J)</f>
        <v>https://i.scdn.co/image/ab67616d0000b273bd5ba80ea2ad342e488ba54d</v>
      </c>
      <c r="AD208" s="3"/>
      <c r="AE208" s="3"/>
      <c r="AF208" s="3"/>
      <c r="AG208" s="3"/>
      <c r="AH208" s="3"/>
    </row>
    <row r="209" spans="1:34" x14ac:dyDescent="0.3">
      <c r="A209" s="11" t="s">
        <v>1144</v>
      </c>
      <c r="B209" s="12" t="s">
        <v>5831</v>
      </c>
      <c r="C209" s="12" t="s">
        <v>1145</v>
      </c>
      <c r="D209" s="13" t="s">
        <v>3358</v>
      </c>
      <c r="E209" s="6">
        <v>40038</v>
      </c>
      <c r="F209" s="3">
        <v>194346</v>
      </c>
      <c r="G209" s="3">
        <v>42</v>
      </c>
      <c r="H209" s="3" t="s">
        <v>5832</v>
      </c>
      <c r="I209" s="3" t="s">
        <v>1013</v>
      </c>
      <c r="J209" s="3" t="s">
        <v>1019</v>
      </c>
      <c r="K209" s="3" t="s">
        <v>83</v>
      </c>
      <c r="L209" s="3">
        <v>0.80900000000000005</v>
      </c>
      <c r="M209" s="3">
        <v>0.56200000000000006</v>
      </c>
      <c r="N209" s="3">
        <v>11</v>
      </c>
      <c r="O209" s="8">
        <v>-7694</v>
      </c>
      <c r="P209" s="3">
        <v>0</v>
      </c>
      <c r="Q209" s="3">
        <v>5.3400000000000003E-2</v>
      </c>
      <c r="R209" s="3">
        <v>8.1600000000000006E-2</v>
      </c>
      <c r="S209" s="3">
        <v>4.1800000000000002E-4</v>
      </c>
      <c r="T209" s="3">
        <v>0.105</v>
      </c>
      <c r="U209" s="3">
        <v>0.79800000000000004</v>
      </c>
      <c r="V209" s="8">
        <v>130003</v>
      </c>
      <c r="W209" s="3">
        <v>4</v>
      </c>
      <c r="X209" s="3" t="str">
        <f t="shared" si="16"/>
        <v>-HAPPY-</v>
      </c>
      <c r="Y209" s="3" t="str">
        <f t="shared" si="17"/>
        <v>-ENERGY-</v>
      </c>
      <c r="Z209" s="4" t="str">
        <f t="shared" si="18"/>
        <v>{"couname":"Sexy Chick","img":"https://i.scdn.co/image/ab67616d0000b273eaa1580841f3f03ac4d7206b","pty":"42","artist":"David Guetta, Akon","genres":"edm,dance","duration":"194346","spotId":"6cckkNz643s6DcIBdEuPDd","Items":["-HAPPY-","-ENERGY-","","","GN_FrenchElectro"]},</v>
      </c>
      <c r="AA209" s="5" t="s">
        <v>6100</v>
      </c>
      <c r="AB209" s="3" t="str">
        <f t="shared" si="19"/>
        <v>["-HAPPY-","-ENERGY-","","","GN_FrenchElectro"]</v>
      </c>
      <c r="AC209" s="3" t="str">
        <f>_xlfn.XLOOKUP(A209,Album!A:A,Album!J:J)</f>
        <v>https://i.scdn.co/image/ab67616d0000b273eaa1580841f3f03ac4d7206b</v>
      </c>
      <c r="AD209" s="3"/>
      <c r="AE209" s="3"/>
      <c r="AF209" s="3"/>
      <c r="AG209" s="3"/>
      <c r="AH209" s="3"/>
    </row>
    <row r="210" spans="1:34" x14ac:dyDescent="0.3">
      <c r="A210" s="11" t="s">
        <v>1370</v>
      </c>
      <c r="B210" s="12" t="s">
        <v>1371</v>
      </c>
      <c r="C210" s="12" t="s">
        <v>1372</v>
      </c>
      <c r="D210" s="13" t="s">
        <v>1345</v>
      </c>
      <c r="E210" s="6">
        <v>37039</v>
      </c>
      <c r="F210" s="3">
        <v>277653</v>
      </c>
      <c r="G210" s="3">
        <v>42</v>
      </c>
      <c r="H210" s="3" t="s">
        <v>5830</v>
      </c>
      <c r="I210" s="3" t="s">
        <v>1336</v>
      </c>
      <c r="J210" s="3" t="s">
        <v>1337</v>
      </c>
      <c r="K210" s="3" t="s">
        <v>83</v>
      </c>
      <c r="L210" s="3">
        <v>0.70699999999999996</v>
      </c>
      <c r="M210" s="3">
        <v>0.33800000000000002</v>
      </c>
      <c r="N210" s="3">
        <v>7</v>
      </c>
      <c r="O210" s="8">
        <v>-8322</v>
      </c>
      <c r="P210" s="3">
        <v>0</v>
      </c>
      <c r="Q210" s="3">
        <v>3.7199999999999997E-2</v>
      </c>
      <c r="R210" s="3">
        <v>0.158</v>
      </c>
      <c r="S210" s="3">
        <v>0.626</v>
      </c>
      <c r="T210" s="3">
        <v>6.0600000000000001E-2</v>
      </c>
      <c r="U210" s="3">
        <v>0.15</v>
      </c>
      <c r="V210" s="8">
        <v>124841</v>
      </c>
      <c r="W210" s="3">
        <v>4</v>
      </c>
      <c r="X210" s="3" t="str">
        <f t="shared" si="16"/>
        <v>-SADNE-</v>
      </c>
      <c r="Y210" s="3" t="str">
        <f t="shared" si="17"/>
        <v>-ENERGY-</v>
      </c>
      <c r="Z210" s="4" t="str">
        <f t="shared" si="18"/>
        <v>{"couname":"How Does It Make You Feel?","img":"https://i.scdn.co/image/ab67616d0000b2735c2d2f43471655dbbf3d6284","pty":"42","artist":"Air","genres":"trip hop,downtempo,house francés","duration":"277653","spotId":"4IoqGTH2D6zMrGzg9gW0DL","Items":["-SADNE-","-ENERGY-","","","GN_FrenchElectro"]},</v>
      </c>
      <c r="AA210" s="5" t="s">
        <v>6100</v>
      </c>
      <c r="AB210" s="3" t="str">
        <f t="shared" si="19"/>
        <v>["-SADNE-","-ENERGY-","","","GN_FrenchElectro"]</v>
      </c>
      <c r="AC210" s="3" t="str">
        <f>_xlfn.XLOOKUP(A210,Album!A:A,Album!J:J)</f>
        <v>https://i.scdn.co/image/ab67616d0000b2735c2d2f43471655dbbf3d6284</v>
      </c>
      <c r="AD210" s="3"/>
      <c r="AE210" s="3"/>
      <c r="AF210" s="3"/>
      <c r="AG210" s="3"/>
      <c r="AH210" s="3"/>
    </row>
    <row r="211" spans="1:34" x14ac:dyDescent="0.3">
      <c r="A211" s="11" t="s">
        <v>1496</v>
      </c>
      <c r="B211" s="12" t="s">
        <v>1497</v>
      </c>
      <c r="C211" s="12" t="s">
        <v>1462</v>
      </c>
      <c r="D211" s="13" t="s">
        <v>4110</v>
      </c>
      <c r="E211" s="6">
        <v>42587</v>
      </c>
      <c r="F211" s="3">
        <v>286880</v>
      </c>
      <c r="G211" s="3">
        <v>42</v>
      </c>
      <c r="H211" s="3" t="s">
        <v>5829</v>
      </c>
      <c r="I211" s="3" t="s">
        <v>1463</v>
      </c>
      <c r="J211" s="3"/>
      <c r="K211" s="3" t="s">
        <v>1464</v>
      </c>
      <c r="L211" s="3">
        <v>0.55400000000000005</v>
      </c>
      <c r="M211" s="3">
        <v>0.77800000000000002</v>
      </c>
      <c r="N211" s="3">
        <v>10</v>
      </c>
      <c r="O211" s="8">
        <v>-3905</v>
      </c>
      <c r="P211" s="3">
        <v>0</v>
      </c>
      <c r="Q211" s="3">
        <v>4.6600000000000003E-2</v>
      </c>
      <c r="R211" s="3">
        <v>0.156</v>
      </c>
      <c r="S211" s="3">
        <v>2.7199999999999998E-6</v>
      </c>
      <c r="T211" s="3">
        <v>0.11700000000000001</v>
      </c>
      <c r="U211" s="3">
        <v>0.21299999999999999</v>
      </c>
      <c r="V211" s="8">
        <v>79982</v>
      </c>
      <c r="W211" s="3">
        <v>4</v>
      </c>
      <c r="X211" s="3" t="str">
        <f t="shared" si="16"/>
        <v>-SADNE-</v>
      </c>
      <c r="Y211" s="3" t="str">
        <f t="shared" si="17"/>
        <v>-ENERGY-</v>
      </c>
      <c r="Z211" s="4" t="str">
        <f t="shared" si="18"/>
        <v>{"couname":"Here Comes The Night","img":"https://i.scdn.co/image/ab67616d0000b273212d776c31027c511f0ee3bc","pty":"42","artist":"DJ Snake, Mr Hudson","genres":"","duration":"286880","spotId":"1CpCIb8zybdjskLQRL6rEC","Items":["-SADNE-","-ENERGY-","","","GN_FrenchElectro"]},</v>
      </c>
      <c r="AA211" s="5" t="s">
        <v>6100</v>
      </c>
      <c r="AB211" s="3" t="str">
        <f t="shared" si="19"/>
        <v>["-SADNE-","-ENERGY-","","","GN_FrenchElectro"]</v>
      </c>
      <c r="AC211" s="3" t="str">
        <f>_xlfn.XLOOKUP(A211,Album!A:A,Album!J:J)</f>
        <v>https://i.scdn.co/image/ab67616d0000b273212d776c31027c511f0ee3bc</v>
      </c>
      <c r="AD211" s="3"/>
      <c r="AE211" s="3"/>
      <c r="AF211" s="3"/>
      <c r="AG211" s="3"/>
      <c r="AH211" s="3"/>
    </row>
    <row r="212" spans="1:34" x14ac:dyDescent="0.3">
      <c r="A212" s="11" t="s">
        <v>1875</v>
      </c>
      <c r="B212" s="12" t="s">
        <v>1876</v>
      </c>
      <c r="C212" s="12" t="s">
        <v>1876</v>
      </c>
      <c r="D212" s="13" t="s">
        <v>9</v>
      </c>
      <c r="E212" s="6">
        <v>38425</v>
      </c>
      <c r="F212" s="3">
        <v>319879</v>
      </c>
      <c r="G212" s="3">
        <v>42</v>
      </c>
      <c r="H212" s="3" t="s">
        <v>5828</v>
      </c>
      <c r="I212" s="3" t="s">
        <v>1809</v>
      </c>
      <c r="J212" s="3" t="s">
        <v>1810</v>
      </c>
      <c r="K212" s="3" t="s">
        <v>1811</v>
      </c>
      <c r="L212" s="3">
        <v>0.60799999999999998</v>
      </c>
      <c r="M212" s="3">
        <v>0.72499999999999998</v>
      </c>
      <c r="N212" s="3">
        <v>0</v>
      </c>
      <c r="O212" s="8">
        <v>-4367</v>
      </c>
      <c r="P212" s="3">
        <v>1</v>
      </c>
      <c r="Q212" s="3">
        <v>0.34200000000000003</v>
      </c>
      <c r="R212" s="3">
        <v>1.39E-3</v>
      </c>
      <c r="S212" s="3">
        <v>5.4600000000000003E-2</v>
      </c>
      <c r="T212" s="3">
        <v>8.0199999999999994E-2</v>
      </c>
      <c r="U212" s="3">
        <v>0.80200000000000005</v>
      </c>
      <c r="V212" s="8">
        <v>136251</v>
      </c>
      <c r="W212" s="3">
        <v>4</v>
      </c>
      <c r="X212" s="3" t="str">
        <f t="shared" si="16"/>
        <v>-HAPPY-</v>
      </c>
      <c r="Y212" s="3" t="str">
        <f t="shared" si="17"/>
        <v>-ENERGY-</v>
      </c>
      <c r="Z212" s="4" t="str">
        <f t="shared" si="18"/>
        <v>{"couname":"Human After All","img":"https://i.scdn.co/image/ab67616d0000b273d8601e15fa1b4351fe1fc6ae","pty":"42","artist":"Daft Punk","genres":"house francés,electrónica,electro","duration":"319879","spotId":"3aByRUC2BVL6Fs1zI723sd","Items":["-HAPPY-","-ENERGY-","","","GN_FrenchElectro"]},</v>
      </c>
      <c r="AA212" s="5" t="s">
        <v>6100</v>
      </c>
      <c r="AB212" s="3" t="str">
        <f t="shared" si="19"/>
        <v>["-HAPPY-","-ENERGY-","","","GN_FrenchElectro"]</v>
      </c>
      <c r="AC212" s="3" t="str">
        <f>_xlfn.XLOOKUP(A212,Album!A:A,Album!J:J)</f>
        <v>https://i.scdn.co/image/ab67616d0000b273d8601e15fa1b4351fe1fc6ae</v>
      </c>
      <c r="AD212" s="3"/>
      <c r="AE212" s="3"/>
      <c r="AF212" s="3"/>
      <c r="AG212" s="3"/>
      <c r="AH212" s="3"/>
    </row>
    <row r="213" spans="1:34" x14ac:dyDescent="0.3">
      <c r="A213" s="11" t="s">
        <v>1897</v>
      </c>
      <c r="B213" s="12" t="s">
        <v>5826</v>
      </c>
      <c r="C213" s="12" t="s">
        <v>1898</v>
      </c>
      <c r="D213" s="13" t="s">
        <v>9</v>
      </c>
      <c r="E213" s="6">
        <v>40515</v>
      </c>
      <c r="F213" s="3">
        <v>148013</v>
      </c>
      <c r="G213" s="3">
        <v>42</v>
      </c>
      <c r="H213" s="3" t="s">
        <v>5827</v>
      </c>
      <c r="I213" s="3" t="s">
        <v>1809</v>
      </c>
      <c r="J213" s="3" t="s">
        <v>1810</v>
      </c>
      <c r="K213" s="3" t="s">
        <v>51</v>
      </c>
      <c r="L213" s="3">
        <v>0.104</v>
      </c>
      <c r="M213" s="3">
        <v>8.1799999999999998E-2</v>
      </c>
      <c r="N213" s="3">
        <v>1</v>
      </c>
      <c r="O213" s="8">
        <v>-14773</v>
      </c>
      <c r="P213" s="3">
        <v>1</v>
      </c>
      <c r="Q213" s="3">
        <v>4.8300000000000003E-2</v>
      </c>
      <c r="R213" s="3">
        <v>0.873</v>
      </c>
      <c r="S213" s="3">
        <v>0.97599999999999998</v>
      </c>
      <c r="T213" s="3">
        <v>0.13200000000000001</v>
      </c>
      <c r="U213" s="3">
        <v>3.78E-2</v>
      </c>
      <c r="V213" s="8">
        <v>72639</v>
      </c>
      <c r="W213" s="3">
        <v>3</v>
      </c>
      <c r="X213" s="3" t="str">
        <f t="shared" si="16"/>
        <v>-SADNE-</v>
      </c>
      <c r="Y213" s="3" t="str">
        <f t="shared" si="17"/>
        <v>-SLOWSS-</v>
      </c>
      <c r="Z213" s="4" t="str">
        <f t="shared" si="18"/>
        <v>{"couname":"Overture","img":"https://i.scdn.co/image/ab67616d0000b27366919acb93950333962467f8","pty":"42","artist":"Daft Punk","genres":"house francés,electrónica,electro","duration":"148013","spotId":"3vYg8WcDdRyiHfOpfjqlTa","Items":["-SADNE-","-SLOWSS-","","","GN_FrenchElectro"]},</v>
      </c>
      <c r="AA213" s="5" t="s">
        <v>6100</v>
      </c>
      <c r="AB213" s="3" t="str">
        <f t="shared" si="19"/>
        <v>["-SADNE-","-SLOWSS-","","","GN_FrenchElectro"]</v>
      </c>
      <c r="AC213" s="3" t="str">
        <f>_xlfn.XLOOKUP(A213,Album!A:A,Album!J:J)</f>
        <v>https://i.scdn.co/image/ab67616d0000b27366919acb93950333962467f8</v>
      </c>
      <c r="AD213" s="3"/>
      <c r="AE213" s="3"/>
      <c r="AF213" s="3"/>
      <c r="AG213" s="3"/>
      <c r="AH213" s="3"/>
    </row>
    <row r="214" spans="1:34" x14ac:dyDescent="0.3">
      <c r="A214" s="11" t="s">
        <v>1962</v>
      </c>
      <c r="B214" s="12" t="s">
        <v>1963</v>
      </c>
      <c r="C214" s="12" t="s">
        <v>1951</v>
      </c>
      <c r="D214" s="13" t="s">
        <v>9</v>
      </c>
      <c r="E214" s="6">
        <v>39405</v>
      </c>
      <c r="F214" s="3">
        <v>295226</v>
      </c>
      <c r="G214" s="3">
        <v>42</v>
      </c>
      <c r="H214" s="3" t="s">
        <v>5825</v>
      </c>
      <c r="I214" s="3" t="s">
        <v>1809</v>
      </c>
      <c r="J214" s="3" t="s">
        <v>1810</v>
      </c>
      <c r="K214" s="3" t="s">
        <v>1811</v>
      </c>
      <c r="L214" s="3">
        <v>0.52500000000000002</v>
      </c>
      <c r="M214" s="3">
        <v>0.59899999999999998</v>
      </c>
      <c r="N214" s="3">
        <v>6</v>
      </c>
      <c r="O214" s="8">
        <v>-12666</v>
      </c>
      <c r="P214" s="3">
        <v>1</v>
      </c>
      <c r="Q214" s="3">
        <v>5.8099999999999999E-2</v>
      </c>
      <c r="R214" s="3">
        <v>0.26100000000000001</v>
      </c>
      <c r="S214" s="3">
        <v>2.1000000000000001E-2</v>
      </c>
      <c r="T214" s="3">
        <v>0.71699999999999997</v>
      </c>
      <c r="U214" s="3">
        <v>0.188</v>
      </c>
      <c r="V214" s="8">
        <v>125976</v>
      </c>
      <c r="W214" s="3">
        <v>4</v>
      </c>
      <c r="X214" s="3" t="str">
        <f t="shared" si="16"/>
        <v>-SADNE-</v>
      </c>
      <c r="Y214" s="3" t="str">
        <f t="shared" si="17"/>
        <v>-ENERGY-</v>
      </c>
      <c r="Z214" s="4" t="str">
        <f t="shared" si="18"/>
        <v>{"couname":"Face to Face / Short Circuit","img":"https://i.scdn.co/image/ab67616d0000b273673288fb985e5c194536ae27","pty":"42","artist":"Daft Punk","genres":"house francés,electrónica,electro","duration":"295226","spotId":"5XzGyYZemDuCG3OdbhVFvh","Items":["-SADNE-","-ENERGY-","","","GN_FrenchElectro"]},</v>
      </c>
      <c r="AA214" s="5" t="s">
        <v>6100</v>
      </c>
      <c r="AB214" s="3" t="str">
        <f t="shared" si="19"/>
        <v>["-SADNE-","-ENERGY-","","","GN_FrenchElectro"]</v>
      </c>
      <c r="AC214" s="3" t="str">
        <f>_xlfn.XLOOKUP(A214,Album!A:A,Album!J:J)</f>
        <v>https://i.scdn.co/image/ab67616d0000b273673288fb985e5c194536ae27</v>
      </c>
      <c r="AD214" s="3"/>
      <c r="AE214" s="3"/>
      <c r="AF214" s="3"/>
      <c r="AG214" s="3"/>
      <c r="AH214" s="3"/>
    </row>
    <row r="215" spans="1:34" x14ac:dyDescent="0.3">
      <c r="A215" s="11" t="s">
        <v>1968</v>
      </c>
      <c r="B215" s="12" t="s">
        <v>1969</v>
      </c>
      <c r="C215" s="12" t="s">
        <v>1951</v>
      </c>
      <c r="D215" s="13" t="s">
        <v>9</v>
      </c>
      <c r="E215" s="6">
        <v>39405</v>
      </c>
      <c r="F215" s="3">
        <v>622480</v>
      </c>
      <c r="G215" s="3">
        <v>42</v>
      </c>
      <c r="H215" s="3" t="s">
        <v>5824</v>
      </c>
      <c r="I215" s="3" t="s">
        <v>1809</v>
      </c>
      <c r="J215" s="3" t="s">
        <v>1810</v>
      </c>
      <c r="K215" s="3" t="s">
        <v>1811</v>
      </c>
      <c r="L215" s="3">
        <v>0.53100000000000003</v>
      </c>
      <c r="M215" s="3">
        <v>0.84599999999999997</v>
      </c>
      <c r="N215" s="3">
        <v>11</v>
      </c>
      <c r="O215" s="8">
        <v>-9652</v>
      </c>
      <c r="P215" s="3">
        <v>0</v>
      </c>
      <c r="Q215" s="3">
        <v>5.1999999999999998E-2</v>
      </c>
      <c r="R215" s="3">
        <v>5.5500000000000001E-5</v>
      </c>
      <c r="S215" s="3">
        <v>0.81599999999999995</v>
      </c>
      <c r="T215" s="3">
        <v>0.88100000000000001</v>
      </c>
      <c r="U215" s="3">
        <v>5.5E-2</v>
      </c>
      <c r="V215" s="8">
        <v>130032</v>
      </c>
      <c r="W215" s="3">
        <v>4</v>
      </c>
      <c r="X215" s="3" t="str">
        <f t="shared" si="16"/>
        <v>-SADNE-</v>
      </c>
      <c r="Y215" s="3" t="str">
        <f t="shared" si="17"/>
        <v>-ENERGY-</v>
      </c>
      <c r="Z215" s="4" t="str">
        <f t="shared" si="18"/>
        <v>{"couname":"Prime Time of Your Life / Brainwasher / Rollin' &amp; Scratchin' / Alive","img":"https://i.scdn.co/image/ab67616d0000b273673288fb985e5c194536ae27","pty":"42","artist":"Daft Punk","genres":"house francés,electrónica,electro","duration":"622480","spotId":"3qVD67mL0JxgU0VQVKR52G","Items":["-SADNE-","-ENERGY-","","","GN_FrenchElectro"]},</v>
      </c>
      <c r="AA215" s="5" t="s">
        <v>6100</v>
      </c>
      <c r="AB215" s="3" t="str">
        <f t="shared" si="19"/>
        <v>["-SADNE-","-ENERGY-","","","GN_FrenchElectro"]</v>
      </c>
      <c r="AC215" s="3" t="str">
        <f>_xlfn.XLOOKUP(A215,Album!A:A,Album!J:J)</f>
        <v>https://i.scdn.co/image/ab67616d0000b273673288fb985e5c194536ae27</v>
      </c>
      <c r="AD215" s="3"/>
      <c r="AE215" s="3"/>
      <c r="AF215" s="3"/>
      <c r="AG215" s="3"/>
      <c r="AH215" s="3"/>
    </row>
    <row r="216" spans="1:34" x14ac:dyDescent="0.3">
      <c r="A216" s="11" t="s">
        <v>1974</v>
      </c>
      <c r="B216" s="12" t="s">
        <v>1975</v>
      </c>
      <c r="C216" s="12" t="s">
        <v>1951</v>
      </c>
      <c r="D216" s="13" t="s">
        <v>9</v>
      </c>
      <c r="E216" s="6">
        <v>39405</v>
      </c>
      <c r="F216" s="3">
        <v>598666</v>
      </c>
      <c r="G216" s="3">
        <v>42</v>
      </c>
      <c r="H216" s="3" t="s">
        <v>5823</v>
      </c>
      <c r="I216" s="3" t="s">
        <v>1809</v>
      </c>
      <c r="J216" s="3" t="s">
        <v>1810</v>
      </c>
      <c r="K216" s="3" t="s">
        <v>1811</v>
      </c>
      <c r="L216" s="3">
        <v>0.47099999999999997</v>
      </c>
      <c r="M216" s="3">
        <v>0.84799999999999998</v>
      </c>
      <c r="N216" s="3">
        <v>11</v>
      </c>
      <c r="O216" s="8">
        <v>-11331</v>
      </c>
      <c r="P216" s="3">
        <v>0</v>
      </c>
      <c r="Q216" s="3">
        <v>5.9499999999999997E-2</v>
      </c>
      <c r="R216" s="3">
        <v>8.1899999999999999E-5</v>
      </c>
      <c r="S216" s="3">
        <v>0.28399999999999997</v>
      </c>
      <c r="T216" s="3">
        <v>0.95199999999999996</v>
      </c>
      <c r="U216" s="3">
        <v>0.11700000000000001</v>
      </c>
      <c r="V216" s="8">
        <v>131045</v>
      </c>
      <c r="W216" s="3">
        <v>4</v>
      </c>
      <c r="X216" s="3" t="str">
        <f t="shared" si="16"/>
        <v>-SADNE-</v>
      </c>
      <c r="Y216" s="3" t="str">
        <f t="shared" si="17"/>
        <v>-ENERGY-</v>
      </c>
      <c r="Z216" s="4" t="str">
        <f t="shared" si="18"/>
        <v>{"couname":"Human After All / Together / One More Time / Music Sounds Better with You","img":"https://i.scdn.co/image/ab67616d0000b273673288fb985e5c194536ae27","pty":"42","artist":"Daft Punk","genres":"house francés,electrónica,electro","duration":"598666","spotId":"5q2KGgJV5l4MAnnGIrvKSK","Items":["-SADNE-","-ENERGY-","","","GN_FrenchElectro"]},</v>
      </c>
      <c r="AA216" s="5" t="s">
        <v>6100</v>
      </c>
      <c r="AB216" s="3" t="str">
        <f t="shared" si="19"/>
        <v>["-SADNE-","-ENERGY-","","","GN_FrenchElectro"]</v>
      </c>
      <c r="AC216" s="3" t="str">
        <f>_xlfn.XLOOKUP(A216,Album!A:A,Album!J:J)</f>
        <v>https://i.scdn.co/image/ab67616d0000b273673288fb985e5c194536ae27</v>
      </c>
      <c r="AD216" s="3"/>
      <c r="AE216" s="3"/>
      <c r="AF216" s="3"/>
      <c r="AG216" s="3"/>
      <c r="AH216" s="3"/>
    </row>
    <row r="217" spans="1:34" x14ac:dyDescent="0.3">
      <c r="A217" s="11" t="s">
        <v>496</v>
      </c>
      <c r="B217" s="12" t="s">
        <v>497</v>
      </c>
      <c r="C217" s="12" t="s">
        <v>497</v>
      </c>
      <c r="D217" s="13" t="s">
        <v>2584</v>
      </c>
      <c r="E217" s="6">
        <v>45422</v>
      </c>
      <c r="F217" s="3">
        <v>162701</v>
      </c>
      <c r="G217" s="3">
        <v>41</v>
      </c>
      <c r="H217" s="3" t="s">
        <v>5822</v>
      </c>
      <c r="I217" s="3" t="s">
        <v>462</v>
      </c>
      <c r="J217" s="3" t="s">
        <v>491</v>
      </c>
      <c r="K217" s="3" t="s">
        <v>469</v>
      </c>
      <c r="L217" s="3">
        <v>0.41799999999999998</v>
      </c>
      <c r="M217" s="3">
        <v>0.76400000000000001</v>
      </c>
      <c r="N217" s="3">
        <v>4</v>
      </c>
      <c r="O217" s="8">
        <v>-5.67</v>
      </c>
      <c r="P217" s="3">
        <v>0</v>
      </c>
      <c r="Q217" s="3">
        <v>3.39E-2</v>
      </c>
      <c r="R217" s="3">
        <v>4.13E-3</v>
      </c>
      <c r="S217" s="3">
        <v>3.5499999999999997E-2</v>
      </c>
      <c r="T217" s="3">
        <v>0.25800000000000001</v>
      </c>
      <c r="U217" s="3">
        <v>0.42499999999999999</v>
      </c>
      <c r="V217" s="8">
        <v>117083</v>
      </c>
      <c r="W217" s="3">
        <v>4</v>
      </c>
      <c r="X217" s="3" t="str">
        <f t="shared" si="16"/>
        <v>-HAPPY-</v>
      </c>
      <c r="Y217" s="3" t="str">
        <f t="shared" si="17"/>
        <v>-ENERGY-</v>
      </c>
      <c r="Z217" s="4" t="str">
        <f t="shared" si="18"/>
        <v>{"couname":"Digane","img":"https://i.scdn.co/image/ab67616d0000b2732732b79514bbad858cda02da","pty":"41","artist":"Bob Sinclar, Sofiya Nzau","genres":"house francés,disco house,afro house","duration":"162701","spotId":"2jRH7jNpx7kqTHLyay4Fhe","Items":["-HAPPY-","-ENERGY-","","","GN_FrenchElectro"]},</v>
      </c>
      <c r="AA217" s="5" t="s">
        <v>6100</v>
      </c>
      <c r="AB217" s="3" t="str">
        <f t="shared" si="19"/>
        <v>["-HAPPY-","-ENERGY-","","","GN_FrenchElectro"]</v>
      </c>
      <c r="AC217" s="3" t="str">
        <f>_xlfn.XLOOKUP(A217,Album!A:A,Album!J:J)</f>
        <v>https://i.scdn.co/image/ab67616d0000b2732732b79514bbad858cda02da</v>
      </c>
      <c r="AD217" s="3"/>
      <c r="AE217" s="3"/>
      <c r="AF217" s="3"/>
      <c r="AG217" s="3"/>
      <c r="AH217" s="3"/>
    </row>
    <row r="218" spans="1:34" x14ac:dyDescent="0.3">
      <c r="A218" s="11" t="s">
        <v>791</v>
      </c>
      <c r="B218" s="12" t="s">
        <v>792</v>
      </c>
      <c r="C218" s="12" t="s">
        <v>780</v>
      </c>
      <c r="D218" s="13" t="s">
        <v>745</v>
      </c>
      <c r="E218" s="6">
        <v>42692</v>
      </c>
      <c r="F218" s="3">
        <v>297316</v>
      </c>
      <c r="G218" s="3">
        <v>41</v>
      </c>
      <c r="H218" s="3" t="s">
        <v>5821</v>
      </c>
      <c r="I218" s="3" t="s">
        <v>738</v>
      </c>
      <c r="J218" s="3" t="s">
        <v>742</v>
      </c>
      <c r="K218" s="3" t="s">
        <v>19</v>
      </c>
      <c r="L218" s="3">
        <v>0.52500000000000002</v>
      </c>
      <c r="M218" s="3">
        <v>0.63400000000000001</v>
      </c>
      <c r="N218" s="3">
        <v>1</v>
      </c>
      <c r="O218" s="8">
        <v>-5866</v>
      </c>
      <c r="P218" s="3">
        <v>1</v>
      </c>
      <c r="Q218" s="3">
        <v>3.6999999999999998E-2</v>
      </c>
      <c r="R218" s="3">
        <v>7.4999999999999997E-2</v>
      </c>
      <c r="S218" s="3">
        <v>1.06E-4</v>
      </c>
      <c r="T218" s="3">
        <v>0.113</v>
      </c>
      <c r="U218" s="3">
        <v>0.66100000000000003</v>
      </c>
      <c r="V218" s="8">
        <v>170065</v>
      </c>
      <c r="W218" s="3">
        <v>4</v>
      </c>
      <c r="X218" s="3" t="str">
        <f t="shared" si="16"/>
        <v>-HAPPY-</v>
      </c>
      <c r="Y218" s="3" t="str">
        <f t="shared" si="17"/>
        <v>-ENERGY-</v>
      </c>
      <c r="Z218" s="4" t="str">
        <f t="shared" si="18"/>
        <v>{"couname":"Stop","img":"https://i.scdn.co/image/ab67616d0000b273d4a2f9a24620e329d2db7078","pty":"41","artist":"Justice","genres":"house francés,new rave,rock electrónico","duration":"297316","spotId":"0WQbCSbujb6bSPVENrWYrl","Items":["-HAPPY-","-ENERGY-","","","GN_FrenchElectro"]},</v>
      </c>
      <c r="AA218" s="5" t="s">
        <v>6100</v>
      </c>
      <c r="AB218" s="3" t="str">
        <f t="shared" si="19"/>
        <v>["-HAPPY-","-ENERGY-","","","GN_FrenchElectro"]</v>
      </c>
      <c r="AC218" s="3" t="str">
        <f>_xlfn.XLOOKUP(A218,Album!A:A,Album!J:J)</f>
        <v>https://i.scdn.co/image/ab67616d0000b273d4a2f9a24620e329d2db7078</v>
      </c>
      <c r="AD218" s="3"/>
      <c r="AE218" s="3"/>
      <c r="AF218" s="3"/>
      <c r="AG218" s="3"/>
      <c r="AH218" s="3"/>
    </row>
    <row r="219" spans="1:34" x14ac:dyDescent="0.3">
      <c r="A219" s="11" t="s">
        <v>817</v>
      </c>
      <c r="B219" s="12" t="s">
        <v>818</v>
      </c>
      <c r="C219" s="12" t="s">
        <v>745</v>
      </c>
      <c r="D219" s="13" t="s">
        <v>745</v>
      </c>
      <c r="E219" s="6">
        <v>39244</v>
      </c>
      <c r="F219" s="3">
        <v>216893</v>
      </c>
      <c r="G219" s="3">
        <v>41</v>
      </c>
      <c r="H219" s="3" t="s">
        <v>5820</v>
      </c>
      <c r="I219" s="3" t="s">
        <v>738</v>
      </c>
      <c r="J219" s="3" t="s">
        <v>742</v>
      </c>
      <c r="K219" s="3" t="s">
        <v>770</v>
      </c>
      <c r="L219" s="3">
        <v>0.64900000000000002</v>
      </c>
      <c r="M219" s="3">
        <v>0.877</v>
      </c>
      <c r="N219" s="3">
        <v>0</v>
      </c>
      <c r="O219" s="8">
        <v>-4679</v>
      </c>
      <c r="P219" s="3">
        <v>1</v>
      </c>
      <c r="Q219" s="3">
        <v>0.33800000000000002</v>
      </c>
      <c r="R219" s="3">
        <v>3.3500000000000002E-2</v>
      </c>
      <c r="S219" s="3">
        <v>1.4300000000000001E-6</v>
      </c>
      <c r="T219" s="3">
        <v>0.35</v>
      </c>
      <c r="U219" s="3">
        <v>0.78100000000000003</v>
      </c>
      <c r="V219" s="8">
        <v>115.03</v>
      </c>
      <c r="W219" s="3">
        <v>4</v>
      </c>
      <c r="X219" s="3" t="str">
        <f t="shared" si="16"/>
        <v>-HAPPY-</v>
      </c>
      <c r="Y219" s="3" t="str">
        <f t="shared" si="17"/>
        <v>-ENERGY-</v>
      </c>
      <c r="Z219" s="4" t="str">
        <f t="shared" si="18"/>
        <v>{"couname":"Newjack","img":"https://i.scdn.co/image/ab67616d0000b2731c0bcf8b536295438d26c70d","pty":"41","artist":"Justice","genres":"house francés,new rave,rock electrónico","duration":"216893","spotId":"64KZZUapCQHba7jibt5yYQ","Items":["-HAPPY-","-ENERGY-","","","GN_FrenchElectro"]},</v>
      </c>
      <c r="AA219" s="5" t="s">
        <v>6100</v>
      </c>
      <c r="AB219" s="3" t="str">
        <f t="shared" si="19"/>
        <v>["-HAPPY-","-ENERGY-","","","GN_FrenchElectro"]</v>
      </c>
      <c r="AC219" s="3" t="str">
        <f>_xlfn.XLOOKUP(A219,Album!A:A,Album!J:J)</f>
        <v>https://i.scdn.co/image/ab67616d0000b2731c0bcf8b536295438d26c70d</v>
      </c>
      <c r="AD219" s="3"/>
      <c r="AE219" s="3"/>
      <c r="AF219" s="3"/>
      <c r="AG219" s="3"/>
      <c r="AH219" s="3"/>
    </row>
    <row r="220" spans="1:34" x14ac:dyDescent="0.3">
      <c r="A220" s="11" t="s">
        <v>935</v>
      </c>
      <c r="B220" s="12" t="s">
        <v>936</v>
      </c>
      <c r="C220" s="12" t="s">
        <v>908</v>
      </c>
      <c r="D220" s="13" t="s">
        <v>842</v>
      </c>
      <c r="E220" s="6">
        <v>41596</v>
      </c>
      <c r="F220" s="3">
        <v>214903</v>
      </c>
      <c r="G220" s="3">
        <v>41</v>
      </c>
      <c r="H220" s="3" t="s">
        <v>5819</v>
      </c>
      <c r="I220" s="3" t="s">
        <v>889</v>
      </c>
      <c r="J220" s="3" t="s">
        <v>844</v>
      </c>
      <c r="K220" s="3" t="s">
        <v>890</v>
      </c>
      <c r="L220" s="3">
        <v>0.24299999999999999</v>
      </c>
      <c r="M220" s="3">
        <v>0.29899999999999999</v>
      </c>
      <c r="N220" s="3">
        <v>5</v>
      </c>
      <c r="O220" s="8">
        <v>-13986</v>
      </c>
      <c r="P220" s="3">
        <v>1</v>
      </c>
      <c r="Q220" s="3">
        <v>3.0800000000000001E-2</v>
      </c>
      <c r="R220" s="3">
        <v>0.90500000000000003</v>
      </c>
      <c r="S220" s="3">
        <v>0.95299999999999996</v>
      </c>
      <c r="T220" s="3">
        <v>7.9799999999999996E-2</v>
      </c>
      <c r="U220" s="3">
        <v>7.9100000000000004E-2</v>
      </c>
      <c r="V220" s="8">
        <v>75011</v>
      </c>
      <c r="W220" s="3">
        <v>3</v>
      </c>
      <c r="X220" s="3" t="str">
        <f t="shared" si="16"/>
        <v>-SADNE-</v>
      </c>
      <c r="Y220" s="3" t="str">
        <f t="shared" si="17"/>
        <v>-SLOWSS-</v>
      </c>
      <c r="Z220" s="4" t="str">
        <f t="shared" si="18"/>
        <v>{"couname":"Holograms","img":"https://i.scdn.co/image/ab67616d0000b273dc2d1dcf42c7f1368b8014ac","pty":"41","artist":"M83","genres":"indietronica","duration":"214903","spotId":"3EWHIBw5UYb88fOZQOTSMs","Items":["-SADNE-","-SLOWSS-","","","GN_FrenchElectro"]},</v>
      </c>
      <c r="AA220" s="5" t="s">
        <v>6100</v>
      </c>
      <c r="AB220" s="3" t="str">
        <f t="shared" si="19"/>
        <v>["-SADNE-","-SLOWSS-","","","GN_FrenchElectro"]</v>
      </c>
      <c r="AC220" s="3" t="str">
        <f>_xlfn.XLOOKUP(A220,Album!A:A,Album!J:J)</f>
        <v>https://i.scdn.co/image/ab67616d0000b273dc2d1dcf42c7f1368b8014ac</v>
      </c>
      <c r="AD220" s="3"/>
      <c r="AE220" s="3"/>
      <c r="AF220" s="3"/>
      <c r="AG220" s="3"/>
      <c r="AH220" s="3"/>
    </row>
    <row r="221" spans="1:34" x14ac:dyDescent="0.3">
      <c r="A221" s="11" t="s">
        <v>937</v>
      </c>
      <c r="B221" s="12" t="s">
        <v>938</v>
      </c>
      <c r="C221" s="12" t="s">
        <v>939</v>
      </c>
      <c r="D221" s="13" t="s">
        <v>842</v>
      </c>
      <c r="E221" s="6">
        <v>38626</v>
      </c>
      <c r="F221" s="3">
        <v>117200</v>
      </c>
      <c r="G221" s="3">
        <v>41</v>
      </c>
      <c r="H221" s="3" t="s">
        <v>5818</v>
      </c>
      <c r="I221" s="3" t="s">
        <v>889</v>
      </c>
      <c r="J221" s="3" t="s">
        <v>844</v>
      </c>
      <c r="K221" s="3" t="s">
        <v>940</v>
      </c>
      <c r="L221" s="3">
        <v>0.214</v>
      </c>
      <c r="M221" s="3">
        <v>0.23400000000000001</v>
      </c>
      <c r="N221" s="3">
        <v>7</v>
      </c>
      <c r="O221" s="8">
        <v>-16662</v>
      </c>
      <c r="P221" s="3">
        <v>1</v>
      </c>
      <c r="Q221" s="3">
        <v>3.9399999999999998E-2</v>
      </c>
      <c r="R221" s="3">
        <v>0.64200000000000002</v>
      </c>
      <c r="S221" s="3">
        <v>0.92800000000000005</v>
      </c>
      <c r="T221" s="3">
        <v>0.106</v>
      </c>
      <c r="U221" s="3">
        <v>3.9899999999999998E-2</v>
      </c>
      <c r="V221" s="8">
        <v>92327</v>
      </c>
      <c r="W221" s="3">
        <v>3</v>
      </c>
      <c r="X221" s="3" t="str">
        <f t="shared" si="16"/>
        <v>-SADNE-</v>
      </c>
      <c r="Y221" s="3" t="str">
        <f t="shared" si="17"/>
        <v>-SLOWSS-</v>
      </c>
      <c r="Z221" s="4" t="str">
        <f t="shared" si="18"/>
        <v>{"couname":"I Guess I'm Floating","img":"https://i.scdn.co/image/ab67616d0000b273d2025055762d32e9e8dab468","pty":"41","artist":"M83","genres":"indietronica","duration":"117200","spotId":"0z2seOlqPfp4Mgoerkwl0i","Items":["-SADNE-","-SLOWSS-","","","GN_FrenchElectro"]},</v>
      </c>
      <c r="AA221" s="5" t="s">
        <v>6100</v>
      </c>
      <c r="AB221" s="3" t="str">
        <f t="shared" si="19"/>
        <v>["-SADNE-","-SLOWSS-","","","GN_FrenchElectro"]</v>
      </c>
      <c r="AC221" s="3" t="str">
        <f>_xlfn.XLOOKUP(A221,Album!A:A,Album!J:J)</f>
        <v>https://i.scdn.co/image/ab67616d0000b273d2025055762d32e9e8dab468</v>
      </c>
      <c r="AD221" s="3"/>
      <c r="AE221" s="3"/>
      <c r="AF221" s="3"/>
      <c r="AG221" s="3"/>
      <c r="AH221" s="3"/>
    </row>
    <row r="222" spans="1:34" x14ac:dyDescent="0.3">
      <c r="A222" s="11" t="s">
        <v>941</v>
      </c>
      <c r="B222" s="12" t="s">
        <v>942</v>
      </c>
      <c r="C222" s="12" t="s">
        <v>902</v>
      </c>
      <c r="D222" s="13" t="s">
        <v>3200</v>
      </c>
      <c r="E222" s="6">
        <v>41373</v>
      </c>
      <c r="F222" s="3">
        <v>82582</v>
      </c>
      <c r="G222" s="3">
        <v>41</v>
      </c>
      <c r="H222" s="3" t="s">
        <v>5817</v>
      </c>
      <c r="I222" s="3" t="s">
        <v>889</v>
      </c>
      <c r="J222" s="3" t="s">
        <v>915</v>
      </c>
      <c r="K222" s="3" t="s">
        <v>904</v>
      </c>
      <c r="L222" s="3">
        <v>0.13500000000000001</v>
      </c>
      <c r="M222" s="3">
        <v>1.8200000000000001E-2</v>
      </c>
      <c r="N222" s="3">
        <v>8</v>
      </c>
      <c r="O222" s="8">
        <v>-29793</v>
      </c>
      <c r="P222" s="3">
        <v>1</v>
      </c>
      <c r="Q222" s="3">
        <v>3.8300000000000001E-2</v>
      </c>
      <c r="R222" s="3">
        <v>0.96099999999999997</v>
      </c>
      <c r="S222" s="3">
        <v>0.872</v>
      </c>
      <c r="T222" s="3">
        <v>0.107</v>
      </c>
      <c r="U222" s="3">
        <v>6.4100000000000004E-2</v>
      </c>
      <c r="V222" s="8">
        <v>74089</v>
      </c>
      <c r="W222" s="3">
        <v>4</v>
      </c>
      <c r="X222" s="3" t="str">
        <f t="shared" si="16"/>
        <v>-SADNE-</v>
      </c>
      <c r="Y222" s="3" t="str">
        <f t="shared" si="17"/>
        <v>-SLOWSS-</v>
      </c>
      <c r="Z222" s="4" t="str">
        <f t="shared" si="18"/>
        <v>{"couname":"Jack's Dream","img":"https://i.scdn.co/image/ab67616d0000b273c574dc72611d61885ac9669a","pty":"41","artist":"M83, Anthony Gonzalez, Joseph Trapanese","genres":"indietronica,banda sonora","duration":"82582","spotId":"23hwmf8pb3L5ZP5c9AU8hn","Items":["-SADNE-","-SLOWSS-","","","GN_FrenchElectro"]},</v>
      </c>
      <c r="AA222" s="5" t="s">
        <v>6100</v>
      </c>
      <c r="AB222" s="3" t="str">
        <f t="shared" si="19"/>
        <v>["-SADNE-","-SLOWSS-","","","GN_FrenchElectro"]</v>
      </c>
      <c r="AC222" s="3" t="str">
        <f>_xlfn.XLOOKUP(A222,Album!A:A,Album!J:J)</f>
        <v>https://i.scdn.co/image/ab67616d0000b273c574dc72611d61885ac9669a</v>
      </c>
      <c r="AD222" s="3"/>
      <c r="AE222" s="3"/>
      <c r="AF222" s="3"/>
      <c r="AG222" s="3"/>
      <c r="AH222" s="3"/>
    </row>
    <row r="223" spans="1:34" x14ac:dyDescent="0.3">
      <c r="A223" s="11" t="s">
        <v>948</v>
      </c>
      <c r="B223" s="12" t="s">
        <v>949</v>
      </c>
      <c r="C223" s="12" t="s">
        <v>908</v>
      </c>
      <c r="D223" s="13" t="s">
        <v>842</v>
      </c>
      <c r="E223" s="6">
        <v>41596</v>
      </c>
      <c r="F223" s="3">
        <v>402346</v>
      </c>
      <c r="G223" s="3">
        <v>41</v>
      </c>
      <c r="H223" s="3" t="s">
        <v>5816</v>
      </c>
      <c r="I223" s="3" t="s">
        <v>889</v>
      </c>
      <c r="J223" s="3" t="s">
        <v>844</v>
      </c>
      <c r="K223" s="3" t="s">
        <v>890</v>
      </c>
      <c r="L223" s="3">
        <v>7.3999999999999996E-2</v>
      </c>
      <c r="M223" s="3">
        <v>0.312</v>
      </c>
      <c r="N223" s="3">
        <v>2</v>
      </c>
      <c r="O223" s="8">
        <v>-10459</v>
      </c>
      <c r="P223" s="3">
        <v>1</v>
      </c>
      <c r="Q223" s="3">
        <v>4.4400000000000002E-2</v>
      </c>
      <c r="R223" s="3">
        <v>0.83399999999999996</v>
      </c>
      <c r="S223" s="3">
        <v>0.43</v>
      </c>
      <c r="T223" s="3">
        <v>8.8499999999999995E-2</v>
      </c>
      <c r="U223" s="3">
        <v>3.27E-2</v>
      </c>
      <c r="V223" s="8">
        <v>78551</v>
      </c>
      <c r="W223" s="3">
        <v>4</v>
      </c>
      <c r="X223" s="3" t="str">
        <f t="shared" si="16"/>
        <v>-SADNE-</v>
      </c>
      <c r="Y223" s="3" t="str">
        <f t="shared" si="17"/>
        <v>-SLOWSS-</v>
      </c>
      <c r="Z223" s="4" t="str">
        <f t="shared" si="18"/>
        <v>{"couname":"Un nouveau soleil","img":"https://i.scdn.co/image/ab67616d0000b273dc2d1dcf42c7f1368b8014ac","pty":"41","artist":"M83","genres":"indietronica","duration":"402346","spotId":"6ZzItbgnMdQ0cKFy4lFV7A","Items":["-SADNE-","-SLOWSS-","","","GN_FrenchElectro"]},</v>
      </c>
      <c r="AA223" s="5" t="s">
        <v>6100</v>
      </c>
      <c r="AB223" s="3" t="str">
        <f t="shared" si="19"/>
        <v>["-SADNE-","-SLOWSS-","","","GN_FrenchElectro"]</v>
      </c>
      <c r="AC223" s="3" t="str">
        <f>_xlfn.XLOOKUP(A223,Album!A:A,Album!J:J)</f>
        <v>https://i.scdn.co/image/ab67616d0000b273dc2d1dcf42c7f1368b8014ac</v>
      </c>
      <c r="AD223" s="3"/>
      <c r="AE223" s="3"/>
      <c r="AF223" s="3"/>
      <c r="AG223" s="3"/>
      <c r="AH223" s="3"/>
    </row>
    <row r="224" spans="1:34" x14ac:dyDescent="0.3">
      <c r="A224" s="11" t="s">
        <v>1328</v>
      </c>
      <c r="B224" s="12" t="s">
        <v>1256</v>
      </c>
      <c r="C224" s="12" t="s">
        <v>1329</v>
      </c>
      <c r="D224" s="13" t="s">
        <v>3883</v>
      </c>
      <c r="E224" s="6">
        <v>44019</v>
      </c>
      <c r="F224" s="3">
        <v>174682</v>
      </c>
      <c r="G224" s="3">
        <v>41</v>
      </c>
      <c r="H224" s="3" t="s">
        <v>5815</v>
      </c>
      <c r="I224" s="3" t="s">
        <v>1207</v>
      </c>
      <c r="J224" s="3" t="s">
        <v>1208</v>
      </c>
      <c r="K224" s="3" t="s">
        <v>1330</v>
      </c>
      <c r="L224" s="3">
        <v>0.59899999999999998</v>
      </c>
      <c r="M224" s="3">
        <v>0.63500000000000001</v>
      </c>
      <c r="N224" s="3">
        <v>10</v>
      </c>
      <c r="O224" s="8">
        <v>-6.5</v>
      </c>
      <c r="P224" s="3">
        <v>0</v>
      </c>
      <c r="Q224" s="3">
        <v>0.10299999999999999</v>
      </c>
      <c r="R224" s="3">
        <v>9.8799999999999999E-3</v>
      </c>
      <c r="S224" s="3">
        <v>6.3899999999999995E-5</v>
      </c>
      <c r="T224" s="3">
        <v>0.36799999999999999</v>
      </c>
      <c r="U224" s="3">
        <v>0.79800000000000004</v>
      </c>
      <c r="V224" s="8">
        <v>95919</v>
      </c>
      <c r="W224" s="3">
        <v>4</v>
      </c>
      <c r="X224" s="3" t="str">
        <f t="shared" si="16"/>
        <v>-HAPPY-</v>
      </c>
      <c r="Y224" s="3" t="str">
        <f t="shared" si="17"/>
        <v>-ENERGY-</v>
      </c>
      <c r="Z224" s="4" t="str">
        <f t="shared" si="18"/>
        <v>{"couname":"No Fear No More","img":"https://i.scdn.co/image/ab67616d0000b273ad8dfaa754c34043b4a2979f","pty":"41","artist":"Madeon, EARTHGANG","genres":"edm,house francés","duration":"174682","spotId":"36X1P3v7N1dv06bh2aPtMF","Items":["-HAPPY-","-ENERGY-","","","GN_FrenchElectro"]},</v>
      </c>
      <c r="AA224" s="5" t="s">
        <v>6100</v>
      </c>
      <c r="AB224" s="3" t="str">
        <f t="shared" si="19"/>
        <v>["-HAPPY-","-ENERGY-","","","GN_FrenchElectro"]</v>
      </c>
      <c r="AC224" s="3" t="str">
        <f>_xlfn.XLOOKUP(A224,Album!A:A,Album!J:J)</f>
        <v>https://i.scdn.co/image/ab67616d0000b273ad8dfaa754c34043b4a2979f</v>
      </c>
      <c r="AD224" s="3"/>
      <c r="AE224" s="3"/>
      <c r="AF224" s="3"/>
      <c r="AG224" s="3"/>
      <c r="AH224" s="3"/>
    </row>
    <row r="225" spans="1:34" x14ac:dyDescent="0.3">
      <c r="A225" s="11" t="s">
        <v>1331</v>
      </c>
      <c r="B225" s="12" t="s">
        <v>1332</v>
      </c>
      <c r="C225" s="12" t="s">
        <v>1332</v>
      </c>
      <c r="D225" s="13" t="s">
        <v>1206</v>
      </c>
      <c r="E225" s="6">
        <v>44057</v>
      </c>
      <c r="F225" s="3">
        <v>222809</v>
      </c>
      <c r="G225" s="3">
        <v>41</v>
      </c>
      <c r="H225" s="3" t="s">
        <v>5814</v>
      </c>
      <c r="I225" s="3" t="s">
        <v>1207</v>
      </c>
      <c r="J225" s="3" t="s">
        <v>1208</v>
      </c>
      <c r="K225" s="3" t="s">
        <v>1330</v>
      </c>
      <c r="L225" s="3">
        <v>0.61</v>
      </c>
      <c r="M225" s="3">
        <v>0.78100000000000003</v>
      </c>
      <c r="N225" s="3">
        <v>2</v>
      </c>
      <c r="O225" s="8">
        <v>-5694</v>
      </c>
      <c r="P225" s="3">
        <v>0</v>
      </c>
      <c r="Q225" s="3">
        <v>3.7900000000000003E-2</v>
      </c>
      <c r="R225" s="3">
        <v>3.6099999999999999E-3</v>
      </c>
      <c r="S225" s="3">
        <v>0.13500000000000001</v>
      </c>
      <c r="T225" s="3">
        <v>0.32300000000000001</v>
      </c>
      <c r="U225" s="3">
        <v>0.29899999999999999</v>
      </c>
      <c r="V225" s="8">
        <v>95003</v>
      </c>
      <c r="W225" s="3">
        <v>4</v>
      </c>
      <c r="X225" s="3" t="str">
        <f t="shared" si="16"/>
        <v>-SADNE-</v>
      </c>
      <c r="Y225" s="3" t="str">
        <f t="shared" si="17"/>
        <v>-ENERGY-</v>
      </c>
      <c r="Z225" s="4" t="str">
        <f t="shared" si="18"/>
        <v>{"couname":"The Prince","img":"https://i.scdn.co/image/ab67616d0000b27318dfaad83b61579bdf6983d4","pty":"41","artist":"Madeon","genres":"edm,house francés","duration":"222809","spotId":"5MT2w1BexEAWjJ62OOHE6q","Items":["-SADNE-","-ENERGY-","","","GN_FrenchElectro"]},</v>
      </c>
      <c r="AA225" s="5" t="s">
        <v>6100</v>
      </c>
      <c r="AB225" s="3" t="str">
        <f t="shared" si="19"/>
        <v>["-SADNE-","-ENERGY-","","","GN_FrenchElectro"]</v>
      </c>
      <c r="AC225" s="3" t="str">
        <f>_xlfn.XLOOKUP(A225,Album!A:A,Album!J:J)</f>
        <v>https://i.scdn.co/image/ab67616d0000b27318dfaad83b61579bdf6983d4</v>
      </c>
      <c r="AD225" s="3"/>
      <c r="AE225" s="3"/>
      <c r="AF225" s="3"/>
      <c r="AG225" s="3"/>
      <c r="AH225" s="3"/>
    </row>
    <row r="226" spans="1:34" x14ac:dyDescent="0.3">
      <c r="A226" s="11" t="s">
        <v>1355</v>
      </c>
      <c r="B226" s="12" t="s">
        <v>1356</v>
      </c>
      <c r="C226" s="12" t="s">
        <v>1357</v>
      </c>
      <c r="D226" s="13" t="s">
        <v>1345</v>
      </c>
      <c r="E226" s="6">
        <v>36396</v>
      </c>
      <c r="F226" s="3">
        <v>293093</v>
      </c>
      <c r="G226" s="3">
        <v>41</v>
      </c>
      <c r="H226" s="3" t="s">
        <v>5813</v>
      </c>
      <c r="I226" s="3" t="s">
        <v>1336</v>
      </c>
      <c r="J226" s="3" t="s">
        <v>1337</v>
      </c>
      <c r="K226" s="3" t="s">
        <v>83</v>
      </c>
      <c r="L226" s="3">
        <v>0.19</v>
      </c>
      <c r="M226" s="3">
        <v>0.186</v>
      </c>
      <c r="N226" s="3">
        <v>4</v>
      </c>
      <c r="O226" s="8">
        <v>-18907</v>
      </c>
      <c r="P226" s="3">
        <v>0</v>
      </c>
      <c r="Q226" s="3">
        <v>2.7400000000000001E-2</v>
      </c>
      <c r="R226" s="3">
        <v>0.66700000000000004</v>
      </c>
      <c r="S226" s="3">
        <v>0.93200000000000005</v>
      </c>
      <c r="T226" s="3">
        <v>7.1499999999999994E-2</v>
      </c>
      <c r="U226" s="3">
        <v>6.2799999999999995E-2</v>
      </c>
      <c r="V226" s="8">
        <v>68054</v>
      </c>
      <c r="W226" s="3">
        <v>4</v>
      </c>
      <c r="X226" s="3" t="str">
        <f t="shared" si="16"/>
        <v>-SADNE-</v>
      </c>
      <c r="Y226" s="3" t="str">
        <f t="shared" si="17"/>
        <v>-SLOWSS-</v>
      </c>
      <c r="Z226" s="4" t="str">
        <f t="shared" si="18"/>
        <v>{"couname":"Le soleil est près de moi","img":"https://i.scdn.co/image/ab67616d0000b273988970b40aca1d4cfb3edc3d","pty":"41","artist":"Air","genres":"trip hop,downtempo,house francés","duration":"293093","spotId":"3Aa4ijCL9iilxsCLk48JnG","Items":["-SADNE-","-SLOWSS-","","","GN_FrenchElectro"]},</v>
      </c>
      <c r="AA226" s="5" t="s">
        <v>6100</v>
      </c>
      <c r="AB226" s="3" t="str">
        <f t="shared" si="19"/>
        <v>["-SADNE-","-SLOWSS-","","","GN_FrenchElectro"]</v>
      </c>
      <c r="AC226" s="3" t="str">
        <f>_xlfn.XLOOKUP(A226,Album!A:A,Album!J:J)</f>
        <v>https://i.scdn.co/image/ab67616d0000b273988970b40aca1d4cfb3edc3d</v>
      </c>
      <c r="AD226" s="3"/>
      <c r="AE226" s="3"/>
      <c r="AF226" s="3"/>
      <c r="AG226" s="3"/>
      <c r="AH226" s="3"/>
    </row>
    <row r="227" spans="1:34" x14ac:dyDescent="0.3">
      <c r="A227" s="11" t="s">
        <v>1381</v>
      </c>
      <c r="B227" s="12" t="s">
        <v>1382</v>
      </c>
      <c r="C227" s="12" t="s">
        <v>1344</v>
      </c>
      <c r="D227" s="13" t="s">
        <v>1345</v>
      </c>
      <c r="E227" s="6">
        <v>38012</v>
      </c>
      <c r="F227" s="3">
        <v>244560</v>
      </c>
      <c r="G227" s="3">
        <v>41</v>
      </c>
      <c r="H227" s="3" t="s">
        <v>5812</v>
      </c>
      <c r="I227" s="3" t="s">
        <v>1336</v>
      </c>
      <c r="J227" s="3" t="s">
        <v>1337</v>
      </c>
      <c r="K227" s="3" t="s">
        <v>83</v>
      </c>
      <c r="L227" s="3">
        <v>0.47799999999999998</v>
      </c>
      <c r="M227" s="3">
        <v>0.42099999999999999</v>
      </c>
      <c r="N227" s="3">
        <v>5</v>
      </c>
      <c r="O227" s="8">
        <v>-9521</v>
      </c>
      <c r="P227" s="3">
        <v>0</v>
      </c>
      <c r="Q227" s="3">
        <v>2.6599999999999999E-2</v>
      </c>
      <c r="R227" s="3">
        <v>0.85899999999999999</v>
      </c>
      <c r="S227" s="3">
        <v>0.91</v>
      </c>
      <c r="T227" s="3">
        <v>0.14899999999999999</v>
      </c>
      <c r="U227" s="3">
        <v>5.9900000000000002E-2</v>
      </c>
      <c r="V227" s="8">
        <v>79002</v>
      </c>
      <c r="W227" s="3">
        <v>4</v>
      </c>
      <c r="X227" s="3" t="str">
        <f t="shared" si="16"/>
        <v>-SADNE-</v>
      </c>
      <c r="Y227" s="3" t="str">
        <f t="shared" si="17"/>
        <v>-SLOWSS-</v>
      </c>
      <c r="Z227" s="4" t="str">
        <f t="shared" si="18"/>
        <v>{"couname":"Venus","img":"https://i.scdn.co/image/ab67616d0000b2736400fab74f28e90759ac8815","pty":"41","artist":"Air","genres":"trip hop,downtempo,house francés","duration":"244560","spotId":"14EMkYvQQ3E7gI8MFc9bFd","Items":["-SADNE-","-SLOWSS-","","","GN_FrenchElectro"]},</v>
      </c>
      <c r="AA227" s="5" t="s">
        <v>6100</v>
      </c>
      <c r="AB227" s="3" t="str">
        <f t="shared" si="19"/>
        <v>["-SADNE-","-SLOWSS-","","","GN_FrenchElectro"]</v>
      </c>
      <c r="AC227" s="3" t="str">
        <f>_xlfn.XLOOKUP(A227,Album!A:A,Album!J:J)</f>
        <v>https://i.scdn.co/image/ab67616d0000b2736400fab74f28e90759ac8815</v>
      </c>
      <c r="AD227" s="3"/>
      <c r="AE227" s="3"/>
      <c r="AF227" s="3"/>
      <c r="AG227" s="3"/>
      <c r="AH227" s="3"/>
    </row>
    <row r="228" spans="1:34" x14ac:dyDescent="0.3">
      <c r="A228" s="11" t="s">
        <v>1504</v>
      </c>
      <c r="B228" s="12" t="s">
        <v>1505</v>
      </c>
      <c r="C228" s="12" t="s">
        <v>1505</v>
      </c>
      <c r="D228" s="13" t="s">
        <v>1487</v>
      </c>
      <c r="E228" s="6">
        <v>44006</v>
      </c>
      <c r="F228" s="3">
        <v>211200</v>
      </c>
      <c r="G228" s="3">
        <v>41</v>
      </c>
      <c r="H228" s="3" t="s">
        <v>5811</v>
      </c>
      <c r="I228" s="3" t="s">
        <v>1463</v>
      </c>
      <c r="J228" s="3"/>
      <c r="K228" s="3" t="s">
        <v>1476</v>
      </c>
      <c r="L228" s="3">
        <v>0.45</v>
      </c>
      <c r="M228" s="3">
        <v>0.91200000000000003</v>
      </c>
      <c r="N228" s="3">
        <v>1</v>
      </c>
      <c r="O228" s="8">
        <v>-2659</v>
      </c>
      <c r="P228" s="3">
        <v>1</v>
      </c>
      <c r="Q228" s="3">
        <v>4.8500000000000001E-2</v>
      </c>
      <c r="R228" s="3">
        <v>7.7400000000000004E-3</v>
      </c>
      <c r="S228" s="3">
        <v>8.4800000000000001E-5</v>
      </c>
      <c r="T228" s="3">
        <v>0.57399999999999995</v>
      </c>
      <c r="U228" s="3">
        <v>0.32800000000000001</v>
      </c>
      <c r="V228" s="8">
        <v>150026</v>
      </c>
      <c r="W228" s="3">
        <v>4</v>
      </c>
      <c r="X228" s="3" t="str">
        <f t="shared" si="16"/>
        <v>-HAPPY-</v>
      </c>
      <c r="Y228" s="3" t="str">
        <f t="shared" si="17"/>
        <v>-ENERGY-</v>
      </c>
      <c r="Z228" s="4" t="str">
        <f t="shared" si="18"/>
        <v>{"couname":"Trust Nobody","img":"https://i.scdn.co/image/ab67616d0000b273df50767381e36b3c173b0375","pty":"41","artist":"DJ Snake","genres":"","duration":"211200","spotId":"08bDGEzsYd9ebCc7p23X4j","Items":["-HAPPY-","-ENERGY-","","","GN_FrenchElectro"]},</v>
      </c>
      <c r="AA228" s="5" t="s">
        <v>6100</v>
      </c>
      <c r="AB228" s="3" t="str">
        <f t="shared" si="19"/>
        <v>["-HAPPY-","-ENERGY-","","","GN_FrenchElectro"]</v>
      </c>
      <c r="AC228" s="3" t="str">
        <f>_xlfn.XLOOKUP(A228,Album!A:A,Album!J:J)</f>
        <v>https://i.scdn.co/image/ab67616d0000b273df50767381e36b3c173b0375</v>
      </c>
      <c r="AD228" s="3"/>
      <c r="AE228" s="3"/>
      <c r="AF228" s="3"/>
      <c r="AG228" s="3"/>
      <c r="AH228" s="3"/>
    </row>
    <row r="229" spans="1:34" x14ac:dyDescent="0.3">
      <c r="A229" s="11" t="s">
        <v>1657</v>
      </c>
      <c r="B229" s="12" t="s">
        <v>1658</v>
      </c>
      <c r="C229" s="12" t="s">
        <v>1655</v>
      </c>
      <c r="D229" s="13" t="s">
        <v>1649</v>
      </c>
      <c r="E229" s="6">
        <v>41275</v>
      </c>
      <c r="F229" s="3">
        <v>289773</v>
      </c>
      <c r="G229" s="3">
        <v>41</v>
      </c>
      <c r="H229" s="3" t="s">
        <v>5810</v>
      </c>
      <c r="I229" s="3" t="s">
        <v>1650</v>
      </c>
      <c r="J229" s="3" t="s">
        <v>1651</v>
      </c>
      <c r="K229" s="3" t="s">
        <v>1656</v>
      </c>
      <c r="L229" s="3">
        <v>0.57799999999999996</v>
      </c>
      <c r="M229" s="3">
        <v>0.94499999999999995</v>
      </c>
      <c r="N229" s="3">
        <v>6</v>
      </c>
      <c r="O229" s="8">
        <v>-2.19</v>
      </c>
      <c r="P229" s="3">
        <v>1</v>
      </c>
      <c r="Q229" s="3">
        <v>8.5199999999999998E-2</v>
      </c>
      <c r="R229" s="3">
        <v>8.4099999999999994E-2</v>
      </c>
      <c r="S229" s="3">
        <v>1.1000000000000001E-3</v>
      </c>
      <c r="T229" s="3">
        <v>0.13700000000000001</v>
      </c>
      <c r="U229" s="3">
        <v>0.4</v>
      </c>
      <c r="V229" s="8">
        <v>105115</v>
      </c>
      <c r="W229" s="3">
        <v>4</v>
      </c>
      <c r="X229" s="3" t="str">
        <f t="shared" si="16"/>
        <v>-HAPPY-</v>
      </c>
      <c r="Y229" s="3" t="str">
        <f t="shared" si="17"/>
        <v>-ENERGY-</v>
      </c>
      <c r="Z229" s="4" t="str">
        <f t="shared" si="18"/>
        <v>{"couname":"Odd Look","img":"https://i.scdn.co/image/ab67616d0000b2731c08bca073e89ae32c68ffaa","pty":"41","artist":"Kavinsky","genres":"synthwave,house francés","duration":"289773","spotId":"3T1CEAG5ukgdqGvQuXWzqI","Items":["-HAPPY-","-ENERGY-","","","GN_FrenchElectro"]},</v>
      </c>
      <c r="AA229" s="5" t="s">
        <v>6100</v>
      </c>
      <c r="AB229" s="3" t="str">
        <f t="shared" si="19"/>
        <v>["-HAPPY-","-ENERGY-","","","GN_FrenchElectro"]</v>
      </c>
      <c r="AC229" s="3" t="str">
        <f>_xlfn.XLOOKUP(A229,Album!A:A,Album!J:J)</f>
        <v>https://i.scdn.co/image/ab67616d0000b2731c08bca073e89ae32c68ffaa</v>
      </c>
      <c r="AD229" s="3"/>
      <c r="AE229" s="3"/>
      <c r="AF229" s="3"/>
      <c r="AG229" s="3"/>
      <c r="AH229" s="3"/>
    </row>
    <row r="230" spans="1:34" x14ac:dyDescent="0.3">
      <c r="A230" s="11" t="s">
        <v>1684</v>
      </c>
      <c r="B230" s="12" t="s">
        <v>5808</v>
      </c>
      <c r="C230" s="12" t="s">
        <v>1686</v>
      </c>
      <c r="D230" s="13" t="s">
        <v>4385</v>
      </c>
      <c r="E230" s="6">
        <v>2002</v>
      </c>
      <c r="F230" s="3">
        <v>312293</v>
      </c>
      <c r="G230" s="3">
        <v>41</v>
      </c>
      <c r="H230" s="3" t="s">
        <v>5809</v>
      </c>
      <c r="I230" s="3" t="s">
        <v>1675</v>
      </c>
      <c r="J230" s="3" t="s">
        <v>1687</v>
      </c>
      <c r="K230" s="3" t="s">
        <v>1680</v>
      </c>
      <c r="L230" s="3">
        <v>0.57599999999999996</v>
      </c>
      <c r="M230" s="3">
        <v>0.80300000000000005</v>
      </c>
      <c r="N230" s="3">
        <v>8</v>
      </c>
      <c r="O230" s="8">
        <v>-6835</v>
      </c>
      <c r="P230" s="3">
        <v>0</v>
      </c>
      <c r="Q230" s="3">
        <v>0.23400000000000001</v>
      </c>
      <c r="R230" s="3">
        <v>3.8700000000000002E-3</v>
      </c>
      <c r="S230" s="3">
        <v>1.04E-2</v>
      </c>
      <c r="T230" s="3">
        <v>0.28100000000000003</v>
      </c>
      <c r="U230" s="3">
        <v>0.84699999999999998</v>
      </c>
      <c r="V230" s="8">
        <v>119685</v>
      </c>
      <c r="W230" s="3">
        <v>4</v>
      </c>
      <c r="X230" s="3" t="str">
        <f t="shared" si="16"/>
        <v>-HAPPY-</v>
      </c>
      <c r="Y230" s="3" t="str">
        <f t="shared" si="17"/>
        <v>-ENERGY-</v>
      </c>
      <c r="Z230" s="4" t="str">
        <f t="shared" si="18"/>
        <v>{"couname":"The Sound of Violence","img":"https://i.scdn.co/image/ab67616d0000b273b60e218ff8bb7122b2873eae","pty":"41","artist":"Cassius, Cosmo Vitelli","genres":"house francés,disco house,electroclash","duration":"312293","spotId":"27tQgsWuNaFswSGGvHbohM","Items":["-HAPPY-","-ENERGY-","","","GN_FrenchElectro"]},</v>
      </c>
      <c r="AA230" s="5" t="s">
        <v>6100</v>
      </c>
      <c r="AB230" s="3" t="str">
        <f t="shared" si="19"/>
        <v>["-HAPPY-","-ENERGY-","","","GN_FrenchElectro"]</v>
      </c>
      <c r="AC230" s="3" t="str">
        <f>_xlfn.XLOOKUP(A230,Album!A:A,Album!J:J)</f>
        <v>https://i.scdn.co/image/ab67616d0000b273b60e218ff8bb7122b2873eae</v>
      </c>
      <c r="AD230" s="3"/>
      <c r="AE230" s="3"/>
      <c r="AF230" s="3"/>
      <c r="AG230" s="3"/>
      <c r="AH230" s="3"/>
    </row>
    <row r="231" spans="1:34" x14ac:dyDescent="0.3">
      <c r="A231" s="11" t="s">
        <v>1883</v>
      </c>
      <c r="B231" s="12" t="s">
        <v>1884</v>
      </c>
      <c r="C231" s="12" t="s">
        <v>1876</v>
      </c>
      <c r="D231" s="13" t="s">
        <v>9</v>
      </c>
      <c r="E231" s="6">
        <v>38425</v>
      </c>
      <c r="F231" s="3">
        <v>289680</v>
      </c>
      <c r="G231" s="3">
        <v>41</v>
      </c>
      <c r="H231" s="3" t="s">
        <v>5807</v>
      </c>
      <c r="I231" s="3" t="s">
        <v>1809</v>
      </c>
      <c r="J231" s="3" t="s">
        <v>1810</v>
      </c>
      <c r="K231" s="3" t="s">
        <v>1811</v>
      </c>
      <c r="L231" s="3">
        <v>0.69699999999999995</v>
      </c>
      <c r="M231" s="3">
        <v>0.54800000000000004</v>
      </c>
      <c r="N231" s="3">
        <v>1</v>
      </c>
      <c r="O231" s="8">
        <v>-9087</v>
      </c>
      <c r="P231" s="3">
        <v>1</v>
      </c>
      <c r="Q231" s="3">
        <v>5.6099999999999997E-2</v>
      </c>
      <c r="R231" s="3">
        <v>0.78300000000000003</v>
      </c>
      <c r="S231" s="3">
        <v>0.84099999999999997</v>
      </c>
      <c r="T231" s="3">
        <v>0.13200000000000001</v>
      </c>
      <c r="U231" s="3">
        <v>0.97699999999999998</v>
      </c>
      <c r="V231" s="8">
        <v>133005</v>
      </c>
      <c r="W231" s="3">
        <v>4</v>
      </c>
      <c r="X231" s="3" t="str">
        <f t="shared" si="16"/>
        <v>-HAPPY-</v>
      </c>
      <c r="Y231" s="3" t="str">
        <f t="shared" si="17"/>
        <v>-ENERGY-</v>
      </c>
      <c r="Z231" s="4" t="str">
        <f t="shared" si="18"/>
        <v>{"couname":"Make Love","img":"https://i.scdn.co/image/ab67616d0000b273d8601e15fa1b4351fe1fc6ae","pty":"41","artist":"Daft Punk","genres":"house francés,electrónica,electro","duration":"289680","spotId":"1WnXCfO6oIxG0TbJj29MqR","Items":["-HAPPY-","-ENERGY-","","","GN_FrenchElectro"]},</v>
      </c>
      <c r="AA231" s="5" t="s">
        <v>6100</v>
      </c>
      <c r="AB231" s="3" t="str">
        <f t="shared" si="19"/>
        <v>["-HAPPY-","-ENERGY-","","","GN_FrenchElectro"]</v>
      </c>
      <c r="AC231" s="3" t="str">
        <f>_xlfn.XLOOKUP(A231,Album!A:A,Album!J:J)</f>
        <v>https://i.scdn.co/image/ab67616d0000b273d8601e15fa1b4351fe1fc6ae</v>
      </c>
      <c r="AD231" s="3"/>
      <c r="AE231" s="3"/>
      <c r="AF231" s="3"/>
      <c r="AG231" s="3"/>
      <c r="AH231" s="3"/>
    </row>
    <row r="232" spans="1:34" x14ac:dyDescent="0.3">
      <c r="A232" s="11" t="s">
        <v>1909</v>
      </c>
      <c r="B232" s="12" t="s">
        <v>5805</v>
      </c>
      <c r="C232" s="12" t="s">
        <v>1898</v>
      </c>
      <c r="D232" s="13" t="s">
        <v>9</v>
      </c>
      <c r="E232" s="6">
        <v>40515</v>
      </c>
      <c r="F232" s="3">
        <v>156480</v>
      </c>
      <c r="G232" s="3">
        <v>41</v>
      </c>
      <c r="H232" s="3" t="s">
        <v>5806</v>
      </c>
      <c r="I232" s="3" t="s">
        <v>1809</v>
      </c>
      <c r="J232" s="3" t="s">
        <v>1810</v>
      </c>
      <c r="K232" s="3" t="s">
        <v>51</v>
      </c>
      <c r="L232" s="3">
        <v>0.35399999999999998</v>
      </c>
      <c r="M232" s="3">
        <v>0.44900000000000001</v>
      </c>
      <c r="N232" s="3">
        <v>9</v>
      </c>
      <c r="O232" s="8">
        <v>-11353</v>
      </c>
      <c r="P232" s="3">
        <v>1</v>
      </c>
      <c r="Q232" s="3">
        <v>0.03</v>
      </c>
      <c r="R232" s="3">
        <v>5.13E-4</v>
      </c>
      <c r="S232" s="3">
        <v>0.77800000000000002</v>
      </c>
      <c r="T232" s="3">
        <v>0.34399999999999997</v>
      </c>
      <c r="U232" s="3">
        <v>3.9699999999999999E-2</v>
      </c>
      <c r="V232" s="8">
        <v>195983</v>
      </c>
      <c r="W232" s="3">
        <v>4</v>
      </c>
      <c r="X232" s="3" t="str">
        <f t="shared" si="16"/>
        <v>-SADNE-</v>
      </c>
      <c r="Y232" s="3" t="str">
        <f t="shared" si="17"/>
        <v>-SLOWSS-</v>
      </c>
      <c r="Z232" s="4" t="str">
        <f t="shared" si="18"/>
        <v>{"couname":"End of Line","img":"https://i.scdn.co/image/ab67616d0000b27366919acb93950333962467f8","pty":"41","artist":"Daft Punk","genres":"house francés,electrónica,electro","duration":"156480","spotId":"72MoCPAnz0UljAVmwHHw3Y","Items":["-SADNE-","-SLOWSS-","","","GN_FrenchElectro"]},</v>
      </c>
      <c r="AA232" s="5" t="s">
        <v>6100</v>
      </c>
      <c r="AB232" s="3" t="str">
        <f t="shared" si="19"/>
        <v>["-SADNE-","-SLOWSS-","","","GN_FrenchElectro"]</v>
      </c>
      <c r="AC232" s="3" t="str">
        <f>_xlfn.XLOOKUP(A232,Album!A:A,Album!J:J)</f>
        <v>https://i.scdn.co/image/ab67616d0000b27366919acb93950333962467f8</v>
      </c>
      <c r="AD232" s="3"/>
      <c r="AE232" s="3"/>
      <c r="AF232" s="3"/>
      <c r="AG232" s="3"/>
      <c r="AH232" s="3"/>
    </row>
    <row r="233" spans="1:34" x14ac:dyDescent="0.3">
      <c r="A233" s="11" t="s">
        <v>1966</v>
      </c>
      <c r="B233" s="12" t="s">
        <v>1967</v>
      </c>
      <c r="C233" s="12" t="s">
        <v>1951</v>
      </c>
      <c r="D233" s="13" t="s">
        <v>9</v>
      </c>
      <c r="E233" s="6">
        <v>39405</v>
      </c>
      <c r="F233" s="3">
        <v>211760</v>
      </c>
      <c r="G233" s="3">
        <v>41</v>
      </c>
      <c r="H233" s="3" t="s">
        <v>5804</v>
      </c>
      <c r="I233" s="3" t="s">
        <v>1809</v>
      </c>
      <c r="J233" s="3" t="s">
        <v>1810</v>
      </c>
      <c r="K233" s="3" t="s">
        <v>1811</v>
      </c>
      <c r="L233" s="3">
        <v>0.59099999999999997</v>
      </c>
      <c r="M233" s="3">
        <v>0.78900000000000003</v>
      </c>
      <c r="N233" s="3">
        <v>6</v>
      </c>
      <c r="O233" s="8">
        <v>-12041</v>
      </c>
      <c r="P233" s="3">
        <v>0</v>
      </c>
      <c r="Q233" s="3">
        <v>7.0699999999999999E-2</v>
      </c>
      <c r="R233" s="3">
        <v>1.23E-2</v>
      </c>
      <c r="S233" s="3">
        <v>0.82599999999999996</v>
      </c>
      <c r="T233" s="3">
        <v>0.40300000000000002</v>
      </c>
      <c r="U233" s="3">
        <v>0.39600000000000002</v>
      </c>
      <c r="V233" s="8">
        <v>127028</v>
      </c>
      <c r="W233" s="3">
        <v>4</v>
      </c>
      <c r="X233" s="3" t="str">
        <f t="shared" si="16"/>
        <v>-SADNE-</v>
      </c>
      <c r="Y233" s="3" t="str">
        <f t="shared" si="17"/>
        <v>-ENERGY-</v>
      </c>
      <c r="Z233" s="4" t="str">
        <f t="shared" si="18"/>
        <v>{"couname":"Aerodynamic Beats / Gabrielle , Forget About the World","img":"https://i.scdn.co/image/ab67616d0000b273673288fb985e5c194536ae27","pty":"41","artist":"Daft Punk","genres":"house francés,electrónica,electro","duration":"211760","spotId":"0rFTPTXuVFIOYGnqXbWm3X","Items":["-SADNE-","-ENERGY-","","","GN_FrenchElectro"]},</v>
      </c>
      <c r="AA233" s="5" t="s">
        <v>6100</v>
      </c>
      <c r="AB233" s="3" t="str">
        <f t="shared" si="19"/>
        <v>["-SADNE-","-ENERGY-","","","GN_FrenchElectro"]</v>
      </c>
      <c r="AC233" s="3" t="str">
        <f>_xlfn.XLOOKUP(A233,Album!A:A,Album!J:J)</f>
        <v>https://i.scdn.co/image/ab67616d0000b273673288fb985e5c194536ae27</v>
      </c>
      <c r="AD233" s="3"/>
      <c r="AE233" s="3"/>
      <c r="AF233" s="3"/>
      <c r="AG233" s="3"/>
      <c r="AH233" s="3"/>
    </row>
    <row r="234" spans="1:34" x14ac:dyDescent="0.3">
      <c r="A234" s="11" t="s">
        <v>1970</v>
      </c>
      <c r="B234" s="12" t="s">
        <v>1971</v>
      </c>
      <c r="C234" s="12" t="s">
        <v>1951</v>
      </c>
      <c r="D234" s="13" t="s">
        <v>9</v>
      </c>
      <c r="E234" s="6">
        <v>39405</v>
      </c>
      <c r="F234" s="3">
        <v>396973</v>
      </c>
      <c r="G234" s="3">
        <v>41</v>
      </c>
      <c r="H234" s="3" t="s">
        <v>5803</v>
      </c>
      <c r="I234" s="3" t="s">
        <v>1809</v>
      </c>
      <c r="J234" s="3" t="s">
        <v>1810</v>
      </c>
      <c r="K234" s="3" t="s">
        <v>1811</v>
      </c>
      <c r="L234" s="3">
        <v>0.67600000000000005</v>
      </c>
      <c r="M234" s="3">
        <v>0.85899999999999999</v>
      </c>
      <c r="N234" s="3">
        <v>5</v>
      </c>
      <c r="O234" s="8">
        <v>-9602</v>
      </c>
      <c r="P234" s="3">
        <v>0</v>
      </c>
      <c r="Q234" s="3">
        <v>4.1200000000000001E-2</v>
      </c>
      <c r="R234" s="3">
        <v>9.9399999999999992E-3</v>
      </c>
      <c r="S234" s="3">
        <v>0.754</v>
      </c>
      <c r="T234" s="3">
        <v>0.98</v>
      </c>
      <c r="U234" s="3">
        <v>0.54600000000000004</v>
      </c>
      <c r="V234" s="8">
        <v>111991</v>
      </c>
      <c r="W234" s="3">
        <v>4</v>
      </c>
      <c r="X234" s="3" t="str">
        <f t="shared" si="16"/>
        <v>-HAPPY-</v>
      </c>
      <c r="Y234" s="3" t="str">
        <f t="shared" si="17"/>
        <v>-ENERGY-</v>
      </c>
      <c r="Z234" s="4" t="str">
        <f t="shared" si="18"/>
        <v>{"couname":"Da Funk / Daftendirekt","img":"https://i.scdn.co/image/ab67616d0000b273673288fb985e5c194536ae27","pty":"41","artist":"Daft Punk","genres":"house francés,electrónica,electro","duration":"396973","spotId":"5OWhFeNXZ2RGbsGpl3rIc3","Items":["-HAPPY-","-ENERGY-","","","GN_FrenchElectro"]},</v>
      </c>
      <c r="AA234" s="5" t="s">
        <v>6100</v>
      </c>
      <c r="AB234" s="3" t="str">
        <f t="shared" si="19"/>
        <v>["-HAPPY-","-ENERGY-","","","GN_FrenchElectro"]</v>
      </c>
      <c r="AC234" s="3" t="str">
        <f>_xlfn.XLOOKUP(A234,Album!A:A,Album!J:J)</f>
        <v>https://i.scdn.co/image/ab67616d0000b273673288fb985e5c194536ae27</v>
      </c>
      <c r="AD234" s="3"/>
      <c r="AE234" s="3"/>
      <c r="AF234" s="3"/>
      <c r="AG234" s="3"/>
      <c r="AH234" s="3"/>
    </row>
    <row r="235" spans="1:34" x14ac:dyDescent="0.3">
      <c r="A235" s="11" t="s">
        <v>568</v>
      </c>
      <c r="B235" s="12" t="s">
        <v>569</v>
      </c>
      <c r="C235" s="12" t="s">
        <v>569</v>
      </c>
      <c r="D235" s="13" t="s">
        <v>2537</v>
      </c>
      <c r="E235" s="6">
        <v>42643</v>
      </c>
      <c r="F235" s="3">
        <v>171356</v>
      </c>
      <c r="G235" s="3">
        <v>40</v>
      </c>
      <c r="H235" s="3" t="s">
        <v>5802</v>
      </c>
      <c r="I235" s="3" t="s">
        <v>462</v>
      </c>
      <c r="J235" s="3" t="s">
        <v>473</v>
      </c>
      <c r="K235" s="3" t="s">
        <v>570</v>
      </c>
      <c r="L235" s="3">
        <v>0.59199999999999997</v>
      </c>
      <c r="M235" s="3">
        <v>0.97399999999999998</v>
      </c>
      <c r="N235" s="3">
        <v>11</v>
      </c>
      <c r="O235" s="8">
        <v>-4885</v>
      </c>
      <c r="P235" s="3">
        <v>1</v>
      </c>
      <c r="Q235" s="3">
        <v>0.11899999999999999</v>
      </c>
      <c r="R235" s="3">
        <v>3.6800000000000001E-3</v>
      </c>
      <c r="S235" s="3">
        <v>5.9500000000000004E-3</v>
      </c>
      <c r="T235" s="3">
        <v>0.127</v>
      </c>
      <c r="U235" s="3">
        <v>0.41399999999999998</v>
      </c>
      <c r="V235" s="8">
        <v>125057</v>
      </c>
      <c r="W235" s="3">
        <v>4</v>
      </c>
      <c r="X235" s="3" t="str">
        <f t="shared" si="16"/>
        <v>-HAPPY-</v>
      </c>
      <c r="Y235" s="3" t="str">
        <f t="shared" si="17"/>
        <v>-ENERGY-</v>
      </c>
      <c r="Z235" s="4" t="str">
        <f t="shared" si="18"/>
        <v>{"couname":"Burning","img":"https://i.scdn.co/image/ab67616d0000b273ee1a5f16b703247f34dcd026","pty":"40","artist":"Bob Sinclar, Daddy's Groove","genres":"house francés,disco house,electro house,house latino,tribal house","duration":"171356","spotId":"2uukIpWhy3xuVUqszUriov","Items":["-HAPPY-","-ENERGY-","","","GN_FrenchElectro"]},</v>
      </c>
      <c r="AA235" s="5" t="s">
        <v>6100</v>
      </c>
      <c r="AB235" s="3" t="str">
        <f t="shared" si="19"/>
        <v>["-HAPPY-","-ENERGY-","","","GN_FrenchElectro"]</v>
      </c>
      <c r="AC235" s="3" t="str">
        <f>_xlfn.XLOOKUP(A235,Album!A:A,Album!J:J)</f>
        <v>https://i.scdn.co/image/ab67616d0000b273ee1a5f16b703247f34dcd026</v>
      </c>
      <c r="AD235" s="3"/>
      <c r="AE235" s="3"/>
      <c r="AF235" s="3"/>
      <c r="AG235" s="3"/>
      <c r="AH235" s="3"/>
    </row>
    <row r="236" spans="1:34" x14ac:dyDescent="0.3">
      <c r="A236" s="11" t="s">
        <v>955</v>
      </c>
      <c r="B236" s="12" t="s">
        <v>956</v>
      </c>
      <c r="C236" s="12" t="s">
        <v>931</v>
      </c>
      <c r="D236" s="13" t="s">
        <v>842</v>
      </c>
      <c r="E236" s="6">
        <v>2008</v>
      </c>
      <c r="F236" s="3">
        <v>323373</v>
      </c>
      <c r="G236" s="3">
        <v>40</v>
      </c>
      <c r="H236" s="3" t="s">
        <v>5801</v>
      </c>
      <c r="I236" s="3" t="s">
        <v>889</v>
      </c>
      <c r="J236" s="3" t="s">
        <v>844</v>
      </c>
      <c r="K236" s="3" t="s">
        <v>890</v>
      </c>
      <c r="L236" s="3">
        <v>0.49199999999999999</v>
      </c>
      <c r="M236" s="3">
        <v>0.56699999999999995</v>
      </c>
      <c r="N236" s="3">
        <v>5</v>
      </c>
      <c r="O236" s="8">
        <v>-6159</v>
      </c>
      <c r="P236" s="3">
        <v>1</v>
      </c>
      <c r="Q236" s="3">
        <v>3.27E-2</v>
      </c>
      <c r="R236" s="3">
        <v>1.1400000000000001E-4</v>
      </c>
      <c r="S236" s="3">
        <v>0.53600000000000003</v>
      </c>
      <c r="T236" s="3">
        <v>0.35799999999999998</v>
      </c>
      <c r="U236" s="3">
        <v>0.245</v>
      </c>
      <c r="V236" s="8">
        <v>111.01</v>
      </c>
      <c r="W236" s="3">
        <v>4</v>
      </c>
      <c r="X236" s="3" t="str">
        <f t="shared" si="16"/>
        <v>-SADNE-</v>
      </c>
      <c r="Y236" s="3" t="str">
        <f t="shared" si="17"/>
        <v>-ENERGY-</v>
      </c>
      <c r="Z236" s="4" t="str">
        <f t="shared" si="18"/>
        <v>{"couname":"Kim &amp; Jessie","img":"https://i.scdn.co/image/ab67616d0000b273fb1ed9d614dc2fa4d5ead013","pty":"40","artist":"M83","genres":"indietronica","duration":"323373","spotId":"6T0dHDN1lPn5jamdHlWypt","Items":["-SADNE-","-ENERGY-","","","GN_FrenchElectro"]},</v>
      </c>
      <c r="AA236" s="5" t="s">
        <v>6100</v>
      </c>
      <c r="AB236" s="3" t="str">
        <f t="shared" si="19"/>
        <v>["-SADNE-","-ENERGY-","","","GN_FrenchElectro"]</v>
      </c>
      <c r="AC236" s="3" t="str">
        <f>_xlfn.XLOOKUP(A236,Album!A:A,Album!J:J)</f>
        <v>https://i.scdn.co/image/ab67616d0000b273fb1ed9d614dc2fa4d5ead013</v>
      </c>
      <c r="AD236" s="3"/>
      <c r="AE236" s="3"/>
      <c r="AF236" s="3"/>
      <c r="AG236" s="3"/>
      <c r="AH236" s="3"/>
    </row>
    <row r="237" spans="1:34" x14ac:dyDescent="0.3">
      <c r="A237" s="11" t="s">
        <v>1213</v>
      </c>
      <c r="B237" s="12" t="s">
        <v>5799</v>
      </c>
      <c r="C237" s="12" t="s">
        <v>1205</v>
      </c>
      <c r="D237" s="13" t="s">
        <v>3712</v>
      </c>
      <c r="E237" s="6">
        <v>42093</v>
      </c>
      <c r="F237" s="3">
        <v>219840</v>
      </c>
      <c r="G237" s="3">
        <v>40</v>
      </c>
      <c r="H237" s="3" t="s">
        <v>5800</v>
      </c>
      <c r="I237" s="3" t="s">
        <v>1207</v>
      </c>
      <c r="J237" s="3" t="s">
        <v>1208</v>
      </c>
      <c r="K237" s="3" t="s">
        <v>84</v>
      </c>
      <c r="L237" s="3">
        <v>0.46</v>
      </c>
      <c r="M237" s="3">
        <v>0.73599999999999999</v>
      </c>
      <c r="N237" s="3">
        <v>9</v>
      </c>
      <c r="O237" s="8">
        <v>-3039</v>
      </c>
      <c r="P237" s="3">
        <v>1</v>
      </c>
      <c r="Q237" s="3">
        <v>3.0300000000000001E-2</v>
      </c>
      <c r="R237" s="3">
        <v>5.5800000000000002E-2</v>
      </c>
      <c r="S237" s="3">
        <v>6.6800000000000004E-6</v>
      </c>
      <c r="T237" s="3">
        <v>0.216</v>
      </c>
      <c r="U237" s="3">
        <v>0.253</v>
      </c>
      <c r="V237" s="8">
        <v>139905</v>
      </c>
      <c r="W237" s="3">
        <v>4</v>
      </c>
      <c r="X237" s="3" t="str">
        <f t="shared" si="16"/>
        <v>-SADNE-</v>
      </c>
      <c r="Y237" s="3" t="str">
        <f t="shared" si="17"/>
        <v>-ENERGY-</v>
      </c>
      <c r="Z237" s="4" t="str">
        <f t="shared" si="18"/>
        <v>{"couname":"La Lune","img":"https://i.scdn.co/image/ab67616d0000b27392cb28b37837c67dffe602f9","pty":"40","artist":"Madeon, Dan Smith","genres":"edm,house francés","duration":"219840","spotId":"1UCDE2UIE5cC6B1o0nsrSv","Items":["-SADNE-","-ENERGY-","","","GN_FrenchElectro"]},</v>
      </c>
      <c r="AA237" s="5" t="s">
        <v>6100</v>
      </c>
      <c r="AB237" s="3" t="str">
        <f t="shared" si="19"/>
        <v>["-SADNE-","-ENERGY-","","","GN_FrenchElectro"]</v>
      </c>
      <c r="AC237" s="3" t="str">
        <f>_xlfn.XLOOKUP(A237,Album!A:A,Album!J:J)</f>
        <v>https://i.scdn.co/image/ab67616d0000b27392cb28b37837c67dffe602f9</v>
      </c>
      <c r="AD237" s="3"/>
      <c r="AE237" s="3"/>
      <c r="AF237" s="3"/>
      <c r="AG237" s="3"/>
      <c r="AH237" s="3"/>
    </row>
    <row r="238" spans="1:34" x14ac:dyDescent="0.3">
      <c r="A238" s="11" t="s">
        <v>1373</v>
      </c>
      <c r="B238" s="12" t="s">
        <v>1374</v>
      </c>
      <c r="C238" s="12" t="s">
        <v>1344</v>
      </c>
      <c r="D238" s="13" t="s">
        <v>1345</v>
      </c>
      <c r="E238" s="6">
        <v>38012</v>
      </c>
      <c r="F238" s="3">
        <v>262013</v>
      </c>
      <c r="G238" s="3">
        <v>40</v>
      </c>
      <c r="H238" s="3" t="s">
        <v>5798</v>
      </c>
      <c r="I238" s="3" t="s">
        <v>1336</v>
      </c>
      <c r="J238" s="3" t="s">
        <v>1337</v>
      </c>
      <c r="K238" s="3" t="s">
        <v>83</v>
      </c>
      <c r="L238" s="3">
        <v>0.71699999999999997</v>
      </c>
      <c r="M238" s="3">
        <v>0.51</v>
      </c>
      <c r="N238" s="3">
        <v>0</v>
      </c>
      <c r="O238" s="8">
        <v>-12.64</v>
      </c>
      <c r="P238" s="3">
        <v>1</v>
      </c>
      <c r="Q238" s="3">
        <v>5.0999999999999997E-2</v>
      </c>
      <c r="R238" s="3">
        <v>0.82899999999999996</v>
      </c>
      <c r="S238" s="3">
        <v>0.125</v>
      </c>
      <c r="T238" s="3">
        <v>0.111</v>
      </c>
      <c r="U238" s="3">
        <v>0.40300000000000002</v>
      </c>
      <c r="V238" s="8">
        <v>90.99</v>
      </c>
      <c r="W238" s="3">
        <v>4</v>
      </c>
      <c r="X238" s="3" t="str">
        <f t="shared" si="16"/>
        <v>-HAPPY-</v>
      </c>
      <c r="Y238" s="3" t="str">
        <f t="shared" si="17"/>
        <v>-ENERGY-</v>
      </c>
      <c r="Z238" s="4" t="str">
        <f t="shared" si="18"/>
        <v>{"couname":"Universal Traveler","img":"https://i.scdn.co/image/ab67616d0000b2736400fab74f28e90759ac8815","pty":"40","artist":"Air","genres":"trip hop,downtempo,house francés","duration":"262013","spotId":"2q0WFOsFc7Gd9cujpPmZMC","Items":["-HAPPY-","-ENERGY-","","","GN_FrenchElectro"]},</v>
      </c>
      <c r="AA238" s="5" t="s">
        <v>6100</v>
      </c>
      <c r="AB238" s="3" t="str">
        <f t="shared" si="19"/>
        <v>["-HAPPY-","-ENERGY-","","","GN_FrenchElectro"]</v>
      </c>
      <c r="AC238" s="3" t="str">
        <f>_xlfn.XLOOKUP(A238,Album!A:A,Album!J:J)</f>
        <v>https://i.scdn.co/image/ab67616d0000b2736400fab74f28e90759ac8815</v>
      </c>
      <c r="AD238" s="3"/>
      <c r="AE238" s="3"/>
      <c r="AF238" s="3"/>
      <c r="AG238" s="3"/>
      <c r="AH238" s="3"/>
    </row>
    <row r="239" spans="1:34" x14ac:dyDescent="0.3">
      <c r="A239" s="11" t="s">
        <v>1379</v>
      </c>
      <c r="B239" s="12" t="s">
        <v>1380</v>
      </c>
      <c r="C239" s="12" t="s">
        <v>1357</v>
      </c>
      <c r="D239" s="13" t="s">
        <v>1345</v>
      </c>
      <c r="E239" s="6">
        <v>36396</v>
      </c>
      <c r="F239" s="3">
        <v>359600</v>
      </c>
      <c r="G239" s="3">
        <v>40</v>
      </c>
      <c r="H239" s="3" t="s">
        <v>5797</v>
      </c>
      <c r="I239" s="3" t="s">
        <v>1336</v>
      </c>
      <c r="J239" s="3" t="s">
        <v>1337</v>
      </c>
      <c r="K239" s="3" t="s">
        <v>83</v>
      </c>
      <c r="L239" s="3">
        <v>0.59499999999999997</v>
      </c>
      <c r="M239" s="3">
        <v>0.55700000000000005</v>
      </c>
      <c r="N239" s="3">
        <v>2</v>
      </c>
      <c r="O239" s="8">
        <v>-11903</v>
      </c>
      <c r="P239" s="3">
        <v>0</v>
      </c>
      <c r="Q239" s="3">
        <v>9.1200000000000003E-2</v>
      </c>
      <c r="R239" s="3">
        <v>0.35099999999999998</v>
      </c>
      <c r="S239" s="3">
        <v>0.81</v>
      </c>
      <c r="T239" s="3">
        <v>4.6800000000000001E-2</v>
      </c>
      <c r="U239" s="3">
        <v>0.39600000000000002</v>
      </c>
      <c r="V239" s="8">
        <v>179798</v>
      </c>
      <c r="W239" s="3">
        <v>4</v>
      </c>
      <c r="X239" s="3" t="str">
        <f t="shared" si="16"/>
        <v>-SADNE-</v>
      </c>
      <c r="Y239" s="3" t="str">
        <f t="shared" si="17"/>
        <v>-ENERGY-</v>
      </c>
      <c r="Z239" s="4" t="str">
        <f t="shared" si="18"/>
        <v>{"couname":"Modular Mix","img":"https://i.scdn.co/image/ab67616d0000b273988970b40aca1d4cfb3edc3d","pty":"40","artist":"Air","genres":"trip hop,downtempo,house francés","duration":"359600","spotId":"4NsBEdmbgu9u8cH21ycyBv","Items":["-SADNE-","-ENERGY-","","","GN_FrenchElectro"]},</v>
      </c>
      <c r="AA239" s="5" t="s">
        <v>6100</v>
      </c>
      <c r="AB239" s="3" t="str">
        <f t="shared" si="19"/>
        <v>["-SADNE-","-ENERGY-","","","GN_FrenchElectro"]</v>
      </c>
      <c r="AC239" s="3" t="str">
        <f>_xlfn.XLOOKUP(A239,Album!A:A,Album!J:J)</f>
        <v>https://i.scdn.co/image/ab67616d0000b273988970b40aca1d4cfb3edc3d</v>
      </c>
      <c r="AD239" s="3"/>
      <c r="AE239" s="3"/>
      <c r="AF239" s="3"/>
      <c r="AG239" s="3"/>
      <c r="AH239" s="3"/>
    </row>
    <row r="240" spans="1:34" x14ac:dyDescent="0.3">
      <c r="A240" s="11" t="s">
        <v>1513</v>
      </c>
      <c r="B240" s="12" t="s">
        <v>1514</v>
      </c>
      <c r="C240" s="12" t="s">
        <v>1462</v>
      </c>
      <c r="D240" s="13" t="s">
        <v>4140</v>
      </c>
      <c r="E240" s="6">
        <v>42587</v>
      </c>
      <c r="F240" s="3">
        <v>258346</v>
      </c>
      <c r="G240" s="3">
        <v>40</v>
      </c>
      <c r="H240" s="3" t="s">
        <v>5796</v>
      </c>
      <c r="I240" s="3" t="s">
        <v>1463</v>
      </c>
      <c r="J240" s="3" t="s">
        <v>1515</v>
      </c>
      <c r="K240" s="3" t="s">
        <v>1464</v>
      </c>
      <c r="L240" s="3">
        <v>0.58299999999999996</v>
      </c>
      <c r="M240" s="3">
        <v>0.92900000000000005</v>
      </c>
      <c r="N240" s="3">
        <v>9</v>
      </c>
      <c r="O240" s="8">
        <v>-1345</v>
      </c>
      <c r="P240" s="3">
        <v>0</v>
      </c>
      <c r="Q240" s="3">
        <v>3.32E-2</v>
      </c>
      <c r="R240" s="3">
        <v>6.6200000000000005E-4</v>
      </c>
      <c r="S240" s="3">
        <v>0.35499999999999998</v>
      </c>
      <c r="T240" s="3">
        <v>7.9500000000000001E-2</v>
      </c>
      <c r="U240" s="3">
        <v>8.5199999999999998E-2</v>
      </c>
      <c r="V240" s="8">
        <v>102991</v>
      </c>
      <c r="W240" s="3">
        <v>4</v>
      </c>
      <c r="X240" s="3" t="str">
        <f t="shared" si="16"/>
        <v>-SADNE-</v>
      </c>
      <c r="Y240" s="3" t="str">
        <f t="shared" si="17"/>
        <v>-ENERGY-</v>
      </c>
      <c r="Z240" s="4" t="str">
        <f t="shared" si="18"/>
        <v>{"couname":"Sahara","img":"https://i.scdn.co/image/ab67616d0000b273212d776c31027c511f0ee3bc","pty":"40","artist":"DJ Snake, Skrillex","genres":"dubstep,edm,electro,electrónica","duration":"258346","spotId":"5GokpIAufFJxKqkJgRtdKD","Items":["-SADNE-","-ENERGY-","","","GN_FrenchElectro"]},</v>
      </c>
      <c r="AA240" s="5" t="s">
        <v>6100</v>
      </c>
      <c r="AB240" s="3" t="str">
        <f t="shared" si="19"/>
        <v>["-SADNE-","-ENERGY-","","","GN_FrenchElectro"]</v>
      </c>
      <c r="AC240" s="3" t="str">
        <f>_xlfn.XLOOKUP(A240,Album!A:A,Album!J:J)</f>
        <v>https://i.scdn.co/image/ab67616d0000b273212d776c31027c511f0ee3bc</v>
      </c>
      <c r="AD240" s="3"/>
      <c r="AE240" s="3"/>
      <c r="AF240" s="3"/>
      <c r="AG240" s="3"/>
      <c r="AH240" s="3"/>
    </row>
    <row r="241" spans="1:34" x14ac:dyDescent="0.3">
      <c r="A241" s="11" t="s">
        <v>1557</v>
      </c>
      <c r="B241" s="12" t="s">
        <v>96</v>
      </c>
      <c r="C241" s="12" t="s">
        <v>1479</v>
      </c>
      <c r="D241" s="13" t="s">
        <v>4198</v>
      </c>
      <c r="E241" s="6">
        <v>43671</v>
      </c>
      <c r="F241" s="3">
        <v>166000</v>
      </c>
      <c r="G241" s="3">
        <v>40</v>
      </c>
      <c r="H241" s="3" t="s">
        <v>5795</v>
      </c>
      <c r="I241" s="3" t="s">
        <v>1463</v>
      </c>
      <c r="J241" s="3" t="s">
        <v>1559</v>
      </c>
      <c r="K241" s="3" t="s">
        <v>1476</v>
      </c>
      <c r="L241" s="3">
        <v>0.80700000000000005</v>
      </c>
      <c r="M241" s="3">
        <v>0.71699999999999997</v>
      </c>
      <c r="N241" s="3">
        <v>4</v>
      </c>
      <c r="O241" s="8">
        <v>-8434</v>
      </c>
      <c r="P241" s="3">
        <v>0</v>
      </c>
      <c r="Q241" s="3">
        <v>4.5400000000000003E-2</v>
      </c>
      <c r="R241" s="3">
        <v>1.7299999999999999E-2</v>
      </c>
      <c r="S241" s="3">
        <v>1.0200000000000001E-3</v>
      </c>
      <c r="T241" s="3">
        <v>0.13</v>
      </c>
      <c r="U241" s="3">
        <v>0.56399999999999995</v>
      </c>
      <c r="V241" s="8">
        <v>120046</v>
      </c>
      <c r="W241" s="3">
        <v>4</v>
      </c>
      <c r="X241" s="3" t="str">
        <f t="shared" si="16"/>
        <v>-HAPPY-</v>
      </c>
      <c r="Y241" s="3" t="str">
        <f t="shared" si="17"/>
        <v>-ENERGY-</v>
      </c>
      <c r="Z241" s="4" t="str">
        <f t="shared" si="18"/>
        <v>{"couname":"No More","img":"https://i.scdn.co/image/ab67616d0000b273caf82abb2338880577e472be","pty":"40","artist":"DJ Snake, ZHU","genres":"edm","duration":"166000","spotId":"1j4MPw77pRZ77fMBuaRCZl","Items":["-HAPPY-","-ENERGY-","","","GN_FrenchElectro"]},</v>
      </c>
      <c r="AA241" s="5" t="s">
        <v>6100</v>
      </c>
      <c r="AB241" s="3" t="str">
        <f t="shared" si="19"/>
        <v>["-HAPPY-","-ENERGY-","","","GN_FrenchElectro"]</v>
      </c>
      <c r="AC241" s="3" t="str">
        <f>_xlfn.XLOOKUP(A241,Album!A:A,Album!J:J)</f>
        <v>https://i.scdn.co/image/ab67616d0000b273caf82abb2338880577e472be</v>
      </c>
      <c r="AD241" s="3"/>
      <c r="AE241" s="3"/>
      <c r="AF241" s="3"/>
      <c r="AG241" s="3"/>
      <c r="AH241" s="3"/>
    </row>
    <row r="242" spans="1:34" x14ac:dyDescent="0.3">
      <c r="A242" s="11" t="s">
        <v>1560</v>
      </c>
      <c r="B242" s="12" t="s">
        <v>1561</v>
      </c>
      <c r="C242" s="12" t="s">
        <v>1561</v>
      </c>
      <c r="D242" s="13" t="s">
        <v>4202</v>
      </c>
      <c r="E242" s="6">
        <v>43273</v>
      </c>
      <c r="F242" s="3">
        <v>256874</v>
      </c>
      <c r="G242" s="3">
        <v>40</v>
      </c>
      <c r="H242" s="3" t="s">
        <v>5794</v>
      </c>
      <c r="I242" s="3" t="s">
        <v>1463</v>
      </c>
      <c r="J242" s="3"/>
      <c r="K242" s="3" t="s">
        <v>1562</v>
      </c>
      <c r="L242" s="3">
        <v>0.70399999999999996</v>
      </c>
      <c r="M242" s="3">
        <v>0.98899999999999999</v>
      </c>
      <c r="N242" s="3">
        <v>8</v>
      </c>
      <c r="O242" s="8">
        <v>-5079</v>
      </c>
      <c r="P242" s="3">
        <v>1</v>
      </c>
      <c r="Q242" s="3">
        <v>7.2999999999999995E-2</v>
      </c>
      <c r="R242" s="3">
        <v>8.9999999999999993E-3</v>
      </c>
      <c r="S242" s="3">
        <v>4.4299999999999999E-2</v>
      </c>
      <c r="T242" s="3">
        <v>8.14E-2</v>
      </c>
      <c r="U242" s="3">
        <v>0.123</v>
      </c>
      <c r="V242" s="8">
        <v>127992</v>
      </c>
      <c r="W242" s="3">
        <v>4</v>
      </c>
      <c r="X242" s="3" t="str">
        <f t="shared" si="16"/>
        <v>-SADNE-</v>
      </c>
      <c r="Y242" s="3" t="str">
        <f t="shared" si="17"/>
        <v>-ENERGY-</v>
      </c>
      <c r="Z242" s="4" t="str">
        <f t="shared" si="18"/>
        <v>{"couname":"Let's Get Ill","img":"https://i.scdn.co/image/ab67616d0000b273b0beabe2251b03892cafe930","pty":"40","artist":"DJ Snake, Mercer","genres":"","duration":"256874","spotId":"3J5AcWRzmgbq4svZt91l3e","Items":["-SADNE-","-ENERGY-","","","GN_FrenchElectro"]},</v>
      </c>
      <c r="AA242" s="5" t="s">
        <v>6100</v>
      </c>
      <c r="AB242" s="3" t="str">
        <f t="shared" si="19"/>
        <v>["-SADNE-","-ENERGY-","","","GN_FrenchElectro"]</v>
      </c>
      <c r="AC242" s="3" t="str">
        <f>_xlfn.XLOOKUP(A242,Album!A:A,Album!J:J)</f>
        <v>https://i.scdn.co/image/ab67616d0000b273b0beabe2251b03892cafe930</v>
      </c>
      <c r="AD242" s="3"/>
      <c r="AE242" s="3"/>
      <c r="AF242" s="3"/>
      <c r="AG242" s="3"/>
      <c r="AH242" s="3"/>
    </row>
    <row r="243" spans="1:34" x14ac:dyDescent="0.3">
      <c r="A243" s="11" t="s">
        <v>1663</v>
      </c>
      <c r="B243" s="12" t="s">
        <v>1664</v>
      </c>
      <c r="C243" s="12" t="s">
        <v>1655</v>
      </c>
      <c r="D243" s="13" t="s">
        <v>1649</v>
      </c>
      <c r="E243" s="6">
        <v>41275</v>
      </c>
      <c r="F243" s="3">
        <v>175653</v>
      </c>
      <c r="G243" s="3">
        <v>40</v>
      </c>
      <c r="H243" s="3" t="s">
        <v>5793</v>
      </c>
      <c r="I243" s="3" t="s">
        <v>1650</v>
      </c>
      <c r="J243" s="3" t="s">
        <v>1651</v>
      </c>
      <c r="K243" s="3" t="s">
        <v>1656</v>
      </c>
      <c r="L243" s="3">
        <v>0.432</v>
      </c>
      <c r="M243" s="3">
        <v>0.873</v>
      </c>
      <c r="N243" s="3">
        <v>5</v>
      </c>
      <c r="O243" s="8">
        <v>-3015</v>
      </c>
      <c r="P243" s="3">
        <v>0</v>
      </c>
      <c r="Q243" s="3">
        <v>5.8799999999999998E-2</v>
      </c>
      <c r="R243" s="3">
        <v>1.24E-2</v>
      </c>
      <c r="S243" s="3">
        <v>9.5600000000000004E-2</v>
      </c>
      <c r="T243" s="3">
        <v>0.34599999999999997</v>
      </c>
      <c r="U243" s="3">
        <v>0.503</v>
      </c>
      <c r="V243" s="8">
        <v>111121</v>
      </c>
      <c r="W243" s="3">
        <v>4</v>
      </c>
      <c r="X243" s="3" t="str">
        <f t="shared" si="16"/>
        <v>-HAPPY-</v>
      </c>
      <c r="Y243" s="3" t="str">
        <f t="shared" si="17"/>
        <v>-ENERGY-</v>
      </c>
      <c r="Z243" s="4" t="str">
        <f t="shared" si="18"/>
        <v>{"couname":"Rampage","img":"https://i.scdn.co/image/ab67616d0000b2731c08bca073e89ae32c68ffaa","pty":"40","artist":"Kavinsky","genres":"synthwave,house francés","duration":"175653","spotId":"2L229dt48Ged4SdbenZrd7","Items":["-HAPPY-","-ENERGY-","","","GN_FrenchElectro"]},</v>
      </c>
      <c r="AA243" s="5" t="s">
        <v>6100</v>
      </c>
      <c r="AB243" s="3" t="str">
        <f t="shared" si="19"/>
        <v>["-HAPPY-","-ENERGY-","","","GN_FrenchElectro"]</v>
      </c>
      <c r="AC243" s="3" t="str">
        <f>_xlfn.XLOOKUP(A243,Album!A:A,Album!J:J)</f>
        <v>https://i.scdn.co/image/ab67616d0000b2731c08bca073e89ae32c68ffaa</v>
      </c>
      <c r="AD243" s="3"/>
      <c r="AE243" s="3"/>
      <c r="AF243" s="3"/>
      <c r="AG243" s="3"/>
      <c r="AH243" s="3"/>
    </row>
    <row r="244" spans="1:34" x14ac:dyDescent="0.3">
      <c r="A244" s="11" t="s">
        <v>1826</v>
      </c>
      <c r="B244" s="12" t="s">
        <v>1827</v>
      </c>
      <c r="C244" s="12" t="s">
        <v>1808</v>
      </c>
      <c r="D244" s="13" t="s">
        <v>9</v>
      </c>
      <c r="E244" s="6">
        <v>35447</v>
      </c>
      <c r="F244" s="3">
        <v>173493</v>
      </c>
      <c r="G244" s="3">
        <v>40</v>
      </c>
      <c r="H244" s="3" t="s">
        <v>5792</v>
      </c>
      <c r="I244" s="3" t="s">
        <v>1809</v>
      </c>
      <c r="J244" s="3" t="s">
        <v>1810</v>
      </c>
      <c r="K244" s="3" t="s">
        <v>1811</v>
      </c>
      <c r="L244" s="3">
        <v>0.98</v>
      </c>
      <c r="M244" s="3">
        <v>0.48599999999999999</v>
      </c>
      <c r="N244" s="3">
        <v>6</v>
      </c>
      <c r="O244" s="8">
        <v>-7.31</v>
      </c>
      <c r="P244" s="3">
        <v>1</v>
      </c>
      <c r="Q244" s="3">
        <v>0.251</v>
      </c>
      <c r="R244" s="3">
        <v>0.03</v>
      </c>
      <c r="S244" s="3">
        <v>0.82299999999999995</v>
      </c>
      <c r="T244" s="3">
        <v>9.9500000000000005E-2</v>
      </c>
      <c r="U244" s="3">
        <v>0.82299999999999995</v>
      </c>
      <c r="V244" s="8">
        <v>123206</v>
      </c>
      <c r="W244" s="3">
        <v>4</v>
      </c>
      <c r="X244" s="3" t="str">
        <f t="shared" si="16"/>
        <v>-HAPPY-</v>
      </c>
      <c r="Y244" s="3" t="str">
        <f t="shared" si="17"/>
        <v>-ENERGY-</v>
      </c>
      <c r="Z244" s="4" t="str">
        <f t="shared" si="18"/>
        <v>{"couname":"Teachers","img":"https://i.scdn.co/image/ab67616d0000b2738ac778cc7d88779f74d33311","pty":"40","artist":"Daft Punk","genres":"house francés,electrónica,electro","duration":"173493","spotId":"4ZdjCuiWBv2weLftWPJ72c","Items":["-HAPPY-","-ENERGY-","","","GN_FrenchElectro"]},</v>
      </c>
      <c r="AA244" s="5" t="s">
        <v>6100</v>
      </c>
      <c r="AB244" s="3" t="str">
        <f t="shared" si="19"/>
        <v>["-HAPPY-","-ENERGY-","","","GN_FrenchElectro"]</v>
      </c>
      <c r="AC244" s="3" t="str">
        <f>_xlfn.XLOOKUP(A244,Album!A:A,Album!J:J)</f>
        <v>https://i.scdn.co/image/ab67616d0000b2738ac778cc7d88779f74d33311</v>
      </c>
      <c r="AD244" s="3"/>
      <c r="AE244" s="3"/>
      <c r="AF244" s="3"/>
      <c r="AG244" s="3"/>
      <c r="AH244" s="3"/>
    </row>
    <row r="245" spans="1:34" x14ac:dyDescent="0.3">
      <c r="A245" s="11" t="s">
        <v>1830</v>
      </c>
      <c r="B245" s="12" t="s">
        <v>1831</v>
      </c>
      <c r="C245" s="12" t="s">
        <v>1808</v>
      </c>
      <c r="D245" s="13" t="s">
        <v>9</v>
      </c>
      <c r="E245" s="6">
        <v>35447</v>
      </c>
      <c r="F245" s="3">
        <v>453866</v>
      </c>
      <c r="G245" s="3">
        <v>40</v>
      </c>
      <c r="H245" s="3" t="s">
        <v>5791</v>
      </c>
      <c r="I245" s="3" t="s">
        <v>1809</v>
      </c>
      <c r="J245" s="3" t="s">
        <v>1810</v>
      </c>
      <c r="K245" s="3" t="s">
        <v>1811</v>
      </c>
      <c r="L245" s="3">
        <v>0.95499999999999996</v>
      </c>
      <c r="M245" s="3">
        <v>0.89900000000000002</v>
      </c>
      <c r="N245" s="3">
        <v>1</v>
      </c>
      <c r="O245" s="8">
        <v>-7599</v>
      </c>
      <c r="P245" s="3">
        <v>1</v>
      </c>
      <c r="Q245" s="3">
        <v>0.27300000000000002</v>
      </c>
      <c r="R245" s="3">
        <v>1.7100000000000001E-2</v>
      </c>
      <c r="S245" s="3">
        <v>0.64</v>
      </c>
      <c r="T245" s="3">
        <v>6.4199999999999993E-2</v>
      </c>
      <c r="U245" s="3">
        <v>0.33100000000000002</v>
      </c>
      <c r="V245" s="8">
        <v>134941</v>
      </c>
      <c r="W245" s="3">
        <v>4</v>
      </c>
      <c r="X245" s="3" t="str">
        <f t="shared" si="16"/>
        <v>-HAPPY-</v>
      </c>
      <c r="Y245" s="3" t="str">
        <f t="shared" si="17"/>
        <v>-ENERGY-</v>
      </c>
      <c r="Z245" s="4" t="str">
        <f t="shared" si="18"/>
        <v>{"couname":"Rock'n Roll","img":"https://i.scdn.co/image/ab67616d0000b2738ac778cc7d88779f74d33311","pty":"40","artist":"Daft Punk","genres":"house francés,electrónica,electro","duration":"453866","spotId":"1nluqUxDKnwWyScYVeQHXa","Items":["-HAPPY-","-ENERGY-","","","GN_FrenchElectro"]},</v>
      </c>
      <c r="AA245" s="5" t="s">
        <v>6100</v>
      </c>
      <c r="AB245" s="3" t="str">
        <f t="shared" si="19"/>
        <v>["-HAPPY-","-ENERGY-","","","GN_FrenchElectro"]</v>
      </c>
      <c r="AC245" s="3" t="str">
        <f>_xlfn.XLOOKUP(A245,Album!A:A,Album!J:J)</f>
        <v>https://i.scdn.co/image/ab67616d0000b2738ac778cc7d88779f74d33311</v>
      </c>
      <c r="AD245" s="3"/>
      <c r="AE245" s="3"/>
      <c r="AF245" s="3"/>
      <c r="AG245" s="3"/>
      <c r="AH245" s="3"/>
    </row>
    <row r="246" spans="1:34" x14ac:dyDescent="0.3">
      <c r="A246" s="11" t="s">
        <v>1834</v>
      </c>
      <c r="B246" s="12" t="s">
        <v>1835</v>
      </c>
      <c r="C246" s="12" t="s">
        <v>1808</v>
      </c>
      <c r="D246" s="13" t="s">
        <v>9</v>
      </c>
      <c r="E246" s="6">
        <v>35447</v>
      </c>
      <c r="F246" s="3">
        <v>414173</v>
      </c>
      <c r="G246" s="3">
        <v>40</v>
      </c>
      <c r="H246" s="3" t="s">
        <v>5790</v>
      </c>
      <c r="I246" s="3" t="s">
        <v>1809</v>
      </c>
      <c r="J246" s="3" t="s">
        <v>1810</v>
      </c>
      <c r="K246" s="3" t="s">
        <v>1811</v>
      </c>
      <c r="L246" s="3">
        <v>0.87</v>
      </c>
      <c r="M246" s="3">
        <v>0.875</v>
      </c>
      <c r="N246" s="3">
        <v>6</v>
      </c>
      <c r="O246" s="8">
        <v>-8501</v>
      </c>
      <c r="P246" s="3">
        <v>0</v>
      </c>
      <c r="Q246" s="3">
        <v>0.20499999999999999</v>
      </c>
      <c r="R246" s="3">
        <v>0.192</v>
      </c>
      <c r="S246" s="3">
        <v>0.35699999999999998</v>
      </c>
      <c r="T246" s="3">
        <v>8.0399999999999999E-2</v>
      </c>
      <c r="U246" s="3">
        <v>0.71499999999999997</v>
      </c>
      <c r="V246" s="8">
        <v>124298</v>
      </c>
      <c r="W246" s="3">
        <v>4</v>
      </c>
      <c r="X246" s="3" t="str">
        <f t="shared" si="16"/>
        <v>-HAPPY-</v>
      </c>
      <c r="Y246" s="3" t="str">
        <f t="shared" si="17"/>
        <v>-ENERGY-</v>
      </c>
      <c r="Z246" s="4" t="str">
        <f t="shared" si="18"/>
        <v>{"couname":"Burnin'","img":"https://i.scdn.co/image/ab67616d0000b2738ac778cc7d88779f74d33311","pty":"40","artist":"Daft Punk","genres":"house francés,electrónica,electro","duration":"414173","spotId":"6nSOhDfZOulWp0pnEHFrnn","Items":["-HAPPY-","-ENERGY-","","","GN_FrenchElectro"]},</v>
      </c>
      <c r="AA246" s="5" t="s">
        <v>6100</v>
      </c>
      <c r="AB246" s="3" t="str">
        <f t="shared" si="19"/>
        <v>["-HAPPY-","-ENERGY-","","","GN_FrenchElectro"]</v>
      </c>
      <c r="AC246" s="3" t="str">
        <f>_xlfn.XLOOKUP(A246,Album!A:A,Album!J:J)</f>
        <v>https://i.scdn.co/image/ab67616d0000b2738ac778cc7d88779f74d33311</v>
      </c>
      <c r="AD246" s="3"/>
      <c r="AE246" s="3"/>
      <c r="AF246" s="3"/>
      <c r="AG246" s="3"/>
      <c r="AH246" s="3"/>
    </row>
    <row r="247" spans="1:34" x14ac:dyDescent="0.3">
      <c r="A247" s="11" t="s">
        <v>1838</v>
      </c>
      <c r="B247" s="12" t="s">
        <v>1839</v>
      </c>
      <c r="C247" s="12" t="s">
        <v>1808</v>
      </c>
      <c r="D247" s="13" t="s">
        <v>9</v>
      </c>
      <c r="E247" s="6">
        <v>35447</v>
      </c>
      <c r="F247" s="3">
        <v>316253</v>
      </c>
      <c r="G247" s="3">
        <v>40</v>
      </c>
      <c r="H247" s="3" t="s">
        <v>5789</v>
      </c>
      <c r="I247" s="3" t="s">
        <v>1809</v>
      </c>
      <c r="J247" s="3" t="s">
        <v>1810</v>
      </c>
      <c r="K247" s="3" t="s">
        <v>1811</v>
      </c>
      <c r="L247" s="3">
        <v>0.72299999999999998</v>
      </c>
      <c r="M247" s="3">
        <v>0.71599999999999997</v>
      </c>
      <c r="N247" s="3">
        <v>3</v>
      </c>
      <c r="O247" s="8">
        <v>-6407</v>
      </c>
      <c r="P247" s="3">
        <v>0</v>
      </c>
      <c r="Q247" s="3">
        <v>4.3700000000000003E-2</v>
      </c>
      <c r="R247" s="3">
        <v>5.4200000000000003E-5</v>
      </c>
      <c r="S247" s="3">
        <v>0.90500000000000003</v>
      </c>
      <c r="T247" s="3">
        <v>7.1999999999999995E-2</v>
      </c>
      <c r="U247" s="3">
        <v>7.4800000000000005E-2</v>
      </c>
      <c r="V247" s="8">
        <v>128701</v>
      </c>
      <c r="W247" s="3">
        <v>4</v>
      </c>
      <c r="X247" s="3" t="str">
        <f t="shared" si="16"/>
        <v>-SADNE-</v>
      </c>
      <c r="Y247" s="3" t="str">
        <f t="shared" si="17"/>
        <v>-ENERGY-</v>
      </c>
      <c r="Z247" s="4" t="str">
        <f t="shared" si="18"/>
        <v>{"couname":"Alive","img":"https://i.scdn.co/image/ab67616d0000b2738ac778cc7d88779f74d33311","pty":"40","artist":"Daft Punk","genres":"house francés,electrónica,electro","duration":"316253","spotId":"1PH5Es89c1cENU8WVuWwbp","Items":["-SADNE-","-ENERGY-","","","GN_FrenchElectro"]},</v>
      </c>
      <c r="AA247" s="5" t="s">
        <v>6100</v>
      </c>
      <c r="AB247" s="3" t="str">
        <f t="shared" si="19"/>
        <v>["-SADNE-","-ENERGY-","","","GN_FrenchElectro"]</v>
      </c>
      <c r="AC247" s="3" t="str">
        <f>_xlfn.XLOOKUP(A247,Album!A:A,Album!J:J)</f>
        <v>https://i.scdn.co/image/ab67616d0000b2738ac778cc7d88779f74d33311</v>
      </c>
      <c r="AD247" s="3"/>
      <c r="AE247" s="3"/>
      <c r="AF247" s="3"/>
      <c r="AG247" s="3"/>
      <c r="AH247" s="3"/>
    </row>
    <row r="248" spans="1:34" x14ac:dyDescent="0.3">
      <c r="A248" s="11" t="s">
        <v>1905</v>
      </c>
      <c r="B248" s="12" t="s">
        <v>5787</v>
      </c>
      <c r="C248" s="12" t="s">
        <v>1898</v>
      </c>
      <c r="D248" s="13" t="s">
        <v>9</v>
      </c>
      <c r="E248" s="6">
        <v>40515</v>
      </c>
      <c r="F248" s="3">
        <v>205480</v>
      </c>
      <c r="G248" s="3">
        <v>40</v>
      </c>
      <c r="H248" s="3" t="s">
        <v>5788</v>
      </c>
      <c r="I248" s="3" t="s">
        <v>1809</v>
      </c>
      <c r="J248" s="3" t="s">
        <v>1810</v>
      </c>
      <c r="K248" s="3" t="s">
        <v>51</v>
      </c>
      <c r="L248" s="3">
        <v>0.54300000000000004</v>
      </c>
      <c r="M248" s="3">
        <v>0.50900000000000001</v>
      </c>
      <c r="N248" s="3">
        <v>1</v>
      </c>
      <c r="O248" s="8">
        <v>-14745</v>
      </c>
      <c r="P248" s="3">
        <v>0</v>
      </c>
      <c r="Q248" s="3">
        <v>4.1799999999999997E-2</v>
      </c>
      <c r="R248" s="3">
        <v>0.45100000000000001</v>
      </c>
      <c r="S248" s="3">
        <v>0.73399999999999999</v>
      </c>
      <c r="T248" s="3">
        <v>0.112</v>
      </c>
      <c r="U248" s="3">
        <v>6.9400000000000003E-2</v>
      </c>
      <c r="V248" s="8">
        <v>99974</v>
      </c>
      <c r="W248" s="3">
        <v>4</v>
      </c>
      <c r="X248" s="3" t="str">
        <f t="shared" si="16"/>
        <v>-SADNE-</v>
      </c>
      <c r="Y248" s="3" t="str">
        <f t="shared" si="17"/>
        <v>-ENERGY-</v>
      </c>
      <c r="Z248" s="4" t="str">
        <f t="shared" si="18"/>
        <v>{"couname":"The Game Has Changed","img":"https://i.scdn.co/image/ab67616d0000b27366919acb93950333962467f8","pty":"40","artist":"Daft Punk","genres":"house francés,electrónica,electro","duration":"205480","spotId":"08DBDmvEgY2ZTVMVH2A8lt","Items":["-SADNE-","-ENERGY-","","","GN_FrenchElectro"]},</v>
      </c>
      <c r="AA248" s="5" t="s">
        <v>6100</v>
      </c>
      <c r="AB248" s="3" t="str">
        <f t="shared" si="19"/>
        <v>["-SADNE-","-ENERGY-","","","GN_FrenchElectro"]</v>
      </c>
      <c r="AC248" s="3" t="str">
        <f>_xlfn.XLOOKUP(A248,Album!A:A,Album!J:J)</f>
        <v>https://i.scdn.co/image/ab67616d0000b27366919acb93950333962467f8</v>
      </c>
      <c r="AD248" s="3"/>
      <c r="AE248" s="3"/>
      <c r="AF248" s="3"/>
      <c r="AG248" s="3"/>
      <c r="AH248" s="3"/>
    </row>
    <row r="249" spans="1:34" x14ac:dyDescent="0.3">
      <c r="A249" s="11" t="s">
        <v>1972</v>
      </c>
      <c r="B249" s="12" t="s">
        <v>1973</v>
      </c>
      <c r="C249" s="12" t="s">
        <v>1951</v>
      </c>
      <c r="D249" s="13" t="s">
        <v>9</v>
      </c>
      <c r="E249" s="6">
        <v>39405</v>
      </c>
      <c r="F249" s="3">
        <v>341106</v>
      </c>
      <c r="G249" s="3">
        <v>40</v>
      </c>
      <c r="H249" s="3" t="s">
        <v>5786</v>
      </c>
      <c r="I249" s="3" t="s">
        <v>1809</v>
      </c>
      <c r="J249" s="3" t="s">
        <v>1810</v>
      </c>
      <c r="K249" s="3" t="s">
        <v>1811</v>
      </c>
      <c r="L249" s="3">
        <v>0.48699999999999999</v>
      </c>
      <c r="M249" s="3">
        <v>0.72299999999999998</v>
      </c>
      <c r="N249" s="3">
        <v>7</v>
      </c>
      <c r="O249" s="8">
        <v>-11148</v>
      </c>
      <c r="P249" s="3">
        <v>1</v>
      </c>
      <c r="Q249" s="3">
        <v>0.14299999999999999</v>
      </c>
      <c r="R249" s="3">
        <v>4.4799999999999998E-5</v>
      </c>
      <c r="S249" s="3">
        <v>0.38300000000000001</v>
      </c>
      <c r="T249" s="3">
        <v>0.81899999999999995</v>
      </c>
      <c r="U249" s="3">
        <v>0.39100000000000001</v>
      </c>
      <c r="V249" s="8">
        <v>138007</v>
      </c>
      <c r="W249" s="3">
        <v>4</v>
      </c>
      <c r="X249" s="3" t="str">
        <f t="shared" si="16"/>
        <v>-HAPPY-</v>
      </c>
      <c r="Y249" s="3" t="str">
        <f t="shared" si="17"/>
        <v>-ENERGY-</v>
      </c>
      <c r="Z249" s="4" t="str">
        <f t="shared" si="18"/>
        <v>{"couname":"Superheroes / Human After All / Rock'n Roll","img":"https://i.scdn.co/image/ab67616d0000b273673288fb985e5c194536ae27","pty":"40","artist":"Daft Punk","genres":"house francés,electrónica,electro","duration":"341106","spotId":"029O4HWI1pVXLfFdfQd1Jb","Items":["-HAPPY-","-ENERGY-","","","GN_FrenchElectro"]},</v>
      </c>
      <c r="AA249" s="5" t="s">
        <v>6100</v>
      </c>
      <c r="AB249" s="3" t="str">
        <f t="shared" si="19"/>
        <v>["-HAPPY-","-ENERGY-","","","GN_FrenchElectro"]</v>
      </c>
      <c r="AC249" s="3" t="str">
        <f>_xlfn.XLOOKUP(A249,Album!A:A,Album!J:J)</f>
        <v>https://i.scdn.co/image/ab67616d0000b273673288fb985e5c194536ae27</v>
      </c>
      <c r="AD249" s="3"/>
      <c r="AE249" s="3"/>
      <c r="AF249" s="3"/>
      <c r="AG249" s="3"/>
      <c r="AH249" s="3"/>
    </row>
    <row r="250" spans="1:34" x14ac:dyDescent="0.3">
      <c r="A250" s="11" t="s">
        <v>481</v>
      </c>
      <c r="B250" s="12" t="s">
        <v>5530</v>
      </c>
      <c r="C250" s="12" t="s">
        <v>483</v>
      </c>
      <c r="D250" s="13" t="s">
        <v>2558</v>
      </c>
      <c r="E250" s="6">
        <v>45520</v>
      </c>
      <c r="F250" s="3">
        <v>173333</v>
      </c>
      <c r="G250" s="3">
        <v>39</v>
      </c>
      <c r="H250" s="3" t="s">
        <v>5785</v>
      </c>
      <c r="I250" s="3" t="s">
        <v>462</v>
      </c>
      <c r="J250" s="3" t="s">
        <v>484</v>
      </c>
      <c r="K250" s="3" t="s">
        <v>469</v>
      </c>
      <c r="L250" s="3">
        <v>0.81899999999999995</v>
      </c>
      <c r="M250" s="3">
        <v>0.91</v>
      </c>
      <c r="N250" s="3">
        <v>11</v>
      </c>
      <c r="O250" s="8">
        <v>-5281</v>
      </c>
      <c r="P250" s="3">
        <v>1</v>
      </c>
      <c r="Q250" s="3">
        <v>9.8400000000000001E-2</v>
      </c>
      <c r="R250" s="3">
        <v>0.13200000000000001</v>
      </c>
      <c r="S250" s="3">
        <v>7.0699999999999999E-2</v>
      </c>
      <c r="T250" s="3">
        <v>0.106</v>
      </c>
      <c r="U250" s="3">
        <v>0.59899999999999998</v>
      </c>
      <c r="V250" s="8">
        <v>125996</v>
      </c>
      <c r="W250" s="3">
        <v>4</v>
      </c>
      <c r="X250" s="3" t="str">
        <f t="shared" si="16"/>
        <v>-HAPPY-</v>
      </c>
      <c r="Y250" s="3" t="str">
        <f t="shared" si="17"/>
        <v>-ENERGY-</v>
      </c>
      <c r="Z250" s="4" t="str">
        <f t="shared" si="18"/>
        <v>{"couname":"Rock This Party","img":"https://i.scdn.co/image/ab67616d0000b273b711dd7d3f87268a3ddcd121","pty":"39","artist":"Bob Sinclar, Crusy, DollarMan, Big Ali, Makedah","genres":"house francés,disco house,house latino,tech house,tribal house,bass house,raï","duration":"173333","spotId":"5NHejAdLgs0ZGWv1ZBntrh","Items":["-HAPPY-","-ENERGY-","","","GN_FrenchElectro"]},</v>
      </c>
      <c r="AA250" s="5" t="s">
        <v>6100</v>
      </c>
      <c r="AB250" s="3" t="str">
        <f t="shared" si="19"/>
        <v>["-HAPPY-","-ENERGY-","","","GN_FrenchElectro"]</v>
      </c>
      <c r="AC250" s="3" t="str">
        <f>_xlfn.XLOOKUP(A250,Album!A:A,Album!J:J)</f>
        <v>https://i.scdn.co/image/ab67616d0000b273b711dd7d3f87268a3ddcd121</v>
      </c>
      <c r="AD250" s="3"/>
      <c r="AE250" s="3"/>
      <c r="AF250" s="3"/>
      <c r="AG250" s="3"/>
      <c r="AH250" s="3"/>
    </row>
    <row r="251" spans="1:34" x14ac:dyDescent="0.3">
      <c r="A251" s="11" t="s">
        <v>825</v>
      </c>
      <c r="B251" s="12" t="s">
        <v>826</v>
      </c>
      <c r="C251" s="12" t="s">
        <v>745</v>
      </c>
      <c r="D251" s="13" t="s">
        <v>745</v>
      </c>
      <c r="E251" s="6">
        <v>39244</v>
      </c>
      <c r="F251" s="3">
        <v>220933</v>
      </c>
      <c r="G251" s="3">
        <v>39</v>
      </c>
      <c r="H251" s="3" t="s">
        <v>5784</v>
      </c>
      <c r="I251" s="3" t="s">
        <v>738</v>
      </c>
      <c r="J251" s="3" t="s">
        <v>742</v>
      </c>
      <c r="K251" s="3" t="s">
        <v>770</v>
      </c>
      <c r="L251" s="3">
        <v>0.63800000000000001</v>
      </c>
      <c r="M251" s="3">
        <v>0.65100000000000002</v>
      </c>
      <c r="N251" s="3">
        <v>0</v>
      </c>
      <c r="O251" s="8">
        <v>-7392</v>
      </c>
      <c r="P251" s="3">
        <v>1</v>
      </c>
      <c r="Q251" s="3">
        <v>0.191</v>
      </c>
      <c r="R251" s="3">
        <v>2.8299999999999999E-2</v>
      </c>
      <c r="S251" s="3">
        <v>0.80500000000000005</v>
      </c>
      <c r="T251" s="3">
        <v>8.8300000000000003E-2</v>
      </c>
      <c r="U251" s="3">
        <v>0.36799999999999999</v>
      </c>
      <c r="V251" s="8">
        <v>121974</v>
      </c>
      <c r="W251" s="3">
        <v>4</v>
      </c>
      <c r="X251" s="3" t="str">
        <f t="shared" si="16"/>
        <v>-HAPPY-</v>
      </c>
      <c r="Y251" s="3" t="str">
        <f t="shared" si="17"/>
        <v>-ENERGY-</v>
      </c>
      <c r="Z251" s="4" t="str">
        <f t="shared" si="18"/>
        <v>{"couname":"One Minute To Midnight","img":"https://i.scdn.co/image/ab67616d0000b2731c0bcf8b536295438d26c70d","pty":"39","artist":"Justice","genres":"house francés,new rave,rock electrónico","duration":"220933","spotId":"6R0o9mEwZsYtqZsQrXYVOO","Items":["-HAPPY-","-ENERGY-","","","GN_FrenchElectro"]},</v>
      </c>
      <c r="AA251" s="5" t="s">
        <v>6100</v>
      </c>
      <c r="AB251" s="3" t="str">
        <f t="shared" si="19"/>
        <v>["-HAPPY-","-ENERGY-","","","GN_FrenchElectro"]</v>
      </c>
      <c r="AC251" s="3" t="str">
        <f>_xlfn.XLOOKUP(A251,Album!A:A,Album!J:J)</f>
        <v>https://i.scdn.co/image/ab67616d0000b2731c0bcf8b536295438d26c70d</v>
      </c>
      <c r="AD251" s="3"/>
      <c r="AE251" s="3"/>
      <c r="AF251" s="3"/>
      <c r="AG251" s="3"/>
      <c r="AH251" s="3"/>
    </row>
    <row r="252" spans="1:34" x14ac:dyDescent="0.3">
      <c r="A252" s="11" t="s">
        <v>1180</v>
      </c>
      <c r="B252" s="12" t="s">
        <v>1181</v>
      </c>
      <c r="C252" s="12" t="s">
        <v>1181</v>
      </c>
      <c r="D252" s="13" t="s">
        <v>3629</v>
      </c>
      <c r="E252" s="6">
        <v>45337</v>
      </c>
      <c r="F252" s="3">
        <v>129796</v>
      </c>
      <c r="G252" s="3">
        <v>39</v>
      </c>
      <c r="H252" s="3" t="s">
        <v>5783</v>
      </c>
      <c r="I252" s="3" t="s">
        <v>1013</v>
      </c>
      <c r="J252" s="3" t="s">
        <v>1019</v>
      </c>
      <c r="K252" s="3" t="s">
        <v>1149</v>
      </c>
      <c r="L252" s="3">
        <v>0.73199999999999998</v>
      </c>
      <c r="M252" s="3">
        <v>0.73799999999999999</v>
      </c>
      <c r="N252" s="3">
        <v>7</v>
      </c>
      <c r="O252" s="8">
        <v>-5014</v>
      </c>
      <c r="P252" s="3">
        <v>0</v>
      </c>
      <c r="Q252" s="3">
        <v>0.29199999999999998</v>
      </c>
      <c r="R252" s="3">
        <v>7.2499999999999995E-2</v>
      </c>
      <c r="S252" s="3">
        <v>0</v>
      </c>
      <c r="T252" s="3">
        <v>0.20300000000000001</v>
      </c>
      <c r="U252" s="3">
        <v>0.73399999999999999</v>
      </c>
      <c r="V252" s="8">
        <v>115923</v>
      </c>
      <c r="W252" s="3">
        <v>4</v>
      </c>
      <c r="X252" s="3" t="str">
        <f t="shared" si="16"/>
        <v>-HAPPY-</v>
      </c>
      <c r="Y252" s="3" t="str">
        <f t="shared" si="17"/>
        <v>-ENERGY-</v>
      </c>
      <c r="Z252" s="4" t="str">
        <f t="shared" si="18"/>
        <v>{"couname":"Down","img":"https://i.scdn.co/image/ab67616d0000b2731ccbc87c4f2bf9fccd12640b","pty":"39","artist":"Jason Derulo, David Guetta","genres":"edm,dance","duration":"129796","spotId":"7K5RRMqYyFJsAEplmYLSBE","Items":["-HAPPY-","-ENERGY-","","","GN_FrenchElectro"]},</v>
      </c>
      <c r="AA252" s="5" t="s">
        <v>6100</v>
      </c>
      <c r="AB252" s="3" t="str">
        <f t="shared" si="19"/>
        <v>["-HAPPY-","-ENERGY-","","","GN_FrenchElectro"]</v>
      </c>
      <c r="AC252" s="3" t="str">
        <f>_xlfn.XLOOKUP(A252,Album!A:A,Album!J:J)</f>
        <v>https://i.scdn.co/image/ab67616d0000b2731ccbc87c4f2bf9fccd12640b</v>
      </c>
      <c r="AD252" s="3"/>
      <c r="AE252" s="3"/>
      <c r="AF252" s="3"/>
      <c r="AG252" s="3"/>
      <c r="AH252" s="3"/>
    </row>
    <row r="253" spans="1:34" x14ac:dyDescent="0.3">
      <c r="A253" s="11" t="s">
        <v>1218</v>
      </c>
      <c r="B253" s="12" t="s">
        <v>1219</v>
      </c>
      <c r="C253" s="12" t="s">
        <v>1205</v>
      </c>
      <c r="D253" s="13" t="s">
        <v>1206</v>
      </c>
      <c r="E253" s="6">
        <v>42093</v>
      </c>
      <c r="F253" s="3">
        <v>215440</v>
      </c>
      <c r="G253" s="3">
        <v>39</v>
      </c>
      <c r="H253" s="3" t="s">
        <v>5782</v>
      </c>
      <c r="I253" s="3" t="s">
        <v>1207</v>
      </c>
      <c r="J253" s="3" t="s">
        <v>1208</v>
      </c>
      <c r="K253" s="3" t="s">
        <v>84</v>
      </c>
      <c r="L253" s="3">
        <v>0.45700000000000002</v>
      </c>
      <c r="M253" s="3">
        <v>0.72299999999999998</v>
      </c>
      <c r="N253" s="3">
        <v>5</v>
      </c>
      <c r="O253" s="8">
        <v>-3595</v>
      </c>
      <c r="P253" s="3">
        <v>1</v>
      </c>
      <c r="Q253" s="3">
        <v>5.1799999999999999E-2</v>
      </c>
      <c r="R253" s="3">
        <v>8.1500000000000003E-2</v>
      </c>
      <c r="S253" s="3">
        <v>7.3100000000000001E-5</v>
      </c>
      <c r="T253" s="3">
        <v>0.79700000000000004</v>
      </c>
      <c r="U253" s="3">
        <v>0.27800000000000002</v>
      </c>
      <c r="V253" s="8">
        <v>106017</v>
      </c>
      <c r="W253" s="3">
        <v>4</v>
      </c>
      <c r="X253" s="3" t="str">
        <f t="shared" si="16"/>
        <v>-SADNE-</v>
      </c>
      <c r="Y253" s="3" t="str">
        <f t="shared" si="17"/>
        <v>-ENERGY-</v>
      </c>
      <c r="Z253" s="4" t="str">
        <f t="shared" si="18"/>
        <v>{"couname":"Beings","img":"https://i.scdn.co/image/ab67616d0000b27392cb28b37837c67dffe602f9","pty":"39","artist":"Madeon","genres":"edm,house francés","duration":"215440","spotId":"7vkPu9wwdUpB6dPmWBNcPv","Items":["-SADNE-","-ENERGY-","","","GN_FrenchElectro"]},</v>
      </c>
      <c r="AA253" s="5" t="s">
        <v>6100</v>
      </c>
      <c r="AB253" s="3" t="str">
        <f t="shared" si="19"/>
        <v>["-SADNE-","-ENERGY-","","","GN_FrenchElectro"]</v>
      </c>
      <c r="AC253" s="3" t="str">
        <f>_xlfn.XLOOKUP(A253,Album!A:A,Album!J:J)</f>
        <v>https://i.scdn.co/image/ab67616d0000b27392cb28b37837c67dffe602f9</v>
      </c>
      <c r="AD253" s="3"/>
      <c r="AE253" s="3"/>
      <c r="AF253" s="3"/>
      <c r="AG253" s="3"/>
      <c r="AH253" s="3"/>
    </row>
    <row r="254" spans="1:34" x14ac:dyDescent="0.3">
      <c r="A254" s="11" t="s">
        <v>1259</v>
      </c>
      <c r="B254" s="12" t="s">
        <v>1260</v>
      </c>
      <c r="C254" s="12" t="s">
        <v>1245</v>
      </c>
      <c r="D254" s="13" t="s">
        <v>1206</v>
      </c>
      <c r="E254" s="6">
        <v>43784</v>
      </c>
      <c r="F254" s="3">
        <v>241040</v>
      </c>
      <c r="G254" s="3">
        <v>39</v>
      </c>
      <c r="H254" s="3" t="s">
        <v>5781</v>
      </c>
      <c r="I254" s="3" t="s">
        <v>1207</v>
      </c>
      <c r="J254" s="3" t="s">
        <v>1208</v>
      </c>
      <c r="K254" s="3" t="s">
        <v>84</v>
      </c>
      <c r="L254" s="3">
        <v>0.316</v>
      </c>
      <c r="M254" s="3">
        <v>0.57499999999999996</v>
      </c>
      <c r="N254" s="3">
        <v>11</v>
      </c>
      <c r="O254" s="8">
        <v>-8983</v>
      </c>
      <c r="P254" s="3">
        <v>1</v>
      </c>
      <c r="Q254" s="3">
        <v>4.2900000000000001E-2</v>
      </c>
      <c r="R254" s="3">
        <v>2.12E-2</v>
      </c>
      <c r="S254" s="3">
        <v>0.54300000000000004</v>
      </c>
      <c r="T254" s="3">
        <v>0.25700000000000001</v>
      </c>
      <c r="U254" s="3">
        <v>0.11</v>
      </c>
      <c r="V254" s="8">
        <v>194942</v>
      </c>
      <c r="W254" s="3">
        <v>3</v>
      </c>
      <c r="X254" s="3" t="str">
        <f t="shared" si="16"/>
        <v>-SADNE-</v>
      </c>
      <c r="Y254" s="3" t="str">
        <f t="shared" si="17"/>
        <v>-ENERGY-</v>
      </c>
      <c r="Z254" s="4" t="str">
        <f t="shared" si="18"/>
        <v>{"couname":"Heavy With Hoping","img":"https://i.scdn.co/image/ab67616d0000b273dc384e6d13983fe1cd415ade","pty":"39","artist":"Madeon","genres":"edm,house francés","duration":"241040","spotId":"2W2e6TBrwJt4ASh5jyYgvZ","Items":["-SADNE-","-ENERGY-","","","GN_FrenchElectro"]},</v>
      </c>
      <c r="AA254" s="5" t="s">
        <v>6100</v>
      </c>
      <c r="AB254" s="3" t="str">
        <f t="shared" si="19"/>
        <v>["-SADNE-","-ENERGY-","","","GN_FrenchElectro"]</v>
      </c>
      <c r="AC254" s="3" t="str">
        <f>_xlfn.XLOOKUP(A254,Album!A:A,Album!J:J)</f>
        <v>https://i.scdn.co/image/ab67616d0000b273dc384e6d13983fe1cd415ade</v>
      </c>
      <c r="AD254" s="3"/>
      <c r="AE254" s="3"/>
      <c r="AF254" s="3"/>
      <c r="AG254" s="3"/>
      <c r="AH254" s="3"/>
    </row>
    <row r="255" spans="1:34" x14ac:dyDescent="0.3">
      <c r="A255" s="11" t="s">
        <v>1360</v>
      </c>
      <c r="B255" s="12" t="s">
        <v>1361</v>
      </c>
      <c r="C255" s="12" t="s">
        <v>1362</v>
      </c>
      <c r="D255" s="13" t="s">
        <v>1345</v>
      </c>
      <c r="E255" s="6">
        <v>39141</v>
      </c>
      <c r="F255" s="3">
        <v>184706</v>
      </c>
      <c r="G255" s="3">
        <v>39</v>
      </c>
      <c r="H255" s="3" t="s">
        <v>5780</v>
      </c>
      <c r="I255" s="3" t="s">
        <v>1336</v>
      </c>
      <c r="J255" s="3" t="s">
        <v>1337</v>
      </c>
      <c r="K255" s="3" t="s">
        <v>1341</v>
      </c>
      <c r="L255" s="3">
        <v>0.57999999999999996</v>
      </c>
      <c r="M255" s="3">
        <v>0.76700000000000002</v>
      </c>
      <c r="N255" s="3">
        <v>5</v>
      </c>
      <c r="O255" s="8">
        <v>-7696</v>
      </c>
      <c r="P255" s="3">
        <v>1</v>
      </c>
      <c r="Q255" s="3">
        <v>3.1300000000000001E-2</v>
      </c>
      <c r="R255" s="3">
        <v>0.29399999999999998</v>
      </c>
      <c r="S255" s="3">
        <v>0.95899999999999996</v>
      </c>
      <c r="T255" s="3">
        <v>0.13</v>
      </c>
      <c r="U255" s="3">
        <v>0.39</v>
      </c>
      <c r="V255" s="8">
        <v>120055</v>
      </c>
      <c r="W255" s="3">
        <v>4</v>
      </c>
      <c r="X255" s="3" t="str">
        <f t="shared" si="16"/>
        <v>-HAPPY-</v>
      </c>
      <c r="Y255" s="3" t="str">
        <f t="shared" si="17"/>
        <v>-ENERGY-</v>
      </c>
      <c r="Z255" s="4" t="str">
        <f t="shared" si="18"/>
        <v>{"couname":"Mer du Japon","img":"https://i.scdn.co/image/ab67616d0000b273b33ffd3900f46e9008344b79","pty":"39","artist":"Air","genres":"trip hop,downtempo,house francés","duration":"184706","spotId":"30enq9c8DPG52Yn1xBsqqU","Items":["-HAPPY-","-ENERGY-","","","GN_FrenchElectro"]},</v>
      </c>
      <c r="AA255" s="5" t="s">
        <v>6100</v>
      </c>
      <c r="AB255" s="3" t="str">
        <f t="shared" si="19"/>
        <v>["-HAPPY-","-ENERGY-","","","GN_FrenchElectro"]</v>
      </c>
      <c r="AC255" s="3" t="str">
        <f>_xlfn.XLOOKUP(A255,Album!A:A,Album!J:J)</f>
        <v>https://i.scdn.co/image/ab67616d0000b273b33ffd3900f46e9008344b79</v>
      </c>
      <c r="AD255" s="3"/>
      <c r="AE255" s="3"/>
      <c r="AF255" s="3"/>
      <c r="AG255" s="3"/>
      <c r="AH255" s="3"/>
    </row>
    <row r="256" spans="1:34" x14ac:dyDescent="0.3">
      <c r="A256" s="11" t="s">
        <v>1389</v>
      </c>
      <c r="B256" s="12" t="s">
        <v>1390</v>
      </c>
      <c r="C256" s="12" t="s">
        <v>1372</v>
      </c>
      <c r="D256" s="13" t="s">
        <v>1345</v>
      </c>
      <c r="E256" s="6">
        <v>37039</v>
      </c>
      <c r="F256" s="3">
        <v>337533</v>
      </c>
      <c r="G256" s="3">
        <v>39</v>
      </c>
      <c r="H256" s="3" t="s">
        <v>5779</v>
      </c>
      <c r="I256" s="3" t="s">
        <v>1336</v>
      </c>
      <c r="J256" s="3" t="s">
        <v>1337</v>
      </c>
      <c r="K256" s="3" t="s">
        <v>83</v>
      </c>
      <c r="L256" s="3">
        <v>0.60799999999999998</v>
      </c>
      <c r="M256" s="3">
        <v>0.51400000000000001</v>
      </c>
      <c r="N256" s="3">
        <v>8</v>
      </c>
      <c r="O256" s="8">
        <v>-4782</v>
      </c>
      <c r="P256" s="3">
        <v>1</v>
      </c>
      <c r="Q256" s="3">
        <v>4.5100000000000001E-2</v>
      </c>
      <c r="R256" s="3">
        <v>0.23</v>
      </c>
      <c r="S256" s="3">
        <v>0.22600000000000001</v>
      </c>
      <c r="T256" s="3">
        <v>5.1999999999999998E-2</v>
      </c>
      <c r="U256" s="3">
        <v>0.313</v>
      </c>
      <c r="V256" s="8">
        <v>139647</v>
      </c>
      <c r="W256" s="3">
        <v>4</v>
      </c>
      <c r="X256" s="3" t="str">
        <f t="shared" si="16"/>
        <v>-HAPPY-</v>
      </c>
      <c r="Y256" s="3" t="str">
        <f t="shared" si="17"/>
        <v>-ENERGY-</v>
      </c>
      <c r="Z256" s="4" t="str">
        <f t="shared" si="18"/>
        <v>{"couname":"The Vagabond","img":"https://i.scdn.co/image/ab67616d0000b2735c2d2f43471655dbbf3d6284","pty":"39","artist":"Air","genres":"trip hop,downtempo,house francés","duration":"337533","spotId":"1Mtwi6CmEHxkZvsNWR9qVE","Items":["-HAPPY-","-ENERGY-","","","GN_FrenchElectro"]},</v>
      </c>
      <c r="AA256" s="5" t="s">
        <v>6100</v>
      </c>
      <c r="AB256" s="3" t="str">
        <f t="shared" si="19"/>
        <v>["-HAPPY-","-ENERGY-","","","GN_FrenchElectro"]</v>
      </c>
      <c r="AC256" s="3" t="str">
        <f>_xlfn.XLOOKUP(A256,Album!A:A,Album!J:J)</f>
        <v>https://i.scdn.co/image/ab67616d0000b2735c2d2f43471655dbbf3d6284</v>
      </c>
      <c r="AD256" s="3"/>
      <c r="AE256" s="3"/>
      <c r="AF256" s="3"/>
      <c r="AG256" s="3"/>
      <c r="AH256" s="3"/>
    </row>
    <row r="257" spans="1:34" x14ac:dyDescent="0.3">
      <c r="A257" s="11" t="s">
        <v>1391</v>
      </c>
      <c r="B257" s="12" t="s">
        <v>1392</v>
      </c>
      <c r="C257" s="12" t="s">
        <v>1344</v>
      </c>
      <c r="D257" s="13" t="s">
        <v>1345</v>
      </c>
      <c r="E257" s="6">
        <v>38012</v>
      </c>
      <c r="F257" s="3">
        <v>279773</v>
      </c>
      <c r="G257" s="3">
        <v>39</v>
      </c>
      <c r="H257" s="3" t="s">
        <v>5778</v>
      </c>
      <c r="I257" s="3" t="s">
        <v>1336</v>
      </c>
      <c r="J257" s="3" t="s">
        <v>1337</v>
      </c>
      <c r="K257" s="3" t="s">
        <v>83</v>
      </c>
      <c r="L257" s="3">
        <v>0.47699999999999998</v>
      </c>
      <c r="M257" s="3">
        <v>0.83299999999999996</v>
      </c>
      <c r="N257" s="3">
        <v>7</v>
      </c>
      <c r="O257" s="8">
        <v>-8271</v>
      </c>
      <c r="P257" s="3">
        <v>1</v>
      </c>
      <c r="Q257" s="3">
        <v>3.15E-2</v>
      </c>
      <c r="R257" s="3">
        <v>2.2599999999999999E-3</v>
      </c>
      <c r="S257" s="3">
        <v>0.84799999999999998</v>
      </c>
      <c r="T257" s="3">
        <v>0.17100000000000001</v>
      </c>
      <c r="U257" s="3">
        <v>0.55500000000000005</v>
      </c>
      <c r="V257" s="8">
        <v>169968</v>
      </c>
      <c r="W257" s="3">
        <v>4</v>
      </c>
      <c r="X257" s="3" t="str">
        <f t="shared" si="16"/>
        <v>-HAPPY-</v>
      </c>
      <c r="Y257" s="3" t="str">
        <f t="shared" si="17"/>
        <v>-ENERGY-</v>
      </c>
      <c r="Z257" s="4" t="str">
        <f t="shared" si="18"/>
        <v>{"couname":"Alpha Beta Gaga","img":"https://i.scdn.co/image/ab67616d0000b2736400fab74f28e90759ac8815","pty":"39","artist":"Air","genres":"trip hop,downtempo,house francés","duration":"279773","spotId":"2sNGaLOMBIkyVFPsQqPQdW","Items":["-HAPPY-","-ENERGY-","","","GN_FrenchElectro"]},</v>
      </c>
      <c r="AA257" s="5" t="s">
        <v>6100</v>
      </c>
      <c r="AB257" s="3" t="str">
        <f t="shared" si="19"/>
        <v>["-HAPPY-","-ENERGY-","","","GN_FrenchElectro"]</v>
      </c>
      <c r="AC257" s="3" t="str">
        <f>_xlfn.XLOOKUP(A257,Album!A:A,Album!J:J)</f>
        <v>https://i.scdn.co/image/ab67616d0000b2736400fab74f28e90759ac8815</v>
      </c>
      <c r="AD257" s="3"/>
      <c r="AE257" s="3"/>
      <c r="AF257" s="3"/>
      <c r="AG257" s="3"/>
      <c r="AH257" s="3"/>
    </row>
    <row r="258" spans="1:34" x14ac:dyDescent="0.3">
      <c r="A258" s="11" t="s">
        <v>1393</v>
      </c>
      <c r="B258" s="12" t="s">
        <v>1394</v>
      </c>
      <c r="C258" s="12" t="s">
        <v>1340</v>
      </c>
      <c r="D258" s="13" t="s">
        <v>1345</v>
      </c>
      <c r="E258" s="6">
        <v>36581</v>
      </c>
      <c r="F258" s="3">
        <v>90500</v>
      </c>
      <c r="G258" s="3">
        <v>39</v>
      </c>
      <c r="H258" s="3" t="s">
        <v>5777</v>
      </c>
      <c r="I258" s="3" t="s">
        <v>1336</v>
      </c>
      <c r="J258" s="3" t="s">
        <v>1337</v>
      </c>
      <c r="K258" s="3" t="s">
        <v>1341</v>
      </c>
      <c r="L258" s="3">
        <v>0.53600000000000003</v>
      </c>
      <c r="M258" s="3">
        <v>0.39500000000000002</v>
      </c>
      <c r="N258" s="3">
        <v>1</v>
      </c>
      <c r="O258" s="8">
        <v>-12313</v>
      </c>
      <c r="P258" s="3">
        <v>0</v>
      </c>
      <c r="Q258" s="3">
        <v>3.2000000000000001E-2</v>
      </c>
      <c r="R258" s="3">
        <v>0.70599999999999996</v>
      </c>
      <c r="S258" s="3">
        <v>0.97199999999999998</v>
      </c>
      <c r="T258" s="3">
        <v>9.2299999999999993E-2</v>
      </c>
      <c r="U258" s="3">
        <v>0.28999999999999998</v>
      </c>
      <c r="V258" s="8">
        <v>150866</v>
      </c>
      <c r="W258" s="3">
        <v>4</v>
      </c>
      <c r="X258" s="3" t="str">
        <f t="shared" si="16"/>
        <v>-SADNE-</v>
      </c>
      <c r="Y258" s="3" t="str">
        <f t="shared" si="17"/>
        <v>-ENERGY-</v>
      </c>
      <c r="Z258" s="4" t="str">
        <f t="shared" si="18"/>
        <v>{"couname":"Clouds Up","img":"https://i.scdn.co/image/ab67616d0000b2735e3c18f342d16b0b4df04df2","pty":"39","artist":"Air","genres":"trip hop,downtempo,house francés","duration":"90500","spotId":"5htfTGt3OFyVdktEJKiJg2","Items":["-SADNE-","-ENERGY-","","","GN_FrenchElectro"]},</v>
      </c>
      <c r="AA258" s="5" t="s">
        <v>6100</v>
      </c>
      <c r="AB258" s="3" t="str">
        <f t="shared" si="19"/>
        <v>["-SADNE-","-ENERGY-","","","GN_FrenchElectro"]</v>
      </c>
      <c r="AC258" s="3" t="str">
        <f>_xlfn.XLOOKUP(A258,Album!A:A,Album!J:J)</f>
        <v>https://i.scdn.co/image/ab67616d0000b2735e3c18f342d16b0b4df04df2</v>
      </c>
      <c r="AD258" s="3"/>
      <c r="AE258" s="3"/>
      <c r="AF258" s="3"/>
      <c r="AG258" s="3"/>
      <c r="AH258" s="3"/>
    </row>
    <row r="259" spans="1:34" x14ac:dyDescent="0.3">
      <c r="A259" s="11" t="s">
        <v>1523</v>
      </c>
      <c r="B259" s="12" t="s">
        <v>1524</v>
      </c>
      <c r="C259" s="12" t="s">
        <v>1462</v>
      </c>
      <c r="D259" s="13" t="s">
        <v>4152</v>
      </c>
      <c r="E259" s="6">
        <v>42587</v>
      </c>
      <c r="F259" s="3">
        <v>222000</v>
      </c>
      <c r="G259" s="3">
        <v>39</v>
      </c>
      <c r="H259" s="3" t="s">
        <v>5776</v>
      </c>
      <c r="I259" s="3" t="s">
        <v>1463</v>
      </c>
      <c r="J259" s="3" t="s">
        <v>1525</v>
      </c>
      <c r="K259" s="3" t="s">
        <v>1464</v>
      </c>
      <c r="L259" s="3">
        <v>0.55200000000000005</v>
      </c>
      <c r="M259" s="3">
        <v>0.93899999999999995</v>
      </c>
      <c r="N259" s="3">
        <v>1</v>
      </c>
      <c r="O259" s="8">
        <v>-2126</v>
      </c>
      <c r="P259" s="3">
        <v>1</v>
      </c>
      <c r="Q259" s="3">
        <v>0.14699999999999999</v>
      </c>
      <c r="R259" s="3">
        <v>1.9499999999999999E-3</v>
      </c>
      <c r="S259" s="3">
        <v>0.114</v>
      </c>
      <c r="T259" s="3">
        <v>6.93E-2</v>
      </c>
      <c r="U259" s="3">
        <v>0.39600000000000002</v>
      </c>
      <c r="V259" s="8">
        <v>150027</v>
      </c>
      <c r="W259" s="3">
        <v>4</v>
      </c>
      <c r="X259" s="3" t="str">
        <f t="shared" ref="X259:X322" si="20">IF(OR(U259&lt;0.301, AND(U259&lt;0.4, P259=0)), "-SADNE-", "-HAPPY-")</f>
        <v>-HAPPY-</v>
      </c>
      <c r="Y259" s="3" t="str">
        <f t="shared" ref="Y259:Y322" si="21">IF(OR(AND(L259&lt;0.5,M259&lt;0.5),AND(L259&lt;0.45,V259&lt;100),AND(M259&lt;0.45,V259&lt;100),AND(U259&lt;0.39,V259&lt;100)),"-SLOWSS-","-ENERGY-")</f>
        <v>-ENERGY-</v>
      </c>
      <c r="Z259" s="4" t="str">
        <f t="shared" ref="Z259:Z322" si="22">"{"&amp;CHAR(34)&amp;"couname"&amp;CHAR(34)&amp;":"&amp;CHAR(34)&amp;B259&amp;CHAR(34)&amp;","&amp;CHAR(34)&amp;"img"&amp;CHAR(34)&amp;":"&amp;CHAR(34)&amp;AC259&amp;CHAR(34)&amp;","&amp;CHAR(34)&amp;"pty"&amp;CHAR(34)&amp;":"&amp;CHAR(34)&amp;G259&amp;CHAR(34)&amp;","&amp;CHAR(34)&amp;"artist"&amp;CHAR(34)&amp;":"&amp;CHAR(34)&amp;D259&amp;CHAR(34)&amp;","&amp;CHAR(34)&amp;"genres"&amp;CHAR(34)&amp;":"&amp;CHAR(34)&amp;J259&amp;CHAR(34)&amp;","&amp;CHAR(34)&amp;"duration"&amp;CHAR(34)&amp;":"&amp;CHAR(34)&amp;F259&amp;CHAR(34)&amp;","&amp;CHAR(34)&amp;"spotId"&amp;CHAR(34)&amp;":"&amp;CHAR(34)&amp;A259&amp;CHAR(34)&amp;","&amp;CHAR(34)&amp;"Items"&amp;CHAR(34)&amp;":"&amp;AB259&amp;"},"</f>
        <v>{"couname":"Ocho Cinco","img":"https://i.scdn.co/image/ab67616d0000b273212d776c31027c511f0ee3bc","pty":"39","artist":"DJ Snake, Yellow Claw","genres":"edm,edm trap","duration":"222000","spotId":"7LWPWw7PtYHrDn194kNCPA","Items":["-HAPPY-","-ENERGY-","","","GN_FrenchElectro"]},</v>
      </c>
      <c r="AA259" s="5" t="s">
        <v>6100</v>
      </c>
      <c r="AB259" s="3" t="str">
        <f t="shared" ref="AB259:AB322" si="23" xml:space="preserve"> "[" &amp; _xlfn.TEXTJOIN(",",TRUE,CHAR(34) &amp; X259&amp; CHAR(34), CHAR(34) &amp; Y259 &amp; CHAR(34),  CHAR(34) &amp; AF259 &amp; CHAR(34), CHAR(34) &amp;AG259 &amp; CHAR(34), CHAR(34) &amp; AA259 &amp; CHAR(34)) &amp; "]"</f>
        <v>["-HAPPY-","-ENERGY-","","","GN_FrenchElectro"]</v>
      </c>
      <c r="AC259" s="3" t="str">
        <f>_xlfn.XLOOKUP(A259,Album!A:A,Album!J:J)</f>
        <v>https://i.scdn.co/image/ab67616d0000b273212d776c31027c511f0ee3bc</v>
      </c>
      <c r="AD259" s="3"/>
      <c r="AE259" s="3"/>
      <c r="AF259" s="3"/>
      <c r="AG259" s="3"/>
      <c r="AH259" s="3"/>
    </row>
    <row r="260" spans="1:34" x14ac:dyDescent="0.3">
      <c r="A260" s="11" t="s">
        <v>1526</v>
      </c>
      <c r="B260" s="12" t="s">
        <v>5774</v>
      </c>
      <c r="C260" s="12" t="s">
        <v>1479</v>
      </c>
      <c r="D260" s="13" t="s">
        <v>4156</v>
      </c>
      <c r="E260" s="6">
        <v>43671</v>
      </c>
      <c r="F260" s="3">
        <v>225600</v>
      </c>
      <c r="G260" s="3">
        <v>39</v>
      </c>
      <c r="H260" s="3" t="s">
        <v>5775</v>
      </c>
      <c r="I260" s="3" t="s">
        <v>1463</v>
      </c>
      <c r="J260" s="3" t="s">
        <v>1528</v>
      </c>
      <c r="K260" s="3" t="s">
        <v>1476</v>
      </c>
      <c r="L260" s="3">
        <v>0.56200000000000006</v>
      </c>
      <c r="M260" s="3">
        <v>0.98499999999999999</v>
      </c>
      <c r="N260" s="3">
        <v>1</v>
      </c>
      <c r="O260" s="8">
        <v>-1869</v>
      </c>
      <c r="P260" s="3">
        <v>1</v>
      </c>
      <c r="Q260" s="3">
        <v>7.1599999999999997E-2</v>
      </c>
      <c r="R260" s="3">
        <v>1.24E-3</v>
      </c>
      <c r="S260" s="3">
        <v>0.85299999999999998</v>
      </c>
      <c r="T260" s="3">
        <v>0.88600000000000001</v>
      </c>
      <c r="U260" s="3">
        <v>0.35499999999999998</v>
      </c>
      <c r="V260" s="8">
        <v>150068</v>
      </c>
      <c r="W260" s="3">
        <v>4</v>
      </c>
      <c r="X260" s="3" t="str">
        <f t="shared" si="20"/>
        <v>-HAPPY-</v>
      </c>
      <c r="Y260" s="3" t="str">
        <f t="shared" si="21"/>
        <v>-ENERGY-</v>
      </c>
      <c r="Z260" s="4" t="str">
        <f t="shared" si="22"/>
        <v>{"couname":"Quiet Storm","img":"https://i.scdn.co/image/ab67616d0000b273caf82abb2338880577e472be","pty":"39","artist":"DJ Snake, Zomboy","genres":"dubstep,riddim,dub,deathstep,bass music,drumstep,edm","duration":"225600","spotId":"3xBEwwc1zwGpOFtkp5HVkB","Items":["-HAPPY-","-ENERGY-","","","GN_FrenchElectro"]},</v>
      </c>
      <c r="AA260" s="5" t="s">
        <v>6100</v>
      </c>
      <c r="AB260" s="3" t="str">
        <f t="shared" si="23"/>
        <v>["-HAPPY-","-ENERGY-","","","GN_FrenchElectro"]</v>
      </c>
      <c r="AC260" s="3" t="str">
        <f>_xlfn.XLOOKUP(A260,Album!A:A,Album!J:J)</f>
        <v>https://i.scdn.co/image/ab67616d0000b273caf82abb2338880577e472be</v>
      </c>
      <c r="AD260" s="3"/>
      <c r="AE260" s="3"/>
      <c r="AF260" s="3"/>
      <c r="AG260" s="3"/>
      <c r="AH260" s="3"/>
    </row>
    <row r="261" spans="1:34" x14ac:dyDescent="0.3">
      <c r="A261" s="11" t="s">
        <v>1659</v>
      </c>
      <c r="B261" s="12" t="s">
        <v>1660</v>
      </c>
      <c r="C261" s="12" t="s">
        <v>1655</v>
      </c>
      <c r="D261" s="13" t="s">
        <v>1649</v>
      </c>
      <c r="E261" s="6">
        <v>41275</v>
      </c>
      <c r="F261" s="3">
        <v>205426</v>
      </c>
      <c r="G261" s="3">
        <v>39</v>
      </c>
      <c r="H261" s="3" t="s">
        <v>5773</v>
      </c>
      <c r="I261" s="3" t="s">
        <v>1650</v>
      </c>
      <c r="J261" s="3" t="s">
        <v>1651</v>
      </c>
      <c r="K261" s="3" t="s">
        <v>1656</v>
      </c>
      <c r="L261" s="3">
        <v>0.54</v>
      </c>
      <c r="M261" s="3">
        <v>0.55900000000000005</v>
      </c>
      <c r="N261" s="3">
        <v>1</v>
      </c>
      <c r="O261" s="8">
        <v>-2864</v>
      </c>
      <c r="P261" s="3">
        <v>1</v>
      </c>
      <c r="Q261" s="3">
        <v>6.0499999999999998E-2</v>
      </c>
      <c r="R261" s="3">
        <v>2.3E-2</v>
      </c>
      <c r="S261" s="3">
        <v>0.79700000000000004</v>
      </c>
      <c r="T261" s="3">
        <v>0.106</v>
      </c>
      <c r="U261" s="3">
        <v>0.20200000000000001</v>
      </c>
      <c r="V261" s="8">
        <v>110091</v>
      </c>
      <c r="W261" s="3">
        <v>4</v>
      </c>
      <c r="X261" s="3" t="str">
        <f t="shared" si="20"/>
        <v>-SADNE-</v>
      </c>
      <c r="Y261" s="3" t="str">
        <f t="shared" si="21"/>
        <v>-ENERGY-</v>
      </c>
      <c r="Z261" s="4" t="str">
        <f t="shared" si="22"/>
        <v>{"couname":"ProtoVision","img":"https://i.scdn.co/image/ab67616d0000b2731c08bca073e89ae32c68ffaa","pty":"39","artist":"Kavinsky","genres":"synthwave,house francés","duration":"205426","spotId":"5WsJ2FGI4e9JWKb6TCG3kL","Items":["-SADNE-","-ENERGY-","","","GN_FrenchElectro"]},</v>
      </c>
      <c r="AA261" s="5" t="s">
        <v>6100</v>
      </c>
      <c r="AB261" s="3" t="str">
        <f t="shared" si="23"/>
        <v>["-SADNE-","-ENERGY-","","","GN_FrenchElectro"]</v>
      </c>
      <c r="AC261" s="3" t="str">
        <f>_xlfn.XLOOKUP(A261,Album!A:A,Album!J:J)</f>
        <v>https://i.scdn.co/image/ab67616d0000b2731c08bca073e89ae32c68ffaa</v>
      </c>
      <c r="AD261" s="3"/>
      <c r="AE261" s="3"/>
      <c r="AF261" s="3"/>
      <c r="AG261" s="3"/>
      <c r="AH261" s="3"/>
    </row>
    <row r="262" spans="1:34" x14ac:dyDescent="0.3">
      <c r="A262" s="11" t="s">
        <v>1899</v>
      </c>
      <c r="B262" s="12" t="s">
        <v>5771</v>
      </c>
      <c r="C262" s="12" t="s">
        <v>1898</v>
      </c>
      <c r="D262" s="13" t="s">
        <v>9</v>
      </c>
      <c r="E262" s="6">
        <v>40515</v>
      </c>
      <c r="F262" s="3">
        <v>96746</v>
      </c>
      <c r="G262" s="3">
        <v>39</v>
      </c>
      <c r="H262" s="3" t="s">
        <v>5772</v>
      </c>
      <c r="I262" s="3" t="s">
        <v>1809</v>
      </c>
      <c r="J262" s="3" t="s">
        <v>1810</v>
      </c>
      <c r="K262" s="3" t="s">
        <v>51</v>
      </c>
      <c r="L262" s="3">
        <v>0.54800000000000004</v>
      </c>
      <c r="M262" s="3">
        <v>0.496</v>
      </c>
      <c r="N262" s="3">
        <v>1</v>
      </c>
      <c r="O262" s="8">
        <v>-13466</v>
      </c>
      <c r="P262" s="3">
        <v>1</v>
      </c>
      <c r="Q262" s="3">
        <v>3.5499999999999997E-2</v>
      </c>
      <c r="R262" s="3">
        <v>0.30199999999999999</v>
      </c>
      <c r="S262" s="3">
        <v>0.13500000000000001</v>
      </c>
      <c r="T262" s="3">
        <v>0.32100000000000001</v>
      </c>
      <c r="U262" s="3">
        <v>9.7299999999999998E-2</v>
      </c>
      <c r="V262" s="8">
        <v>102062</v>
      </c>
      <c r="W262" s="3">
        <v>5</v>
      </c>
      <c r="X262" s="3" t="str">
        <f t="shared" si="20"/>
        <v>-SADNE-</v>
      </c>
      <c r="Y262" s="3" t="str">
        <f t="shared" si="21"/>
        <v>-ENERGY-</v>
      </c>
      <c r="Z262" s="4" t="str">
        <f t="shared" si="22"/>
        <v>{"couname":"The Grid","img":"https://i.scdn.co/image/ab67616d0000b27366919acb93950333962467f8","pty":"39","artist":"Daft Punk","genres":"house francés,electrónica,electro","duration":"96746","spotId":"4Bvxi5oUS3M4DezTfsd5pp","Items":["-SADNE-","-ENERGY-","","","GN_FrenchElectro"]},</v>
      </c>
      <c r="AA262" s="5" t="s">
        <v>6100</v>
      </c>
      <c r="AB262" s="3" t="str">
        <f t="shared" si="23"/>
        <v>["-SADNE-","-ENERGY-","","","GN_FrenchElectro"]</v>
      </c>
      <c r="AC262" s="3" t="str">
        <f>_xlfn.XLOOKUP(A262,Album!A:A,Album!J:J)</f>
        <v>https://i.scdn.co/image/ab67616d0000b27366919acb93950333962467f8</v>
      </c>
      <c r="AD262" s="3"/>
      <c r="AE262" s="3"/>
      <c r="AF262" s="3"/>
      <c r="AG262" s="3"/>
      <c r="AH262" s="3"/>
    </row>
    <row r="263" spans="1:34" x14ac:dyDescent="0.3">
      <c r="A263" s="11" t="s">
        <v>1901</v>
      </c>
      <c r="B263" s="12" t="s">
        <v>5769</v>
      </c>
      <c r="C263" s="12" t="s">
        <v>1898</v>
      </c>
      <c r="D263" s="13" t="s">
        <v>9</v>
      </c>
      <c r="E263" s="6">
        <v>40515</v>
      </c>
      <c r="F263" s="3">
        <v>157706</v>
      </c>
      <c r="G263" s="3">
        <v>39</v>
      </c>
      <c r="H263" s="3" t="s">
        <v>5770</v>
      </c>
      <c r="I263" s="3" t="s">
        <v>1809</v>
      </c>
      <c r="J263" s="3" t="s">
        <v>1810</v>
      </c>
      <c r="K263" s="3" t="s">
        <v>51</v>
      </c>
      <c r="L263" s="3">
        <v>0.57699999999999996</v>
      </c>
      <c r="M263" s="3">
        <v>0.53900000000000003</v>
      </c>
      <c r="N263" s="3">
        <v>1</v>
      </c>
      <c r="O263" s="8">
        <v>-14684</v>
      </c>
      <c r="P263" s="3">
        <v>1</v>
      </c>
      <c r="Q263" s="3">
        <v>4.0399999999999998E-2</v>
      </c>
      <c r="R263" s="3">
        <v>0.48099999999999998</v>
      </c>
      <c r="S263" s="3">
        <v>0.57499999999999996</v>
      </c>
      <c r="T263" s="3">
        <v>0.108</v>
      </c>
      <c r="U263" s="3">
        <v>5.7799999999999997E-2</v>
      </c>
      <c r="V263" s="8">
        <v>103993</v>
      </c>
      <c r="W263" s="3">
        <v>4</v>
      </c>
      <c r="X263" s="3" t="str">
        <f t="shared" si="20"/>
        <v>-SADNE-</v>
      </c>
      <c r="Y263" s="3" t="str">
        <f t="shared" si="21"/>
        <v>-ENERGY-</v>
      </c>
      <c r="Z263" s="4" t="str">
        <f t="shared" si="22"/>
        <v>{"couname":"Recognizer","img":"https://i.scdn.co/image/ab67616d0000b27366919acb93950333962467f8","pty":"39","artist":"Daft Punk","genres":"house francés,electrónica,electro","duration":"157706","spotId":"0sl4vCvb4kyAnTDGqN94pb","Items":["-SADNE-","-ENERGY-","","","GN_FrenchElectro"]},</v>
      </c>
      <c r="AA263" s="5" t="s">
        <v>6100</v>
      </c>
      <c r="AB263" s="3" t="str">
        <f t="shared" si="23"/>
        <v>["-SADNE-","-ENERGY-","","","GN_FrenchElectro"]</v>
      </c>
      <c r="AC263" s="3" t="str">
        <f>_xlfn.XLOOKUP(A263,Album!A:A,Album!J:J)</f>
        <v>https://i.scdn.co/image/ab67616d0000b27366919acb93950333962467f8</v>
      </c>
      <c r="AD263" s="3"/>
      <c r="AE263" s="3"/>
      <c r="AF263" s="3"/>
      <c r="AG263" s="3"/>
      <c r="AH263" s="3"/>
    </row>
    <row r="264" spans="1:34" x14ac:dyDescent="0.3">
      <c r="A264" s="11" t="s">
        <v>1917</v>
      </c>
      <c r="B264" s="12" t="s">
        <v>5767</v>
      </c>
      <c r="C264" s="12" t="s">
        <v>1898</v>
      </c>
      <c r="D264" s="13" t="s">
        <v>9</v>
      </c>
      <c r="E264" s="6">
        <v>40515</v>
      </c>
      <c r="F264" s="3">
        <v>202146</v>
      </c>
      <c r="G264" s="3">
        <v>39</v>
      </c>
      <c r="H264" s="3" t="s">
        <v>5768</v>
      </c>
      <c r="I264" s="3" t="s">
        <v>1809</v>
      </c>
      <c r="J264" s="3" t="s">
        <v>1810</v>
      </c>
      <c r="K264" s="3" t="s">
        <v>51</v>
      </c>
      <c r="L264" s="3">
        <v>0.45</v>
      </c>
      <c r="M264" s="3">
        <v>0.27800000000000002</v>
      </c>
      <c r="N264" s="3">
        <v>1</v>
      </c>
      <c r="O264" s="8">
        <v>-14318</v>
      </c>
      <c r="P264" s="3">
        <v>1</v>
      </c>
      <c r="Q264" s="3">
        <v>3.4000000000000002E-2</v>
      </c>
      <c r="R264" s="3">
        <v>0.95</v>
      </c>
      <c r="S264" s="3">
        <v>0.64600000000000002</v>
      </c>
      <c r="T264" s="3">
        <v>0.185</v>
      </c>
      <c r="U264" s="3">
        <v>4.2099999999999999E-2</v>
      </c>
      <c r="V264" s="8">
        <v>108004</v>
      </c>
      <c r="W264" s="3">
        <v>4</v>
      </c>
      <c r="X264" s="3" t="str">
        <f t="shared" si="20"/>
        <v>-SADNE-</v>
      </c>
      <c r="Y264" s="3" t="str">
        <f t="shared" si="21"/>
        <v>-SLOWSS-</v>
      </c>
      <c r="Z264" s="4" t="str">
        <f t="shared" si="22"/>
        <v>{"couname":"Flynn Lives","img":"https://i.scdn.co/image/ab67616d0000b27366919acb93950333962467f8","pty":"39","artist":"Daft Punk","genres":"house francés,electrónica,electro","duration":"202146","spotId":"2OQS6fFDpJzpDVC6gNzoj5","Items":["-SADNE-","-SLOWSS-","","","GN_FrenchElectro"]},</v>
      </c>
      <c r="AA264" s="5" t="s">
        <v>6100</v>
      </c>
      <c r="AB264" s="3" t="str">
        <f t="shared" si="23"/>
        <v>["-SADNE-","-SLOWSS-","","","GN_FrenchElectro"]</v>
      </c>
      <c r="AC264" s="3" t="str">
        <f>_xlfn.XLOOKUP(A264,Album!A:A,Album!J:J)</f>
        <v>https://i.scdn.co/image/ab67616d0000b27366919acb93950333962467f8</v>
      </c>
      <c r="AD264" s="3"/>
      <c r="AE264" s="3"/>
      <c r="AF264" s="3"/>
      <c r="AG264" s="3"/>
      <c r="AH264" s="3"/>
    </row>
    <row r="265" spans="1:34" x14ac:dyDescent="0.3">
      <c r="A265" s="11" t="s">
        <v>834</v>
      </c>
      <c r="B265" s="12" t="s">
        <v>835</v>
      </c>
      <c r="C265" s="12" t="s">
        <v>836</v>
      </c>
      <c r="D265" s="13" t="s">
        <v>5766</v>
      </c>
      <c r="E265" s="6">
        <v>44372</v>
      </c>
      <c r="F265" s="3">
        <v>206117</v>
      </c>
      <c r="G265" s="3">
        <v>38</v>
      </c>
      <c r="H265" s="3" t="s">
        <v>5765</v>
      </c>
      <c r="I265" s="3" t="s">
        <v>738</v>
      </c>
      <c r="J265" s="3" t="s">
        <v>742</v>
      </c>
      <c r="K265" s="3" t="s">
        <v>19</v>
      </c>
      <c r="L265" s="3">
        <v>0.57799999999999996</v>
      </c>
      <c r="M265" s="3">
        <v>0.69599999999999995</v>
      </c>
      <c r="N265" s="3">
        <v>1</v>
      </c>
      <c r="O265" s="8">
        <v>-6866</v>
      </c>
      <c r="P265" s="3">
        <v>1</v>
      </c>
      <c r="Q265" s="3">
        <v>3.0700000000000002E-2</v>
      </c>
      <c r="R265" s="3">
        <v>4.85E-5</v>
      </c>
      <c r="S265" s="3">
        <v>0.874</v>
      </c>
      <c r="T265" s="3">
        <v>0.14199999999999999</v>
      </c>
      <c r="U265" s="3">
        <v>0.219</v>
      </c>
      <c r="V265" s="8">
        <v>119999</v>
      </c>
      <c r="W265" s="3">
        <v>4</v>
      </c>
      <c r="X265" s="3" t="str">
        <f t="shared" si="20"/>
        <v>-SADNE-</v>
      </c>
      <c r="Y265" s="3" t="str">
        <f t="shared" si="21"/>
        <v>-ENERGY-</v>
      </c>
      <c r="Z265" s="4" t="str">
        <f t="shared" si="22"/>
        <v>{"couname":"Force majeure","img":"https://i.scdn.co/image/ab67616d0000b27331c469bafacbe77490dd6ba9","pty":"38","artist":"Gaspard Augé, Justice","genres":"house francés,new rave,rock electrónico","duration":"206117","spotId":"1XkvKjUQUvNgLXKFfk8tBZ","Items":["-SADNE-","-ENERGY-","","","GN_FrenchElectro"]},</v>
      </c>
      <c r="AA265" s="5" t="s">
        <v>6100</v>
      </c>
      <c r="AB265" s="3" t="str">
        <f t="shared" si="23"/>
        <v>["-SADNE-","-ENERGY-","","","GN_FrenchElectro"]</v>
      </c>
      <c r="AC265" s="3" t="str">
        <f>_xlfn.XLOOKUP(A265,Album!A:A,Album!J:J)</f>
        <v>https://i.scdn.co/image/ab67616d0000b27331c469bafacbe77490dd6ba9</v>
      </c>
      <c r="AD265" s="3"/>
      <c r="AE265" s="3"/>
      <c r="AF265" s="3"/>
      <c r="AG265" s="3"/>
      <c r="AH265" s="3"/>
    </row>
    <row r="266" spans="1:34" x14ac:dyDescent="0.3">
      <c r="A266" s="11" t="s">
        <v>1253</v>
      </c>
      <c r="B266" s="12" t="s">
        <v>1254</v>
      </c>
      <c r="C266" s="12" t="s">
        <v>1245</v>
      </c>
      <c r="D266" s="13" t="s">
        <v>1206</v>
      </c>
      <c r="E266" s="6">
        <v>43784</v>
      </c>
      <c r="F266" s="3">
        <v>250440</v>
      </c>
      <c r="G266" s="3">
        <v>38</v>
      </c>
      <c r="H266" s="3" t="s">
        <v>5764</v>
      </c>
      <c r="I266" s="3" t="s">
        <v>1207</v>
      </c>
      <c r="J266" s="3" t="s">
        <v>1208</v>
      </c>
      <c r="K266" s="3" t="s">
        <v>84</v>
      </c>
      <c r="L266" s="3">
        <v>0.50700000000000001</v>
      </c>
      <c r="M266" s="3">
        <v>0.63400000000000001</v>
      </c>
      <c r="N266" s="3">
        <v>4</v>
      </c>
      <c r="O266" s="8">
        <v>-6102</v>
      </c>
      <c r="P266" s="3">
        <v>0</v>
      </c>
      <c r="Q266" s="3">
        <v>3.3500000000000002E-2</v>
      </c>
      <c r="R266" s="3">
        <v>6.6600000000000001E-3</v>
      </c>
      <c r="S266" s="3">
        <v>4.0700000000000003E-4</v>
      </c>
      <c r="T266" s="3">
        <v>0.35699999999999998</v>
      </c>
      <c r="U266" s="3">
        <v>0.20899999999999999</v>
      </c>
      <c r="V266" s="8">
        <v>115023</v>
      </c>
      <c r="W266" s="3">
        <v>4</v>
      </c>
      <c r="X266" s="3" t="str">
        <f t="shared" si="20"/>
        <v>-SADNE-</v>
      </c>
      <c r="Y266" s="3" t="str">
        <f t="shared" si="21"/>
        <v>-ENERGY-</v>
      </c>
      <c r="Z266" s="4" t="str">
        <f t="shared" si="22"/>
        <v>{"couname":"Miracle","img":"https://i.scdn.co/image/ab67616d0000b273dc384e6d13983fe1cd415ade","pty":"38","artist":"Madeon","genres":"edm,house francés","duration":"250440","spotId":"7JSS036IjVSwD64TAr6n32","Items":["-SADNE-","-ENERGY-","","","GN_FrenchElectro"]},</v>
      </c>
      <c r="AA266" s="5" t="s">
        <v>6100</v>
      </c>
      <c r="AB266" s="3" t="str">
        <f t="shared" si="23"/>
        <v>["-SADNE-","-ENERGY-","","","GN_FrenchElectro"]</v>
      </c>
      <c r="AC266" s="3" t="str">
        <f>_xlfn.XLOOKUP(A266,Album!A:A,Album!J:J)</f>
        <v>https://i.scdn.co/image/ab67616d0000b273dc384e6d13983fe1cd415ade</v>
      </c>
      <c r="AD266" s="3"/>
      <c r="AE266" s="3"/>
      <c r="AF266" s="3"/>
      <c r="AG266" s="3"/>
      <c r="AH266" s="3"/>
    </row>
    <row r="267" spans="1:34" x14ac:dyDescent="0.3">
      <c r="A267" s="11" t="s">
        <v>1255</v>
      </c>
      <c r="B267" s="12" t="s">
        <v>1256</v>
      </c>
      <c r="C267" s="12" t="s">
        <v>1245</v>
      </c>
      <c r="D267" s="13" t="s">
        <v>1206</v>
      </c>
      <c r="E267" s="6">
        <v>43784</v>
      </c>
      <c r="F267" s="3">
        <v>195106</v>
      </c>
      <c r="G267" s="3">
        <v>38</v>
      </c>
      <c r="H267" s="3" t="s">
        <v>5763</v>
      </c>
      <c r="I267" s="3" t="s">
        <v>1207</v>
      </c>
      <c r="J267" s="3" t="s">
        <v>1208</v>
      </c>
      <c r="K267" s="3" t="s">
        <v>84</v>
      </c>
      <c r="L267" s="3">
        <v>0.63300000000000001</v>
      </c>
      <c r="M267" s="3">
        <v>0.77900000000000003</v>
      </c>
      <c r="N267" s="3">
        <v>6</v>
      </c>
      <c r="O267" s="8">
        <v>-3904</v>
      </c>
      <c r="P267" s="3">
        <v>1</v>
      </c>
      <c r="Q267" s="3">
        <v>8.5300000000000001E-2</v>
      </c>
      <c r="R267" s="3">
        <v>2.3600000000000001E-3</v>
      </c>
      <c r="S267" s="3">
        <v>2.9499999999999998E-2</v>
      </c>
      <c r="T267" s="3">
        <v>0.371</v>
      </c>
      <c r="U267" s="3">
        <v>0.67900000000000005</v>
      </c>
      <c r="V267" s="8">
        <v>96009</v>
      </c>
      <c r="W267" s="3">
        <v>4</v>
      </c>
      <c r="X267" s="3" t="str">
        <f t="shared" si="20"/>
        <v>-HAPPY-</v>
      </c>
      <c r="Y267" s="3" t="str">
        <f t="shared" si="21"/>
        <v>-ENERGY-</v>
      </c>
      <c r="Z267" s="4" t="str">
        <f t="shared" si="22"/>
        <v>{"couname":"No Fear No More","img":"https://i.scdn.co/image/ab67616d0000b273dc384e6d13983fe1cd415ade","pty":"38","artist":"Madeon","genres":"edm,house francés","duration":"195106","spotId":"2TZ9kaTiLewawHZK7yylSC","Items":["-HAPPY-","-ENERGY-","","","GN_FrenchElectro"]},</v>
      </c>
      <c r="AA267" s="5" t="s">
        <v>6100</v>
      </c>
      <c r="AB267" s="3" t="str">
        <f t="shared" si="23"/>
        <v>["-HAPPY-","-ENERGY-","","","GN_FrenchElectro"]</v>
      </c>
      <c r="AC267" s="3" t="str">
        <f>_xlfn.XLOOKUP(A267,Album!A:A,Album!J:J)</f>
        <v>https://i.scdn.co/image/ab67616d0000b273dc384e6d13983fe1cd415ade</v>
      </c>
      <c r="AD267" s="3"/>
      <c r="AE267" s="3"/>
      <c r="AF267" s="3"/>
      <c r="AG267" s="3"/>
      <c r="AH267" s="3"/>
    </row>
    <row r="268" spans="1:34" x14ac:dyDescent="0.3">
      <c r="A268" s="11" t="s">
        <v>1404</v>
      </c>
      <c r="B268" s="12" t="s">
        <v>1405</v>
      </c>
      <c r="C268" s="12" t="s">
        <v>1340</v>
      </c>
      <c r="D268" s="13" t="s">
        <v>1345</v>
      </c>
      <c r="E268" s="6">
        <v>36581</v>
      </c>
      <c r="F268" s="3">
        <v>145000</v>
      </c>
      <c r="G268" s="3">
        <v>38</v>
      </c>
      <c r="H268" s="3" t="s">
        <v>5762</v>
      </c>
      <c r="I268" s="3" t="s">
        <v>1336</v>
      </c>
      <c r="J268" s="3" t="s">
        <v>1337</v>
      </c>
      <c r="K268" s="3" t="s">
        <v>1341</v>
      </c>
      <c r="L268" s="3">
        <v>0.29799999999999999</v>
      </c>
      <c r="M268" s="3">
        <v>0.53900000000000003</v>
      </c>
      <c r="N268" s="3">
        <v>7</v>
      </c>
      <c r="O268" s="8">
        <v>-8703</v>
      </c>
      <c r="P268" s="3">
        <v>0</v>
      </c>
      <c r="Q268" s="3">
        <v>3.3799999999999997E-2</v>
      </c>
      <c r="R268" s="3">
        <v>3.09E-2</v>
      </c>
      <c r="S268" s="3">
        <v>0.91500000000000004</v>
      </c>
      <c r="T268" s="3">
        <v>0.106</v>
      </c>
      <c r="U268" s="3">
        <v>3.7600000000000001E-2</v>
      </c>
      <c r="V268" s="8">
        <v>133.72</v>
      </c>
      <c r="W268" s="3">
        <v>4</v>
      </c>
      <c r="X268" s="3" t="str">
        <f t="shared" si="20"/>
        <v>-SADNE-</v>
      </c>
      <c r="Y268" s="3" t="str">
        <f t="shared" si="21"/>
        <v>-ENERGY-</v>
      </c>
      <c r="Z268" s="4" t="str">
        <f t="shared" si="22"/>
        <v>{"couname":"Bathroom Girl","img":"https://i.scdn.co/image/ab67616d0000b2735e3c18f342d16b0b4df04df2","pty":"38","artist":"Air","genres":"trip hop,downtempo,house francés","duration":"145000","spotId":"75da4TDuprIIxMhjUbbl63","Items":["-SADNE-","-ENERGY-","","","GN_FrenchElectro"]},</v>
      </c>
      <c r="AA268" s="5" t="s">
        <v>6100</v>
      </c>
      <c r="AB268" s="3" t="str">
        <f t="shared" si="23"/>
        <v>["-SADNE-","-ENERGY-","","","GN_FrenchElectro"]</v>
      </c>
      <c r="AC268" s="3" t="str">
        <f>_xlfn.XLOOKUP(A268,Album!A:A,Album!J:J)</f>
        <v>https://i.scdn.co/image/ab67616d0000b2735e3c18f342d16b0b4df04df2</v>
      </c>
      <c r="AD268" s="3"/>
      <c r="AE268" s="3"/>
      <c r="AF268" s="3"/>
      <c r="AG268" s="3"/>
      <c r="AH268" s="3"/>
    </row>
    <row r="269" spans="1:34" x14ac:dyDescent="0.3">
      <c r="A269" s="11" t="s">
        <v>1551</v>
      </c>
      <c r="B269" s="12" t="s">
        <v>5760</v>
      </c>
      <c r="C269" s="12" t="s">
        <v>1479</v>
      </c>
      <c r="D269" s="13" t="s">
        <v>4188</v>
      </c>
      <c r="E269" s="6">
        <v>43671</v>
      </c>
      <c r="F269" s="3">
        <v>198405</v>
      </c>
      <c r="G269" s="3">
        <v>38</v>
      </c>
      <c r="H269" s="3" t="s">
        <v>5761</v>
      </c>
      <c r="I269" s="3" t="s">
        <v>1463</v>
      </c>
      <c r="J269" s="3"/>
      <c r="K269" s="3" t="s">
        <v>1476</v>
      </c>
      <c r="L269" s="3">
        <v>0.68</v>
      </c>
      <c r="M269" s="3">
        <v>0.70299999999999996</v>
      </c>
      <c r="N269" s="3">
        <v>7</v>
      </c>
      <c r="O269" s="8">
        <v>-3.36</v>
      </c>
      <c r="P269" s="3">
        <v>0</v>
      </c>
      <c r="Q269" s="3">
        <v>4.3900000000000002E-2</v>
      </c>
      <c r="R269" s="3">
        <v>0.83899999999999997</v>
      </c>
      <c r="S269" s="3">
        <v>2.1999999999999999E-2</v>
      </c>
      <c r="T269" s="3">
        <v>8.6300000000000002E-2</v>
      </c>
      <c r="U269" s="3">
        <v>0.193</v>
      </c>
      <c r="V269" s="8">
        <v>102292</v>
      </c>
      <c r="W269" s="3">
        <v>4</v>
      </c>
      <c r="X269" s="3" t="str">
        <f t="shared" si="20"/>
        <v>-SADNE-</v>
      </c>
      <c r="Y269" s="3" t="str">
        <f t="shared" si="21"/>
        <v>-ENERGY-</v>
      </c>
      <c r="Z269" s="4" t="str">
        <f t="shared" si="22"/>
        <v>{"couname":"Try Me","img":"https://i.scdn.co/image/ab67616d0000b273caf82abb2338880577e472be","pty":"38","artist":"DJ Snake, Plastic Toy","genres":"","duration":"198405","spotId":"5vTtANNlQK5UhwfooDek5y","Items":["-SADNE-","-ENERGY-","","","GN_FrenchElectro"]},</v>
      </c>
      <c r="AA269" s="5" t="s">
        <v>6100</v>
      </c>
      <c r="AB269" s="3" t="str">
        <f t="shared" si="23"/>
        <v>["-SADNE-","-ENERGY-","","","GN_FrenchElectro"]</v>
      </c>
      <c r="AC269" s="3" t="str">
        <f>_xlfn.XLOOKUP(A269,Album!A:A,Album!J:J)</f>
        <v>https://i.scdn.co/image/ab67616d0000b273caf82abb2338880577e472be</v>
      </c>
      <c r="AD269" s="3"/>
      <c r="AE269" s="3"/>
      <c r="AF269" s="3"/>
      <c r="AG269" s="3"/>
      <c r="AH269" s="3"/>
    </row>
    <row r="270" spans="1:34" x14ac:dyDescent="0.3">
      <c r="A270" s="11" t="s">
        <v>1581</v>
      </c>
      <c r="B270" s="12" t="s">
        <v>1582</v>
      </c>
      <c r="C270" s="12" t="s">
        <v>1462</v>
      </c>
      <c r="D270" s="13" t="s">
        <v>4238</v>
      </c>
      <c r="E270" s="6">
        <v>42587</v>
      </c>
      <c r="F270" s="3">
        <v>256320</v>
      </c>
      <c r="G270" s="3">
        <v>38</v>
      </c>
      <c r="H270" s="3" t="s">
        <v>5759</v>
      </c>
      <c r="I270" s="3" t="s">
        <v>1463</v>
      </c>
      <c r="J270" s="3" t="s">
        <v>1583</v>
      </c>
      <c r="K270" s="3" t="s">
        <v>1464</v>
      </c>
      <c r="L270" s="3">
        <v>0.67300000000000004</v>
      </c>
      <c r="M270" s="3">
        <v>0.65200000000000002</v>
      </c>
      <c r="N270" s="3">
        <v>0</v>
      </c>
      <c r="O270" s="8">
        <v>-4245</v>
      </c>
      <c r="P270" s="3">
        <v>1</v>
      </c>
      <c r="Q270" s="3">
        <v>5.8900000000000001E-2</v>
      </c>
      <c r="R270" s="3">
        <v>3.1399999999999997E-2</v>
      </c>
      <c r="S270" s="3">
        <v>0</v>
      </c>
      <c r="T270" s="3">
        <v>0.158</v>
      </c>
      <c r="U270" s="3">
        <v>3.95E-2</v>
      </c>
      <c r="V270" s="8">
        <v>119.96</v>
      </c>
      <c r="W270" s="3">
        <v>4</v>
      </c>
      <c r="X270" s="3" t="str">
        <f t="shared" si="20"/>
        <v>-SADNE-</v>
      </c>
      <c r="Y270" s="3" t="str">
        <f t="shared" si="21"/>
        <v>-ENERGY-</v>
      </c>
      <c r="Z270" s="4" t="str">
        <f t="shared" si="22"/>
        <v>{"couname":"Oh Me Oh My","img":"https://i.scdn.co/image/ab67616d0000b273212d776c31027c511f0ee3bc","pty":"38","artist":"DJ Snake, Travis Scott, Migos, GASHI","genres":"rap,trap","duration":"256320","spotId":"56urRCfhQX5H3tfGt6q3uU","Items":["-SADNE-","-ENERGY-","","","GN_FrenchElectro"]},</v>
      </c>
      <c r="AA270" s="5" t="s">
        <v>6100</v>
      </c>
      <c r="AB270" s="3" t="str">
        <f t="shared" si="23"/>
        <v>["-SADNE-","-ENERGY-","","","GN_FrenchElectro"]</v>
      </c>
      <c r="AC270" s="3" t="str">
        <f>_xlfn.XLOOKUP(A270,Album!A:A,Album!J:J)</f>
        <v>https://i.scdn.co/image/ab67616d0000b273212d776c31027c511f0ee3bc</v>
      </c>
      <c r="AD270" s="3"/>
      <c r="AE270" s="3"/>
      <c r="AF270" s="3"/>
      <c r="AG270" s="3"/>
      <c r="AH270" s="3"/>
    </row>
    <row r="271" spans="1:34" x14ac:dyDescent="0.3">
      <c r="A271" s="11" t="s">
        <v>1604</v>
      </c>
      <c r="B271" s="12" t="s">
        <v>1605</v>
      </c>
      <c r="C271" s="12" t="s">
        <v>1605</v>
      </c>
      <c r="D271" s="13" t="s">
        <v>4276</v>
      </c>
      <c r="E271" s="6">
        <v>44113</v>
      </c>
      <c r="F271" s="3">
        <v>186666</v>
      </c>
      <c r="G271" s="3">
        <v>38</v>
      </c>
      <c r="H271" s="3" t="s">
        <v>5758</v>
      </c>
      <c r="I271" s="3" t="s">
        <v>1463</v>
      </c>
      <c r="J271" s="3" t="s">
        <v>1606</v>
      </c>
      <c r="K271" s="3" t="s">
        <v>1607</v>
      </c>
      <c r="L271" s="3">
        <v>0.75</v>
      </c>
      <c r="M271" s="3">
        <v>0.95</v>
      </c>
      <c r="N271" s="3">
        <v>1</v>
      </c>
      <c r="O271" s="8">
        <v>-2938</v>
      </c>
      <c r="P271" s="3">
        <v>1</v>
      </c>
      <c r="Q271" s="3">
        <v>0.19400000000000001</v>
      </c>
      <c r="R271" s="3">
        <v>7.6999999999999999E-2</v>
      </c>
      <c r="S271" s="3">
        <v>3.3199999999999999E-4</v>
      </c>
      <c r="T271" s="3">
        <v>0.161</v>
      </c>
      <c r="U271" s="3">
        <v>0.623</v>
      </c>
      <c r="V271" s="8">
        <v>81019</v>
      </c>
      <c r="W271" s="3">
        <v>4</v>
      </c>
      <c r="X271" s="3" t="str">
        <f t="shared" si="20"/>
        <v>-HAPPY-</v>
      </c>
      <c r="Y271" s="3" t="str">
        <f t="shared" si="21"/>
        <v>-ENERGY-</v>
      </c>
      <c r="Z271" s="4" t="str">
        <f t="shared" si="22"/>
        <v>{"couname":"damn Right Pt. 2","img":"https://i.scdn.co/image/ab67616d0000b27301de510189afa644772000d0","pty":"38","artist":"AUDREY NUNA, DJ Snake","genres":"r&amp;b alternativo","duration":"186666","spotId":"3syIqcdNRjbFcWkEMRRT1d","Items":["-HAPPY-","-ENERGY-","","","GN_FrenchElectro"]},</v>
      </c>
      <c r="AA271" s="5" t="s">
        <v>6100</v>
      </c>
      <c r="AB271" s="3" t="str">
        <f t="shared" si="23"/>
        <v>["-HAPPY-","-ENERGY-","","","GN_FrenchElectro"]</v>
      </c>
      <c r="AC271" s="3" t="str">
        <f>_xlfn.XLOOKUP(A271,Album!A:A,Album!J:J)</f>
        <v>https://i.scdn.co/image/ab67616d0000b27301de510189afa644772000d0</v>
      </c>
      <c r="AD271" s="3"/>
      <c r="AE271" s="3"/>
      <c r="AF271" s="3"/>
      <c r="AG271" s="3"/>
      <c r="AH271" s="3"/>
    </row>
    <row r="272" spans="1:34" x14ac:dyDescent="0.3">
      <c r="A272" s="11" t="s">
        <v>1828</v>
      </c>
      <c r="B272" s="12" t="s">
        <v>1829</v>
      </c>
      <c r="C272" s="12" t="s">
        <v>1808</v>
      </c>
      <c r="D272" s="13" t="s">
        <v>9</v>
      </c>
      <c r="E272" s="6">
        <v>35447</v>
      </c>
      <c r="F272" s="3">
        <v>362466</v>
      </c>
      <c r="G272" s="3">
        <v>38</v>
      </c>
      <c r="H272" s="3" t="s">
        <v>5757</v>
      </c>
      <c r="I272" s="3" t="s">
        <v>1809</v>
      </c>
      <c r="J272" s="3" t="s">
        <v>1810</v>
      </c>
      <c r="K272" s="3" t="s">
        <v>1811</v>
      </c>
      <c r="L272" s="3">
        <v>0.79900000000000004</v>
      </c>
      <c r="M272" s="3">
        <v>0.66</v>
      </c>
      <c r="N272" s="3">
        <v>11</v>
      </c>
      <c r="O272" s="8">
        <v>-8829</v>
      </c>
      <c r="P272" s="3">
        <v>0</v>
      </c>
      <c r="Q272" s="3">
        <v>0.17499999999999999</v>
      </c>
      <c r="R272" s="3">
        <v>9.9599999999999992E-4</v>
      </c>
      <c r="S272" s="3">
        <v>0.44600000000000001</v>
      </c>
      <c r="T272" s="3">
        <v>0.313</v>
      </c>
      <c r="U272" s="3">
        <v>0.39100000000000001</v>
      </c>
      <c r="V272" s="8">
        <v>125909</v>
      </c>
      <c r="W272" s="3">
        <v>4</v>
      </c>
      <c r="X272" s="3" t="str">
        <f t="shared" si="20"/>
        <v>-SADNE-</v>
      </c>
      <c r="Y272" s="3" t="str">
        <f t="shared" si="21"/>
        <v>-ENERGY-</v>
      </c>
      <c r="Z272" s="4" t="str">
        <f t="shared" si="22"/>
        <v>{"couname":"High Fidelity","img":"https://i.scdn.co/image/ab67616d0000b2738ac778cc7d88779f74d33311","pty":"38","artist":"Daft Punk","genres":"house francés,electrónica,electro","duration":"362466","spotId":"63ZAmhkAV6Kaw955ohbEsN","Items":["-SADNE-","-ENERGY-","","","GN_FrenchElectro"]},</v>
      </c>
      <c r="AA272" s="5" t="s">
        <v>6100</v>
      </c>
      <c r="AB272" s="3" t="str">
        <f t="shared" si="23"/>
        <v>["-SADNE-","-ENERGY-","","","GN_FrenchElectro"]</v>
      </c>
      <c r="AC272" s="3" t="str">
        <f>_xlfn.XLOOKUP(A272,Album!A:A,Album!J:J)</f>
        <v>https://i.scdn.co/image/ab67616d0000b2738ac778cc7d88779f74d33311</v>
      </c>
      <c r="AD272" s="3"/>
      <c r="AE272" s="3"/>
      <c r="AF272" s="3"/>
      <c r="AG272" s="3"/>
      <c r="AH272" s="3"/>
    </row>
    <row r="273" spans="1:34" x14ac:dyDescent="0.3">
      <c r="A273" s="11" t="s">
        <v>1836</v>
      </c>
      <c r="B273" s="12" t="s">
        <v>1837</v>
      </c>
      <c r="C273" s="12" t="s">
        <v>1808</v>
      </c>
      <c r="D273" s="13" t="s">
        <v>9</v>
      </c>
      <c r="E273" s="6">
        <v>35447</v>
      </c>
      <c r="F273" s="3">
        <v>274733</v>
      </c>
      <c r="G273" s="3">
        <v>38</v>
      </c>
      <c r="H273" s="3" t="s">
        <v>5756</v>
      </c>
      <c r="I273" s="3" t="s">
        <v>1809</v>
      </c>
      <c r="J273" s="3" t="s">
        <v>1810</v>
      </c>
      <c r="K273" s="3" t="s">
        <v>1811</v>
      </c>
      <c r="L273" s="3">
        <v>0.88600000000000001</v>
      </c>
      <c r="M273" s="3">
        <v>0.84699999999999998</v>
      </c>
      <c r="N273" s="3">
        <v>11</v>
      </c>
      <c r="O273" s="8">
        <v>-8296</v>
      </c>
      <c r="P273" s="3">
        <v>1</v>
      </c>
      <c r="Q273" s="3">
        <v>0.1</v>
      </c>
      <c r="R273" s="3">
        <v>8.8800000000000004E-2</v>
      </c>
      <c r="S273" s="3">
        <v>0.93700000000000006</v>
      </c>
      <c r="T273" s="3">
        <v>8.6999999999999994E-2</v>
      </c>
      <c r="U273" s="3">
        <v>0.443</v>
      </c>
      <c r="V273" s="8">
        <v>126163</v>
      </c>
      <c r="W273" s="3">
        <v>4</v>
      </c>
      <c r="X273" s="3" t="str">
        <f t="shared" si="20"/>
        <v>-HAPPY-</v>
      </c>
      <c r="Y273" s="3" t="str">
        <f t="shared" si="21"/>
        <v>-ENERGY-</v>
      </c>
      <c r="Z273" s="4" t="str">
        <f t="shared" si="22"/>
        <v>{"couname":"Indo Silver Club","img":"https://i.scdn.co/image/ab67616d0000b2738ac778cc7d88779f74d33311","pty":"38","artist":"Daft Punk","genres":"house francés,electrónica,electro","duration":"274733","spotId":"4jF8GAMRCOenL17cNnBDI0","Items":["-HAPPY-","-ENERGY-","","","GN_FrenchElectro"]},</v>
      </c>
      <c r="AA273" s="5" t="s">
        <v>6100</v>
      </c>
      <c r="AB273" s="3" t="str">
        <f t="shared" si="23"/>
        <v>["-HAPPY-","-ENERGY-","","","GN_FrenchElectro"]</v>
      </c>
      <c r="AC273" s="3" t="str">
        <f>_xlfn.XLOOKUP(A273,Album!A:A,Album!J:J)</f>
        <v>https://i.scdn.co/image/ab67616d0000b2738ac778cc7d88779f74d33311</v>
      </c>
      <c r="AD273" s="3"/>
      <c r="AE273" s="3"/>
      <c r="AF273" s="3"/>
      <c r="AG273" s="3"/>
      <c r="AH273" s="3"/>
    </row>
    <row r="274" spans="1:34" x14ac:dyDescent="0.3">
      <c r="A274" s="11" t="s">
        <v>1904</v>
      </c>
      <c r="B274" s="12" t="s">
        <v>5754</v>
      </c>
      <c r="C274" s="12" t="s">
        <v>1898</v>
      </c>
      <c r="D274" s="13" t="s">
        <v>9</v>
      </c>
      <c r="E274" s="6">
        <v>40515</v>
      </c>
      <c r="F274" s="3">
        <v>137640</v>
      </c>
      <c r="G274" s="3">
        <v>38</v>
      </c>
      <c r="H274" s="3" t="s">
        <v>5755</v>
      </c>
      <c r="I274" s="3" t="s">
        <v>1809</v>
      </c>
      <c r="J274" s="3" t="s">
        <v>1810</v>
      </c>
      <c r="K274" s="3" t="s">
        <v>51</v>
      </c>
      <c r="L274" s="3">
        <v>0.498</v>
      </c>
      <c r="M274" s="3">
        <v>0.64100000000000001</v>
      </c>
      <c r="N274" s="3">
        <v>9</v>
      </c>
      <c r="O274" s="8">
        <v>-14679</v>
      </c>
      <c r="P274" s="3">
        <v>1</v>
      </c>
      <c r="Q274" s="3">
        <v>4.48E-2</v>
      </c>
      <c r="R274" s="3">
        <v>0.495</v>
      </c>
      <c r="S274" s="3">
        <v>0.84699999999999998</v>
      </c>
      <c r="T274" s="3">
        <v>9.9900000000000003E-2</v>
      </c>
      <c r="U274" s="3">
        <v>3.7199999999999997E-2</v>
      </c>
      <c r="V274" s="8">
        <v>90017</v>
      </c>
      <c r="W274" s="3">
        <v>4</v>
      </c>
      <c r="X274" s="3" t="str">
        <f t="shared" si="20"/>
        <v>-SADNE-</v>
      </c>
      <c r="Y274" s="3" t="str">
        <f t="shared" si="21"/>
        <v>-ENERGY-</v>
      </c>
      <c r="Z274" s="4" t="str">
        <f t="shared" si="22"/>
        <v>{"couname":"Rinzler","img":"https://i.scdn.co/image/ab67616d0000b27366919acb93950333962467f8","pty":"38","artist":"Daft Punk","genres":"house francés,electrónica,electro","duration":"137640","spotId":"2xP7MLAMo06fuhne2M8pXA","Items":["-SADNE-","-ENERGY-","","","GN_FrenchElectro"]},</v>
      </c>
      <c r="AA274" s="5" t="s">
        <v>6100</v>
      </c>
      <c r="AB274" s="3" t="str">
        <f t="shared" si="23"/>
        <v>["-SADNE-","-ENERGY-","","","GN_FrenchElectro"]</v>
      </c>
      <c r="AC274" s="3" t="str">
        <f>_xlfn.XLOOKUP(A274,Album!A:A,Album!J:J)</f>
        <v>https://i.scdn.co/image/ab67616d0000b27366919acb93950333962467f8</v>
      </c>
      <c r="AD274" s="3"/>
      <c r="AE274" s="3"/>
      <c r="AF274" s="3"/>
      <c r="AG274" s="3"/>
      <c r="AH274" s="3"/>
    </row>
    <row r="275" spans="1:34" x14ac:dyDescent="0.3">
      <c r="A275" s="11" t="s">
        <v>595</v>
      </c>
      <c r="B275" s="12" t="s">
        <v>5752</v>
      </c>
      <c r="C275" s="12" t="s">
        <v>597</v>
      </c>
      <c r="D275" s="13" t="s">
        <v>2749</v>
      </c>
      <c r="E275" s="6">
        <v>42986</v>
      </c>
      <c r="F275" s="3">
        <v>190952</v>
      </c>
      <c r="G275" s="3">
        <v>37</v>
      </c>
      <c r="H275" s="3" t="s">
        <v>5753</v>
      </c>
      <c r="I275" s="3" t="s">
        <v>462</v>
      </c>
      <c r="J275" s="3" t="s">
        <v>463</v>
      </c>
      <c r="K275" s="3" t="s">
        <v>598</v>
      </c>
      <c r="L275" s="3">
        <v>0.67200000000000004</v>
      </c>
      <c r="M275" s="3">
        <v>0.75900000000000001</v>
      </c>
      <c r="N275" s="3">
        <v>6</v>
      </c>
      <c r="O275" s="8">
        <v>-6.92</v>
      </c>
      <c r="P275" s="3">
        <v>0</v>
      </c>
      <c r="Q275" s="3">
        <v>3.9399999999999998E-2</v>
      </c>
      <c r="R275" s="3">
        <v>9.4700000000000006E-2</v>
      </c>
      <c r="S275" s="3">
        <v>0</v>
      </c>
      <c r="T275" s="3">
        <v>0.14199999999999999</v>
      </c>
      <c r="U275" s="3">
        <v>0.624</v>
      </c>
      <c r="V275" s="8">
        <v>125989</v>
      </c>
      <c r="W275" s="3">
        <v>4</v>
      </c>
      <c r="X275" s="3" t="str">
        <f t="shared" si="20"/>
        <v>-HAPPY-</v>
      </c>
      <c r="Y275" s="3" t="str">
        <f t="shared" si="21"/>
        <v>-ENERGY-</v>
      </c>
      <c r="Z275" s="4" t="str">
        <f t="shared" si="22"/>
        <v>{"couname":"Til the Sun Rise Up","img":"https://i.scdn.co/image/ab67616d0000b2737617c69c820a900b7d0a3e93","pty":"37","artist":"Bob Sinclar, Akon","genres":"house francés,disco house","duration":"190952","spotId":"4eB54t0RNCDdTwN6o3mlfk","Items":["-HAPPY-","-ENERGY-","","","GN_FrenchElectro"]},</v>
      </c>
      <c r="AA275" s="5" t="s">
        <v>6100</v>
      </c>
      <c r="AB275" s="3" t="str">
        <f t="shared" si="23"/>
        <v>["-HAPPY-","-ENERGY-","","","GN_FrenchElectro"]</v>
      </c>
      <c r="AC275" s="3" t="str">
        <f>_xlfn.XLOOKUP(A275,Album!A:A,Album!J:J)</f>
        <v>https://i.scdn.co/image/ab67616d0000b2737617c69c820a900b7d0a3e93</v>
      </c>
      <c r="AD275" s="3"/>
      <c r="AE275" s="3"/>
      <c r="AF275" s="3"/>
      <c r="AG275" s="3"/>
      <c r="AH275" s="3"/>
    </row>
    <row r="276" spans="1:34" x14ac:dyDescent="0.3">
      <c r="A276" s="11" t="s">
        <v>603</v>
      </c>
      <c r="B276" s="12" t="s">
        <v>604</v>
      </c>
      <c r="C276" s="12" t="s">
        <v>573</v>
      </c>
      <c r="D276" s="13" t="s">
        <v>2663</v>
      </c>
      <c r="E276" s="6">
        <v>39216</v>
      </c>
      <c r="F276" s="3">
        <v>412483</v>
      </c>
      <c r="G276" s="3">
        <v>37</v>
      </c>
      <c r="H276" s="3" t="s">
        <v>5751</v>
      </c>
      <c r="I276" s="3" t="s">
        <v>462</v>
      </c>
      <c r="J276" s="3" t="s">
        <v>463</v>
      </c>
      <c r="K276" s="3" t="s">
        <v>469</v>
      </c>
      <c r="L276" s="3">
        <v>0.64700000000000002</v>
      </c>
      <c r="M276" s="3">
        <v>0.91600000000000004</v>
      </c>
      <c r="N276" s="3">
        <v>6</v>
      </c>
      <c r="O276" s="8">
        <v>-3134</v>
      </c>
      <c r="P276" s="3">
        <v>1</v>
      </c>
      <c r="Q276" s="3">
        <v>3.8100000000000002E-2</v>
      </c>
      <c r="R276" s="3">
        <v>4.9100000000000001E-4</v>
      </c>
      <c r="S276" s="3">
        <v>4.1399999999999996E-3</v>
      </c>
      <c r="T276" s="3">
        <v>0.124</v>
      </c>
      <c r="U276" s="3">
        <v>0.35199999999999998</v>
      </c>
      <c r="V276" s="8">
        <v>128</v>
      </c>
      <c r="W276" s="3">
        <v>4</v>
      </c>
      <c r="X276" s="3" t="str">
        <f t="shared" si="20"/>
        <v>-HAPPY-</v>
      </c>
      <c r="Y276" s="3" t="str">
        <f t="shared" si="21"/>
        <v>-ENERGY-</v>
      </c>
      <c r="Z276" s="4" t="str">
        <f t="shared" si="22"/>
        <v>{"couname":"Together","img":"https://i.scdn.co/image/ab67616d0000b273c40516e2e21d191f41971456","pty":"37","artist":"Bob Sinclar, Steve Edwards","genres":"house francés,disco house","duration":"412483","spotId":"33j07i11MnfbGKgeD5Gb1u","Items":["-HAPPY-","-ENERGY-","","","GN_FrenchElectro"]},</v>
      </c>
      <c r="AA276" s="5" t="s">
        <v>6100</v>
      </c>
      <c r="AB276" s="3" t="str">
        <f t="shared" si="23"/>
        <v>["-HAPPY-","-ENERGY-","","","GN_FrenchElectro"]</v>
      </c>
      <c r="AC276" s="3" t="str">
        <f>_xlfn.XLOOKUP(A276,Album!A:A,Album!J:J)</f>
        <v>https://i.scdn.co/image/ab67616d0000b273c40516e2e21d191f41971456</v>
      </c>
      <c r="AD276" s="3"/>
      <c r="AE276" s="3"/>
      <c r="AF276" s="3"/>
      <c r="AG276" s="3"/>
      <c r="AH276" s="3"/>
    </row>
    <row r="277" spans="1:34" x14ac:dyDescent="0.3">
      <c r="A277" s="11" t="s">
        <v>793</v>
      </c>
      <c r="B277" s="12" t="s">
        <v>794</v>
      </c>
      <c r="C277" s="12" t="s">
        <v>780</v>
      </c>
      <c r="D277" s="13" t="s">
        <v>745</v>
      </c>
      <c r="E277" s="6">
        <v>42692</v>
      </c>
      <c r="F277" s="3">
        <v>398193</v>
      </c>
      <c r="G277" s="3">
        <v>37</v>
      </c>
      <c r="H277" s="3" t="s">
        <v>5750</v>
      </c>
      <c r="I277" s="3" t="s">
        <v>738</v>
      </c>
      <c r="J277" s="3" t="s">
        <v>742</v>
      </c>
      <c r="K277" s="3" t="s">
        <v>19</v>
      </c>
      <c r="L277" s="3">
        <v>0.61499999999999999</v>
      </c>
      <c r="M277" s="3">
        <v>0.66800000000000004</v>
      </c>
      <c r="N277" s="3">
        <v>2</v>
      </c>
      <c r="O277" s="8">
        <v>-5343</v>
      </c>
      <c r="P277" s="3">
        <v>1</v>
      </c>
      <c r="Q277" s="3">
        <v>2.7E-2</v>
      </c>
      <c r="R277" s="3">
        <v>9.7499999999999996E-4</v>
      </c>
      <c r="S277" s="3">
        <v>9.4500000000000007E-5</v>
      </c>
      <c r="T277" s="3">
        <v>0.28199999999999997</v>
      </c>
      <c r="U277" s="3">
        <v>0.158</v>
      </c>
      <c r="V277" s="8">
        <v>100453</v>
      </c>
      <c r="W277" s="3">
        <v>4</v>
      </c>
      <c r="X277" s="3" t="str">
        <f t="shared" si="20"/>
        <v>-SADNE-</v>
      </c>
      <c r="Y277" s="3" t="str">
        <f t="shared" si="21"/>
        <v>-ENERGY-</v>
      </c>
      <c r="Z277" s="4" t="str">
        <f t="shared" si="22"/>
        <v>{"couname":"Randy","img":"https://i.scdn.co/image/ab67616d0000b273d4a2f9a24620e329d2db7078","pty":"37","artist":"Justice","genres":"house francés,new rave,rock electrónico","duration":"398193","spotId":"5cOKKOFgMhjZaOT5qvnagi","Items":["-SADNE-","-ENERGY-","","","GN_FrenchElectro"]},</v>
      </c>
      <c r="AA277" s="5" t="s">
        <v>6100</v>
      </c>
      <c r="AB277" s="3" t="str">
        <f t="shared" si="23"/>
        <v>["-SADNE-","-ENERGY-","","","GN_FrenchElectro"]</v>
      </c>
      <c r="AC277" s="3" t="str">
        <f>_xlfn.XLOOKUP(A277,Album!A:A,Album!J:J)</f>
        <v>https://i.scdn.co/image/ab67616d0000b273d4a2f9a24620e329d2db7078</v>
      </c>
      <c r="AD277" s="3"/>
      <c r="AE277" s="3"/>
      <c r="AF277" s="3"/>
      <c r="AG277" s="3"/>
      <c r="AH277" s="3"/>
    </row>
    <row r="278" spans="1:34" x14ac:dyDescent="0.3">
      <c r="A278" s="11" t="s">
        <v>849</v>
      </c>
      <c r="B278" s="12" t="s">
        <v>850</v>
      </c>
      <c r="C278" s="12" t="s">
        <v>841</v>
      </c>
      <c r="D278" s="13" t="s">
        <v>842</v>
      </c>
      <c r="E278" s="6">
        <v>2011</v>
      </c>
      <c r="F278" s="3">
        <v>106213</v>
      </c>
      <c r="G278" s="3">
        <v>37</v>
      </c>
      <c r="H278" s="3" t="s">
        <v>5749</v>
      </c>
      <c r="I278" s="3" t="s">
        <v>843</v>
      </c>
      <c r="J278" s="3" t="s">
        <v>844</v>
      </c>
      <c r="K278" s="3" t="s">
        <v>845</v>
      </c>
      <c r="L278" s="3">
        <v>0.21299999999999999</v>
      </c>
      <c r="M278" s="3">
        <v>6.9500000000000006E-2</v>
      </c>
      <c r="N278" s="3">
        <v>11</v>
      </c>
      <c r="O278" s="8">
        <v>-14832</v>
      </c>
      <c r="P278" s="3">
        <v>1</v>
      </c>
      <c r="Q278" s="3">
        <v>4.0899999999999999E-2</v>
      </c>
      <c r="R278" s="3">
        <v>1.8499999999999999E-2</v>
      </c>
      <c r="S278" s="3">
        <v>0.95799999999999996</v>
      </c>
      <c r="T278" s="3">
        <v>0.124</v>
      </c>
      <c r="U278" s="3">
        <v>3.8199999999999998E-2</v>
      </c>
      <c r="V278" s="8">
        <v>112192</v>
      </c>
      <c r="W278" s="3">
        <v>4</v>
      </c>
      <c r="X278" s="3" t="str">
        <f t="shared" si="20"/>
        <v>-SADNE-</v>
      </c>
      <c r="Y278" s="3" t="str">
        <f t="shared" si="21"/>
        <v>-SLOWSS-</v>
      </c>
      <c r="Z278" s="4" t="str">
        <f t="shared" si="22"/>
        <v>{"couname":"Where The Boats Go","img":"https://i.scdn.co/image/ab67616d0000b273fff2cb485c36a6d8f639bdba","pty":"37","artist":"M83","genres":"indietronica","duration":"106213","spotId":"5cF3UVkFX8k9WZP4TyscYi","Items":["-SADNE-","-SLOWSS-","","","GN_FrenchElectro"]},</v>
      </c>
      <c r="AA278" s="5" t="s">
        <v>6100</v>
      </c>
      <c r="AB278" s="3" t="str">
        <f t="shared" si="23"/>
        <v>["-SADNE-","-SLOWSS-","","","GN_FrenchElectro"]</v>
      </c>
      <c r="AC278" s="3" t="str">
        <f>_xlfn.XLOOKUP(A278,Album!A:A,Album!J:J)</f>
        <v>https://i.scdn.co/image/ab67616d0000b273fff2cb485c36a6d8f639bdba</v>
      </c>
      <c r="AD278" s="3"/>
      <c r="AE278" s="3"/>
      <c r="AF278" s="3"/>
      <c r="AG278" s="3"/>
      <c r="AH278" s="3"/>
    </row>
    <row r="279" spans="1:34" x14ac:dyDescent="0.3">
      <c r="A279" s="11" t="s">
        <v>971</v>
      </c>
      <c r="B279" s="12" t="s">
        <v>972</v>
      </c>
      <c r="C279" s="12" t="s">
        <v>961</v>
      </c>
      <c r="D279" s="13" t="s">
        <v>842</v>
      </c>
      <c r="E279" s="6">
        <v>45002</v>
      </c>
      <c r="F279" s="3">
        <v>243354</v>
      </c>
      <c r="G279" s="3">
        <v>37</v>
      </c>
      <c r="H279" s="3" t="s">
        <v>5748</v>
      </c>
      <c r="I279" s="3" t="s">
        <v>889</v>
      </c>
      <c r="J279" s="3" t="s">
        <v>844</v>
      </c>
      <c r="K279" s="3" t="s">
        <v>962</v>
      </c>
      <c r="L279" s="3">
        <v>0.40100000000000002</v>
      </c>
      <c r="M279" s="3">
        <v>0.71499999999999997</v>
      </c>
      <c r="N279" s="3">
        <v>5</v>
      </c>
      <c r="O279" s="8">
        <v>-5097</v>
      </c>
      <c r="P279" s="3">
        <v>1</v>
      </c>
      <c r="Q279" s="3">
        <v>3.2199999999999999E-2</v>
      </c>
      <c r="R279" s="3">
        <v>2.76E-2</v>
      </c>
      <c r="S279" s="3">
        <v>1.8499999999999999E-2</v>
      </c>
      <c r="T279" s="3">
        <v>0.108</v>
      </c>
      <c r="U279" s="3">
        <v>9.3700000000000006E-2</v>
      </c>
      <c r="V279" s="8">
        <v>139983</v>
      </c>
      <c r="W279" s="3">
        <v>4</v>
      </c>
      <c r="X279" s="3" t="str">
        <f t="shared" si="20"/>
        <v>-SADNE-</v>
      </c>
      <c r="Y279" s="3" t="str">
        <f t="shared" si="21"/>
        <v>-ENERGY-</v>
      </c>
      <c r="Z279" s="4" t="str">
        <f t="shared" si="22"/>
        <v>{"couname":"Amnesia","img":"https://i.scdn.co/image/ab67616d0000b2732112ea8c833adcdb84da3912","pty":"37","artist":"M83","genres":"indietronica","duration":"243354","spotId":"3yARL62FmZMcL1LyReKqKX","Items":["-SADNE-","-ENERGY-","","","GN_FrenchElectro"]},</v>
      </c>
      <c r="AA279" s="5" t="s">
        <v>6100</v>
      </c>
      <c r="AB279" s="3" t="str">
        <f t="shared" si="23"/>
        <v>["-SADNE-","-ENERGY-","","","GN_FrenchElectro"]</v>
      </c>
      <c r="AC279" s="3" t="str">
        <f>_xlfn.XLOOKUP(A279,Album!A:A,Album!J:J)</f>
        <v>https://i.scdn.co/image/ab67616d0000b2732112ea8c833adcdb84da3912</v>
      </c>
      <c r="AD279" s="3"/>
      <c r="AE279" s="3"/>
      <c r="AF279" s="3"/>
      <c r="AG279" s="3"/>
      <c r="AH279" s="3"/>
    </row>
    <row r="280" spans="1:34" x14ac:dyDescent="0.3">
      <c r="A280" s="11" t="s">
        <v>982</v>
      </c>
      <c r="B280" s="12" t="s">
        <v>983</v>
      </c>
      <c r="C280" s="12" t="s">
        <v>939</v>
      </c>
      <c r="D280" s="13" t="s">
        <v>842</v>
      </c>
      <c r="E280" s="6">
        <v>38626</v>
      </c>
      <c r="F280" s="3">
        <v>278426</v>
      </c>
      <c r="G280" s="3">
        <v>37</v>
      </c>
      <c r="H280" s="3" t="s">
        <v>5747</v>
      </c>
      <c r="I280" s="3" t="s">
        <v>889</v>
      </c>
      <c r="J280" s="3" t="s">
        <v>844</v>
      </c>
      <c r="K280" s="3" t="s">
        <v>940</v>
      </c>
      <c r="L280" s="3">
        <v>0.23</v>
      </c>
      <c r="M280" s="3">
        <v>0.57899999999999996</v>
      </c>
      <c r="N280" s="3">
        <v>2</v>
      </c>
      <c r="O280" s="8">
        <v>-6067</v>
      </c>
      <c r="P280" s="3">
        <v>1</v>
      </c>
      <c r="Q280" s="3">
        <v>3.3000000000000002E-2</v>
      </c>
      <c r="R280" s="3">
        <v>0.40300000000000002</v>
      </c>
      <c r="S280" s="3">
        <v>8.8800000000000001E-4</v>
      </c>
      <c r="T280" s="3">
        <v>0.13</v>
      </c>
      <c r="U280" s="3">
        <v>0.23400000000000001</v>
      </c>
      <c r="V280" s="8">
        <v>84.13</v>
      </c>
      <c r="W280" s="3">
        <v>4</v>
      </c>
      <c r="X280" s="3" t="str">
        <f t="shared" si="20"/>
        <v>-SADNE-</v>
      </c>
      <c r="Y280" s="3" t="str">
        <f t="shared" si="21"/>
        <v>-SLOWSS-</v>
      </c>
      <c r="Z280" s="4" t="str">
        <f t="shared" si="22"/>
        <v>{"couname":"Moonchild","img":"https://i.scdn.co/image/ab67616d0000b273d2025055762d32e9e8dab468","pty":"37","artist":"M83","genres":"indietronica","duration":"278426","spotId":"5jcrFtjW9dscpbkFjjLmyH","Items":["-SADNE-","-SLOWSS-","","","GN_FrenchElectro"]},</v>
      </c>
      <c r="AA280" s="5" t="s">
        <v>6100</v>
      </c>
      <c r="AB280" s="3" t="str">
        <f t="shared" si="23"/>
        <v>["-SADNE-","-SLOWSS-","","","GN_FrenchElectro"]</v>
      </c>
      <c r="AC280" s="3" t="str">
        <f>_xlfn.XLOOKUP(A280,Album!A:A,Album!J:J)</f>
        <v>https://i.scdn.co/image/ab67616d0000b273d2025055762d32e9e8dab468</v>
      </c>
      <c r="AD280" s="3"/>
      <c r="AE280" s="3"/>
      <c r="AF280" s="3"/>
      <c r="AG280" s="3"/>
      <c r="AH280" s="3"/>
    </row>
    <row r="281" spans="1:34" x14ac:dyDescent="0.3">
      <c r="A281" s="11" t="s">
        <v>1134</v>
      </c>
      <c r="B281" s="12" t="s">
        <v>49</v>
      </c>
      <c r="C281" s="12" t="s">
        <v>1136</v>
      </c>
      <c r="D281" s="13" t="s">
        <v>3546</v>
      </c>
      <c r="E281" s="6">
        <v>44169</v>
      </c>
      <c r="F281" s="3">
        <v>303959</v>
      </c>
      <c r="G281" s="3">
        <v>37</v>
      </c>
      <c r="H281" s="3" t="s">
        <v>5746</v>
      </c>
      <c r="I281" s="3" t="s">
        <v>1013</v>
      </c>
      <c r="J281" s="3" t="s">
        <v>1019</v>
      </c>
      <c r="K281" s="3" t="s">
        <v>83</v>
      </c>
      <c r="L281" s="3">
        <v>0.70799999999999996</v>
      </c>
      <c r="M281" s="3">
        <v>0.84299999999999997</v>
      </c>
      <c r="N281" s="3">
        <v>4</v>
      </c>
      <c r="O281" s="8">
        <v>-6776</v>
      </c>
      <c r="P281" s="3">
        <v>0</v>
      </c>
      <c r="Q281" s="3">
        <v>5.5599999999999997E-2</v>
      </c>
      <c r="R281" s="3">
        <v>2.2900000000000001E-4</v>
      </c>
      <c r="S281" s="3">
        <v>0.38</v>
      </c>
      <c r="T281" s="3">
        <v>0.14099999999999999</v>
      </c>
      <c r="U281" s="3">
        <v>3.7699999999999997E-2</v>
      </c>
      <c r="V281" s="8">
        <v>128018</v>
      </c>
      <c r="W281" s="3">
        <v>4</v>
      </c>
      <c r="X281" s="3" t="str">
        <f t="shared" si="20"/>
        <v>-SADNE-</v>
      </c>
      <c r="Y281" s="3" t="str">
        <f t="shared" si="21"/>
        <v>-ENERGY-</v>
      </c>
      <c r="Z281" s="4" t="str">
        <f t="shared" si="22"/>
        <v>{"couname":"Dreams","img":"https://i.scdn.co/image/ab67616d0000b273c38b4a190648985ceaae2f76","pty":"37","artist":"David Guetta, MORTEN, Lanie Gardner","genres":"edm,dance","duration":"303959","spotId":"6sL2YetAdQYTOh1k56kiuY","Items":["-SADNE-","-ENERGY-","","","GN_FrenchElectro"]},</v>
      </c>
      <c r="AA281" s="5" t="s">
        <v>6100</v>
      </c>
      <c r="AB281" s="3" t="str">
        <f t="shared" si="23"/>
        <v>["-SADNE-","-ENERGY-","","","GN_FrenchElectro"]</v>
      </c>
      <c r="AC281" s="3" t="str">
        <f>_xlfn.XLOOKUP(A281,Album!A:A,Album!J:J)</f>
        <v>https://i.scdn.co/image/ab67616d0000b273c38b4a190648985ceaae2f76</v>
      </c>
      <c r="AD281" s="3"/>
      <c r="AE281" s="3"/>
      <c r="AF281" s="3"/>
      <c r="AG281" s="3"/>
      <c r="AH281" s="3"/>
    </row>
    <row r="282" spans="1:34" x14ac:dyDescent="0.3">
      <c r="A282" s="11" t="s">
        <v>1549</v>
      </c>
      <c r="B282" s="12" t="s">
        <v>1550</v>
      </c>
      <c r="C282" s="12" t="s">
        <v>1479</v>
      </c>
      <c r="D282" s="13" t="s">
        <v>1487</v>
      </c>
      <c r="E282" s="6">
        <v>43671</v>
      </c>
      <c r="F282" s="3">
        <v>266666</v>
      </c>
      <c r="G282" s="3">
        <v>37</v>
      </c>
      <c r="H282" s="3" t="s">
        <v>5745</v>
      </c>
      <c r="I282" s="3" t="s">
        <v>1463</v>
      </c>
      <c r="J282" s="3"/>
      <c r="K282" s="3" t="s">
        <v>1476</v>
      </c>
      <c r="L282" s="3">
        <v>0.66300000000000003</v>
      </c>
      <c r="M282" s="3">
        <v>0.77300000000000002</v>
      </c>
      <c r="N282" s="3">
        <v>1</v>
      </c>
      <c r="O282" s="8">
        <v>-8961</v>
      </c>
      <c r="P282" s="3">
        <v>1</v>
      </c>
      <c r="Q282" s="3">
        <v>0.122</v>
      </c>
      <c r="R282" s="3">
        <v>3.8999999999999998E-3</v>
      </c>
      <c r="S282" s="3">
        <v>0.44900000000000001</v>
      </c>
      <c r="T282" s="3">
        <v>8.7999999999999995E-2</v>
      </c>
      <c r="U282" s="3">
        <v>0.125</v>
      </c>
      <c r="V282" s="8">
        <v>108022</v>
      </c>
      <c r="W282" s="3">
        <v>4</v>
      </c>
      <c r="X282" s="3" t="str">
        <f t="shared" si="20"/>
        <v>-SADNE-</v>
      </c>
      <c r="Y282" s="3" t="str">
        <f t="shared" si="21"/>
        <v>-ENERGY-</v>
      </c>
      <c r="Z282" s="4" t="str">
        <f t="shared" si="22"/>
        <v>{"couname":"Frequency 75","img":"https://i.scdn.co/image/ab67616d0000b273caf82abb2338880577e472be","pty":"37","artist":"DJ Snake","genres":"","duration":"266666","spotId":"3SSzqNGH8gRHBXohGx7BcV","Items":["-SADNE-","-ENERGY-","","","GN_FrenchElectro"]},</v>
      </c>
      <c r="AA282" s="5" t="s">
        <v>6100</v>
      </c>
      <c r="AB282" s="3" t="str">
        <f t="shared" si="23"/>
        <v>["-SADNE-","-ENERGY-","","","GN_FrenchElectro"]</v>
      </c>
      <c r="AC282" s="3" t="str">
        <f>_xlfn.XLOOKUP(A282,Album!A:A,Album!J:J)</f>
        <v>https://i.scdn.co/image/ab67616d0000b273caf82abb2338880577e472be</v>
      </c>
      <c r="AD282" s="3"/>
      <c r="AE282" s="3"/>
      <c r="AF282" s="3"/>
      <c r="AG282" s="3"/>
      <c r="AH282" s="3"/>
    </row>
    <row r="283" spans="1:34" x14ac:dyDescent="0.3">
      <c r="A283" s="11" t="s">
        <v>1573</v>
      </c>
      <c r="B283" s="12" t="s">
        <v>1574</v>
      </c>
      <c r="C283" s="12" t="s">
        <v>1574</v>
      </c>
      <c r="D283" s="13" t="s">
        <v>4224</v>
      </c>
      <c r="E283" s="6">
        <v>43203</v>
      </c>
      <c r="F283" s="3">
        <v>171733</v>
      </c>
      <c r="G283" s="3">
        <v>37</v>
      </c>
      <c r="H283" s="3" t="s">
        <v>5744</v>
      </c>
      <c r="I283" s="3" t="s">
        <v>1463</v>
      </c>
      <c r="J283" s="3" t="s">
        <v>1575</v>
      </c>
      <c r="K283" s="3" t="s">
        <v>1562</v>
      </c>
      <c r="L283" s="3">
        <v>0.79</v>
      </c>
      <c r="M283" s="3">
        <v>0.77900000000000003</v>
      </c>
      <c r="N283" s="3">
        <v>1</v>
      </c>
      <c r="O283" s="8">
        <v>-2642</v>
      </c>
      <c r="P283" s="3">
        <v>1</v>
      </c>
      <c r="Q283" s="3">
        <v>4.1599999999999998E-2</v>
      </c>
      <c r="R283" s="3">
        <v>3.9699999999999996E-3</v>
      </c>
      <c r="S283" s="3">
        <v>1.55E-4</v>
      </c>
      <c r="T283" s="3">
        <v>0.159</v>
      </c>
      <c r="U283" s="3">
        <v>0.22800000000000001</v>
      </c>
      <c r="V283" s="8">
        <v>150115</v>
      </c>
      <c r="W283" s="3">
        <v>4</v>
      </c>
      <c r="X283" s="3" t="str">
        <f t="shared" si="20"/>
        <v>-SADNE-</v>
      </c>
      <c r="Y283" s="3" t="str">
        <f t="shared" si="21"/>
        <v>-ENERGY-</v>
      </c>
      <c r="Z283" s="4" t="str">
        <f t="shared" si="22"/>
        <v>{"couname":"Made In China","img":"https://i.scdn.co/image/ab67616d0000b273ff9473857030e801a4f49f4b","pty":"37","artist":"Higher Brothers, DJ Snake","genres":"hip hop chino,r&amp;b chino","duration":"171733","spotId":"1qowUCis8gYY9KOMuy8fCi","Items":["-SADNE-","-ENERGY-","","","GN_FrenchElectro"]},</v>
      </c>
      <c r="AA283" s="5" t="s">
        <v>6100</v>
      </c>
      <c r="AB283" s="3" t="str">
        <f t="shared" si="23"/>
        <v>["-SADNE-","-ENERGY-","","","GN_FrenchElectro"]</v>
      </c>
      <c r="AC283" s="3" t="str">
        <f>_xlfn.XLOOKUP(A283,Album!A:A,Album!J:J)</f>
        <v>https://i.scdn.co/image/ab67616d0000b273ff9473857030e801a4f49f4b</v>
      </c>
      <c r="AD283" s="3"/>
      <c r="AE283" s="3"/>
      <c r="AF283" s="3"/>
      <c r="AG283" s="3"/>
      <c r="AH283" s="3"/>
    </row>
    <row r="284" spans="1:34" x14ac:dyDescent="0.3">
      <c r="A284" s="11" t="s">
        <v>1665</v>
      </c>
      <c r="B284" s="12" t="s">
        <v>1666</v>
      </c>
      <c r="C284" s="12" t="s">
        <v>1655</v>
      </c>
      <c r="D284" s="13" t="s">
        <v>1649</v>
      </c>
      <c r="E284" s="6">
        <v>41275</v>
      </c>
      <c r="F284" s="3">
        <v>184706</v>
      </c>
      <c r="G284" s="3">
        <v>37</v>
      </c>
      <c r="H284" s="3" t="s">
        <v>5743</v>
      </c>
      <c r="I284" s="3" t="s">
        <v>1650</v>
      </c>
      <c r="J284" s="3" t="s">
        <v>1651</v>
      </c>
      <c r="K284" s="3" t="s">
        <v>1656</v>
      </c>
      <c r="L284" s="3">
        <v>0.63100000000000001</v>
      </c>
      <c r="M284" s="3">
        <v>0.92200000000000004</v>
      </c>
      <c r="N284" s="3">
        <v>11</v>
      </c>
      <c r="O284" s="8">
        <v>-2235</v>
      </c>
      <c r="P284" s="3">
        <v>0</v>
      </c>
      <c r="Q284" s="3">
        <v>9.5100000000000004E-2</v>
      </c>
      <c r="R284" s="3">
        <v>0.11899999999999999</v>
      </c>
      <c r="S284" s="3">
        <v>1.08E-4</v>
      </c>
      <c r="T284" s="3">
        <v>0.152</v>
      </c>
      <c r="U284" s="3">
        <v>0.27600000000000002</v>
      </c>
      <c r="V284" s="8">
        <v>110.99</v>
      </c>
      <c r="W284" s="3">
        <v>4</v>
      </c>
      <c r="X284" s="3" t="str">
        <f t="shared" si="20"/>
        <v>-SADNE-</v>
      </c>
      <c r="Y284" s="3" t="str">
        <f t="shared" si="21"/>
        <v>-ENERGY-</v>
      </c>
      <c r="Z284" s="4" t="str">
        <f t="shared" si="22"/>
        <v>{"couname":"First Blood","img":"https://i.scdn.co/image/ab67616d0000b2731c08bca073e89ae32c68ffaa","pty":"37","artist":"Kavinsky","genres":"synthwave,house francés","duration":"184706","spotId":"3fGcMJNaGMxzfm0N1PkCVu","Items":["-SADNE-","-ENERGY-","","","GN_FrenchElectro"]},</v>
      </c>
      <c r="AA284" s="5" t="s">
        <v>6100</v>
      </c>
      <c r="AB284" s="3" t="str">
        <f t="shared" si="23"/>
        <v>["-SADNE-","-ENERGY-","","","GN_FrenchElectro"]</v>
      </c>
      <c r="AC284" s="3" t="str">
        <f>_xlfn.XLOOKUP(A284,Album!A:A,Album!J:J)</f>
        <v>https://i.scdn.co/image/ab67616d0000b2731c08bca073e89ae32c68ffaa</v>
      </c>
      <c r="AD284" s="3"/>
      <c r="AE284" s="3"/>
      <c r="AF284" s="3"/>
      <c r="AG284" s="3"/>
      <c r="AH284" s="3"/>
    </row>
    <row r="285" spans="1:34" x14ac:dyDescent="0.3">
      <c r="A285" s="11" t="s">
        <v>1692</v>
      </c>
      <c r="B285" s="12" t="s">
        <v>1694</v>
      </c>
      <c r="C285" s="12" t="s">
        <v>1694</v>
      </c>
      <c r="D285" s="13" t="s">
        <v>4398</v>
      </c>
      <c r="E285" s="6">
        <v>42699</v>
      </c>
      <c r="F285" s="3">
        <v>431960</v>
      </c>
      <c r="G285" s="3">
        <v>37</v>
      </c>
      <c r="H285" s="3" t="s">
        <v>5742</v>
      </c>
      <c r="I285" s="3" t="s">
        <v>1675</v>
      </c>
      <c r="J285" s="3" t="s">
        <v>1695</v>
      </c>
      <c r="K285" s="3" t="s">
        <v>947</v>
      </c>
      <c r="L285" s="3">
        <v>0.82</v>
      </c>
      <c r="M285" s="3">
        <v>0.85199999999999998</v>
      </c>
      <c r="N285" s="3">
        <v>7</v>
      </c>
      <c r="O285" s="8">
        <v>-6613</v>
      </c>
      <c r="P285" s="3">
        <v>1</v>
      </c>
      <c r="Q285" s="3">
        <v>4.5999999999999999E-2</v>
      </c>
      <c r="R285" s="3">
        <v>0.11600000000000001</v>
      </c>
      <c r="S285" s="3">
        <v>0.60299999999999998</v>
      </c>
      <c r="T285" s="3">
        <v>0.13400000000000001</v>
      </c>
      <c r="U285" s="3">
        <v>0.64400000000000002</v>
      </c>
      <c r="V285" s="8">
        <v>123</v>
      </c>
      <c r="W285" s="3">
        <v>4</v>
      </c>
      <c r="X285" s="3" t="str">
        <f t="shared" si="20"/>
        <v>-HAPPY-</v>
      </c>
      <c r="Y285" s="3" t="str">
        <f t="shared" si="21"/>
        <v>-ENERGY-</v>
      </c>
      <c r="Z285" s="4" t="str">
        <f t="shared" si="22"/>
        <v>{"couname":"Go Up","img":"https://i.scdn.co/image/ab67616d0000b27355c0e3688c2a8ee3db091963","pty":"37","artist":"Cassius, Cat Power, Pharrell Williams, Butch","genres":"house francés,disco house,slowcore,cantautores,tech house,minimal techno,acid techno","duration":"431960","spotId":"2SkmHcU5pmRjAjBZrrJr9f","Items":["-HAPPY-","-ENERGY-","","","GN_FrenchElectro"]},</v>
      </c>
      <c r="AA285" s="5" t="s">
        <v>6100</v>
      </c>
      <c r="AB285" s="3" t="str">
        <f t="shared" si="23"/>
        <v>["-HAPPY-","-ENERGY-","","","GN_FrenchElectro"]</v>
      </c>
      <c r="AC285" s="3" t="str">
        <f>_xlfn.XLOOKUP(A285,Album!A:A,Album!J:J)</f>
        <v>https://i.scdn.co/image/ab67616d0000b27355c0e3688c2a8ee3db091963</v>
      </c>
      <c r="AD285" s="3"/>
      <c r="AE285" s="3"/>
      <c r="AF285" s="3"/>
      <c r="AG285" s="3"/>
      <c r="AH285" s="3"/>
    </row>
    <row r="286" spans="1:34" x14ac:dyDescent="0.3">
      <c r="A286" s="11" t="s">
        <v>1907</v>
      </c>
      <c r="B286" s="12" t="s">
        <v>5740</v>
      </c>
      <c r="C286" s="12" t="s">
        <v>1898</v>
      </c>
      <c r="D286" s="13" t="s">
        <v>9</v>
      </c>
      <c r="E286" s="6">
        <v>40515</v>
      </c>
      <c r="F286" s="3">
        <v>251093</v>
      </c>
      <c r="G286" s="3">
        <v>37</v>
      </c>
      <c r="H286" s="3" t="s">
        <v>5741</v>
      </c>
      <c r="I286" s="3" t="s">
        <v>1809</v>
      </c>
      <c r="J286" s="3" t="s">
        <v>1810</v>
      </c>
      <c r="K286" s="3" t="s">
        <v>51</v>
      </c>
      <c r="L286" s="3">
        <v>9.6299999999999997E-2</v>
      </c>
      <c r="M286" s="3">
        <v>0.12</v>
      </c>
      <c r="N286" s="3">
        <v>1</v>
      </c>
      <c r="O286" s="8">
        <v>-19769</v>
      </c>
      <c r="P286" s="3">
        <v>0</v>
      </c>
      <c r="Q286" s="3">
        <v>0.05</v>
      </c>
      <c r="R286" s="3">
        <v>0.70699999999999996</v>
      </c>
      <c r="S286" s="3">
        <v>0.91</v>
      </c>
      <c r="T286" s="3">
        <v>0.129</v>
      </c>
      <c r="U286" s="3">
        <v>3.6600000000000001E-2</v>
      </c>
      <c r="V286" s="8">
        <v>88728</v>
      </c>
      <c r="W286" s="3">
        <v>3</v>
      </c>
      <c r="X286" s="3" t="str">
        <f t="shared" si="20"/>
        <v>-SADNE-</v>
      </c>
      <c r="Y286" s="3" t="str">
        <f t="shared" si="21"/>
        <v>-SLOWSS-</v>
      </c>
      <c r="Z286" s="4" t="str">
        <f t="shared" si="22"/>
        <v>{"couname":"Adagio For TRON","img":"https://i.scdn.co/image/ab67616d0000b27366919acb93950333962467f8","pty":"37","artist":"Daft Punk","genres":"house francés,electrónica,electro","duration":"251093","spotId":"0ghtKRiQjRVAwK0syn43HA","Items":["-SADNE-","-SLOWSS-","","","GN_FrenchElectro"]},</v>
      </c>
      <c r="AA286" s="5" t="s">
        <v>6100</v>
      </c>
      <c r="AB286" s="3" t="str">
        <f t="shared" si="23"/>
        <v>["-SADNE-","-SLOWSS-","","","GN_FrenchElectro"]</v>
      </c>
      <c r="AC286" s="3" t="str">
        <f>_xlfn.XLOOKUP(A286,Album!A:A,Album!J:J)</f>
        <v>https://i.scdn.co/image/ab67616d0000b27366919acb93950333962467f8</v>
      </c>
      <c r="AD286" s="3"/>
      <c r="AE286" s="3"/>
      <c r="AF286" s="3"/>
      <c r="AG286" s="3"/>
      <c r="AH286" s="3"/>
    </row>
    <row r="287" spans="1:34" x14ac:dyDescent="0.3">
      <c r="A287" s="11" t="s">
        <v>1980</v>
      </c>
      <c r="B287" s="12" t="s">
        <v>5738</v>
      </c>
      <c r="C287" s="12" t="s">
        <v>1982</v>
      </c>
      <c r="D287" s="13" t="s">
        <v>4797</v>
      </c>
      <c r="E287" s="6">
        <v>42972</v>
      </c>
      <c r="F287" s="3">
        <v>224013</v>
      </c>
      <c r="G287" s="3">
        <v>37</v>
      </c>
      <c r="H287" s="3" t="s">
        <v>5739</v>
      </c>
      <c r="I287" s="3" t="s">
        <v>1983</v>
      </c>
      <c r="J287" s="3" t="s">
        <v>1984</v>
      </c>
      <c r="K287" s="3" t="s">
        <v>1985</v>
      </c>
      <c r="L287" s="3">
        <v>0.67900000000000005</v>
      </c>
      <c r="M287" s="3">
        <v>0.74</v>
      </c>
      <c r="N287" s="3">
        <v>8</v>
      </c>
      <c r="O287" s="8">
        <v>-6191</v>
      </c>
      <c r="P287" s="3">
        <v>1</v>
      </c>
      <c r="Q287" s="3">
        <v>3.7100000000000001E-2</v>
      </c>
      <c r="R287" s="3">
        <v>0.215</v>
      </c>
      <c r="S287" s="3">
        <v>3.96E-3</v>
      </c>
      <c r="T287" s="3">
        <v>0.112</v>
      </c>
      <c r="U287" s="3">
        <v>0.47599999999999998</v>
      </c>
      <c r="V287" s="8">
        <v>89994</v>
      </c>
      <c r="W287" s="3">
        <v>4</v>
      </c>
      <c r="X287" s="3" t="str">
        <f t="shared" si="20"/>
        <v>-HAPPY-</v>
      </c>
      <c r="Y287" s="3" t="str">
        <f t="shared" si="21"/>
        <v>-ENERGY-</v>
      </c>
      <c r="Z287" s="4" t="str">
        <f t="shared" si="22"/>
        <v>{"couname":"Heterotopia","img":"https://i.scdn.co/image/ab67616d0000b2730ea03528dd9f897237cf6e05","pty":"37","artist":"Oliver, Yelle","genres":"nu disco,house francés,pop francés,electroclash,electropop","duration":"224013","spotId":"0itnOxZv0jVH0E6PaV02RR","Items":["-HAPPY-","-ENERGY-","","","GN_FrenchElectro"]},</v>
      </c>
      <c r="AA287" s="5" t="s">
        <v>6100</v>
      </c>
      <c r="AB287" s="3" t="str">
        <f t="shared" si="23"/>
        <v>["-HAPPY-","-ENERGY-","","","GN_FrenchElectro"]</v>
      </c>
      <c r="AC287" s="3" t="str">
        <f>_xlfn.XLOOKUP(A287,Album!A:A,Album!J:J)</f>
        <v>https://i.scdn.co/image/ab67616d0000b2730ea03528dd9f897237cf6e05</v>
      </c>
      <c r="AD287" s="3"/>
      <c r="AE287" s="3"/>
      <c r="AF287" s="3"/>
      <c r="AG287" s="3"/>
      <c r="AH287" s="3"/>
    </row>
    <row r="288" spans="1:34" x14ac:dyDescent="0.3">
      <c r="A288" s="11" t="s">
        <v>1986</v>
      </c>
      <c r="B288" s="12" t="s">
        <v>5736</v>
      </c>
      <c r="C288" s="12" t="s">
        <v>1987</v>
      </c>
      <c r="D288" s="13" t="s">
        <v>4804</v>
      </c>
      <c r="E288" s="6">
        <v>45497</v>
      </c>
      <c r="F288" s="3">
        <v>166440</v>
      </c>
      <c r="G288" s="3">
        <v>37</v>
      </c>
      <c r="H288" s="3" t="s">
        <v>5737</v>
      </c>
      <c r="I288" s="3" t="s">
        <v>1983</v>
      </c>
      <c r="J288" s="3" t="s">
        <v>1988</v>
      </c>
      <c r="K288" s="3" t="s">
        <v>1989</v>
      </c>
      <c r="L288" s="3">
        <v>0.72899999999999998</v>
      </c>
      <c r="M288" s="3">
        <v>0.92</v>
      </c>
      <c r="N288" s="3">
        <v>5</v>
      </c>
      <c r="O288" s="8">
        <v>-2181</v>
      </c>
      <c r="P288" s="3">
        <v>1</v>
      </c>
      <c r="Q288" s="3">
        <v>3.0200000000000001E-2</v>
      </c>
      <c r="R288" s="3">
        <v>3.9899999999999998E-2</v>
      </c>
      <c r="S288" s="3">
        <v>2.5399999999999999E-2</v>
      </c>
      <c r="T288" s="3">
        <v>0.112</v>
      </c>
      <c r="U288" s="3">
        <v>0.96199999999999997</v>
      </c>
      <c r="V288" s="8">
        <v>125026</v>
      </c>
      <c r="W288" s="3">
        <v>4</v>
      </c>
      <c r="X288" s="3" t="str">
        <f t="shared" si="20"/>
        <v>-HAPPY-</v>
      </c>
      <c r="Y288" s="3" t="str">
        <f t="shared" si="21"/>
        <v>-ENERGY-</v>
      </c>
      <c r="Z288" s="4" t="str">
        <f t="shared" si="22"/>
        <v>{"couname":"All the time / Tout le temps","img":"https://i.scdn.co/image/ab67616d0000b273dc23f168c207cfe1c83f6e62","pty":"37","artist":"The Knocks, Yelle","genres":"nu disco,dance alternativo,pop francés,house francés,electroclash,electropop","duration":"166440","spotId":"7DDBUYDTVDXs4OLU2maVaP","Items":["-HAPPY-","-ENERGY-","","","GN_FrenchElectro"]},</v>
      </c>
      <c r="AA288" s="5" t="s">
        <v>6100</v>
      </c>
      <c r="AB288" s="3" t="str">
        <f t="shared" si="23"/>
        <v>["-HAPPY-","-ENERGY-","","","GN_FrenchElectro"]</v>
      </c>
      <c r="AC288" s="3" t="str">
        <f>_xlfn.XLOOKUP(A288,Album!A:A,Album!J:J)</f>
        <v>https://i.scdn.co/image/ab67616d0000b273dc23f168c207cfe1c83f6e62</v>
      </c>
      <c r="AD288" s="3"/>
      <c r="AE288" s="3"/>
      <c r="AF288" s="3"/>
      <c r="AG288" s="3"/>
      <c r="AH288" s="3"/>
    </row>
    <row r="289" spans="1:34" x14ac:dyDescent="0.3">
      <c r="A289" s="11" t="s">
        <v>1995</v>
      </c>
      <c r="B289" s="12" t="s">
        <v>5734</v>
      </c>
      <c r="C289" s="12" t="s">
        <v>1997</v>
      </c>
      <c r="D289" s="13" t="s">
        <v>4815</v>
      </c>
      <c r="E289" s="6">
        <v>45352</v>
      </c>
      <c r="F289" s="3">
        <v>316360</v>
      </c>
      <c r="G289" s="3">
        <v>37</v>
      </c>
      <c r="H289" s="3" t="s">
        <v>5735</v>
      </c>
      <c r="I289" s="3" t="s">
        <v>1983</v>
      </c>
      <c r="J289" s="3" t="s">
        <v>1998</v>
      </c>
      <c r="K289" s="3" t="s">
        <v>54</v>
      </c>
      <c r="L289" s="3">
        <v>0.72799999999999998</v>
      </c>
      <c r="M289" s="3">
        <v>0.89300000000000002</v>
      </c>
      <c r="N289" s="3">
        <v>8</v>
      </c>
      <c r="O289" s="8">
        <v>-8015</v>
      </c>
      <c r="P289" s="3">
        <v>1</v>
      </c>
      <c r="Q289" s="3">
        <v>0.19600000000000001</v>
      </c>
      <c r="R289" s="3">
        <v>0.20100000000000001</v>
      </c>
      <c r="S289" s="3">
        <v>1.3999999999999999E-4</v>
      </c>
      <c r="T289" s="3">
        <v>0.65600000000000003</v>
      </c>
      <c r="U289" s="3">
        <v>0.505</v>
      </c>
      <c r="V289" s="8">
        <v>129.97</v>
      </c>
      <c r="W289" s="3">
        <v>4</v>
      </c>
      <c r="X289" s="3" t="str">
        <f t="shared" si="20"/>
        <v>-HAPPY-</v>
      </c>
      <c r="Y289" s="3" t="str">
        <f t="shared" si="21"/>
        <v>-ENERGY-</v>
      </c>
      <c r="Z289" s="4" t="str">
        <f t="shared" si="22"/>
        <v>{"couname":"Box Of Stars Pt. 1","img":"https://i.scdn.co/image/ab67616d0000b273b1b5640ec6436246b57a32f1","pty":"37","artist":"Jacob Collier, D Smoke, Sho Madjozi, Yelle, Kanyi Mavi, Kirk Franklin, CHIKA","genres":"gqom,amapiano,afrobeats,afrobeat,afropop,gengetone,pop francés,house francés,electroclash,electropop,góspel,góspel r&amp;b,adoración,r&amp;b alternativo","duration":"316360","spotId":"57yvq1ThmT4PYWa8iaK4GJ","Items":["-HAPPY-","-ENERGY-","","","GN_FrenchElectro"]},</v>
      </c>
      <c r="AA289" s="5" t="s">
        <v>6100</v>
      </c>
      <c r="AB289" s="3" t="str">
        <f t="shared" si="23"/>
        <v>["-HAPPY-","-ENERGY-","","","GN_FrenchElectro"]</v>
      </c>
      <c r="AC289" s="3" t="str">
        <f>_xlfn.XLOOKUP(A289,Album!A:A,Album!J:J)</f>
        <v>https://i.scdn.co/image/ab67616d0000b273b1b5640ec6436246b57a32f1</v>
      </c>
      <c r="AD289" s="3"/>
      <c r="AE289" s="3"/>
      <c r="AF289" s="3"/>
      <c r="AG289" s="3"/>
      <c r="AH289" s="3"/>
    </row>
    <row r="290" spans="1:34" x14ac:dyDescent="0.3">
      <c r="A290" s="11" t="s">
        <v>879</v>
      </c>
      <c r="B290" s="12" t="s">
        <v>880</v>
      </c>
      <c r="C290" s="12" t="s">
        <v>841</v>
      </c>
      <c r="D290" s="13" t="s">
        <v>842</v>
      </c>
      <c r="E290" s="6">
        <v>2011</v>
      </c>
      <c r="F290" s="3">
        <v>228760</v>
      </c>
      <c r="G290" s="3">
        <v>36</v>
      </c>
      <c r="H290" s="3" t="s">
        <v>5733</v>
      </c>
      <c r="I290" s="3" t="s">
        <v>843</v>
      </c>
      <c r="J290" s="3" t="s">
        <v>844</v>
      </c>
      <c r="K290" s="3" t="s">
        <v>845</v>
      </c>
      <c r="L290" s="3">
        <v>0.39900000000000002</v>
      </c>
      <c r="M290" s="3">
        <v>0.84199999999999997</v>
      </c>
      <c r="N290" s="3">
        <v>11</v>
      </c>
      <c r="O290" s="8">
        <v>-6764</v>
      </c>
      <c r="P290" s="3">
        <v>0</v>
      </c>
      <c r="Q290" s="3">
        <v>3.9E-2</v>
      </c>
      <c r="R290" s="3">
        <v>3.5099999999999999E-5</v>
      </c>
      <c r="S290" s="3">
        <v>5.1499999999999997E-2</v>
      </c>
      <c r="T290" s="3">
        <v>0.39500000000000002</v>
      </c>
      <c r="U290" s="3">
        <v>0.44500000000000001</v>
      </c>
      <c r="V290" s="8">
        <v>142.02000000000001</v>
      </c>
      <c r="W290" s="3">
        <v>4</v>
      </c>
      <c r="X290" s="3" t="str">
        <f t="shared" si="20"/>
        <v>-HAPPY-</v>
      </c>
      <c r="Y290" s="3" t="str">
        <f t="shared" si="21"/>
        <v>-ENERGY-</v>
      </c>
      <c r="Z290" s="4" t="str">
        <f t="shared" si="22"/>
        <v>{"couname":"Steve McQueen","img":"https://i.scdn.co/image/ab67616d0000b273fff2cb485c36a6d8f639bdba","pty":"36","artist":"M83","genres":"indietronica","duration":"228760","spotId":"5iXWkUMZYRZADokxXnniYt","Items":["-HAPPY-","-ENERGY-","","","GN_FrenchElectro"]},</v>
      </c>
      <c r="AA290" s="5" t="s">
        <v>6100</v>
      </c>
      <c r="AB290" s="3" t="str">
        <f t="shared" si="23"/>
        <v>["-HAPPY-","-ENERGY-","","","GN_FrenchElectro"]</v>
      </c>
      <c r="AC290" s="3" t="str">
        <f>_xlfn.XLOOKUP(A290,Album!A:A,Album!J:J)</f>
        <v>https://i.scdn.co/image/ab67616d0000b273fff2cb485c36a6d8f639bdba</v>
      </c>
      <c r="AD290" s="3"/>
      <c r="AE290" s="3"/>
      <c r="AF290" s="3"/>
      <c r="AG290" s="3"/>
      <c r="AH290" s="3"/>
    </row>
    <row r="291" spans="1:34" x14ac:dyDescent="0.3">
      <c r="A291" s="11" t="s">
        <v>959</v>
      </c>
      <c r="B291" s="12" t="s">
        <v>960</v>
      </c>
      <c r="C291" s="12" t="s">
        <v>961</v>
      </c>
      <c r="D291" s="13" t="s">
        <v>842</v>
      </c>
      <c r="E291" s="6">
        <v>45002</v>
      </c>
      <c r="F291" s="3">
        <v>331981</v>
      </c>
      <c r="G291" s="3">
        <v>36</v>
      </c>
      <c r="H291" s="3" t="s">
        <v>5732</v>
      </c>
      <c r="I291" s="3" t="s">
        <v>889</v>
      </c>
      <c r="J291" s="3" t="s">
        <v>844</v>
      </c>
      <c r="K291" s="3" t="s">
        <v>962</v>
      </c>
      <c r="L291" s="3">
        <v>0.22500000000000001</v>
      </c>
      <c r="M291" s="3">
        <v>0.34399999999999997</v>
      </c>
      <c r="N291" s="3">
        <v>0</v>
      </c>
      <c r="O291" s="8">
        <v>-8443</v>
      </c>
      <c r="P291" s="3">
        <v>1</v>
      </c>
      <c r="Q291" s="3">
        <v>3.4599999999999999E-2</v>
      </c>
      <c r="R291" s="3">
        <v>0.23</v>
      </c>
      <c r="S291" s="3">
        <v>0.73799999999999999</v>
      </c>
      <c r="T291" s="3">
        <v>0.27</v>
      </c>
      <c r="U291" s="3">
        <v>4.2099999999999999E-2</v>
      </c>
      <c r="V291" s="8">
        <v>136065</v>
      </c>
      <c r="W291" s="3">
        <v>4</v>
      </c>
      <c r="X291" s="3" t="str">
        <f t="shared" si="20"/>
        <v>-SADNE-</v>
      </c>
      <c r="Y291" s="3" t="str">
        <f t="shared" si="21"/>
        <v>-SLOWSS-</v>
      </c>
      <c r="Z291" s="4" t="str">
        <f t="shared" si="22"/>
        <v>{"couname":"Us And The Rest","img":"https://i.scdn.co/image/ab67616d0000b2732112ea8c833adcdb84da3912","pty":"36","artist":"M83","genres":"indietronica","duration":"331981","spotId":"00s77x3CO21IhBAsGndnqM","Items":["-SADNE-","-SLOWSS-","","","GN_FrenchElectro"]},</v>
      </c>
      <c r="AA291" s="5" t="s">
        <v>6100</v>
      </c>
      <c r="AB291" s="3" t="str">
        <f t="shared" si="23"/>
        <v>["-SADNE-","-SLOWSS-","","","GN_FrenchElectro"]</v>
      </c>
      <c r="AC291" s="3" t="str">
        <f>_xlfn.XLOOKUP(A291,Album!A:A,Album!J:J)</f>
        <v>https://i.scdn.co/image/ab67616d0000b2732112ea8c833adcdb84da3912</v>
      </c>
      <c r="AD291" s="3"/>
      <c r="AE291" s="3"/>
      <c r="AF291" s="3"/>
      <c r="AG291" s="3"/>
      <c r="AH291" s="3"/>
    </row>
    <row r="292" spans="1:34" x14ac:dyDescent="0.3">
      <c r="A292" s="11" t="s">
        <v>966</v>
      </c>
      <c r="B292" s="12" t="s">
        <v>967</v>
      </c>
      <c r="C292" s="12" t="s">
        <v>919</v>
      </c>
      <c r="D292" s="13" t="s">
        <v>3262</v>
      </c>
      <c r="E292" s="6">
        <v>42468</v>
      </c>
      <c r="F292" s="3">
        <v>289120</v>
      </c>
      <c r="G292" s="3">
        <v>36</v>
      </c>
      <c r="H292" s="3" t="s">
        <v>5731</v>
      </c>
      <c r="I292" s="3" t="s">
        <v>889</v>
      </c>
      <c r="J292" s="3" t="s">
        <v>968</v>
      </c>
      <c r="K292" s="3" t="s">
        <v>890</v>
      </c>
      <c r="L292" s="3">
        <v>0.54300000000000004</v>
      </c>
      <c r="M292" s="3">
        <v>0.61499999999999999</v>
      </c>
      <c r="N292" s="3">
        <v>1</v>
      </c>
      <c r="O292" s="8">
        <v>-7071</v>
      </c>
      <c r="P292" s="3">
        <v>0</v>
      </c>
      <c r="Q292" s="3">
        <v>3.8600000000000002E-2</v>
      </c>
      <c r="R292" s="3">
        <v>9.9500000000000005E-3</v>
      </c>
      <c r="S292" s="3">
        <v>0.14299999999999999</v>
      </c>
      <c r="T292" s="3">
        <v>9.0999999999999998E-2</v>
      </c>
      <c r="U292" s="3">
        <v>0.311</v>
      </c>
      <c r="V292" s="8">
        <v>149906</v>
      </c>
      <c r="W292" s="3">
        <v>4</v>
      </c>
      <c r="X292" s="3" t="str">
        <f t="shared" si="20"/>
        <v>-SADNE-</v>
      </c>
      <c r="Y292" s="3" t="str">
        <f t="shared" si="21"/>
        <v>-ENERGY-</v>
      </c>
      <c r="Z292" s="4" t="str">
        <f t="shared" si="22"/>
        <v>{"couname":"Walkway Blues","img":"https://i.scdn.co/image/ab67616d0000b27395e27fa175bad6817721f1ca","pty":"36","artist":"M83, J. Laser","genres":"indietronica,synthpop,indie dance","duration":"289120","spotId":"1cOt6gIVfc3KCYHYAJie22","Items":["-SADNE-","-ENERGY-","","","GN_FrenchElectro"]},</v>
      </c>
      <c r="AA292" s="5" t="s">
        <v>6100</v>
      </c>
      <c r="AB292" s="3" t="str">
        <f t="shared" si="23"/>
        <v>["-SADNE-","-ENERGY-","","","GN_FrenchElectro"]</v>
      </c>
      <c r="AC292" s="3" t="str">
        <f>_xlfn.XLOOKUP(A292,Album!A:A,Album!J:J)</f>
        <v>https://i.scdn.co/image/ab67616d0000b27395e27fa175bad6817721f1ca</v>
      </c>
      <c r="AD292" s="3"/>
      <c r="AE292" s="3"/>
      <c r="AF292" s="3"/>
      <c r="AG292" s="3"/>
      <c r="AH292" s="3"/>
    </row>
    <row r="293" spans="1:34" x14ac:dyDescent="0.3">
      <c r="A293" s="11" t="s">
        <v>976</v>
      </c>
      <c r="B293" s="12" t="s">
        <v>977</v>
      </c>
      <c r="C293" s="12" t="s">
        <v>919</v>
      </c>
      <c r="D293" s="13" t="s">
        <v>3204</v>
      </c>
      <c r="E293" s="6">
        <v>42468</v>
      </c>
      <c r="F293" s="3">
        <v>257000</v>
      </c>
      <c r="G293" s="3">
        <v>36</v>
      </c>
      <c r="H293" s="3" t="s">
        <v>5730</v>
      </c>
      <c r="I293" s="3" t="s">
        <v>889</v>
      </c>
      <c r="J293" s="3" t="s">
        <v>844</v>
      </c>
      <c r="K293" s="3" t="s">
        <v>890</v>
      </c>
      <c r="L293" s="3">
        <v>0.56000000000000005</v>
      </c>
      <c r="M293" s="3">
        <v>0.74299999999999999</v>
      </c>
      <c r="N293" s="3">
        <v>4</v>
      </c>
      <c r="O293" s="8">
        <v>-6578</v>
      </c>
      <c r="P293" s="3">
        <v>0</v>
      </c>
      <c r="Q293" s="3">
        <v>2.4799999999999999E-2</v>
      </c>
      <c r="R293" s="3">
        <v>7.5399999999999998E-3</v>
      </c>
      <c r="S293" s="3">
        <v>9.5699999999999993E-2</v>
      </c>
      <c r="T293" s="3">
        <v>0.15</v>
      </c>
      <c r="U293" s="3">
        <v>0.30399999999999999</v>
      </c>
      <c r="V293" s="8">
        <v>91999</v>
      </c>
      <c r="W293" s="3">
        <v>4</v>
      </c>
      <c r="X293" s="3" t="str">
        <f t="shared" si="20"/>
        <v>-SADNE-</v>
      </c>
      <c r="Y293" s="3" t="str">
        <f t="shared" si="21"/>
        <v>-ENERGY-</v>
      </c>
      <c r="Z293" s="4" t="str">
        <f t="shared" si="22"/>
        <v>{"couname":"Laser Gun","img":"https://i.scdn.co/image/ab67616d0000b27395e27fa175bad6817721f1ca","pty":"36","artist":"M83, MAI LAN","genres":"indietronica","duration":"257000","spotId":"2kH4liBtDANTBWYcMTyM4Z","Items":["-SADNE-","-ENERGY-","","","GN_FrenchElectro"]},</v>
      </c>
      <c r="AA293" s="5" t="s">
        <v>6100</v>
      </c>
      <c r="AB293" s="3" t="str">
        <f t="shared" si="23"/>
        <v>["-SADNE-","-ENERGY-","","","GN_FrenchElectro"]</v>
      </c>
      <c r="AC293" s="3" t="str">
        <f>_xlfn.XLOOKUP(A293,Album!A:A,Album!J:J)</f>
        <v>https://i.scdn.co/image/ab67616d0000b27395e27fa175bad6817721f1ca</v>
      </c>
      <c r="AD293" s="3"/>
      <c r="AE293" s="3"/>
      <c r="AF293" s="3"/>
      <c r="AG293" s="3"/>
      <c r="AH293" s="3"/>
    </row>
    <row r="294" spans="1:34" x14ac:dyDescent="0.3">
      <c r="A294" s="11" t="s">
        <v>1227</v>
      </c>
      <c r="B294" s="12" t="s">
        <v>5728</v>
      </c>
      <c r="C294" s="12" t="s">
        <v>1205</v>
      </c>
      <c r="D294" s="13" t="s">
        <v>3730</v>
      </c>
      <c r="E294" s="6">
        <v>42093</v>
      </c>
      <c r="F294" s="3">
        <v>224306</v>
      </c>
      <c r="G294" s="3">
        <v>36</v>
      </c>
      <c r="H294" s="3" t="s">
        <v>5729</v>
      </c>
      <c r="I294" s="3" t="s">
        <v>1207</v>
      </c>
      <c r="J294" s="3" t="s">
        <v>1208</v>
      </c>
      <c r="K294" s="3" t="s">
        <v>84</v>
      </c>
      <c r="L294" s="3">
        <v>0.35199999999999998</v>
      </c>
      <c r="M294" s="3">
        <v>0.66300000000000003</v>
      </c>
      <c r="N294" s="3">
        <v>0</v>
      </c>
      <c r="O294" s="8">
        <v>-6.91</v>
      </c>
      <c r="P294" s="3">
        <v>0</v>
      </c>
      <c r="Q294" s="3">
        <v>4.1700000000000001E-2</v>
      </c>
      <c r="R294" s="3">
        <v>3.4000000000000002E-2</v>
      </c>
      <c r="S294" s="3">
        <v>1.4999999999999999E-4</v>
      </c>
      <c r="T294" s="3">
        <v>0.214</v>
      </c>
      <c r="U294" s="3">
        <v>0.151</v>
      </c>
      <c r="V294" s="8">
        <v>87949</v>
      </c>
      <c r="W294" s="3">
        <v>4</v>
      </c>
      <c r="X294" s="3" t="str">
        <f t="shared" si="20"/>
        <v>-SADNE-</v>
      </c>
      <c r="Y294" s="3" t="str">
        <f t="shared" si="21"/>
        <v>-ENERGY-</v>
      </c>
      <c r="Z294" s="4" t="str">
        <f t="shared" si="22"/>
        <v>{"couname":"Innocence","img":"https://i.scdn.co/image/ab67616d0000b27392cb28b37837c67dffe602f9","pty":"36","artist":"Madeon, Aquilo","genres":"edm,house francés","duration":"224306","spotId":"4B59CsEpwMFAOQXu7snoJF","Items":["-SADNE-","-ENERGY-","","","GN_FrenchElectro"]},</v>
      </c>
      <c r="AA294" s="5" t="s">
        <v>6100</v>
      </c>
      <c r="AB294" s="3" t="str">
        <f t="shared" si="23"/>
        <v>["-SADNE-","-ENERGY-","","","GN_FrenchElectro"]</v>
      </c>
      <c r="AC294" s="3" t="str">
        <f>_xlfn.XLOOKUP(A294,Album!A:A,Album!J:J)</f>
        <v>https://i.scdn.co/image/ab67616d0000b27392cb28b37837c67dffe602f9</v>
      </c>
      <c r="AD294" s="3"/>
      <c r="AE294" s="3"/>
      <c r="AF294" s="3"/>
      <c r="AG294" s="3"/>
      <c r="AH294" s="3"/>
    </row>
    <row r="295" spans="1:34" x14ac:dyDescent="0.3">
      <c r="A295" s="11" t="s">
        <v>1346</v>
      </c>
      <c r="B295" s="12" t="s">
        <v>1347</v>
      </c>
      <c r="C295" s="12" t="s">
        <v>1348</v>
      </c>
      <c r="D295" s="13" t="s">
        <v>1345</v>
      </c>
      <c r="E295" s="6">
        <v>40945</v>
      </c>
      <c r="F295" s="3">
        <v>32723</v>
      </c>
      <c r="G295" s="3">
        <v>36</v>
      </c>
      <c r="H295" s="3" t="s">
        <v>5727</v>
      </c>
      <c r="I295" s="3" t="s">
        <v>1336</v>
      </c>
      <c r="J295" s="3" t="s">
        <v>1337</v>
      </c>
      <c r="K295" s="3" t="s">
        <v>1341</v>
      </c>
      <c r="L295" s="3">
        <v>0.48599999999999999</v>
      </c>
      <c r="M295" s="3">
        <v>0.124</v>
      </c>
      <c r="N295" s="3">
        <v>1</v>
      </c>
      <c r="O295" s="8">
        <v>-20575</v>
      </c>
      <c r="P295" s="3">
        <v>1</v>
      </c>
      <c r="Q295" s="3">
        <v>4.4499999999999998E-2</v>
      </c>
      <c r="R295" s="3">
        <v>0.96799999999999997</v>
      </c>
      <c r="S295" s="3">
        <v>0.91300000000000003</v>
      </c>
      <c r="T295" s="3">
        <v>0.13200000000000001</v>
      </c>
      <c r="U295" s="3">
        <v>0.106</v>
      </c>
      <c r="V295" s="8">
        <v>89718</v>
      </c>
      <c r="W295" s="3">
        <v>4</v>
      </c>
      <c r="X295" s="3" t="str">
        <f t="shared" si="20"/>
        <v>-SADNE-</v>
      </c>
      <c r="Y295" s="3" t="str">
        <f t="shared" si="21"/>
        <v>-SLOWSS-</v>
      </c>
      <c r="Z295" s="4" t="str">
        <f t="shared" si="22"/>
        <v>{"couname":"Retour sur terre","img":"https://i.scdn.co/image/ab67616d0000b2732ec0dfc75d6e2ea22da95b32","pty":"36","artist":"Air","genres":"trip hop,downtempo,house francés","duration":"32723","spotId":"4zSrcTmkkNotgvJE97rIhO","Items":["-SADNE-","-SLOWSS-","","","GN_FrenchElectro"]},</v>
      </c>
      <c r="AA295" s="5" t="s">
        <v>6100</v>
      </c>
      <c r="AB295" s="3" t="str">
        <f t="shared" si="23"/>
        <v>["-SADNE-","-SLOWSS-","","","GN_FrenchElectro"]</v>
      </c>
      <c r="AC295" s="3" t="str">
        <f>_xlfn.XLOOKUP(A295,Album!A:A,Album!J:J)</f>
        <v>https://i.scdn.co/image/ab67616d0000b2732ec0dfc75d6e2ea22da95b32</v>
      </c>
      <c r="AD295" s="3"/>
      <c r="AE295" s="3"/>
      <c r="AF295" s="3"/>
      <c r="AG295" s="3"/>
      <c r="AH295" s="3"/>
    </row>
    <row r="296" spans="1:34" x14ac:dyDescent="0.3">
      <c r="A296" s="11" t="s">
        <v>1365</v>
      </c>
      <c r="B296" s="12" t="s">
        <v>1366</v>
      </c>
      <c r="C296" s="12" t="s">
        <v>1367</v>
      </c>
      <c r="D296" s="13" t="s">
        <v>1345</v>
      </c>
      <c r="E296" s="6">
        <v>40091</v>
      </c>
      <c r="F296" s="3">
        <v>229000</v>
      </c>
      <c r="G296" s="3">
        <v>36</v>
      </c>
      <c r="H296" s="3" t="s">
        <v>5726</v>
      </c>
      <c r="I296" s="3" t="s">
        <v>1336</v>
      </c>
      <c r="J296" s="3" t="s">
        <v>1337</v>
      </c>
      <c r="K296" s="3" t="s">
        <v>1341</v>
      </c>
      <c r="L296" s="3">
        <v>0.503</v>
      </c>
      <c r="M296" s="3">
        <v>0.57199999999999995</v>
      </c>
      <c r="N296" s="3">
        <v>6</v>
      </c>
      <c r="O296" s="8">
        <v>-11876</v>
      </c>
      <c r="P296" s="3">
        <v>0</v>
      </c>
      <c r="Q296" s="3">
        <v>3.3500000000000002E-2</v>
      </c>
      <c r="R296" s="3">
        <v>0.49399999999999999</v>
      </c>
      <c r="S296" s="3">
        <v>0.9</v>
      </c>
      <c r="T296" s="3">
        <v>0.13300000000000001</v>
      </c>
      <c r="U296" s="3">
        <v>0.56999999999999995</v>
      </c>
      <c r="V296" s="8">
        <v>167625</v>
      </c>
      <c r="W296" s="3">
        <v>4</v>
      </c>
      <c r="X296" s="3" t="str">
        <f t="shared" si="20"/>
        <v>-HAPPY-</v>
      </c>
      <c r="Y296" s="3" t="str">
        <f t="shared" si="21"/>
        <v>-ENERGY-</v>
      </c>
      <c r="Z296" s="4" t="str">
        <f t="shared" si="22"/>
        <v>{"couname":"African Velvet","img":"https://i.scdn.co/image/ab67616d0000b2736b0efd35ef810103180cf54c","pty":"36","artist":"Air","genres":"trip hop,downtempo,house francés","duration":"229000","spotId":"19s3me6x3fJ1teEh6id1mj","Items":["-HAPPY-","-ENERGY-","","","GN_FrenchElectro"]},</v>
      </c>
      <c r="AA296" s="5" t="s">
        <v>6100</v>
      </c>
      <c r="AB296" s="3" t="str">
        <f t="shared" si="23"/>
        <v>["-HAPPY-","-ENERGY-","","","GN_FrenchElectro"]</v>
      </c>
      <c r="AC296" s="3" t="str">
        <f>_xlfn.XLOOKUP(A296,Album!A:A,Album!J:J)</f>
        <v>https://i.scdn.co/image/ab67616d0000b2736b0efd35ef810103180cf54c</v>
      </c>
      <c r="AD296" s="3"/>
      <c r="AE296" s="3"/>
      <c r="AF296" s="3"/>
      <c r="AG296" s="3"/>
      <c r="AH296" s="3"/>
    </row>
    <row r="297" spans="1:34" x14ac:dyDescent="0.3">
      <c r="A297" s="11" t="s">
        <v>1375</v>
      </c>
      <c r="B297" s="12" t="s">
        <v>1376</v>
      </c>
      <c r="C297" s="12" t="s">
        <v>1367</v>
      </c>
      <c r="D297" s="13" t="s">
        <v>1345</v>
      </c>
      <c r="E297" s="6">
        <v>40091</v>
      </c>
      <c r="F297" s="3">
        <v>163186</v>
      </c>
      <c r="G297" s="3">
        <v>36</v>
      </c>
      <c r="H297" s="3" t="s">
        <v>5725</v>
      </c>
      <c r="I297" s="3" t="s">
        <v>1336</v>
      </c>
      <c r="J297" s="3" t="s">
        <v>1337</v>
      </c>
      <c r="K297" s="3" t="s">
        <v>1341</v>
      </c>
      <c r="L297" s="3">
        <v>0.75800000000000001</v>
      </c>
      <c r="M297" s="3">
        <v>0.51100000000000001</v>
      </c>
      <c r="N297" s="3">
        <v>6</v>
      </c>
      <c r="O297" s="8">
        <v>-8199</v>
      </c>
      <c r="P297" s="3">
        <v>1</v>
      </c>
      <c r="Q297" s="3">
        <v>0.17899999999999999</v>
      </c>
      <c r="R297" s="3">
        <v>0.113</v>
      </c>
      <c r="S297" s="3">
        <v>0.155</v>
      </c>
      <c r="T297" s="3">
        <v>7.9600000000000004E-2</v>
      </c>
      <c r="U297" s="3">
        <v>0.42</v>
      </c>
      <c r="V297" s="8">
        <v>102.5</v>
      </c>
      <c r="W297" s="3">
        <v>4</v>
      </c>
      <c r="X297" s="3" t="str">
        <f t="shared" si="20"/>
        <v>-HAPPY-</v>
      </c>
      <c r="Y297" s="3" t="str">
        <f t="shared" si="21"/>
        <v>-ENERGY-</v>
      </c>
      <c r="Z297" s="4" t="str">
        <f t="shared" si="22"/>
        <v>{"couname":"Love","img":"https://i.scdn.co/image/ab67616d0000b2736b0efd35ef810103180cf54c","pty":"36","artist":"Air","genres":"trip hop,downtempo,house francés","duration":"163186","spotId":"3f3LIPVIMkRi5G11KtRvpl","Items":["-HAPPY-","-ENERGY-","","","GN_FrenchElectro"]},</v>
      </c>
      <c r="AA297" s="5" t="s">
        <v>6100</v>
      </c>
      <c r="AB297" s="3" t="str">
        <f t="shared" si="23"/>
        <v>["-HAPPY-","-ENERGY-","","","GN_FrenchElectro"]</v>
      </c>
      <c r="AC297" s="3" t="str">
        <f>_xlfn.XLOOKUP(A297,Album!A:A,Album!J:J)</f>
        <v>https://i.scdn.co/image/ab67616d0000b2736b0efd35ef810103180cf54c</v>
      </c>
      <c r="AD297" s="3"/>
      <c r="AE297" s="3"/>
      <c r="AF297" s="3"/>
      <c r="AG297" s="3"/>
      <c r="AH297" s="3"/>
    </row>
    <row r="298" spans="1:34" x14ac:dyDescent="0.3">
      <c r="A298" s="11" t="s">
        <v>1387</v>
      </c>
      <c r="B298" s="12" t="s">
        <v>1388</v>
      </c>
      <c r="C298" s="12" t="s">
        <v>1357</v>
      </c>
      <c r="D298" s="13" t="s">
        <v>1345</v>
      </c>
      <c r="E298" s="6">
        <v>36396</v>
      </c>
      <c r="F298" s="3">
        <v>273773</v>
      </c>
      <c r="G298" s="3">
        <v>36</v>
      </c>
      <c r="H298" s="3" t="s">
        <v>5724</v>
      </c>
      <c r="I298" s="3" t="s">
        <v>1336</v>
      </c>
      <c r="J298" s="3" t="s">
        <v>1337</v>
      </c>
      <c r="K298" s="3" t="s">
        <v>83</v>
      </c>
      <c r="L298" s="3">
        <v>0.55900000000000005</v>
      </c>
      <c r="M298" s="3">
        <v>0.28199999999999997</v>
      </c>
      <c r="N298" s="3">
        <v>2</v>
      </c>
      <c r="O298" s="8">
        <v>-13778</v>
      </c>
      <c r="P298" s="3">
        <v>0</v>
      </c>
      <c r="Q298" s="3">
        <v>3.0800000000000001E-2</v>
      </c>
      <c r="R298" s="3">
        <v>0.90600000000000003</v>
      </c>
      <c r="S298" s="3">
        <v>0.90300000000000002</v>
      </c>
      <c r="T298" s="3">
        <v>8.2199999999999995E-2</v>
      </c>
      <c r="U298" s="3">
        <v>0.23</v>
      </c>
      <c r="V298" s="8">
        <v>94881</v>
      </c>
      <c r="W298" s="3">
        <v>4</v>
      </c>
      <c r="X298" s="3" t="str">
        <f t="shared" si="20"/>
        <v>-SADNE-</v>
      </c>
      <c r="Y298" s="3" t="str">
        <f t="shared" si="21"/>
        <v>-ENERGY-</v>
      </c>
      <c r="Z298" s="4" t="str">
        <f t="shared" si="22"/>
        <v>{"couname":"Les professionnels","img":"https://i.scdn.co/image/ab67616d0000b273988970b40aca1d4cfb3edc3d","pty":"36","artist":"Air","genres":"trip hop,downtempo,house francés","duration":"273773","spotId":"2LVZsGYt8Cq8TIGgS1eGjR","Items":["-SADNE-","-ENERGY-","","","GN_FrenchElectro"]},</v>
      </c>
      <c r="AA298" s="5" t="s">
        <v>6100</v>
      </c>
      <c r="AB298" s="3" t="str">
        <f t="shared" si="23"/>
        <v>["-SADNE-","-ENERGY-","","","GN_FrenchElectro"]</v>
      </c>
      <c r="AC298" s="3" t="str">
        <f>_xlfn.XLOOKUP(A298,Album!A:A,Album!J:J)</f>
        <v>https://i.scdn.co/image/ab67616d0000b273988970b40aca1d4cfb3edc3d</v>
      </c>
      <c r="AD298" s="3"/>
      <c r="AE298" s="3"/>
      <c r="AF298" s="3"/>
      <c r="AG298" s="3"/>
      <c r="AH298" s="3"/>
    </row>
    <row r="299" spans="1:34" x14ac:dyDescent="0.3">
      <c r="A299" s="11" t="s">
        <v>1637</v>
      </c>
      <c r="B299" s="12" t="s">
        <v>1638</v>
      </c>
      <c r="C299" s="12" t="s">
        <v>1638</v>
      </c>
      <c r="D299" s="13" t="s">
        <v>4327</v>
      </c>
      <c r="E299" s="6">
        <v>45471</v>
      </c>
      <c r="F299" s="3">
        <v>229073</v>
      </c>
      <c r="G299" s="3">
        <v>36</v>
      </c>
      <c r="H299" s="3" t="s">
        <v>5723</v>
      </c>
      <c r="I299" s="3" t="s">
        <v>1463</v>
      </c>
      <c r="J299" s="3"/>
      <c r="K299" s="3" t="s">
        <v>1634</v>
      </c>
      <c r="L299" s="3">
        <v>0.56499999999999995</v>
      </c>
      <c r="M299" s="3">
        <v>0.873</v>
      </c>
      <c r="N299" s="3">
        <v>0</v>
      </c>
      <c r="O299" s="8">
        <v>-4834</v>
      </c>
      <c r="P299" s="3">
        <v>1</v>
      </c>
      <c r="Q299" s="3">
        <v>6.2600000000000003E-2</v>
      </c>
      <c r="R299" s="3">
        <v>0.13200000000000001</v>
      </c>
      <c r="S299" s="3">
        <v>1.63E-4</v>
      </c>
      <c r="T299" s="3">
        <v>0.126</v>
      </c>
      <c r="U299" s="3">
        <v>0.51900000000000002</v>
      </c>
      <c r="V299" s="8">
        <v>83022</v>
      </c>
      <c r="W299" s="3">
        <v>4</v>
      </c>
      <c r="X299" s="3" t="str">
        <f t="shared" si="20"/>
        <v>-HAPPY-</v>
      </c>
      <c r="Y299" s="3" t="str">
        <f t="shared" si="21"/>
        <v>-ENERGY-</v>
      </c>
      <c r="Z299" s="4" t="str">
        <f t="shared" si="22"/>
        <v>{"couname":"Falling","img":"https://i.scdn.co/image/ab67616d0000b2731e33c70a1ced2cb89075fd75","pty":"36","artist":"Shara Rose, Roy-Al","genres":"","duration":"229073","spotId":"3ZKUHU0pexGkjgaNWutuUk","Items":["-HAPPY-","-ENERGY-","","","GN_FrenchElectro"]},</v>
      </c>
      <c r="AA299" s="5" t="s">
        <v>6100</v>
      </c>
      <c r="AB299" s="3" t="str">
        <f t="shared" si="23"/>
        <v>["-HAPPY-","-ENERGY-","","","GN_FrenchElectro"]</v>
      </c>
      <c r="AC299" s="3" t="str">
        <f>_xlfn.XLOOKUP(A299,Album!A:A,Album!J:J)</f>
        <v>https://i.scdn.co/image/ab67616d0000b2731e33c70a1ced2cb89075fd75</v>
      </c>
      <c r="AD299" s="3"/>
      <c r="AE299" s="3"/>
      <c r="AF299" s="3"/>
      <c r="AG299" s="3"/>
      <c r="AH299" s="3"/>
    </row>
    <row r="300" spans="1:34" x14ac:dyDescent="0.3">
      <c r="A300" s="11" t="s">
        <v>1903</v>
      </c>
      <c r="B300" s="12" t="s">
        <v>5721</v>
      </c>
      <c r="C300" s="12" t="s">
        <v>1898</v>
      </c>
      <c r="D300" s="13" t="s">
        <v>9</v>
      </c>
      <c r="E300" s="6">
        <v>40515</v>
      </c>
      <c r="F300" s="3">
        <v>93226</v>
      </c>
      <c r="G300" s="3">
        <v>36</v>
      </c>
      <c r="H300" s="3" t="s">
        <v>5722</v>
      </c>
      <c r="I300" s="3" t="s">
        <v>1809</v>
      </c>
      <c r="J300" s="3" t="s">
        <v>1810</v>
      </c>
      <c r="K300" s="3" t="s">
        <v>51</v>
      </c>
      <c r="L300" s="3">
        <v>0.33400000000000002</v>
      </c>
      <c r="M300" s="3">
        <v>0.42299999999999999</v>
      </c>
      <c r="N300" s="3">
        <v>1</v>
      </c>
      <c r="O300" s="8">
        <v>-13562</v>
      </c>
      <c r="P300" s="3">
        <v>1</v>
      </c>
      <c r="Q300" s="3">
        <v>3.4799999999999998E-2</v>
      </c>
      <c r="R300" s="3">
        <v>1.7299999999999999E-2</v>
      </c>
      <c r="S300" s="3">
        <v>0.99399999999999999</v>
      </c>
      <c r="T300" s="3">
        <v>7.3200000000000001E-2</v>
      </c>
      <c r="U300" s="3">
        <v>8.5900000000000004E-2</v>
      </c>
      <c r="V300" s="8">
        <v>100058</v>
      </c>
      <c r="W300" s="3">
        <v>4</v>
      </c>
      <c r="X300" s="3" t="str">
        <f t="shared" si="20"/>
        <v>-SADNE-</v>
      </c>
      <c r="Y300" s="3" t="str">
        <f t="shared" si="21"/>
        <v>-SLOWSS-</v>
      </c>
      <c r="Z300" s="4" t="str">
        <f t="shared" si="22"/>
        <v>{"couname":"Arena","img":"https://i.scdn.co/image/ab67616d0000b27366919acb93950333962467f8","pty":"36","artist":"Daft Punk","genres":"house francés,electrónica,electro","duration":"93226","spotId":"2aUDpZRSit5Zg2R6L5r6dW","Items":["-SADNE-","-SLOWSS-","","","GN_FrenchElectro"]},</v>
      </c>
      <c r="AA300" s="5" t="s">
        <v>6100</v>
      </c>
      <c r="AB300" s="3" t="str">
        <f t="shared" si="23"/>
        <v>["-SADNE-","-SLOWSS-","","","GN_FrenchElectro"]</v>
      </c>
      <c r="AC300" s="3" t="str">
        <f>_xlfn.XLOOKUP(A300,Album!A:A,Album!J:J)</f>
        <v>https://i.scdn.co/image/ab67616d0000b27366919acb93950333962467f8</v>
      </c>
      <c r="AD300" s="3"/>
      <c r="AE300" s="3"/>
      <c r="AF300" s="3"/>
      <c r="AG300" s="3"/>
      <c r="AH300" s="3"/>
    </row>
    <row r="301" spans="1:34" x14ac:dyDescent="0.3">
      <c r="A301" s="11" t="s">
        <v>1906</v>
      </c>
      <c r="B301" s="12" t="s">
        <v>5719</v>
      </c>
      <c r="C301" s="12" t="s">
        <v>1898</v>
      </c>
      <c r="D301" s="13" t="s">
        <v>9</v>
      </c>
      <c r="E301" s="6">
        <v>40515</v>
      </c>
      <c r="F301" s="3">
        <v>162480</v>
      </c>
      <c r="G301" s="3">
        <v>36</v>
      </c>
      <c r="H301" s="3" t="s">
        <v>5720</v>
      </c>
      <c r="I301" s="3" t="s">
        <v>1809</v>
      </c>
      <c r="J301" s="3" t="s">
        <v>1810</v>
      </c>
      <c r="K301" s="3" t="s">
        <v>51</v>
      </c>
      <c r="L301" s="3">
        <v>0.57099999999999995</v>
      </c>
      <c r="M301" s="3">
        <v>0.44900000000000001</v>
      </c>
      <c r="N301" s="3">
        <v>0</v>
      </c>
      <c r="O301" s="8">
        <v>-16077</v>
      </c>
      <c r="P301" s="3">
        <v>1</v>
      </c>
      <c r="Q301" s="3">
        <v>3.8199999999999998E-2</v>
      </c>
      <c r="R301" s="3">
        <v>0.81799999999999995</v>
      </c>
      <c r="S301" s="3">
        <v>0.68799999999999994</v>
      </c>
      <c r="T301" s="3">
        <v>0.28100000000000003</v>
      </c>
      <c r="U301" s="3">
        <v>0.17199999999999999</v>
      </c>
      <c r="V301" s="8">
        <v>113165</v>
      </c>
      <c r="W301" s="3">
        <v>4</v>
      </c>
      <c r="X301" s="3" t="str">
        <f t="shared" si="20"/>
        <v>-SADNE-</v>
      </c>
      <c r="Y301" s="3" t="str">
        <f t="shared" si="21"/>
        <v>-ENERGY-</v>
      </c>
      <c r="Z301" s="4" t="str">
        <f t="shared" si="22"/>
        <v>{"couname":"Outlands","img":"https://i.scdn.co/image/ab67616d0000b27366919acb93950333962467f8","pty":"36","artist":"Daft Punk","genres":"house francés,electrónica,electro","duration":"162480","spotId":"1YCO0AUl7FJyY0UsDIWUVo","Items":["-SADNE-","-ENERGY-","","","GN_FrenchElectro"]},</v>
      </c>
      <c r="AA301" s="5" t="s">
        <v>6100</v>
      </c>
      <c r="AB301" s="3" t="str">
        <f t="shared" si="23"/>
        <v>["-SADNE-","-ENERGY-","","","GN_FrenchElectro"]</v>
      </c>
      <c r="AC301" s="3" t="str">
        <f>_xlfn.XLOOKUP(A301,Album!A:A,Album!J:J)</f>
        <v>https://i.scdn.co/image/ab67616d0000b27366919acb93950333962467f8</v>
      </c>
      <c r="AD301" s="3"/>
      <c r="AE301" s="3"/>
      <c r="AF301" s="3"/>
      <c r="AG301" s="3"/>
      <c r="AH301" s="3"/>
    </row>
    <row r="302" spans="1:34" x14ac:dyDescent="0.3">
      <c r="A302" s="11" t="s">
        <v>1911</v>
      </c>
      <c r="B302" s="12" t="s">
        <v>5717</v>
      </c>
      <c r="C302" s="12" t="s">
        <v>1898</v>
      </c>
      <c r="D302" s="13" t="s">
        <v>9</v>
      </c>
      <c r="E302" s="6">
        <v>40515</v>
      </c>
      <c r="F302" s="3">
        <v>82613</v>
      </c>
      <c r="G302" s="3">
        <v>36</v>
      </c>
      <c r="H302" s="3" t="s">
        <v>5718</v>
      </c>
      <c r="I302" s="3" t="s">
        <v>1809</v>
      </c>
      <c r="J302" s="3" t="s">
        <v>1810</v>
      </c>
      <c r="K302" s="3" t="s">
        <v>51</v>
      </c>
      <c r="L302" s="3">
        <v>0.28000000000000003</v>
      </c>
      <c r="M302" s="3">
        <v>0.65100000000000002</v>
      </c>
      <c r="N302" s="3">
        <v>11</v>
      </c>
      <c r="O302" s="8">
        <v>-10124</v>
      </c>
      <c r="P302" s="3">
        <v>0</v>
      </c>
      <c r="Q302" s="3">
        <v>3.0200000000000001E-2</v>
      </c>
      <c r="R302" s="3">
        <v>3.6999999999999998E-5</v>
      </c>
      <c r="S302" s="3">
        <v>0.93200000000000005</v>
      </c>
      <c r="T302" s="3">
        <v>0.20300000000000001</v>
      </c>
      <c r="U302" s="3">
        <v>0.20599999999999999</v>
      </c>
      <c r="V302" s="8">
        <v>179972</v>
      </c>
      <c r="W302" s="3">
        <v>4</v>
      </c>
      <c r="X302" s="3" t="str">
        <f t="shared" si="20"/>
        <v>-SADNE-</v>
      </c>
      <c r="Y302" s="3" t="str">
        <f t="shared" si="21"/>
        <v>-ENERGY-</v>
      </c>
      <c r="Z302" s="4" t="str">
        <f t="shared" si="22"/>
        <v>{"couname":"Fall","img":"https://i.scdn.co/image/ab67616d0000b27366919acb93950333962467f8","pty":"36","artist":"Daft Punk","genres":"house francés,electrónica,electro","duration":"82613","spotId":"4XReCJmkuaKe5uuUhkjI7Q","Items":["-SADNE-","-ENERGY-","","","GN_FrenchElectro"]},</v>
      </c>
      <c r="AA302" s="5" t="s">
        <v>6100</v>
      </c>
      <c r="AB302" s="3" t="str">
        <f t="shared" si="23"/>
        <v>["-SADNE-","-ENERGY-","","","GN_FrenchElectro"]</v>
      </c>
      <c r="AC302" s="3" t="str">
        <f>_xlfn.XLOOKUP(A302,Album!A:A,Album!J:J)</f>
        <v>https://i.scdn.co/image/ab67616d0000b27366919acb93950333962467f8</v>
      </c>
      <c r="AD302" s="3"/>
      <c r="AE302" s="3"/>
      <c r="AF302" s="3"/>
      <c r="AG302" s="3"/>
      <c r="AH302" s="3"/>
    </row>
    <row r="303" spans="1:34" x14ac:dyDescent="0.3">
      <c r="A303" s="11" t="s">
        <v>209</v>
      </c>
      <c r="B303" s="12" t="s">
        <v>5715</v>
      </c>
      <c r="C303" s="12" t="s">
        <v>204</v>
      </c>
      <c r="D303" s="13" t="s">
        <v>18</v>
      </c>
      <c r="E303" s="6">
        <v>42244</v>
      </c>
      <c r="F303" s="3">
        <v>239013</v>
      </c>
      <c r="G303" s="3">
        <v>35</v>
      </c>
      <c r="H303" s="3" t="s">
        <v>5716</v>
      </c>
      <c r="I303" s="3" t="s">
        <v>102</v>
      </c>
      <c r="J303" s="3" t="s">
        <v>103</v>
      </c>
      <c r="K303" s="3" t="s">
        <v>104</v>
      </c>
      <c r="L303" s="3">
        <v>0.48499999999999999</v>
      </c>
      <c r="M303" s="3">
        <v>0.97</v>
      </c>
      <c r="N303" s="3">
        <v>11</v>
      </c>
      <c r="O303" s="8">
        <v>-4945</v>
      </c>
      <c r="P303" s="3">
        <v>1</v>
      </c>
      <c r="Q303" s="3">
        <v>4.1200000000000001E-2</v>
      </c>
      <c r="R303" s="3">
        <v>9.2100000000000003E-5</v>
      </c>
      <c r="S303" s="3">
        <v>0.93300000000000005</v>
      </c>
      <c r="T303" s="3">
        <v>0.19600000000000001</v>
      </c>
      <c r="U303" s="3">
        <v>0.58499999999999996</v>
      </c>
      <c r="V303" s="8">
        <v>123717</v>
      </c>
      <c r="W303" s="3">
        <v>4</v>
      </c>
      <c r="X303" s="3" t="str">
        <f t="shared" si="20"/>
        <v>-HAPPY-</v>
      </c>
      <c r="Y303" s="3" t="str">
        <f t="shared" si="21"/>
        <v>-ENERGY-</v>
      </c>
      <c r="Z303" s="4" t="str">
        <f t="shared" si="22"/>
        <v>{"couname":"Chronology, Pt. 4","img":"https://i.scdn.co/image/ab67616d0000b273dae32ab51194394f576a6f3c","pty":"35","artist":"Jean-Michel Jarre","genres":"new age,electrónica,space music","duration":"239013","spotId":"5Wi2zLwER77wQaZxnr6sx0","Items":["-HAPPY-","-ENERGY-","","","GN_FrenchElectro"]},</v>
      </c>
      <c r="AA303" s="5" t="s">
        <v>6100</v>
      </c>
      <c r="AB303" s="3" t="str">
        <f t="shared" si="23"/>
        <v>["-HAPPY-","-ENERGY-","","","GN_FrenchElectro"]</v>
      </c>
      <c r="AC303" s="3" t="str">
        <f>_xlfn.XLOOKUP(A303,Album!A:A,Album!J:J)</f>
        <v>https://i.scdn.co/image/ab67616d0000b273dae32ab51194394f576a6f3c</v>
      </c>
      <c r="AD303" s="3"/>
      <c r="AE303" s="3"/>
      <c r="AF303" s="3"/>
      <c r="AG303" s="3"/>
      <c r="AH303" s="3"/>
    </row>
    <row r="304" spans="1:34" x14ac:dyDescent="0.3">
      <c r="A304" s="11" t="s">
        <v>470</v>
      </c>
      <c r="B304" s="12" t="s">
        <v>5713</v>
      </c>
      <c r="C304" s="12" t="s">
        <v>472</v>
      </c>
      <c r="D304" s="13" t="s">
        <v>2537</v>
      </c>
      <c r="E304" s="6">
        <v>45569</v>
      </c>
      <c r="F304" s="3">
        <v>183618</v>
      </c>
      <c r="G304" s="3">
        <v>35</v>
      </c>
      <c r="H304" s="3" t="s">
        <v>5714</v>
      </c>
      <c r="I304" s="3" t="s">
        <v>462</v>
      </c>
      <c r="J304" s="3" t="s">
        <v>473</v>
      </c>
      <c r="K304" s="3" t="s">
        <v>469</v>
      </c>
      <c r="L304" s="3">
        <v>0.79500000000000004</v>
      </c>
      <c r="M304" s="3">
        <v>0.88500000000000001</v>
      </c>
      <c r="N304" s="3">
        <v>4</v>
      </c>
      <c r="O304" s="8">
        <v>-6.24</v>
      </c>
      <c r="P304" s="3">
        <v>0</v>
      </c>
      <c r="Q304" s="3">
        <v>6.3200000000000006E-2</v>
      </c>
      <c r="R304" s="3">
        <v>3.2399999999999998E-2</v>
      </c>
      <c r="S304" s="3">
        <v>0.57599999999999996</v>
      </c>
      <c r="T304" s="3">
        <v>4.4900000000000002E-2</v>
      </c>
      <c r="U304" s="3">
        <v>0.624</v>
      </c>
      <c r="V304" s="8">
        <v>126</v>
      </c>
      <c r="W304" s="3">
        <v>4</v>
      </c>
      <c r="X304" s="3" t="str">
        <f t="shared" si="20"/>
        <v>-HAPPY-</v>
      </c>
      <c r="Y304" s="3" t="str">
        <f t="shared" si="21"/>
        <v>-ENERGY-</v>
      </c>
      <c r="Z304" s="4" t="str">
        <f t="shared" si="22"/>
        <v>{"couname":"Kiss My Eyes","img":"https://i.scdn.co/image/ab67616d0000b273dcf2516f1207d2dd954a02c2","pty":"35","artist":"Bob Sinclar, Daddy's Groove","genres":"house francés,disco house,electro house,house latino,tribal house","duration":"183618","spotId":"5pmkpXJRA8SKWw641grc6O","Items":["-HAPPY-","-ENERGY-","","","GN_FrenchElectro"]},</v>
      </c>
      <c r="AA304" s="5" t="s">
        <v>6100</v>
      </c>
      <c r="AB304" s="3" t="str">
        <f t="shared" si="23"/>
        <v>["-HAPPY-","-ENERGY-","","","GN_FrenchElectro"]</v>
      </c>
      <c r="AC304" s="3" t="str">
        <f>_xlfn.XLOOKUP(A304,Album!A:A,Album!J:J)</f>
        <v>https://i.scdn.co/image/ab67616d0000b273dcf2516f1207d2dd954a02c2</v>
      </c>
      <c r="AD304" s="3"/>
      <c r="AE304" s="3"/>
      <c r="AF304" s="3"/>
      <c r="AG304" s="3"/>
      <c r="AH304" s="3"/>
    </row>
    <row r="305" spans="1:34" x14ac:dyDescent="0.3">
      <c r="A305" s="11" t="s">
        <v>651</v>
      </c>
      <c r="B305" s="12" t="s">
        <v>652</v>
      </c>
      <c r="C305" s="12" t="s">
        <v>652</v>
      </c>
      <c r="D305" s="13" t="s">
        <v>653</v>
      </c>
      <c r="E305" s="6">
        <v>43280</v>
      </c>
      <c r="F305" s="3">
        <v>195531</v>
      </c>
      <c r="G305" s="3">
        <v>35</v>
      </c>
      <c r="H305" s="3" t="s">
        <v>5712</v>
      </c>
      <c r="I305" s="3" t="s">
        <v>639</v>
      </c>
      <c r="J305" s="3" t="s">
        <v>640</v>
      </c>
      <c r="K305" s="3" t="s">
        <v>47</v>
      </c>
      <c r="L305" s="3">
        <v>0.66900000000000004</v>
      </c>
      <c r="M305" s="3">
        <v>0.68899999999999995</v>
      </c>
      <c r="N305" s="3">
        <v>9</v>
      </c>
      <c r="O305" s="8">
        <v>-5302</v>
      </c>
      <c r="P305" s="3">
        <v>0</v>
      </c>
      <c r="Q305" s="3">
        <v>3.6200000000000003E-2</v>
      </c>
      <c r="R305" s="3">
        <v>8.0300000000000007E-3</v>
      </c>
      <c r="S305" s="3">
        <v>1.1199999999999999E-5</v>
      </c>
      <c r="T305" s="3">
        <v>9.0999999999999998E-2</v>
      </c>
      <c r="U305" s="3">
        <v>0.113</v>
      </c>
      <c r="V305" s="8">
        <v>119967</v>
      </c>
      <c r="W305" s="3">
        <v>4</v>
      </c>
      <c r="X305" s="3" t="str">
        <f t="shared" si="20"/>
        <v>-SADNE-</v>
      </c>
      <c r="Y305" s="3" t="str">
        <f t="shared" si="21"/>
        <v>-ENERGY-</v>
      </c>
      <c r="Z305" s="4" t="str">
        <f t="shared" si="22"/>
        <v>{"couname":"My Love","img":"https://i.scdn.co/image/ab67616d0000b273dbdfeae3f3af6e9843ac0176","pty":"35","artist":"Martin Solveig","genres":"house francés","duration":"195531","spotId":"7pZ00FeIkpuzHskuDWQnU5","Items":["-SADNE-","-ENERGY-","","","GN_FrenchElectro"]},</v>
      </c>
      <c r="AA305" s="5" t="s">
        <v>6100</v>
      </c>
      <c r="AB305" s="3" t="str">
        <f t="shared" si="23"/>
        <v>["-SADNE-","-ENERGY-","","","GN_FrenchElectro"]</v>
      </c>
      <c r="AC305" s="3" t="str">
        <f>_xlfn.XLOOKUP(A305,Album!A:A,Album!J:J)</f>
        <v>https://i.scdn.co/image/ab67616d0000b273dbdfeae3f3af6e9843ac0176</v>
      </c>
      <c r="AD305" s="3"/>
      <c r="AE305" s="3"/>
      <c r="AF305" s="3"/>
      <c r="AG305" s="3"/>
      <c r="AH305" s="3"/>
    </row>
    <row r="306" spans="1:34" x14ac:dyDescent="0.3">
      <c r="A306" s="11" t="s">
        <v>819</v>
      </c>
      <c r="B306" s="12" t="s">
        <v>820</v>
      </c>
      <c r="C306" s="12" t="s">
        <v>780</v>
      </c>
      <c r="D306" s="13" t="s">
        <v>745</v>
      </c>
      <c r="E306" s="6">
        <v>42692</v>
      </c>
      <c r="F306" s="3">
        <v>255961</v>
      </c>
      <c r="G306" s="3">
        <v>35</v>
      </c>
      <c r="H306" s="3" t="s">
        <v>5711</v>
      </c>
      <c r="I306" s="3" t="s">
        <v>738</v>
      </c>
      <c r="J306" s="3" t="s">
        <v>742</v>
      </c>
      <c r="K306" s="3" t="s">
        <v>19</v>
      </c>
      <c r="L306" s="3">
        <v>0.56200000000000006</v>
      </c>
      <c r="M306" s="3">
        <v>0.71599999999999997</v>
      </c>
      <c r="N306" s="3">
        <v>9</v>
      </c>
      <c r="O306" s="8">
        <v>-5716</v>
      </c>
      <c r="P306" s="3">
        <v>0</v>
      </c>
      <c r="Q306" s="3">
        <v>2.87E-2</v>
      </c>
      <c r="R306" s="3">
        <v>4.6199999999999998E-2</v>
      </c>
      <c r="S306" s="3">
        <v>2.6400000000000001E-5</v>
      </c>
      <c r="T306" s="3">
        <v>0.307</v>
      </c>
      <c r="U306" s="3">
        <v>0.55500000000000005</v>
      </c>
      <c r="V306" s="8">
        <v>103027</v>
      </c>
      <c r="W306" s="3">
        <v>4</v>
      </c>
      <c r="X306" s="3" t="str">
        <f t="shared" si="20"/>
        <v>-HAPPY-</v>
      </c>
      <c r="Y306" s="3" t="str">
        <f t="shared" si="21"/>
        <v>-ENERGY-</v>
      </c>
      <c r="Z306" s="4" t="str">
        <f t="shared" si="22"/>
        <v>{"couname":"Pleasure","img":"https://i.scdn.co/image/ab67616d0000b273d4a2f9a24620e329d2db7078","pty":"35","artist":"Justice","genres":"house francés,new rave,rock electrónico","duration":"255961","spotId":"19ts4uqOimLvSbu4DyOWE2","Items":["-HAPPY-","-ENERGY-","","","GN_FrenchElectro"]},</v>
      </c>
      <c r="AA306" s="5" t="s">
        <v>6100</v>
      </c>
      <c r="AB306" s="3" t="str">
        <f t="shared" si="23"/>
        <v>["-HAPPY-","-ENERGY-","","","GN_FrenchElectro"]</v>
      </c>
      <c r="AC306" s="3" t="str">
        <f>_xlfn.XLOOKUP(A306,Album!A:A,Album!J:J)</f>
        <v>https://i.scdn.co/image/ab67616d0000b273d4a2f9a24620e329d2db7078</v>
      </c>
      <c r="AD306" s="3"/>
      <c r="AE306" s="3"/>
      <c r="AF306" s="3"/>
      <c r="AG306" s="3"/>
      <c r="AH306" s="3"/>
    </row>
    <row r="307" spans="1:34" x14ac:dyDescent="0.3">
      <c r="A307" s="11" t="s">
        <v>831</v>
      </c>
      <c r="B307" s="12" t="s">
        <v>832</v>
      </c>
      <c r="C307" s="12" t="s">
        <v>786</v>
      </c>
      <c r="D307" s="13" t="s">
        <v>745</v>
      </c>
      <c r="E307" s="6">
        <v>40840</v>
      </c>
      <c r="F307" s="3">
        <v>241240</v>
      </c>
      <c r="G307" s="3">
        <v>35</v>
      </c>
      <c r="H307" s="3" t="s">
        <v>5710</v>
      </c>
      <c r="I307" s="3" t="s">
        <v>738</v>
      </c>
      <c r="J307" s="3" t="s">
        <v>742</v>
      </c>
      <c r="K307" s="3" t="s">
        <v>770</v>
      </c>
      <c r="L307" s="3">
        <v>0.315</v>
      </c>
      <c r="M307" s="3">
        <v>0.72199999999999998</v>
      </c>
      <c r="N307" s="3">
        <v>8</v>
      </c>
      <c r="O307" s="8">
        <v>-5696</v>
      </c>
      <c r="P307" s="3">
        <v>1</v>
      </c>
      <c r="Q307" s="3">
        <v>8.3400000000000002E-2</v>
      </c>
      <c r="R307" s="3">
        <v>1.9099999999999999E-2</v>
      </c>
      <c r="S307" s="3">
        <v>7.3000000000000001E-3</v>
      </c>
      <c r="T307" s="3">
        <v>0.106</v>
      </c>
      <c r="U307" s="3">
        <v>0.42399999999999999</v>
      </c>
      <c r="V307" s="8">
        <v>184076</v>
      </c>
      <c r="W307" s="3">
        <v>4</v>
      </c>
      <c r="X307" s="3" t="str">
        <f t="shared" si="20"/>
        <v>-HAPPY-</v>
      </c>
      <c r="Y307" s="3" t="str">
        <f t="shared" si="21"/>
        <v>-ENERGY-</v>
      </c>
      <c r="Z307" s="4" t="str">
        <f t="shared" si="22"/>
        <v>{"couname":"Ohio","img":"https://i.scdn.co/image/ab67616d0000b273f9171c2b7bab0956cdfbd1fa","pty":"35","artist":"Justice","genres":"house francés,new rave,rock electrónico","duration":"241240","spotId":"17H905JnTq4srwp8R00qD2","Items":["-HAPPY-","-ENERGY-","","","GN_FrenchElectro"]},</v>
      </c>
      <c r="AA307" s="5" t="s">
        <v>6100</v>
      </c>
      <c r="AB307" s="3" t="str">
        <f t="shared" si="23"/>
        <v>["-HAPPY-","-ENERGY-","","","GN_FrenchElectro"]</v>
      </c>
      <c r="AC307" s="3" t="str">
        <f>_xlfn.XLOOKUP(A307,Album!A:A,Album!J:J)</f>
        <v>https://i.scdn.co/image/ab67616d0000b273f9171c2b7bab0956cdfbd1fa</v>
      </c>
      <c r="AD307" s="3"/>
      <c r="AE307" s="3"/>
      <c r="AF307" s="3"/>
      <c r="AG307" s="3"/>
      <c r="AH307" s="3"/>
    </row>
    <row r="308" spans="1:34" x14ac:dyDescent="0.3">
      <c r="A308" s="11" t="s">
        <v>853</v>
      </c>
      <c r="B308" s="12" t="s">
        <v>854</v>
      </c>
      <c r="C308" s="12" t="s">
        <v>841</v>
      </c>
      <c r="D308" s="13" t="s">
        <v>842</v>
      </c>
      <c r="E308" s="6">
        <v>2011</v>
      </c>
      <c r="F308" s="3">
        <v>244093</v>
      </c>
      <c r="G308" s="3">
        <v>35</v>
      </c>
      <c r="H308" s="3" t="s">
        <v>5709</v>
      </c>
      <c r="I308" s="3" t="s">
        <v>843</v>
      </c>
      <c r="J308" s="3" t="s">
        <v>844</v>
      </c>
      <c r="K308" s="3" t="s">
        <v>845</v>
      </c>
      <c r="L308" s="3">
        <v>0.55100000000000005</v>
      </c>
      <c r="M308" s="3">
        <v>0.69599999999999995</v>
      </c>
      <c r="N308" s="3">
        <v>10</v>
      </c>
      <c r="O308" s="8">
        <v>-7252</v>
      </c>
      <c r="P308" s="3">
        <v>1</v>
      </c>
      <c r="Q308" s="3">
        <v>3.56E-2</v>
      </c>
      <c r="R308" s="3">
        <v>5.2200000000000003E-2</v>
      </c>
      <c r="S308" s="3">
        <v>5.4800000000000001E-2</v>
      </c>
      <c r="T308" s="3">
        <v>0.377</v>
      </c>
      <c r="U308" s="3">
        <v>0.27700000000000002</v>
      </c>
      <c r="V308" s="8">
        <v>90573</v>
      </c>
      <c r="W308" s="3">
        <v>4</v>
      </c>
      <c r="X308" s="3" t="str">
        <f t="shared" si="20"/>
        <v>-SADNE-</v>
      </c>
      <c r="Y308" s="3" t="str">
        <f t="shared" si="21"/>
        <v>-ENERGY-</v>
      </c>
      <c r="Z308" s="4" t="str">
        <f t="shared" si="22"/>
        <v>{"couname":"Raconte-Moi Une Histoire","img":"https://i.scdn.co/image/ab67616d0000b273fff2cb485c36a6d8f639bdba","pty":"35","artist":"M83","genres":"indietronica","duration":"244093","spotId":"0SeMmdPt7Ksu1fIAgnPIOG","Items":["-SADNE-","-ENERGY-","","","GN_FrenchElectro"]},</v>
      </c>
      <c r="AA308" s="5" t="s">
        <v>6100</v>
      </c>
      <c r="AB308" s="3" t="str">
        <f t="shared" si="23"/>
        <v>["-SADNE-","-ENERGY-","","","GN_FrenchElectro"]</v>
      </c>
      <c r="AC308" s="3" t="str">
        <f>_xlfn.XLOOKUP(A308,Album!A:A,Album!J:J)</f>
        <v>https://i.scdn.co/image/ab67616d0000b273fff2cb485c36a6d8f639bdba</v>
      </c>
      <c r="AD308" s="3"/>
      <c r="AE308" s="3"/>
      <c r="AF308" s="3"/>
      <c r="AG308" s="3"/>
      <c r="AH308" s="3"/>
    </row>
    <row r="309" spans="1:34" x14ac:dyDescent="0.3">
      <c r="A309" s="11" t="s">
        <v>980</v>
      </c>
      <c r="B309" s="12" t="s">
        <v>981</v>
      </c>
      <c r="C309" s="12" t="s">
        <v>961</v>
      </c>
      <c r="D309" s="13" t="s">
        <v>842</v>
      </c>
      <c r="E309" s="6">
        <v>45002</v>
      </c>
      <c r="F309" s="3">
        <v>271656</v>
      </c>
      <c r="G309" s="3">
        <v>35</v>
      </c>
      <c r="H309" s="3" t="s">
        <v>5708</v>
      </c>
      <c r="I309" s="3" t="s">
        <v>889</v>
      </c>
      <c r="J309" s="3" t="s">
        <v>844</v>
      </c>
      <c r="K309" s="3" t="s">
        <v>962</v>
      </c>
      <c r="L309" s="3">
        <v>0.439</v>
      </c>
      <c r="M309" s="3">
        <v>0.69799999999999995</v>
      </c>
      <c r="N309" s="3">
        <v>1</v>
      </c>
      <c r="O309" s="8">
        <v>-5067</v>
      </c>
      <c r="P309" s="3">
        <v>1</v>
      </c>
      <c r="Q309" s="3">
        <v>3.3000000000000002E-2</v>
      </c>
      <c r="R309" s="3">
        <v>8.7899999999999995E-5</v>
      </c>
      <c r="S309" s="3">
        <v>0.81899999999999995</v>
      </c>
      <c r="T309" s="3">
        <v>0.109</v>
      </c>
      <c r="U309" s="3">
        <v>3.4799999999999998E-2</v>
      </c>
      <c r="V309" s="8">
        <v>127992</v>
      </c>
      <c r="W309" s="3">
        <v>4</v>
      </c>
      <c r="X309" s="3" t="str">
        <f t="shared" si="20"/>
        <v>-SADNE-</v>
      </c>
      <c r="Y309" s="3" t="str">
        <f t="shared" si="21"/>
        <v>-ENERGY-</v>
      </c>
      <c r="Z309" s="4" t="str">
        <f t="shared" si="22"/>
        <v>{"couname":"Oceans Niagara","img":"https://i.scdn.co/image/ab67616d0000b2732112ea8c833adcdb84da3912","pty":"35","artist":"M83","genres":"indietronica","duration":"271656","spotId":"6bwfJR5HlIZT0oiDrjWd4F","Items":["-SADNE-","-ENERGY-","","","GN_FrenchElectro"]},</v>
      </c>
      <c r="AA309" s="5" t="s">
        <v>6100</v>
      </c>
      <c r="AB309" s="3" t="str">
        <f t="shared" si="23"/>
        <v>["-SADNE-","-ENERGY-","","","GN_FrenchElectro"]</v>
      </c>
      <c r="AC309" s="3" t="str">
        <f>_xlfn.XLOOKUP(A309,Album!A:A,Album!J:J)</f>
        <v>https://i.scdn.co/image/ab67616d0000b2732112ea8c833adcdb84da3912</v>
      </c>
      <c r="AD309" s="3"/>
      <c r="AE309" s="3"/>
      <c r="AF309" s="3"/>
      <c r="AG309" s="3"/>
      <c r="AH309" s="3"/>
    </row>
    <row r="310" spans="1:34" x14ac:dyDescent="0.3">
      <c r="A310" s="11" t="s">
        <v>992</v>
      </c>
      <c r="B310" s="12" t="s">
        <v>993</v>
      </c>
      <c r="C310" s="12" t="s">
        <v>919</v>
      </c>
      <c r="D310" s="13" t="s">
        <v>842</v>
      </c>
      <c r="E310" s="6">
        <v>42468</v>
      </c>
      <c r="F310" s="3">
        <v>261573</v>
      </c>
      <c r="G310" s="3">
        <v>35</v>
      </c>
      <c r="H310" s="3" t="s">
        <v>5707</v>
      </c>
      <c r="I310" s="3" t="s">
        <v>889</v>
      </c>
      <c r="J310" s="3" t="s">
        <v>844</v>
      </c>
      <c r="K310" s="3" t="s">
        <v>890</v>
      </c>
      <c r="L310" s="3">
        <v>0.55100000000000005</v>
      </c>
      <c r="M310" s="3">
        <v>0.83</v>
      </c>
      <c r="N310" s="3">
        <v>0</v>
      </c>
      <c r="O310" s="8">
        <v>-6325</v>
      </c>
      <c r="P310" s="3">
        <v>1</v>
      </c>
      <c r="Q310" s="3">
        <v>3.1E-2</v>
      </c>
      <c r="R310" s="3">
        <v>4.5600000000000003E-4</v>
      </c>
      <c r="S310" s="3">
        <v>0.54100000000000004</v>
      </c>
      <c r="T310" s="3">
        <v>0.123</v>
      </c>
      <c r="U310" s="3">
        <v>0.27300000000000002</v>
      </c>
      <c r="V310" s="8">
        <v>133981</v>
      </c>
      <c r="W310" s="3">
        <v>4</v>
      </c>
      <c r="X310" s="3" t="str">
        <f t="shared" si="20"/>
        <v>-SADNE-</v>
      </c>
      <c r="Y310" s="3" t="str">
        <f t="shared" si="21"/>
        <v>-ENERGY-</v>
      </c>
      <c r="Z310" s="4" t="str">
        <f t="shared" si="22"/>
        <v>{"couname":"Road Blaster","img":"https://i.scdn.co/image/ab67616d0000b27395e27fa175bad6817721f1ca","pty":"35","artist":"M83","genres":"indietronica","duration":"261573","spotId":"5BA1ROT938UOvQ5kTvVMsI","Items":["-SADNE-","-ENERGY-","","","GN_FrenchElectro"]},</v>
      </c>
      <c r="AA310" s="5" t="s">
        <v>6100</v>
      </c>
      <c r="AB310" s="3" t="str">
        <f t="shared" si="23"/>
        <v>["-SADNE-","-ENERGY-","","","GN_FrenchElectro"]</v>
      </c>
      <c r="AC310" s="3" t="str">
        <f>_xlfn.XLOOKUP(A310,Album!A:A,Album!J:J)</f>
        <v>https://i.scdn.co/image/ab67616d0000b27395e27fa175bad6817721f1ca</v>
      </c>
      <c r="AD310" s="3"/>
      <c r="AE310" s="3"/>
      <c r="AF310" s="3"/>
      <c r="AG310" s="3"/>
      <c r="AH310" s="3"/>
    </row>
    <row r="311" spans="1:34" x14ac:dyDescent="0.3">
      <c r="A311" s="11" t="s">
        <v>1003</v>
      </c>
      <c r="B311" s="12" t="s">
        <v>1004</v>
      </c>
      <c r="C311" s="12" t="s">
        <v>939</v>
      </c>
      <c r="D311" s="13" t="s">
        <v>842</v>
      </c>
      <c r="E311" s="6">
        <v>38626</v>
      </c>
      <c r="F311" s="3">
        <v>637333</v>
      </c>
      <c r="G311" s="3">
        <v>35</v>
      </c>
      <c r="H311" s="3" t="s">
        <v>5706</v>
      </c>
      <c r="I311" s="3" t="s">
        <v>889</v>
      </c>
      <c r="J311" s="3" t="s">
        <v>844</v>
      </c>
      <c r="K311" s="3" t="s">
        <v>940</v>
      </c>
      <c r="L311" s="3">
        <v>0.17</v>
      </c>
      <c r="M311" s="3">
        <v>0.4</v>
      </c>
      <c r="N311" s="3">
        <v>1</v>
      </c>
      <c r="O311" s="8">
        <v>-7579</v>
      </c>
      <c r="P311" s="3">
        <v>1</v>
      </c>
      <c r="Q311" s="3">
        <v>3.8600000000000002E-2</v>
      </c>
      <c r="R311" s="3">
        <v>0.35399999999999998</v>
      </c>
      <c r="S311" s="3">
        <v>0.19500000000000001</v>
      </c>
      <c r="T311" s="3">
        <v>9.8799999999999999E-2</v>
      </c>
      <c r="U311" s="3">
        <v>3.4200000000000001E-2</v>
      </c>
      <c r="V311" s="8">
        <v>120354</v>
      </c>
      <c r="W311" s="3">
        <v>4</v>
      </c>
      <c r="X311" s="3" t="str">
        <f t="shared" si="20"/>
        <v>-SADNE-</v>
      </c>
      <c r="Y311" s="3" t="str">
        <f t="shared" si="21"/>
        <v>-SLOWSS-</v>
      </c>
      <c r="Z311" s="4" t="str">
        <f t="shared" si="22"/>
        <v>{"couname":"Lower Your Eyelids To Die With the Sun","img":"https://i.scdn.co/image/ab67616d0000b273d2025055762d32e9e8dab468","pty":"35","artist":"M83","genres":"indietronica","duration":"637333","spotId":"5WMnCJcI1CGG33Uhn2tjMc","Items":["-SADNE-","-SLOWSS-","","","GN_FrenchElectro"]},</v>
      </c>
      <c r="AA311" s="5" t="s">
        <v>6100</v>
      </c>
      <c r="AB311" s="3" t="str">
        <f t="shared" si="23"/>
        <v>["-SADNE-","-SLOWSS-","","","GN_FrenchElectro"]</v>
      </c>
      <c r="AC311" s="3" t="str">
        <f>_xlfn.XLOOKUP(A311,Album!A:A,Album!J:J)</f>
        <v>https://i.scdn.co/image/ab67616d0000b273d2025055762d32e9e8dab468</v>
      </c>
      <c r="AD311" s="3"/>
      <c r="AE311" s="3"/>
      <c r="AF311" s="3"/>
      <c r="AG311" s="3"/>
      <c r="AH311" s="3"/>
    </row>
    <row r="312" spans="1:34" x14ac:dyDescent="0.3">
      <c r="A312" s="11" t="s">
        <v>1263</v>
      </c>
      <c r="B312" s="12" t="s">
        <v>1264</v>
      </c>
      <c r="C312" s="12" t="s">
        <v>1264</v>
      </c>
      <c r="D312" s="13" t="s">
        <v>3774</v>
      </c>
      <c r="E312" s="6">
        <v>45323</v>
      </c>
      <c r="F312" s="3">
        <v>161771</v>
      </c>
      <c r="G312" s="3">
        <v>35</v>
      </c>
      <c r="H312" s="3" t="s">
        <v>5705</v>
      </c>
      <c r="I312" s="3" t="s">
        <v>1207</v>
      </c>
      <c r="J312" s="3" t="s">
        <v>1265</v>
      </c>
      <c r="K312" s="3" t="s">
        <v>1266</v>
      </c>
      <c r="L312" s="3">
        <v>0.71399999999999997</v>
      </c>
      <c r="M312" s="3">
        <v>0.81100000000000005</v>
      </c>
      <c r="N312" s="3">
        <v>0</v>
      </c>
      <c r="O312" s="8">
        <v>-3.69</v>
      </c>
      <c r="P312" s="3">
        <v>0</v>
      </c>
      <c r="Q312" s="3">
        <v>0.107</v>
      </c>
      <c r="R312" s="3">
        <v>8.9200000000000002E-2</v>
      </c>
      <c r="S312" s="3">
        <v>0</v>
      </c>
      <c r="T312" s="3">
        <v>9.7900000000000001E-2</v>
      </c>
      <c r="U312" s="3">
        <v>0.73599999999999999</v>
      </c>
      <c r="V312" s="8">
        <v>115</v>
      </c>
      <c r="W312" s="3">
        <v>4</v>
      </c>
      <c r="X312" s="3" t="str">
        <f t="shared" si="20"/>
        <v>-HAPPY-</v>
      </c>
      <c r="Y312" s="3" t="str">
        <f t="shared" si="21"/>
        <v>-ENERGY-</v>
      </c>
      <c r="Z312" s="4" t="str">
        <f t="shared" si="22"/>
        <v>{"couname":"All Ur Luv","img":"https://i.scdn.co/image/ab67616d0000b273a8591576b255b60d199867bd","pty":"35","artist":"Wavedash, Madeon, Toro y Moi","genres":"dubstep,future bass,edm,house francés,chillwave,indietronica","duration":"161771","spotId":"3K1RnBxBkrMwoBE8gC63eY","Items":["-HAPPY-","-ENERGY-","","","GN_FrenchElectro"]},</v>
      </c>
      <c r="AA312" s="5" t="s">
        <v>6100</v>
      </c>
      <c r="AB312" s="3" t="str">
        <f t="shared" si="23"/>
        <v>["-HAPPY-","-ENERGY-","","","GN_FrenchElectro"]</v>
      </c>
      <c r="AC312" s="3" t="str">
        <f>_xlfn.XLOOKUP(A312,Album!A:A,Album!J:J)</f>
        <v>https://i.scdn.co/image/ab67616d0000b273a8591576b255b60d199867bd</v>
      </c>
      <c r="AD312" s="3"/>
      <c r="AE312" s="3"/>
      <c r="AF312" s="3"/>
      <c r="AG312" s="3"/>
      <c r="AH312" s="3"/>
    </row>
    <row r="313" spans="1:34" x14ac:dyDescent="0.3">
      <c r="A313" s="11" t="s">
        <v>1383</v>
      </c>
      <c r="B313" s="12" t="s">
        <v>1384</v>
      </c>
      <c r="C313" s="12" t="s">
        <v>1362</v>
      </c>
      <c r="D313" s="13" t="s">
        <v>1345</v>
      </c>
      <c r="E313" s="6">
        <v>39141</v>
      </c>
      <c r="F313" s="3">
        <v>242773</v>
      </c>
      <c r="G313" s="3">
        <v>35</v>
      </c>
      <c r="H313" s="3" t="s">
        <v>5704</v>
      </c>
      <c r="I313" s="3" t="s">
        <v>1336</v>
      </c>
      <c r="J313" s="3" t="s">
        <v>1337</v>
      </c>
      <c r="K313" s="3" t="s">
        <v>1341</v>
      </c>
      <c r="L313" s="3">
        <v>0.60499999999999998</v>
      </c>
      <c r="M313" s="3">
        <v>0.55500000000000005</v>
      </c>
      <c r="N313" s="3">
        <v>5</v>
      </c>
      <c r="O313" s="8">
        <v>-9661</v>
      </c>
      <c r="P313" s="3">
        <v>0</v>
      </c>
      <c r="Q313" s="3">
        <v>3.5000000000000003E-2</v>
      </c>
      <c r="R313" s="3">
        <v>0.66</v>
      </c>
      <c r="S313" s="3">
        <v>0.86199999999999999</v>
      </c>
      <c r="T313" s="3">
        <v>0.28000000000000003</v>
      </c>
      <c r="U313" s="3">
        <v>0.46200000000000002</v>
      </c>
      <c r="V313" s="8">
        <v>160179</v>
      </c>
      <c r="W313" s="3">
        <v>4</v>
      </c>
      <c r="X313" s="3" t="str">
        <f t="shared" si="20"/>
        <v>-HAPPY-</v>
      </c>
      <c r="Y313" s="3" t="str">
        <f t="shared" si="21"/>
        <v>-ENERGY-</v>
      </c>
      <c r="Z313" s="4" t="str">
        <f t="shared" si="22"/>
        <v>{"couname":"Space Maker","img":"https://i.scdn.co/image/ab67616d0000b273b33ffd3900f46e9008344b79","pty":"35","artist":"Air","genres":"trip hop,downtempo,house francés","duration":"242773","spotId":"0jCeocEAgVyglk0fY6urTr","Items":["-HAPPY-","-ENERGY-","","","GN_FrenchElectro"]},</v>
      </c>
      <c r="AA313" s="5" t="s">
        <v>6100</v>
      </c>
      <c r="AB313" s="3" t="str">
        <f t="shared" si="23"/>
        <v>["-HAPPY-","-ENERGY-","","","GN_FrenchElectro"]</v>
      </c>
      <c r="AC313" s="3" t="str">
        <f>_xlfn.XLOOKUP(A313,Album!A:A,Album!J:J)</f>
        <v>https://i.scdn.co/image/ab67616d0000b273b33ffd3900f46e9008344b79</v>
      </c>
      <c r="AD313" s="3"/>
      <c r="AE313" s="3"/>
      <c r="AF313" s="3"/>
      <c r="AG313" s="3"/>
      <c r="AH313" s="3"/>
    </row>
    <row r="314" spans="1:34" x14ac:dyDescent="0.3">
      <c r="A314" s="11" t="s">
        <v>1413</v>
      </c>
      <c r="B314" s="12" t="s">
        <v>1414</v>
      </c>
      <c r="C314" s="12" t="s">
        <v>1340</v>
      </c>
      <c r="D314" s="13" t="s">
        <v>1345</v>
      </c>
      <c r="E314" s="6">
        <v>36581</v>
      </c>
      <c r="F314" s="3">
        <v>155500</v>
      </c>
      <c r="G314" s="3">
        <v>35</v>
      </c>
      <c r="H314" s="3" t="s">
        <v>5703</v>
      </c>
      <c r="I314" s="3" t="s">
        <v>1336</v>
      </c>
      <c r="J314" s="3" t="s">
        <v>1337</v>
      </c>
      <c r="K314" s="3" t="s">
        <v>1341</v>
      </c>
      <c r="L314" s="3">
        <v>0.50700000000000001</v>
      </c>
      <c r="M314" s="3">
        <v>0.21099999999999999</v>
      </c>
      <c r="N314" s="3">
        <v>7</v>
      </c>
      <c r="O314" s="8">
        <v>-14029</v>
      </c>
      <c r="P314" s="3">
        <v>0</v>
      </c>
      <c r="Q314" s="3">
        <v>3.49E-2</v>
      </c>
      <c r="R314" s="3">
        <v>0.95899999999999996</v>
      </c>
      <c r="S314" s="3">
        <v>0.96099999999999997</v>
      </c>
      <c r="T314" s="3">
        <v>0.106</v>
      </c>
      <c r="U314" s="3">
        <v>0.125</v>
      </c>
      <c r="V314" s="8">
        <v>64984</v>
      </c>
      <c r="W314" s="3">
        <v>4</v>
      </c>
      <c r="X314" s="3" t="str">
        <f t="shared" si="20"/>
        <v>-SADNE-</v>
      </c>
      <c r="Y314" s="3" t="str">
        <f t="shared" si="21"/>
        <v>-ENERGY-</v>
      </c>
      <c r="Z314" s="4" t="str">
        <f t="shared" si="22"/>
        <v>{"couname":"Cemetary Party","img":"https://i.scdn.co/image/ab67616d0000b2735e3c18f342d16b0b4df04df2","pty":"35","artist":"Air","genres":"trip hop,downtempo,house francés","duration":"155500","spotId":"65bi0pq577npdVoHCqF7dc","Items":["-SADNE-","-ENERGY-","","","GN_FrenchElectro"]},</v>
      </c>
      <c r="AA314" s="5" t="s">
        <v>6100</v>
      </c>
      <c r="AB314" s="3" t="str">
        <f t="shared" si="23"/>
        <v>["-SADNE-","-ENERGY-","","","GN_FrenchElectro"]</v>
      </c>
      <c r="AC314" s="3" t="str">
        <f>_xlfn.XLOOKUP(A314,Album!A:A,Album!J:J)</f>
        <v>https://i.scdn.co/image/ab67616d0000b2735e3c18f342d16b0b4df04df2</v>
      </c>
      <c r="AD314" s="3"/>
      <c r="AE314" s="3"/>
      <c r="AF314" s="3"/>
      <c r="AG314" s="3"/>
      <c r="AH314" s="3"/>
    </row>
    <row r="315" spans="1:34" x14ac:dyDescent="0.3">
      <c r="A315" s="11" t="s">
        <v>1516</v>
      </c>
      <c r="B315" s="12" t="s">
        <v>5701</v>
      </c>
      <c r="C315" s="12" t="s">
        <v>1479</v>
      </c>
      <c r="D315" s="13" t="s">
        <v>4144</v>
      </c>
      <c r="E315" s="6">
        <v>43671</v>
      </c>
      <c r="F315" s="3">
        <v>185600</v>
      </c>
      <c r="G315" s="3">
        <v>35</v>
      </c>
      <c r="H315" s="3" t="s">
        <v>5702</v>
      </c>
      <c r="I315" s="3" t="s">
        <v>1463</v>
      </c>
      <c r="J315" s="3" t="s">
        <v>1518</v>
      </c>
      <c r="K315" s="3" t="s">
        <v>1476</v>
      </c>
      <c r="L315" s="3">
        <v>0.63100000000000001</v>
      </c>
      <c r="M315" s="3">
        <v>0.877</v>
      </c>
      <c r="N315" s="3">
        <v>5</v>
      </c>
      <c r="O315" s="8">
        <v>-4072</v>
      </c>
      <c r="P315" s="3">
        <v>0</v>
      </c>
      <c r="Q315" s="3">
        <v>3.4700000000000002E-2</v>
      </c>
      <c r="R315" s="3">
        <v>8.3700000000000007E-3</v>
      </c>
      <c r="S315" s="3">
        <v>1.1800000000000001E-5</v>
      </c>
      <c r="T315" s="3">
        <v>0.20399999999999999</v>
      </c>
      <c r="U315" s="3">
        <v>0.879</v>
      </c>
      <c r="V315" s="8">
        <v>150.15</v>
      </c>
      <c r="W315" s="3">
        <v>4</v>
      </c>
      <c r="X315" s="3" t="str">
        <f t="shared" si="20"/>
        <v>-HAPPY-</v>
      </c>
      <c r="Y315" s="3" t="str">
        <f t="shared" si="21"/>
        <v>-ENERGY-</v>
      </c>
      <c r="Z315" s="4" t="str">
        <f t="shared" si="22"/>
        <v>{"couname":"No Option","img":"https://i.scdn.co/image/ab67616d0000b273caf82abb2338880577e472be","pty":"35","artist":"DJ Snake, Burna Boy","genres":"afrobeats,afrobeat,afropop,afroswing,dancehall","duration":"185600","spotId":"4lDYedHtcFwkMTVwpdSRUN","Items":["-HAPPY-","-ENERGY-","","","GN_FrenchElectro"]},</v>
      </c>
      <c r="AA315" s="5" t="s">
        <v>6100</v>
      </c>
      <c r="AB315" s="3" t="str">
        <f t="shared" si="23"/>
        <v>["-HAPPY-","-ENERGY-","","","GN_FrenchElectro"]</v>
      </c>
      <c r="AC315" s="3" t="str">
        <f>_xlfn.XLOOKUP(A315,Album!A:A,Album!J:J)</f>
        <v>https://i.scdn.co/image/ab67616d0000b273caf82abb2338880577e472be</v>
      </c>
      <c r="AD315" s="3"/>
      <c r="AE315" s="3"/>
      <c r="AF315" s="3"/>
      <c r="AG315" s="3"/>
      <c r="AH315" s="3"/>
    </row>
    <row r="316" spans="1:34" x14ac:dyDescent="0.3">
      <c r="A316" s="11" t="s">
        <v>1532</v>
      </c>
      <c r="B316" s="12" t="s">
        <v>5699</v>
      </c>
      <c r="C316" s="12" t="s">
        <v>1479</v>
      </c>
      <c r="D316" s="13" t="s">
        <v>4164</v>
      </c>
      <c r="E316" s="6">
        <v>43671</v>
      </c>
      <c r="F316" s="3">
        <v>225000</v>
      </c>
      <c r="G316" s="3">
        <v>35</v>
      </c>
      <c r="H316" s="3" t="s">
        <v>5700</v>
      </c>
      <c r="I316" s="3" t="s">
        <v>1463</v>
      </c>
      <c r="J316" s="3"/>
      <c r="K316" s="3" t="s">
        <v>1476</v>
      </c>
      <c r="L316" s="3">
        <v>0.621</v>
      </c>
      <c r="M316" s="3">
        <v>0.623</v>
      </c>
      <c r="N316" s="3">
        <v>10</v>
      </c>
      <c r="O316" s="8">
        <v>-6746</v>
      </c>
      <c r="P316" s="3">
        <v>0</v>
      </c>
      <c r="Q316" s="3">
        <v>3.73E-2</v>
      </c>
      <c r="R316" s="3">
        <v>0.22800000000000001</v>
      </c>
      <c r="S316" s="3">
        <v>0</v>
      </c>
      <c r="T316" s="3">
        <v>0.11</v>
      </c>
      <c r="U316" s="3">
        <v>0.22600000000000001</v>
      </c>
      <c r="V316" s="8">
        <v>128.04</v>
      </c>
      <c r="W316" s="3">
        <v>4</v>
      </c>
      <c r="X316" s="3" t="str">
        <f t="shared" si="20"/>
        <v>-SADNE-</v>
      </c>
      <c r="Y316" s="3" t="str">
        <f t="shared" si="21"/>
        <v>-ENERGY-</v>
      </c>
      <c r="Z316" s="4" t="str">
        <f t="shared" si="22"/>
        <v>{"couname":"Paris","img":"https://i.scdn.co/image/ab67616d0000b273caf82abb2338880577e472be","pty":"35","artist":"DJ Snake, GASHI","genres":"","duration":"225000","spotId":"5gjsW5lwLen4vTq2kGNoAX","Items":["-SADNE-","-ENERGY-","","","GN_FrenchElectro"]},</v>
      </c>
      <c r="AA316" s="5" t="s">
        <v>6100</v>
      </c>
      <c r="AB316" s="3" t="str">
        <f t="shared" si="23"/>
        <v>["-SADNE-","-ENERGY-","","","GN_FrenchElectro"]</v>
      </c>
      <c r="AC316" s="3" t="str">
        <f>_xlfn.XLOOKUP(A316,Album!A:A,Album!J:J)</f>
        <v>https://i.scdn.co/image/ab67616d0000b273caf82abb2338880577e472be</v>
      </c>
      <c r="AD316" s="3"/>
      <c r="AE316" s="3"/>
      <c r="AF316" s="3"/>
      <c r="AG316" s="3"/>
      <c r="AH316" s="3"/>
    </row>
    <row r="317" spans="1:34" x14ac:dyDescent="0.3">
      <c r="A317" s="11" t="s">
        <v>1534</v>
      </c>
      <c r="B317" s="12" t="s">
        <v>1535</v>
      </c>
      <c r="C317" s="12" t="s">
        <v>1462</v>
      </c>
      <c r="D317" s="13" t="s">
        <v>4168</v>
      </c>
      <c r="E317" s="6">
        <v>42587</v>
      </c>
      <c r="F317" s="3">
        <v>263106</v>
      </c>
      <c r="G317" s="3">
        <v>35</v>
      </c>
      <c r="H317" s="3" t="s">
        <v>5698</v>
      </c>
      <c r="I317" s="3" t="s">
        <v>1463</v>
      </c>
      <c r="J317" s="3" t="s">
        <v>1536</v>
      </c>
      <c r="K317" s="3" t="s">
        <v>1464</v>
      </c>
      <c r="L317" s="3">
        <v>0.60899999999999999</v>
      </c>
      <c r="M317" s="3">
        <v>0.86699999999999999</v>
      </c>
      <c r="N317" s="3">
        <v>11</v>
      </c>
      <c r="O317" s="8">
        <v>-4941</v>
      </c>
      <c r="P317" s="3">
        <v>0</v>
      </c>
      <c r="Q317" s="3">
        <v>5.0599999999999999E-2</v>
      </c>
      <c r="R317" s="3">
        <v>2.7900000000000001E-4</v>
      </c>
      <c r="S317" s="3">
        <v>1.4499999999999999E-3</v>
      </c>
      <c r="T317" s="3">
        <v>0.1</v>
      </c>
      <c r="U317" s="3">
        <v>0.13500000000000001</v>
      </c>
      <c r="V317" s="8">
        <v>135028</v>
      </c>
      <c r="W317" s="3">
        <v>4</v>
      </c>
      <c r="X317" s="3" t="str">
        <f t="shared" si="20"/>
        <v>-SADNE-</v>
      </c>
      <c r="Y317" s="3" t="str">
        <f t="shared" si="21"/>
        <v>-ENERGY-</v>
      </c>
      <c r="Z317" s="4" t="str">
        <f t="shared" si="22"/>
        <v>{"couname":"Pigalle","img":"https://i.scdn.co/image/ab67616d0000b273212d776c31027c511f0ee3bc","pty":"35","artist":"DJ Snake, Moksi","genres":"bass house,future house,g-house","duration":"263106","spotId":"6GTxdh4FiA8XyCLFK1vvgG","Items":["-SADNE-","-ENERGY-","","","GN_FrenchElectro"]},</v>
      </c>
      <c r="AA317" s="5" t="s">
        <v>6100</v>
      </c>
      <c r="AB317" s="3" t="str">
        <f t="shared" si="23"/>
        <v>["-SADNE-","-ENERGY-","","","GN_FrenchElectro"]</v>
      </c>
      <c r="AC317" s="3" t="str">
        <f>_xlfn.XLOOKUP(A317,Album!A:A,Album!J:J)</f>
        <v>https://i.scdn.co/image/ab67616d0000b273212d776c31027c511f0ee3bc</v>
      </c>
      <c r="AD317" s="3"/>
      <c r="AE317" s="3"/>
      <c r="AF317" s="3"/>
      <c r="AG317" s="3"/>
      <c r="AH317" s="3"/>
    </row>
    <row r="318" spans="1:34" x14ac:dyDescent="0.3">
      <c r="A318" s="11" t="s">
        <v>1571</v>
      </c>
      <c r="B318" s="12" t="s">
        <v>1572</v>
      </c>
      <c r="C318" s="12" t="s">
        <v>1462</v>
      </c>
      <c r="D318" s="13" t="s">
        <v>4220</v>
      </c>
      <c r="E318" s="6">
        <v>42587</v>
      </c>
      <c r="F318" s="3">
        <v>206666</v>
      </c>
      <c r="G318" s="3">
        <v>35</v>
      </c>
      <c r="H318" s="3" t="s">
        <v>5697</v>
      </c>
      <c r="I318" s="3" t="s">
        <v>1463</v>
      </c>
      <c r="J318" s="3"/>
      <c r="K318" s="3" t="s">
        <v>1464</v>
      </c>
      <c r="L318" s="3">
        <v>0.57599999999999996</v>
      </c>
      <c r="M318" s="3">
        <v>0.93400000000000005</v>
      </c>
      <c r="N318" s="3">
        <v>0</v>
      </c>
      <c r="O318" s="8">
        <v>-3519</v>
      </c>
      <c r="P318" s="3">
        <v>0</v>
      </c>
      <c r="Q318" s="3">
        <v>0.17799999999999999</v>
      </c>
      <c r="R318" s="3">
        <v>5.5500000000000001E-2</v>
      </c>
      <c r="S318" s="3">
        <v>0</v>
      </c>
      <c r="T318" s="3">
        <v>0.10299999999999999</v>
      </c>
      <c r="U318" s="3">
        <v>0.39200000000000002</v>
      </c>
      <c r="V318" s="8">
        <v>125929</v>
      </c>
      <c r="W318" s="3">
        <v>4</v>
      </c>
      <c r="X318" s="3" t="str">
        <f t="shared" si="20"/>
        <v>-SADNE-</v>
      </c>
      <c r="Y318" s="3" t="str">
        <f t="shared" si="21"/>
        <v>-ENERGY-</v>
      </c>
      <c r="Z318" s="4" t="str">
        <f t="shared" si="22"/>
        <v>{"couname":"Sober","img":"https://i.scdn.co/image/ab67616d0000b273212d776c31027c511f0ee3bc","pty":"35","artist":"DJ Snake, JRY","genres":"","duration":"206666","spotId":"6NsxPxFzZ18TKBcTgxX3dh","Items":["-SADNE-","-ENERGY-","","","GN_FrenchElectro"]},</v>
      </c>
      <c r="AA318" s="5" t="s">
        <v>6100</v>
      </c>
      <c r="AB318" s="3" t="str">
        <f t="shared" si="23"/>
        <v>["-SADNE-","-ENERGY-","","","GN_FrenchElectro"]</v>
      </c>
      <c r="AC318" s="3" t="str">
        <f>_xlfn.XLOOKUP(A318,Album!A:A,Album!J:J)</f>
        <v>https://i.scdn.co/image/ab67616d0000b273212d776c31027c511f0ee3bc</v>
      </c>
      <c r="AD318" s="3"/>
      <c r="AE318" s="3"/>
      <c r="AF318" s="3"/>
      <c r="AG318" s="3"/>
      <c r="AH318" s="3"/>
    </row>
    <row r="319" spans="1:34" x14ac:dyDescent="0.3">
      <c r="A319" s="11" t="s">
        <v>1832</v>
      </c>
      <c r="B319" s="12" t="s">
        <v>1833</v>
      </c>
      <c r="C319" s="12" t="s">
        <v>1808</v>
      </c>
      <c r="D319" s="13" t="s">
        <v>9</v>
      </c>
      <c r="E319" s="6">
        <v>35447</v>
      </c>
      <c r="F319" s="3">
        <v>121200</v>
      </c>
      <c r="G319" s="3">
        <v>35</v>
      </c>
      <c r="H319" s="3" t="s">
        <v>5696</v>
      </c>
      <c r="I319" s="3" t="s">
        <v>1809</v>
      </c>
      <c r="J319" s="3" t="s">
        <v>1810</v>
      </c>
      <c r="K319" s="3" t="s">
        <v>1811</v>
      </c>
      <c r="L319" s="3">
        <v>0.60199999999999998</v>
      </c>
      <c r="M319" s="3">
        <v>0.309</v>
      </c>
      <c r="N319" s="3">
        <v>8</v>
      </c>
      <c r="O319" s="8">
        <v>-8396</v>
      </c>
      <c r="P319" s="3">
        <v>1</v>
      </c>
      <c r="Q319" s="3">
        <v>0.35199999999999998</v>
      </c>
      <c r="R319" s="3">
        <v>7.0599999999999996E-2</v>
      </c>
      <c r="S319" s="3">
        <v>0.29399999999999998</v>
      </c>
      <c r="T319" s="3">
        <v>8.9499999999999996E-2</v>
      </c>
      <c r="U319" s="3">
        <v>0.55900000000000005</v>
      </c>
      <c r="V319" s="8">
        <v>176704</v>
      </c>
      <c r="W319" s="3">
        <v>5</v>
      </c>
      <c r="X319" s="3" t="str">
        <f t="shared" si="20"/>
        <v>-HAPPY-</v>
      </c>
      <c r="Y319" s="3" t="str">
        <f t="shared" si="21"/>
        <v>-ENERGY-</v>
      </c>
      <c r="Z319" s="4" t="str">
        <f t="shared" si="22"/>
        <v>{"couname":"Oh Yeah","img":"https://i.scdn.co/image/ab67616d0000b2738ac778cc7d88779f74d33311","pty":"35","artist":"Daft Punk","genres":"house francés,electrónica,electro","duration":"121200","spotId":"3Pm4jgrXCu0W7gTqyrlR4F","Items":["-HAPPY-","-ENERGY-","","","GN_FrenchElectro"]},</v>
      </c>
      <c r="AA319" s="5" t="s">
        <v>6100</v>
      </c>
      <c r="AB319" s="3" t="str">
        <f t="shared" si="23"/>
        <v>["-HAPPY-","-ENERGY-","","","GN_FrenchElectro"]</v>
      </c>
      <c r="AC319" s="3" t="str">
        <f>_xlfn.XLOOKUP(A319,Album!A:A,Album!J:J)</f>
        <v>https://i.scdn.co/image/ab67616d0000b2738ac778cc7d88779f74d33311</v>
      </c>
      <c r="AD319" s="3"/>
      <c r="AE319" s="3"/>
      <c r="AF319" s="3"/>
      <c r="AG319" s="3"/>
      <c r="AH319" s="3"/>
    </row>
    <row r="320" spans="1:34" x14ac:dyDescent="0.3">
      <c r="A320" s="11" t="s">
        <v>1840</v>
      </c>
      <c r="B320" s="12" t="s">
        <v>1841</v>
      </c>
      <c r="C320" s="12" t="s">
        <v>1808</v>
      </c>
      <c r="D320" s="13" t="s">
        <v>9</v>
      </c>
      <c r="E320" s="6">
        <v>35447</v>
      </c>
      <c r="F320" s="3">
        <v>51400</v>
      </c>
      <c r="G320" s="3">
        <v>35</v>
      </c>
      <c r="H320" s="3" t="s">
        <v>5695</v>
      </c>
      <c r="I320" s="3" t="s">
        <v>1809</v>
      </c>
      <c r="J320" s="3" t="s">
        <v>1810</v>
      </c>
      <c r="K320" s="3" t="s">
        <v>1811</v>
      </c>
      <c r="L320" s="3">
        <v>0.72399999999999998</v>
      </c>
      <c r="M320" s="3">
        <v>0.78300000000000003</v>
      </c>
      <c r="N320" s="3">
        <v>7</v>
      </c>
      <c r="O320" s="8">
        <v>-8958</v>
      </c>
      <c r="P320" s="3">
        <v>1</v>
      </c>
      <c r="Q320" s="3">
        <v>0.17599999999999999</v>
      </c>
      <c r="R320" s="3">
        <v>2.1000000000000001E-4</v>
      </c>
      <c r="S320" s="3">
        <v>0.49</v>
      </c>
      <c r="T320" s="3">
        <v>0.29499999999999998</v>
      </c>
      <c r="U320" s="3">
        <v>0.3</v>
      </c>
      <c r="V320" s="8">
        <v>111833</v>
      </c>
      <c r="W320" s="3">
        <v>4</v>
      </c>
      <c r="X320" s="3" t="str">
        <f t="shared" si="20"/>
        <v>-SADNE-</v>
      </c>
      <c r="Y320" s="3" t="str">
        <f t="shared" si="21"/>
        <v>-ENERGY-</v>
      </c>
      <c r="Z320" s="4" t="str">
        <f t="shared" si="22"/>
        <v>{"couname":"Funk Ad","img":"https://i.scdn.co/image/ab67616d0000b2738ac778cc7d88779f74d33311","pty":"35","artist":"Daft Punk","genres":"house francés,electrónica,electro","duration":"51400","spotId":"0cjavaamK4gxP9iZYw5I2X","Items":["-SADNE-","-ENERGY-","","","GN_FrenchElectro"]},</v>
      </c>
      <c r="AA320" s="5" t="s">
        <v>6100</v>
      </c>
      <c r="AB320" s="3" t="str">
        <f t="shared" si="23"/>
        <v>["-SADNE-","-ENERGY-","","","GN_FrenchElectro"]</v>
      </c>
      <c r="AC320" s="3" t="str">
        <f>_xlfn.XLOOKUP(A320,Album!A:A,Album!J:J)</f>
        <v>https://i.scdn.co/image/ab67616d0000b2738ac778cc7d88779f74d33311</v>
      </c>
      <c r="AD320" s="3"/>
      <c r="AE320" s="3"/>
      <c r="AF320" s="3"/>
      <c r="AG320" s="3"/>
      <c r="AH320" s="3"/>
    </row>
    <row r="321" spans="1:34" x14ac:dyDescent="0.3">
      <c r="A321" s="11" t="s">
        <v>1902</v>
      </c>
      <c r="B321" s="12" t="s">
        <v>5693</v>
      </c>
      <c r="C321" s="12" t="s">
        <v>1898</v>
      </c>
      <c r="D321" s="13" t="s">
        <v>9</v>
      </c>
      <c r="E321" s="6">
        <v>40515</v>
      </c>
      <c r="F321" s="3">
        <v>122986</v>
      </c>
      <c r="G321" s="3">
        <v>35</v>
      </c>
      <c r="H321" s="3" t="s">
        <v>5694</v>
      </c>
      <c r="I321" s="3" t="s">
        <v>1809</v>
      </c>
      <c r="J321" s="3" t="s">
        <v>1810</v>
      </c>
      <c r="K321" s="3" t="s">
        <v>51</v>
      </c>
      <c r="L321" s="3">
        <v>0.38400000000000001</v>
      </c>
      <c r="M321" s="3">
        <v>4.7500000000000001E-2</v>
      </c>
      <c r="N321" s="3">
        <v>5</v>
      </c>
      <c r="O321" s="8">
        <v>-23951</v>
      </c>
      <c r="P321" s="3">
        <v>0</v>
      </c>
      <c r="Q321" s="3">
        <v>3.7199999999999997E-2</v>
      </c>
      <c r="R321" s="3">
        <v>0.67700000000000005</v>
      </c>
      <c r="S321" s="3">
        <v>0.92400000000000004</v>
      </c>
      <c r="T321" s="3">
        <v>0.115</v>
      </c>
      <c r="U321" s="3">
        <v>3.3000000000000002E-2</v>
      </c>
      <c r="V321" s="8">
        <v>95997</v>
      </c>
      <c r="W321" s="3">
        <v>4</v>
      </c>
      <c r="X321" s="3" t="str">
        <f t="shared" si="20"/>
        <v>-SADNE-</v>
      </c>
      <c r="Y321" s="3" t="str">
        <f t="shared" si="21"/>
        <v>-SLOWSS-</v>
      </c>
      <c r="Z321" s="4" t="str">
        <f t="shared" si="22"/>
        <v>{"couname":"Armory","img":"https://i.scdn.co/image/ab67616d0000b27366919acb93950333962467f8","pty":"35","artist":"Daft Punk","genres":"house francés,electrónica,electro","duration":"122986","spotId":"4AH5yql7KezJBvVBdW90Dc","Items":["-SADNE-","-SLOWSS-","","","GN_FrenchElectro"]},</v>
      </c>
      <c r="AA321" s="5" t="s">
        <v>6100</v>
      </c>
      <c r="AB321" s="3" t="str">
        <f t="shared" si="23"/>
        <v>["-SADNE-","-SLOWSS-","","","GN_FrenchElectro"]</v>
      </c>
      <c r="AC321" s="3" t="str">
        <f>_xlfn.XLOOKUP(A321,Album!A:A,Album!J:J)</f>
        <v>https://i.scdn.co/image/ab67616d0000b27366919acb93950333962467f8</v>
      </c>
      <c r="AD321" s="3"/>
      <c r="AE321" s="3"/>
      <c r="AF321" s="3"/>
      <c r="AG321" s="3"/>
      <c r="AH321" s="3"/>
    </row>
    <row r="322" spans="1:34" x14ac:dyDescent="0.3">
      <c r="A322" s="11" t="s">
        <v>1914</v>
      </c>
      <c r="B322" s="12" t="s">
        <v>5691</v>
      </c>
      <c r="C322" s="12" t="s">
        <v>1898</v>
      </c>
      <c r="D322" s="13" t="s">
        <v>9</v>
      </c>
      <c r="E322" s="6">
        <v>40515</v>
      </c>
      <c r="F322" s="3">
        <v>251440</v>
      </c>
      <c r="G322" s="3">
        <v>35</v>
      </c>
      <c r="H322" s="3" t="s">
        <v>5692</v>
      </c>
      <c r="I322" s="3" t="s">
        <v>1809</v>
      </c>
      <c r="J322" s="3" t="s">
        <v>1810</v>
      </c>
      <c r="K322" s="3" t="s">
        <v>51</v>
      </c>
      <c r="L322" s="3">
        <v>0.54300000000000004</v>
      </c>
      <c r="M322" s="3">
        <v>0.48</v>
      </c>
      <c r="N322" s="3">
        <v>2</v>
      </c>
      <c r="O322" s="8">
        <v>-14551</v>
      </c>
      <c r="P322" s="3">
        <v>1</v>
      </c>
      <c r="Q322" s="3">
        <v>3.04E-2</v>
      </c>
      <c r="R322" s="3">
        <v>0.433</v>
      </c>
      <c r="S322" s="3">
        <v>0.88600000000000001</v>
      </c>
      <c r="T322" s="3">
        <v>0.11700000000000001</v>
      </c>
      <c r="U322" s="3">
        <v>0.35</v>
      </c>
      <c r="V322" s="8">
        <v>159969</v>
      </c>
      <c r="W322" s="3">
        <v>4</v>
      </c>
      <c r="X322" s="3" t="str">
        <f t="shared" si="20"/>
        <v>-HAPPY-</v>
      </c>
      <c r="Y322" s="3" t="str">
        <f t="shared" si="21"/>
        <v>-ENERGY-</v>
      </c>
      <c r="Z322" s="4" t="str">
        <f t="shared" si="22"/>
        <v>{"couname":"Disc Wars","img":"https://i.scdn.co/image/ab67616d0000b27366919acb93950333962467f8","pty":"35","artist":"Daft Punk","genres":"house francés,electrónica,electro","duration":"251440","spotId":"6sa8y1XKi2ljJd0z6sUEz3","Items":["-HAPPY-","-ENERGY-","","","GN_FrenchElectro"]},</v>
      </c>
      <c r="AA322" s="5" t="s">
        <v>6100</v>
      </c>
      <c r="AB322" s="3" t="str">
        <f t="shared" si="23"/>
        <v>["-HAPPY-","-ENERGY-","","","GN_FrenchElectro"]</v>
      </c>
      <c r="AC322" s="3" t="str">
        <f>_xlfn.XLOOKUP(A322,Album!A:A,Album!J:J)</f>
        <v>https://i.scdn.co/image/ab67616d0000b27366919acb93950333962467f8</v>
      </c>
      <c r="AD322" s="3"/>
      <c r="AE322" s="3"/>
      <c r="AF322" s="3"/>
      <c r="AG322" s="3"/>
      <c r="AH322" s="3"/>
    </row>
    <row r="323" spans="1:34" x14ac:dyDescent="0.3">
      <c r="A323" s="11" t="s">
        <v>2018</v>
      </c>
      <c r="B323" s="12" t="s">
        <v>2019</v>
      </c>
      <c r="C323" s="12" t="s">
        <v>1992</v>
      </c>
      <c r="D323" s="13" t="s">
        <v>1993</v>
      </c>
      <c r="E323" s="6">
        <v>39325</v>
      </c>
      <c r="F323" s="3">
        <v>226253</v>
      </c>
      <c r="G323" s="3">
        <v>35</v>
      </c>
      <c r="H323" s="3" t="s">
        <v>5690</v>
      </c>
      <c r="I323" s="3" t="s">
        <v>1983</v>
      </c>
      <c r="J323" s="3" t="s">
        <v>1994</v>
      </c>
      <c r="K323" s="3" t="s">
        <v>83</v>
      </c>
      <c r="L323" s="3">
        <v>0.81399999999999995</v>
      </c>
      <c r="M323" s="3">
        <v>0.46</v>
      </c>
      <c r="N323" s="3">
        <v>7</v>
      </c>
      <c r="O323" s="8">
        <v>-5293</v>
      </c>
      <c r="P323" s="3">
        <v>1</v>
      </c>
      <c r="Q323" s="3">
        <v>4.5499999999999999E-2</v>
      </c>
      <c r="R323" s="3">
        <v>5.0100000000000003E-4</v>
      </c>
      <c r="S323" s="3">
        <v>1.29E-2</v>
      </c>
      <c r="T323" s="3">
        <v>9.7600000000000006E-2</v>
      </c>
      <c r="U323" s="3">
        <v>0.82299999999999995</v>
      </c>
      <c r="V323" s="8">
        <v>126016</v>
      </c>
      <c r="W323" s="3">
        <v>4</v>
      </c>
      <c r="X323" s="3" t="str">
        <f t="shared" ref="X323:X386" si="24">IF(OR(U323&lt;0.301, AND(U323&lt;0.4, P323=0)), "-SADNE-", "-HAPPY-")</f>
        <v>-HAPPY-</v>
      </c>
      <c r="Y323" s="3" t="str">
        <f t="shared" ref="Y323:Y386" si="25">IF(OR(AND(L323&lt;0.5,M323&lt;0.5),AND(L323&lt;0.45,V323&lt;100),AND(M323&lt;0.45,V323&lt;100),AND(U323&lt;0.39,V323&lt;100)),"-SLOWSS-","-ENERGY-")</f>
        <v>-ENERGY-</v>
      </c>
      <c r="Z323" s="4" t="str">
        <f t="shared" ref="Z323:Z386" si="26">"{"&amp;CHAR(34)&amp;"couname"&amp;CHAR(34)&amp;":"&amp;CHAR(34)&amp;B323&amp;CHAR(34)&amp;","&amp;CHAR(34)&amp;"img"&amp;CHAR(34)&amp;":"&amp;CHAR(34)&amp;AC323&amp;CHAR(34)&amp;","&amp;CHAR(34)&amp;"pty"&amp;CHAR(34)&amp;":"&amp;CHAR(34)&amp;G323&amp;CHAR(34)&amp;","&amp;CHAR(34)&amp;"artist"&amp;CHAR(34)&amp;":"&amp;CHAR(34)&amp;D323&amp;CHAR(34)&amp;","&amp;CHAR(34)&amp;"genres"&amp;CHAR(34)&amp;":"&amp;CHAR(34)&amp;J323&amp;CHAR(34)&amp;","&amp;CHAR(34)&amp;"duration"&amp;CHAR(34)&amp;":"&amp;CHAR(34)&amp;F323&amp;CHAR(34)&amp;","&amp;CHAR(34)&amp;"spotId"&amp;CHAR(34)&amp;":"&amp;CHAR(34)&amp;A323&amp;CHAR(34)&amp;","&amp;CHAR(34)&amp;"Items"&amp;CHAR(34)&amp;":"&amp;AB323&amp;"},"</f>
        <v>{"couname":"À cause des garçons","img":"https://i.scdn.co/image/ab67616d0000b2735da1104c8104431eb16f831c","pty":"35","artist":"Yelle","genres":"pop francés,house francés,electroclash,electropop","duration":"226253","spotId":"4kti5sAkWBOhPyCVItDYf8","Items":["-HAPPY-","-ENERGY-","","","GN_FrenchElectro"]},</v>
      </c>
      <c r="AA323" s="5" t="s">
        <v>6100</v>
      </c>
      <c r="AB323" s="3" t="str">
        <f t="shared" ref="AB323:AB386" si="27" xml:space="preserve"> "[" &amp; _xlfn.TEXTJOIN(",",TRUE,CHAR(34) &amp; X323&amp; CHAR(34), CHAR(34) &amp; Y323 &amp; CHAR(34),  CHAR(34) &amp; AF323 &amp; CHAR(34), CHAR(34) &amp;AG323 &amp; CHAR(34), CHAR(34) &amp; AA323 &amp; CHAR(34)) &amp; "]"</f>
        <v>["-HAPPY-","-ENERGY-","","","GN_FrenchElectro"]</v>
      </c>
      <c r="AC323" s="3" t="str">
        <f>_xlfn.XLOOKUP(A323,Album!A:A,Album!J:J)</f>
        <v>https://i.scdn.co/image/ab67616d0000b2735da1104c8104431eb16f831c</v>
      </c>
      <c r="AD323" s="3"/>
      <c r="AE323" s="3"/>
      <c r="AF323" s="3"/>
      <c r="AG323" s="3"/>
      <c r="AH323" s="3"/>
    </row>
    <row r="324" spans="1:34" x14ac:dyDescent="0.3">
      <c r="A324" s="11" t="s">
        <v>313</v>
      </c>
      <c r="B324" s="12" t="s">
        <v>314</v>
      </c>
      <c r="C324" s="12" t="s">
        <v>280</v>
      </c>
      <c r="D324" s="13" t="s">
        <v>2355</v>
      </c>
      <c r="E324" s="6">
        <v>42496</v>
      </c>
      <c r="F324" s="3">
        <v>238000</v>
      </c>
      <c r="G324" s="3">
        <v>34</v>
      </c>
      <c r="H324" s="3" t="s">
        <v>5689</v>
      </c>
      <c r="I324" s="3" t="s">
        <v>102</v>
      </c>
      <c r="J324" s="3" t="s">
        <v>315</v>
      </c>
      <c r="K324" s="3" t="s">
        <v>84</v>
      </c>
      <c r="L324" s="3">
        <v>0.436</v>
      </c>
      <c r="M324" s="3">
        <v>0.63100000000000001</v>
      </c>
      <c r="N324" s="3">
        <v>10</v>
      </c>
      <c r="O324" s="8">
        <v>-7499</v>
      </c>
      <c r="P324" s="3">
        <v>1</v>
      </c>
      <c r="Q324" s="3">
        <v>2.58E-2</v>
      </c>
      <c r="R324" s="3">
        <v>6.4500000000000002E-2</v>
      </c>
      <c r="S324" s="3">
        <v>0.19700000000000001</v>
      </c>
      <c r="T324" s="3">
        <v>0.14399999999999999</v>
      </c>
      <c r="U324" s="3">
        <v>8.7400000000000005E-2</v>
      </c>
      <c r="V324" s="8">
        <v>92031</v>
      </c>
      <c r="W324" s="3">
        <v>4</v>
      </c>
      <c r="X324" s="3" t="str">
        <f t="shared" si="24"/>
        <v>-SADNE-</v>
      </c>
      <c r="Y324" s="3" t="str">
        <f t="shared" si="25"/>
        <v>-ENERGY-</v>
      </c>
      <c r="Z324" s="4" t="str">
        <f t="shared" si="26"/>
        <v>{"couname":"Why This, Why That and Why","img":"https://i.scdn.co/image/ab67616d0000b273359a423dd08ed414400e0cb7","pty":"34","artist":"Jean-Michel Jarre, Yello","genres":"new age,electrónica,space music,synthpop","duration":"238000","spotId":"4DPvCWbCytzZI0QMO6t0xf","Items":["-SADNE-","-ENERGY-","","","GN_FrenchElectro"]},</v>
      </c>
      <c r="AA324" s="5" t="s">
        <v>6100</v>
      </c>
      <c r="AB324" s="3" t="str">
        <f t="shared" si="27"/>
        <v>["-SADNE-","-ENERGY-","","","GN_FrenchElectro"]</v>
      </c>
      <c r="AC324" s="3" t="str">
        <f>_xlfn.XLOOKUP(A324,Album!A:A,Album!J:J)</f>
        <v>https://i.scdn.co/image/ab67616d0000b273359a423dd08ed414400e0cb7</v>
      </c>
      <c r="AD324" s="3"/>
      <c r="AE324" s="3"/>
      <c r="AF324" s="3"/>
      <c r="AG324" s="3"/>
      <c r="AH324" s="3"/>
    </row>
    <row r="325" spans="1:34" x14ac:dyDescent="0.3">
      <c r="A325" s="11" t="s">
        <v>827</v>
      </c>
      <c r="B325" s="12" t="s">
        <v>828</v>
      </c>
      <c r="C325" s="12" t="s">
        <v>786</v>
      </c>
      <c r="D325" s="13" t="s">
        <v>745</v>
      </c>
      <c r="E325" s="6">
        <v>40840</v>
      </c>
      <c r="F325" s="3">
        <v>219040</v>
      </c>
      <c r="G325" s="3">
        <v>34</v>
      </c>
      <c r="H325" s="3" t="s">
        <v>5688</v>
      </c>
      <c r="I325" s="3" t="s">
        <v>738</v>
      </c>
      <c r="J325" s="3" t="s">
        <v>742</v>
      </c>
      <c r="K325" s="3" t="s">
        <v>770</v>
      </c>
      <c r="L325" s="3">
        <v>0.64700000000000002</v>
      </c>
      <c r="M325" s="3">
        <v>0.81499999999999995</v>
      </c>
      <c r="N325" s="3">
        <v>1</v>
      </c>
      <c r="O325" s="8">
        <v>-5.17</v>
      </c>
      <c r="P325" s="3">
        <v>0</v>
      </c>
      <c r="Q325" s="3">
        <v>3.4799999999999998E-2</v>
      </c>
      <c r="R325" s="3">
        <v>3.9600000000000003E-2</v>
      </c>
      <c r="S325" s="3">
        <v>0.7</v>
      </c>
      <c r="T325" s="3">
        <v>0.20499999999999999</v>
      </c>
      <c r="U325" s="3">
        <v>0.35199999999999998</v>
      </c>
      <c r="V325" s="8">
        <v>110968</v>
      </c>
      <c r="W325" s="3">
        <v>4</v>
      </c>
      <c r="X325" s="3" t="str">
        <f t="shared" si="24"/>
        <v>-SADNE-</v>
      </c>
      <c r="Y325" s="3" t="str">
        <f t="shared" si="25"/>
        <v>-ENERGY-</v>
      </c>
      <c r="Z325" s="4" t="str">
        <f t="shared" si="26"/>
        <v>{"couname":"Canon","img":"https://i.scdn.co/image/ab67616d0000b273f9171c2b7bab0956cdfbd1fa","pty":"34","artist":"Justice","genres":"house francés,new rave,rock electrónico","duration":"219040","spotId":"5GsdNmkpAbtZnUt5VxtbHm","Items":["-SADNE-","-ENERGY-","","","GN_FrenchElectro"]},</v>
      </c>
      <c r="AA325" s="5" t="s">
        <v>6100</v>
      </c>
      <c r="AB325" s="3" t="str">
        <f t="shared" si="27"/>
        <v>["-SADNE-","-ENERGY-","","","GN_FrenchElectro"]</v>
      </c>
      <c r="AC325" s="3" t="str">
        <f>_xlfn.XLOOKUP(A325,Album!A:A,Album!J:J)</f>
        <v>https://i.scdn.co/image/ab67616d0000b273f9171c2b7bab0956cdfbd1fa</v>
      </c>
      <c r="AD325" s="3"/>
      <c r="AE325" s="3"/>
      <c r="AF325" s="3"/>
      <c r="AG325" s="3"/>
      <c r="AH325" s="3"/>
    </row>
    <row r="326" spans="1:34" x14ac:dyDescent="0.3">
      <c r="A326" s="11" t="s">
        <v>837</v>
      </c>
      <c r="B326" s="12" t="s">
        <v>838</v>
      </c>
      <c r="C326" s="12" t="s">
        <v>786</v>
      </c>
      <c r="D326" s="13" t="s">
        <v>745</v>
      </c>
      <c r="E326" s="6">
        <v>40840</v>
      </c>
      <c r="F326" s="3">
        <v>1059733</v>
      </c>
      <c r="G326" s="3">
        <v>34</v>
      </c>
      <c r="H326" s="3" t="s">
        <v>5687</v>
      </c>
      <c r="I326" s="3" t="s">
        <v>738</v>
      </c>
      <c r="J326" s="3" t="s">
        <v>742</v>
      </c>
      <c r="K326" s="3" t="s">
        <v>770</v>
      </c>
      <c r="L326" s="3">
        <v>0.58099999999999996</v>
      </c>
      <c r="M326" s="3">
        <v>0.88700000000000001</v>
      </c>
      <c r="N326" s="3">
        <v>10</v>
      </c>
      <c r="O326" s="8">
        <v>-5041</v>
      </c>
      <c r="P326" s="3">
        <v>0</v>
      </c>
      <c r="Q326" s="3">
        <v>8.5500000000000007E-2</v>
      </c>
      <c r="R326" s="3">
        <v>2.12E-4</v>
      </c>
      <c r="S326" s="3">
        <v>0.83099999999999996</v>
      </c>
      <c r="T326" s="3">
        <v>0.20699999999999999</v>
      </c>
      <c r="U326" s="3">
        <v>0.122</v>
      </c>
      <c r="V326" s="8">
        <v>110019</v>
      </c>
      <c r="W326" s="3">
        <v>4</v>
      </c>
      <c r="X326" s="3" t="str">
        <f t="shared" si="24"/>
        <v>-SADNE-</v>
      </c>
      <c r="Y326" s="3" t="str">
        <f t="shared" si="25"/>
        <v>-ENERGY-</v>
      </c>
      <c r="Z326" s="4" t="str">
        <f t="shared" si="26"/>
        <v>{"couname":"Planisphere","img":"https://i.scdn.co/image/ab67616d0000b273f9171c2b7bab0956cdfbd1fa","pty":"34","artist":"Justice","genres":"house francés,new rave,rock electrónico","duration":"1059733","spotId":"18IARgL5t0TkfCvARd8Ndn","Items":["-SADNE-","-ENERGY-","","","GN_FrenchElectro"]},</v>
      </c>
      <c r="AA326" s="5" t="s">
        <v>6100</v>
      </c>
      <c r="AB326" s="3" t="str">
        <f t="shared" si="27"/>
        <v>["-SADNE-","-ENERGY-","","","GN_FrenchElectro"]</v>
      </c>
      <c r="AC326" s="3" t="str">
        <f>_xlfn.XLOOKUP(A326,Album!A:A,Album!J:J)</f>
        <v>https://i.scdn.co/image/ab67616d0000b273f9171c2b7bab0956cdfbd1fa</v>
      </c>
      <c r="AD326" s="3"/>
      <c r="AE326" s="3"/>
      <c r="AF326" s="3"/>
      <c r="AG326" s="3"/>
      <c r="AH326" s="3"/>
    </row>
    <row r="327" spans="1:34" x14ac:dyDescent="0.3">
      <c r="A327" s="11" t="s">
        <v>952</v>
      </c>
      <c r="B327" s="12" t="s">
        <v>953</v>
      </c>
      <c r="C327" s="12" t="s">
        <v>954</v>
      </c>
      <c r="D327" s="13" t="s">
        <v>842</v>
      </c>
      <c r="E327" s="6">
        <v>43532</v>
      </c>
      <c r="F327" s="3">
        <v>59743</v>
      </c>
      <c r="G327" s="3">
        <v>34</v>
      </c>
      <c r="H327" s="3" t="s">
        <v>5686</v>
      </c>
      <c r="I327" s="3" t="s">
        <v>889</v>
      </c>
      <c r="J327" s="3" t="s">
        <v>844</v>
      </c>
      <c r="K327" s="3" t="s">
        <v>890</v>
      </c>
      <c r="L327" s="3">
        <v>0.215</v>
      </c>
      <c r="M327" s="3">
        <v>0.38300000000000001</v>
      </c>
      <c r="N327" s="3">
        <v>2</v>
      </c>
      <c r="O327" s="8">
        <v>-15149</v>
      </c>
      <c r="P327" s="3">
        <v>1</v>
      </c>
      <c r="Q327" s="3">
        <v>6.0499999999999998E-2</v>
      </c>
      <c r="R327" s="3">
        <v>0.69399999999999995</v>
      </c>
      <c r="S327" s="3">
        <v>0.94099999999999995</v>
      </c>
      <c r="T327" s="3">
        <v>7.6499999999999999E-2</v>
      </c>
      <c r="U327" s="3">
        <v>3.9199999999999999E-2</v>
      </c>
      <c r="V327" s="8">
        <v>118915</v>
      </c>
      <c r="W327" s="3">
        <v>3</v>
      </c>
      <c r="X327" s="3" t="str">
        <f t="shared" si="24"/>
        <v>-SADNE-</v>
      </c>
      <c r="Y327" s="3" t="str">
        <f t="shared" si="25"/>
        <v>-SLOWSS-</v>
      </c>
      <c r="Z327" s="4" t="str">
        <f t="shared" si="26"/>
        <v>{"couname":"Tu m'as tuée","img":"https://i.scdn.co/image/ab67616d0000b2735dda86afe482e7006ab9a734","pty":"34","artist":"M83","genres":"indietronica","duration":"59743","spotId":"6iyUPiRoHqlKOR94xSQYfq","Items":["-SADNE-","-SLOWSS-","","","GN_FrenchElectro"]},</v>
      </c>
      <c r="AA327" s="5" t="s">
        <v>6100</v>
      </c>
      <c r="AB327" s="3" t="str">
        <f t="shared" si="27"/>
        <v>["-SADNE-","-SLOWSS-","","","GN_FrenchElectro"]</v>
      </c>
      <c r="AC327" s="3" t="str">
        <f>_xlfn.XLOOKUP(A327,Album!A:A,Album!J:J)</f>
        <v>https://i.scdn.co/image/ab67616d0000b2735dda86afe482e7006ab9a734</v>
      </c>
      <c r="AD327" s="3"/>
      <c r="AE327" s="3"/>
      <c r="AF327" s="3"/>
      <c r="AG327" s="3"/>
      <c r="AH327" s="3"/>
    </row>
    <row r="328" spans="1:34" x14ac:dyDescent="0.3">
      <c r="A328" s="11" t="s">
        <v>1051</v>
      </c>
      <c r="B328" s="12" t="s">
        <v>5684</v>
      </c>
      <c r="C328" s="12" t="s">
        <v>1053</v>
      </c>
      <c r="D328" s="13" t="s">
        <v>3318</v>
      </c>
      <c r="E328" s="6">
        <v>41953</v>
      </c>
      <c r="F328" s="3">
        <v>234666</v>
      </c>
      <c r="G328" s="3">
        <v>34</v>
      </c>
      <c r="H328" s="3" t="s">
        <v>5685</v>
      </c>
      <c r="I328" s="3" t="s">
        <v>1013</v>
      </c>
      <c r="J328" s="3" t="s">
        <v>1019</v>
      </c>
      <c r="K328" s="3" t="s">
        <v>83</v>
      </c>
      <c r="L328" s="3">
        <v>0.26300000000000001</v>
      </c>
      <c r="M328" s="3">
        <v>0.28699999999999998</v>
      </c>
      <c r="N328" s="3">
        <v>7</v>
      </c>
      <c r="O328" s="8">
        <v>-8701</v>
      </c>
      <c r="P328" s="3">
        <v>0</v>
      </c>
      <c r="Q328" s="3">
        <v>3.0200000000000001E-2</v>
      </c>
      <c r="R328" s="3">
        <v>0.93200000000000005</v>
      </c>
      <c r="S328" s="3">
        <v>1.8300000000000001E-5</v>
      </c>
      <c r="T328" s="3">
        <v>0.14000000000000001</v>
      </c>
      <c r="U328" s="3">
        <v>0.123</v>
      </c>
      <c r="V328" s="8">
        <v>140821</v>
      </c>
      <c r="W328" s="3">
        <v>4</v>
      </c>
      <c r="X328" s="3" t="str">
        <f t="shared" si="24"/>
        <v>-SADNE-</v>
      </c>
      <c r="Y328" s="3" t="str">
        <f t="shared" si="25"/>
        <v>-SLOWSS-</v>
      </c>
      <c r="Z328" s="4" t="str">
        <f t="shared" si="26"/>
        <v>{"couname":"The Whisperer","img":"https://i.scdn.co/image/ab67616d0000b2733862d62a50dc6b928651bdeb","pty":"34","artist":"David Guetta, Sia","genres":"edm,dance","duration":"234666","spotId":"4J1DXVKlC7h5wSgeuULPYh","Items":["-SADNE-","-SLOWSS-","","","GN_FrenchElectro"]},</v>
      </c>
      <c r="AA328" s="5" t="s">
        <v>6100</v>
      </c>
      <c r="AB328" s="3" t="str">
        <f t="shared" si="27"/>
        <v>["-SADNE-","-SLOWSS-","","","GN_FrenchElectro"]</v>
      </c>
      <c r="AC328" s="3" t="str">
        <f>_xlfn.XLOOKUP(A328,Album!A:A,Album!J:J)</f>
        <v>https://i.scdn.co/image/ab67616d0000b2733862d62a50dc6b928651bdeb</v>
      </c>
      <c r="AD328" s="3"/>
      <c r="AE328" s="3"/>
      <c r="AF328" s="3"/>
      <c r="AG328" s="3"/>
      <c r="AH328" s="3"/>
    </row>
    <row r="329" spans="1:34" x14ac:dyDescent="0.3">
      <c r="A329" s="11" t="s">
        <v>1211</v>
      </c>
      <c r="B329" s="12" t="s">
        <v>1212</v>
      </c>
      <c r="C329" s="12" t="s">
        <v>1205</v>
      </c>
      <c r="D329" s="13" t="s">
        <v>1206</v>
      </c>
      <c r="E329" s="6">
        <v>42093</v>
      </c>
      <c r="F329" s="3">
        <v>181760</v>
      </c>
      <c r="G329" s="3">
        <v>34</v>
      </c>
      <c r="H329" s="3" t="s">
        <v>5683</v>
      </c>
      <c r="I329" s="3" t="s">
        <v>1207</v>
      </c>
      <c r="J329" s="3" t="s">
        <v>1208</v>
      </c>
      <c r="K329" s="3" t="s">
        <v>84</v>
      </c>
      <c r="L329" s="3">
        <v>0.66400000000000003</v>
      </c>
      <c r="M329" s="3">
        <v>0.79100000000000004</v>
      </c>
      <c r="N329" s="3">
        <v>10</v>
      </c>
      <c r="O329" s="8">
        <v>-2635</v>
      </c>
      <c r="P329" s="3">
        <v>1</v>
      </c>
      <c r="Q329" s="3">
        <v>7.9399999999999998E-2</v>
      </c>
      <c r="R329" s="3">
        <v>1.6400000000000001E-2</v>
      </c>
      <c r="S329" s="3">
        <v>0</v>
      </c>
      <c r="T329" s="3">
        <v>9.6299999999999997E-2</v>
      </c>
      <c r="U329" s="3">
        <v>0.79400000000000004</v>
      </c>
      <c r="V329" s="8">
        <v>115158</v>
      </c>
      <c r="W329" s="3">
        <v>4</v>
      </c>
      <c r="X329" s="3" t="str">
        <f t="shared" si="24"/>
        <v>-HAPPY-</v>
      </c>
      <c r="Y329" s="3" t="str">
        <f t="shared" si="25"/>
        <v>-ENERGY-</v>
      </c>
      <c r="Z329" s="4" t="str">
        <f t="shared" si="26"/>
        <v>{"couname":"OK","img":"https://i.scdn.co/image/ab67616d0000b27392cb28b37837c67dffe602f9","pty":"34","artist":"Madeon","genres":"edm,house francés","duration":"181760","spotId":"43HB8rqTgyyvG74mMAHXnL","Items":["-HAPPY-","-ENERGY-","","","GN_FrenchElectro"]},</v>
      </c>
      <c r="AA329" s="5" t="s">
        <v>6100</v>
      </c>
      <c r="AB329" s="3" t="str">
        <f t="shared" si="27"/>
        <v>["-HAPPY-","-ENERGY-","","","GN_FrenchElectro"]</v>
      </c>
      <c r="AC329" s="3" t="str">
        <f>_xlfn.XLOOKUP(A329,Album!A:A,Album!J:J)</f>
        <v>https://i.scdn.co/image/ab67616d0000b27392cb28b37837c67dffe602f9</v>
      </c>
      <c r="AD329" s="3"/>
      <c r="AE329" s="3"/>
      <c r="AF329" s="3"/>
      <c r="AG329" s="3"/>
      <c r="AH329" s="3"/>
    </row>
    <row r="330" spans="1:34" x14ac:dyDescent="0.3">
      <c r="A330" s="11" t="s">
        <v>1239</v>
      </c>
      <c r="B330" s="12" t="s">
        <v>1240</v>
      </c>
      <c r="C330" s="12" t="s">
        <v>1205</v>
      </c>
      <c r="D330" s="13" t="s">
        <v>1206</v>
      </c>
      <c r="E330" s="6">
        <v>42093</v>
      </c>
      <c r="F330" s="3">
        <v>385413</v>
      </c>
      <c r="G330" s="3">
        <v>34</v>
      </c>
      <c r="H330" s="3" t="s">
        <v>5682</v>
      </c>
      <c r="I330" s="3" t="s">
        <v>1207</v>
      </c>
      <c r="J330" s="3" t="s">
        <v>1208</v>
      </c>
      <c r="K330" s="3" t="s">
        <v>84</v>
      </c>
      <c r="L330" s="3">
        <v>0.53500000000000003</v>
      </c>
      <c r="M330" s="3">
        <v>0.80900000000000005</v>
      </c>
      <c r="N330" s="3">
        <v>2</v>
      </c>
      <c r="O330" s="8">
        <v>-3382</v>
      </c>
      <c r="P330" s="3">
        <v>0</v>
      </c>
      <c r="Q330" s="3">
        <v>3.85E-2</v>
      </c>
      <c r="R330" s="3">
        <v>2.32E-4</v>
      </c>
      <c r="S330" s="3">
        <v>0.25</v>
      </c>
      <c r="T330" s="3">
        <v>0.106</v>
      </c>
      <c r="U330" s="3">
        <v>6.6199999999999995E-2</v>
      </c>
      <c r="V330" s="8">
        <v>127027</v>
      </c>
      <c r="W330" s="3">
        <v>4</v>
      </c>
      <c r="X330" s="3" t="str">
        <f t="shared" si="24"/>
        <v>-SADNE-</v>
      </c>
      <c r="Y330" s="3" t="str">
        <f t="shared" si="25"/>
        <v>-ENERGY-</v>
      </c>
      <c r="Z330" s="4" t="str">
        <f t="shared" si="26"/>
        <v>{"couname":"Technicolor","img":"https://i.scdn.co/image/ab67616d0000b27392cb28b37837c67dffe602f9","pty":"34","artist":"Madeon","genres":"edm,house francés","duration":"385413","spotId":"3OgU43E7rPo3u9fNEIpdWi","Items":["-SADNE-","-ENERGY-","","","GN_FrenchElectro"]},</v>
      </c>
      <c r="AA330" s="5" t="s">
        <v>6100</v>
      </c>
      <c r="AB330" s="3" t="str">
        <f t="shared" si="27"/>
        <v>["-SADNE-","-ENERGY-","","","GN_FrenchElectro"]</v>
      </c>
      <c r="AC330" s="3" t="str">
        <f>_xlfn.XLOOKUP(A330,Album!A:A,Album!J:J)</f>
        <v>https://i.scdn.co/image/ab67616d0000b27392cb28b37837c67dffe602f9</v>
      </c>
      <c r="AD330" s="3"/>
      <c r="AE330" s="3"/>
      <c r="AF330" s="3"/>
      <c r="AG330" s="3"/>
      <c r="AH330" s="3"/>
    </row>
    <row r="331" spans="1:34" x14ac:dyDescent="0.3">
      <c r="A331" s="11" t="s">
        <v>1321</v>
      </c>
      <c r="B331" s="12" t="s">
        <v>1247</v>
      </c>
      <c r="C331" s="12" t="s">
        <v>1247</v>
      </c>
      <c r="D331" s="13" t="s">
        <v>1206</v>
      </c>
      <c r="E331" s="6">
        <v>43616</v>
      </c>
      <c r="F331" s="3">
        <v>204626</v>
      </c>
      <c r="G331" s="3">
        <v>34</v>
      </c>
      <c r="H331" s="3" t="s">
        <v>5681</v>
      </c>
      <c r="I331" s="3" t="s">
        <v>1207</v>
      </c>
      <c r="J331" s="3" t="s">
        <v>1208</v>
      </c>
      <c r="K331" s="3" t="s">
        <v>84</v>
      </c>
      <c r="L331" s="3">
        <v>0.66900000000000004</v>
      </c>
      <c r="M331" s="3">
        <v>0.75700000000000001</v>
      </c>
      <c r="N331" s="3">
        <v>8</v>
      </c>
      <c r="O331" s="8">
        <v>-4259</v>
      </c>
      <c r="P331" s="3">
        <v>0</v>
      </c>
      <c r="Q331" s="3">
        <v>4.6899999999999997E-2</v>
      </c>
      <c r="R331" s="3">
        <v>2.4799999999999999E-2</v>
      </c>
      <c r="S331" s="3">
        <v>0</v>
      </c>
      <c r="T331" s="3">
        <v>0.28299999999999997</v>
      </c>
      <c r="U331" s="3">
        <v>0.70799999999999996</v>
      </c>
      <c r="V331" s="8">
        <v>106018</v>
      </c>
      <c r="W331" s="3">
        <v>4</v>
      </c>
      <c r="X331" s="3" t="str">
        <f t="shared" si="24"/>
        <v>-HAPPY-</v>
      </c>
      <c r="Y331" s="3" t="str">
        <f t="shared" si="25"/>
        <v>-ENERGY-</v>
      </c>
      <c r="Z331" s="4" t="str">
        <f t="shared" si="26"/>
        <v>{"couname":"All My Friends","img":"https://i.scdn.co/image/ab67616d0000b273a5a0567b3b8532a1e090734d","pty":"34","artist":"Madeon","genres":"edm,house francés","duration":"204626","spotId":"7sGTH1fber0bhncNMfNxmt","Items":["-HAPPY-","-ENERGY-","","","GN_FrenchElectro"]},</v>
      </c>
      <c r="AA331" s="5" t="s">
        <v>6100</v>
      </c>
      <c r="AB331" s="3" t="str">
        <f t="shared" si="27"/>
        <v>["-HAPPY-","-ENERGY-","","","GN_FrenchElectro"]</v>
      </c>
      <c r="AC331" s="3" t="str">
        <f>_xlfn.XLOOKUP(A331,Album!A:A,Album!J:J)</f>
        <v>https://i.scdn.co/image/ab67616d0000b273a5a0567b3b8532a1e090734d</v>
      </c>
      <c r="AD331" s="3"/>
      <c r="AE331" s="3"/>
      <c r="AF331" s="3"/>
      <c r="AG331" s="3"/>
      <c r="AH331" s="3"/>
    </row>
    <row r="332" spans="1:34" x14ac:dyDescent="0.3">
      <c r="A332" s="11" t="s">
        <v>1592</v>
      </c>
      <c r="B332" s="12" t="s">
        <v>5679</v>
      </c>
      <c r="C332" s="12" t="s">
        <v>1593</v>
      </c>
      <c r="D332" s="13" t="s">
        <v>4256</v>
      </c>
      <c r="E332" s="6">
        <v>44368</v>
      </c>
      <c r="F332" s="3">
        <v>167058</v>
      </c>
      <c r="G332" s="3">
        <v>34</v>
      </c>
      <c r="H332" s="3" t="s">
        <v>5680</v>
      </c>
      <c r="I332" s="3" t="s">
        <v>1463</v>
      </c>
      <c r="J332" s="3" t="s">
        <v>1594</v>
      </c>
      <c r="K332" s="3" t="s">
        <v>1595</v>
      </c>
      <c r="L332" s="3">
        <v>0.81499999999999995</v>
      </c>
      <c r="M332" s="3">
        <v>0.68799999999999994</v>
      </c>
      <c r="N332" s="3">
        <v>0</v>
      </c>
      <c r="O332" s="8">
        <v>-6101</v>
      </c>
      <c r="P332" s="3">
        <v>1</v>
      </c>
      <c r="Q332" s="3">
        <v>6.59E-2</v>
      </c>
      <c r="R332" s="3">
        <v>1.5900000000000001E-3</v>
      </c>
      <c r="S332" s="3">
        <v>4.1099999999999996E-6</v>
      </c>
      <c r="T332" s="3">
        <v>0.111</v>
      </c>
      <c r="U332" s="3">
        <v>0.64100000000000001</v>
      </c>
      <c r="V332" s="8">
        <v>101968</v>
      </c>
      <c r="W332" s="3">
        <v>4</v>
      </c>
      <c r="X332" s="3" t="str">
        <f t="shared" si="24"/>
        <v>-HAPPY-</v>
      </c>
      <c r="Y332" s="3" t="str">
        <f t="shared" si="25"/>
        <v>-ENERGY-</v>
      </c>
      <c r="Z332" s="4" t="str">
        <f t="shared" si="26"/>
        <v>{"couname":"Enjoy Enjaami","img":"https://i.scdn.co/image/ab67616d0000b273bc404153ef5f169a39b1deaf","pty":"34","artist":"DJ Snake, Dhee, Arivu, Santhosh Narayanan","genres":"pop tamil,kollywood,tollywood,hip hop en tamil,indie tamil,hip hop en malabar,desi hip hop","duration":"167058","spotId":"3z5ITnx50sxmTospLAcM03","Items":["-HAPPY-","-ENERGY-","","","GN_FrenchElectro"]},</v>
      </c>
      <c r="AA332" s="5" t="s">
        <v>6100</v>
      </c>
      <c r="AB332" s="3" t="str">
        <f t="shared" si="27"/>
        <v>["-HAPPY-","-ENERGY-","","","GN_FrenchElectro"]</v>
      </c>
      <c r="AC332" s="3" t="str">
        <f>_xlfn.XLOOKUP(A332,Album!A:A,Album!J:J)</f>
        <v>https://i.scdn.co/image/ab67616d0000b273bc404153ef5f169a39b1deaf</v>
      </c>
      <c r="AD332" s="3"/>
      <c r="AE332" s="3"/>
      <c r="AF332" s="3"/>
      <c r="AG332" s="3"/>
      <c r="AH332" s="3"/>
    </row>
    <row r="333" spans="1:34" x14ac:dyDescent="0.3">
      <c r="A333" s="11" t="s">
        <v>1614</v>
      </c>
      <c r="B333" s="12" t="s">
        <v>1615</v>
      </c>
      <c r="C333" s="12" t="s">
        <v>1615</v>
      </c>
      <c r="D333" s="13" t="s">
        <v>4294</v>
      </c>
      <c r="E333" s="6">
        <v>43293</v>
      </c>
      <c r="F333" s="3">
        <v>197288</v>
      </c>
      <c r="G333" s="3">
        <v>34</v>
      </c>
      <c r="H333" s="3" t="s">
        <v>5678</v>
      </c>
      <c r="I333" s="3" t="s">
        <v>1463</v>
      </c>
      <c r="J333" s="3" t="s">
        <v>1616</v>
      </c>
      <c r="K333" s="3" t="s">
        <v>1562</v>
      </c>
      <c r="L333" s="3">
        <v>0.72299999999999998</v>
      </c>
      <c r="M333" s="3">
        <v>0.68799999999999994</v>
      </c>
      <c r="N333" s="3">
        <v>9</v>
      </c>
      <c r="O333" s="8">
        <v>-4754</v>
      </c>
      <c r="P333" s="3">
        <v>0</v>
      </c>
      <c r="Q333" s="3">
        <v>4.3999999999999997E-2</v>
      </c>
      <c r="R333" s="3">
        <v>0.106</v>
      </c>
      <c r="S333" s="3">
        <v>4.9299999999999997E-2</v>
      </c>
      <c r="T333" s="3">
        <v>0.25900000000000001</v>
      </c>
      <c r="U333" s="3">
        <v>0.70699999999999996</v>
      </c>
      <c r="V333" s="8">
        <v>117929</v>
      </c>
      <c r="W333" s="3">
        <v>4</v>
      </c>
      <c r="X333" s="3" t="str">
        <f t="shared" si="24"/>
        <v>-HAPPY-</v>
      </c>
      <c r="Y333" s="3" t="str">
        <f t="shared" si="25"/>
        <v>-ENERGY-</v>
      </c>
      <c r="Z333" s="4" t="str">
        <f t="shared" si="26"/>
        <v>{"couname":"Maradona Riddim","img":"https://i.scdn.co/image/ab67616d0000b273d14cb851fc757db0f6d7132d","pty":"34","artist":"DJ Snake, Niniola","genres":"afrobeats,afrobeat,afropop,amapiano,afro house,alté","duration":"197288","spotId":"6QsMORizT7A2vwfOwU8xAM","Items":["-HAPPY-","-ENERGY-","","","GN_FrenchElectro"]},</v>
      </c>
      <c r="AA333" s="5" t="s">
        <v>6100</v>
      </c>
      <c r="AB333" s="3" t="str">
        <f t="shared" si="27"/>
        <v>["-HAPPY-","-ENERGY-","","","GN_FrenchElectro"]</v>
      </c>
      <c r="AC333" s="3" t="str">
        <f>_xlfn.XLOOKUP(A333,Album!A:A,Album!J:J)</f>
        <v>https://i.scdn.co/image/ab67616d0000b273d14cb851fc757db0f6d7132d</v>
      </c>
      <c r="AD333" s="3"/>
      <c r="AE333" s="3"/>
      <c r="AF333" s="3"/>
      <c r="AG333" s="3"/>
      <c r="AH333" s="3"/>
    </row>
    <row r="334" spans="1:34" x14ac:dyDescent="0.3">
      <c r="A334" s="11" t="s">
        <v>1889</v>
      </c>
      <c r="B334" s="12" t="s">
        <v>1890</v>
      </c>
      <c r="C334" s="12" t="s">
        <v>1876</v>
      </c>
      <c r="D334" s="13" t="s">
        <v>9</v>
      </c>
      <c r="E334" s="6">
        <v>38425</v>
      </c>
      <c r="F334" s="3">
        <v>287840</v>
      </c>
      <c r="G334" s="3">
        <v>34</v>
      </c>
      <c r="H334" s="3" t="s">
        <v>5677</v>
      </c>
      <c r="I334" s="3" t="s">
        <v>1809</v>
      </c>
      <c r="J334" s="3" t="s">
        <v>1810</v>
      </c>
      <c r="K334" s="3" t="s">
        <v>1811</v>
      </c>
      <c r="L334" s="3">
        <v>0.70199999999999996</v>
      </c>
      <c r="M334" s="3">
        <v>0.56699999999999995</v>
      </c>
      <c r="N334" s="3">
        <v>7</v>
      </c>
      <c r="O334" s="8">
        <v>-5468</v>
      </c>
      <c r="P334" s="3">
        <v>1</v>
      </c>
      <c r="Q334" s="3">
        <v>8.9700000000000002E-2</v>
      </c>
      <c r="R334" s="3">
        <v>6.0399999999999998E-6</v>
      </c>
      <c r="S334" s="3">
        <v>0.70599999999999996</v>
      </c>
      <c r="T334" s="3">
        <v>0.1</v>
      </c>
      <c r="U334" s="3">
        <v>0.70499999999999996</v>
      </c>
      <c r="V334" s="8">
        <v>115316</v>
      </c>
      <c r="W334" s="3">
        <v>4</v>
      </c>
      <c r="X334" s="3" t="str">
        <f t="shared" si="24"/>
        <v>-HAPPY-</v>
      </c>
      <c r="Y334" s="3" t="str">
        <f t="shared" si="25"/>
        <v>-ENERGY-</v>
      </c>
      <c r="Z334" s="4" t="str">
        <f t="shared" si="26"/>
        <v>{"couname":"Television Rules the Nation","img":"https://i.scdn.co/image/ab67616d0000b273d8601e15fa1b4351fe1fc6ae","pty":"34","artist":"Daft Punk","genres":"house francés,electrónica,electro","duration":"287840","spotId":"73mTIDCNKGfUF4MiFfR3b5","Items":["-HAPPY-","-ENERGY-","","","GN_FrenchElectro"]},</v>
      </c>
      <c r="AA334" s="5" t="s">
        <v>6100</v>
      </c>
      <c r="AB334" s="3" t="str">
        <f t="shared" si="27"/>
        <v>["-HAPPY-","-ENERGY-","","","GN_FrenchElectro"]</v>
      </c>
      <c r="AC334" s="3" t="str">
        <f>_xlfn.XLOOKUP(A334,Album!A:A,Album!J:J)</f>
        <v>https://i.scdn.co/image/ab67616d0000b273d8601e15fa1b4351fe1fc6ae</v>
      </c>
      <c r="AD334" s="3"/>
      <c r="AE334" s="3"/>
      <c r="AF334" s="3"/>
      <c r="AG334" s="3"/>
      <c r="AH334" s="3"/>
    </row>
    <row r="335" spans="1:34" x14ac:dyDescent="0.3">
      <c r="A335" s="11" t="s">
        <v>1999</v>
      </c>
      <c r="B335" s="12" t="s">
        <v>2000</v>
      </c>
      <c r="C335" s="12" t="s">
        <v>2001</v>
      </c>
      <c r="D335" s="13" t="s">
        <v>1993</v>
      </c>
      <c r="E335" s="6">
        <v>44078</v>
      </c>
      <c r="F335" s="3">
        <v>214636</v>
      </c>
      <c r="G335" s="3">
        <v>34</v>
      </c>
      <c r="H335" s="3" t="s">
        <v>5676</v>
      </c>
      <c r="I335" s="3" t="s">
        <v>1983</v>
      </c>
      <c r="J335" s="3" t="s">
        <v>1994</v>
      </c>
      <c r="K335" s="3" t="s">
        <v>2002</v>
      </c>
      <c r="L335" s="3">
        <v>0.54500000000000004</v>
      </c>
      <c r="M335" s="3">
        <v>0.66100000000000003</v>
      </c>
      <c r="N335" s="3">
        <v>9</v>
      </c>
      <c r="O335" s="8">
        <v>-7078</v>
      </c>
      <c r="P335" s="3">
        <v>0</v>
      </c>
      <c r="Q335" s="3">
        <v>6.9400000000000003E-2</v>
      </c>
      <c r="R335" s="3">
        <v>0.34300000000000003</v>
      </c>
      <c r="S335" s="3">
        <v>5.5700000000000003E-3</v>
      </c>
      <c r="T335" s="3">
        <v>0.224</v>
      </c>
      <c r="U335" s="3">
        <v>0.19600000000000001</v>
      </c>
      <c r="V335" s="8">
        <v>200112</v>
      </c>
      <c r="W335" s="3">
        <v>4</v>
      </c>
      <c r="X335" s="3" t="str">
        <f t="shared" si="24"/>
        <v>-SADNE-</v>
      </c>
      <c r="Y335" s="3" t="str">
        <f t="shared" si="25"/>
        <v>-ENERGY-</v>
      </c>
      <c r="Z335" s="4" t="str">
        <f t="shared" si="26"/>
        <v>{"couname":"Je t'aime encore","img":"https://i.scdn.co/image/ab67616d0000b273f44093d8178aec0848ab6e5a","pty":"34","artist":"Yelle","genres":"pop francés,house francés,electroclash,electropop","duration":"214636","spotId":"0vQH42DnQe4F0i7uxlcY0t","Items":["-SADNE-","-ENERGY-","","","GN_FrenchElectro"]},</v>
      </c>
      <c r="AA335" s="5" t="s">
        <v>6100</v>
      </c>
      <c r="AB335" s="3" t="str">
        <f t="shared" si="27"/>
        <v>["-SADNE-","-ENERGY-","","","GN_FrenchElectro"]</v>
      </c>
      <c r="AC335" s="3" t="str">
        <f>_xlfn.XLOOKUP(A335,Album!A:A,Album!J:J)</f>
        <v>https://i.scdn.co/image/ab67616d0000b273f44093d8178aec0848ab6e5a</v>
      </c>
      <c r="AD335" s="3"/>
      <c r="AE335" s="3"/>
      <c r="AF335" s="3"/>
      <c r="AG335" s="3"/>
      <c r="AH335" s="3"/>
    </row>
    <row r="336" spans="1:34" x14ac:dyDescent="0.3">
      <c r="A336" s="11" t="s">
        <v>2005</v>
      </c>
      <c r="B336" s="12" t="s">
        <v>2006</v>
      </c>
      <c r="C336" s="12" t="s">
        <v>1992</v>
      </c>
      <c r="D336" s="13" t="s">
        <v>1993</v>
      </c>
      <c r="E336" s="6">
        <v>39325</v>
      </c>
      <c r="F336" s="3">
        <v>222600</v>
      </c>
      <c r="G336" s="3">
        <v>34</v>
      </c>
      <c r="H336" s="3" t="s">
        <v>5675</v>
      </c>
      <c r="I336" s="3" t="s">
        <v>1983</v>
      </c>
      <c r="J336" s="3" t="s">
        <v>1994</v>
      </c>
      <c r="K336" s="3" t="s">
        <v>83</v>
      </c>
      <c r="L336" s="3">
        <v>0.88100000000000001</v>
      </c>
      <c r="M336" s="3">
        <v>0.66600000000000004</v>
      </c>
      <c r="N336" s="3">
        <v>6</v>
      </c>
      <c r="O336" s="8">
        <v>-5724</v>
      </c>
      <c r="P336" s="3">
        <v>1</v>
      </c>
      <c r="Q336" s="3">
        <v>3.8100000000000002E-2</v>
      </c>
      <c r="R336" s="3">
        <v>7.2499999999999995E-2</v>
      </c>
      <c r="S336" s="3">
        <v>0</v>
      </c>
      <c r="T336" s="3">
        <v>9.98E-2</v>
      </c>
      <c r="U336" s="3">
        <v>0.71099999999999997</v>
      </c>
      <c r="V336" s="8">
        <v>108325</v>
      </c>
      <c r="W336" s="3">
        <v>4</v>
      </c>
      <c r="X336" s="3" t="str">
        <f t="shared" si="24"/>
        <v>-HAPPY-</v>
      </c>
      <c r="Y336" s="3" t="str">
        <f t="shared" si="25"/>
        <v>-ENERGY-</v>
      </c>
      <c r="Z336" s="4" t="str">
        <f t="shared" si="26"/>
        <v>{"couname":"Ce jeu","img":"https://i.scdn.co/image/ab67616d0000b2735da1104c8104431eb16f831c","pty":"34","artist":"Yelle","genres":"pop francés,house francés,electroclash,electropop","duration":"222600","spotId":"2KjJhGtseXQBI5Cg6ZZdc9","Items":["-HAPPY-","-ENERGY-","","","GN_FrenchElectro"]},</v>
      </c>
      <c r="AA336" s="5" t="s">
        <v>6100</v>
      </c>
      <c r="AB336" s="3" t="str">
        <f t="shared" si="27"/>
        <v>["-HAPPY-","-ENERGY-","","","GN_FrenchElectro"]</v>
      </c>
      <c r="AC336" s="3" t="str">
        <f>_xlfn.XLOOKUP(A336,Album!A:A,Album!J:J)</f>
        <v>https://i.scdn.co/image/ab67616d0000b2735da1104c8104431eb16f831c</v>
      </c>
      <c r="AD336" s="3"/>
      <c r="AE336" s="3"/>
      <c r="AF336" s="3"/>
      <c r="AG336" s="3"/>
      <c r="AH336" s="3"/>
    </row>
    <row r="337" spans="1:34" x14ac:dyDescent="0.3">
      <c r="A337" s="11" t="s">
        <v>222</v>
      </c>
      <c r="B337" s="12" t="s">
        <v>223</v>
      </c>
      <c r="C337" s="12" t="s">
        <v>221</v>
      </c>
      <c r="D337" s="13" t="s">
        <v>18</v>
      </c>
      <c r="E337" s="6">
        <v>42706</v>
      </c>
      <c r="F337" s="3">
        <v>234013</v>
      </c>
      <c r="G337" s="3">
        <v>33</v>
      </c>
      <c r="H337" s="3" t="s">
        <v>5674</v>
      </c>
      <c r="I337" s="3" t="s">
        <v>102</v>
      </c>
      <c r="J337" s="3" t="s">
        <v>103</v>
      </c>
      <c r="K337" s="3" t="s">
        <v>104</v>
      </c>
      <c r="L337" s="3">
        <v>0.45500000000000002</v>
      </c>
      <c r="M337" s="3">
        <v>0.92500000000000004</v>
      </c>
      <c r="N337" s="3">
        <v>7</v>
      </c>
      <c r="O337" s="8">
        <v>-7563</v>
      </c>
      <c r="P337" s="3">
        <v>0</v>
      </c>
      <c r="Q337" s="3">
        <v>3.61E-2</v>
      </c>
      <c r="R337" s="3">
        <v>1.3100000000000001E-2</v>
      </c>
      <c r="S337" s="3">
        <v>0.95899999999999996</v>
      </c>
      <c r="T337" s="3">
        <v>0.59599999999999997</v>
      </c>
      <c r="U337" s="3">
        <v>0.66700000000000004</v>
      </c>
      <c r="V337" s="8">
        <v>136981</v>
      </c>
      <c r="W337" s="3">
        <v>4</v>
      </c>
      <c r="X337" s="3" t="str">
        <f t="shared" si="24"/>
        <v>-HAPPY-</v>
      </c>
      <c r="Y337" s="3" t="str">
        <f t="shared" si="25"/>
        <v>-ENERGY-</v>
      </c>
      <c r="Z337" s="4" t="str">
        <f t="shared" si="26"/>
        <v>{"couname":"Oxygene, Pt. 8","img":"https://i.scdn.co/image/ab67616d0000b273f0ebde6d9dd82a4f12462245","pty":"33","artist":"Jean-Michel Jarre","genres":"new age,electrónica,space music","duration":"234013","spotId":"4oG1q5553B5JpQmKk7kP13","Items":["-HAPPY-","-ENERGY-","","","GN_FrenchElectro"]},</v>
      </c>
      <c r="AA337" s="5" t="s">
        <v>6100</v>
      </c>
      <c r="AB337" s="3" t="str">
        <f t="shared" si="27"/>
        <v>["-HAPPY-","-ENERGY-","","","GN_FrenchElectro"]</v>
      </c>
      <c r="AC337" s="3" t="str">
        <f>_xlfn.XLOOKUP(A337,Album!A:A,Album!J:J)</f>
        <v>https://i.scdn.co/image/ab67616d0000b273f0ebde6d9dd82a4f12462245</v>
      </c>
      <c r="AD337" s="3"/>
      <c r="AE337" s="3"/>
      <c r="AF337" s="3"/>
      <c r="AG337" s="3"/>
      <c r="AH337" s="3"/>
    </row>
    <row r="338" spans="1:34" x14ac:dyDescent="0.3">
      <c r="A338" s="11" t="s">
        <v>296</v>
      </c>
      <c r="B338" s="12" t="s">
        <v>297</v>
      </c>
      <c r="C338" s="12" t="s">
        <v>280</v>
      </c>
      <c r="D338" s="13" t="s">
        <v>2331</v>
      </c>
      <c r="E338" s="6">
        <v>42496</v>
      </c>
      <c r="F338" s="3">
        <v>250013</v>
      </c>
      <c r="G338" s="3">
        <v>33</v>
      </c>
      <c r="H338" s="3" t="s">
        <v>5673</v>
      </c>
      <c r="I338" s="3" t="s">
        <v>102</v>
      </c>
      <c r="J338" s="3" t="s">
        <v>298</v>
      </c>
      <c r="K338" s="3" t="s">
        <v>84</v>
      </c>
      <c r="L338" s="3">
        <v>0.22700000000000001</v>
      </c>
      <c r="M338" s="3">
        <v>0.53400000000000003</v>
      </c>
      <c r="N338" s="3">
        <v>9</v>
      </c>
      <c r="O338" s="8">
        <v>-11739</v>
      </c>
      <c r="P338" s="3">
        <v>0</v>
      </c>
      <c r="Q338" s="3">
        <v>3.61E-2</v>
      </c>
      <c r="R338" s="3">
        <v>0.91900000000000004</v>
      </c>
      <c r="S338" s="3">
        <v>0.92300000000000004</v>
      </c>
      <c r="T338" s="3">
        <v>0.13</v>
      </c>
      <c r="U338" s="3">
        <v>0.217</v>
      </c>
      <c r="V338" s="8">
        <v>118526</v>
      </c>
      <c r="W338" s="3">
        <v>5</v>
      </c>
      <c r="X338" s="3" t="str">
        <f t="shared" si="24"/>
        <v>-SADNE-</v>
      </c>
      <c r="Y338" s="3" t="str">
        <f t="shared" si="25"/>
        <v>-ENERGY-</v>
      </c>
      <c r="Z338" s="4" t="str">
        <f t="shared" si="26"/>
        <v>{"couname":"Electrees","img":"https://i.scdn.co/image/ab67616d0000b273359a423dd08ed414400e0cb7","pty":"33","artist":"Jean-Michel Jarre, Hans Zimmer","genres":"new age,electrónica,space music,banda sonora","duration":"250013","spotId":"628HVZokcdhqIokmhEZgrr","Items":["-SADNE-","-ENERGY-","","","GN_FrenchElectro"]},</v>
      </c>
      <c r="AA338" s="5" t="s">
        <v>6100</v>
      </c>
      <c r="AB338" s="3" t="str">
        <f t="shared" si="27"/>
        <v>["-SADNE-","-ENERGY-","","","GN_FrenchElectro"]</v>
      </c>
      <c r="AC338" s="3" t="str">
        <f>_xlfn.XLOOKUP(A338,Album!A:A,Album!J:J)</f>
        <v>https://i.scdn.co/image/ab67616d0000b273359a423dd08ed414400e0cb7</v>
      </c>
      <c r="AD338" s="3"/>
      <c r="AE338" s="3"/>
      <c r="AF338" s="3"/>
      <c r="AG338" s="3"/>
      <c r="AH338" s="3"/>
    </row>
    <row r="339" spans="1:34" x14ac:dyDescent="0.3">
      <c r="A339" s="11" t="s">
        <v>857</v>
      </c>
      <c r="B339" s="12" t="s">
        <v>858</v>
      </c>
      <c r="C339" s="12" t="s">
        <v>841</v>
      </c>
      <c r="D339" s="13" t="s">
        <v>842</v>
      </c>
      <c r="E339" s="6">
        <v>2011</v>
      </c>
      <c r="F339" s="3">
        <v>271720</v>
      </c>
      <c r="G339" s="3">
        <v>33</v>
      </c>
      <c r="H339" s="3" t="s">
        <v>5672</v>
      </c>
      <c r="I339" s="3" t="s">
        <v>843</v>
      </c>
      <c r="J339" s="3" t="s">
        <v>844</v>
      </c>
      <c r="K339" s="3" t="s">
        <v>845</v>
      </c>
      <c r="L339" s="3">
        <v>0.42599999999999999</v>
      </c>
      <c r="M339" s="3">
        <v>0.93200000000000005</v>
      </c>
      <c r="N339" s="3">
        <v>0</v>
      </c>
      <c r="O339" s="8">
        <v>-4391</v>
      </c>
      <c r="P339" s="3">
        <v>1</v>
      </c>
      <c r="Q339" s="3">
        <v>6.7000000000000004E-2</v>
      </c>
      <c r="R339" s="3">
        <v>2.31E-3</v>
      </c>
      <c r="S339" s="3">
        <v>5.2300000000000003E-3</v>
      </c>
      <c r="T339" s="3">
        <v>0.39500000000000002</v>
      </c>
      <c r="U339" s="3">
        <v>0.35499999999999998</v>
      </c>
      <c r="V339" s="8">
        <v>107271</v>
      </c>
      <c r="W339" s="3">
        <v>4</v>
      </c>
      <c r="X339" s="3" t="str">
        <f t="shared" si="24"/>
        <v>-HAPPY-</v>
      </c>
      <c r="Y339" s="3" t="str">
        <f t="shared" si="25"/>
        <v>-ENERGY-</v>
      </c>
      <c r="Z339" s="4" t="str">
        <f t="shared" si="26"/>
        <v>{"couname":"Claudia Lewis","img":"https://i.scdn.co/image/ab67616d0000b273fff2cb485c36a6d8f639bdba","pty":"33","artist":"M83","genres":"indietronica","duration":"271720","spotId":"2OYMcth0dXHv5qcoli4HPv","Items":["-HAPPY-","-ENERGY-","","","GN_FrenchElectro"]},</v>
      </c>
      <c r="AA339" s="5" t="s">
        <v>6100</v>
      </c>
      <c r="AB339" s="3" t="str">
        <f t="shared" si="27"/>
        <v>["-HAPPY-","-ENERGY-","","","GN_FrenchElectro"]</v>
      </c>
      <c r="AC339" s="3" t="str">
        <f>_xlfn.XLOOKUP(A339,Album!A:A,Album!J:J)</f>
        <v>https://i.scdn.co/image/ab67616d0000b273fff2cb485c36a6d8f639bdba</v>
      </c>
      <c r="AD339" s="3"/>
      <c r="AE339" s="3"/>
      <c r="AF339" s="3"/>
      <c r="AG339" s="3"/>
      <c r="AH339" s="3"/>
    </row>
    <row r="340" spans="1:34" x14ac:dyDescent="0.3">
      <c r="A340" s="11" t="s">
        <v>859</v>
      </c>
      <c r="B340" s="12" t="s">
        <v>860</v>
      </c>
      <c r="C340" s="12" t="s">
        <v>841</v>
      </c>
      <c r="D340" s="13" t="s">
        <v>842</v>
      </c>
      <c r="E340" s="6">
        <v>2011</v>
      </c>
      <c r="F340" s="3">
        <v>141413</v>
      </c>
      <c r="G340" s="3">
        <v>33</v>
      </c>
      <c r="H340" s="3" t="s">
        <v>5671</v>
      </c>
      <c r="I340" s="3" t="s">
        <v>843</v>
      </c>
      <c r="J340" s="3" t="s">
        <v>844</v>
      </c>
      <c r="K340" s="3" t="s">
        <v>845</v>
      </c>
      <c r="L340" s="3">
        <v>0.125</v>
      </c>
      <c r="M340" s="3">
        <v>0.61899999999999999</v>
      </c>
      <c r="N340" s="3">
        <v>7</v>
      </c>
      <c r="O340" s="8">
        <v>-8.4600000000000009</v>
      </c>
      <c r="P340" s="3">
        <v>1</v>
      </c>
      <c r="Q340" s="3">
        <v>4.7100000000000003E-2</v>
      </c>
      <c r="R340" s="3">
        <v>4.2299999999999998E-4</v>
      </c>
      <c r="S340" s="3">
        <v>0.56899999999999995</v>
      </c>
      <c r="T340" s="3">
        <v>0.125</v>
      </c>
      <c r="U340" s="3">
        <v>3.9600000000000003E-2</v>
      </c>
      <c r="V340" s="8">
        <v>159026</v>
      </c>
      <c r="W340" s="3">
        <v>4</v>
      </c>
      <c r="X340" s="3" t="str">
        <f t="shared" si="24"/>
        <v>-SADNE-</v>
      </c>
      <c r="Y340" s="3" t="str">
        <f t="shared" si="25"/>
        <v>-ENERGY-</v>
      </c>
      <c r="Z340" s="4" t="str">
        <f t="shared" si="26"/>
        <v>{"couname":"This Bright Flash","img":"https://i.scdn.co/image/ab67616d0000b273fff2cb485c36a6d8f639bdba","pty":"33","artist":"M83","genres":"indietronica","duration":"141413","spotId":"1oesncxikaS73FcSGECZep","Items":["-SADNE-","-ENERGY-","","","GN_FrenchElectro"]},</v>
      </c>
      <c r="AA340" s="5" t="s">
        <v>6100</v>
      </c>
      <c r="AB340" s="3" t="str">
        <f t="shared" si="27"/>
        <v>["-SADNE-","-ENERGY-","","","GN_FrenchElectro"]</v>
      </c>
      <c r="AC340" s="3" t="str">
        <f>_xlfn.XLOOKUP(A340,Album!A:A,Album!J:J)</f>
        <v>https://i.scdn.co/image/ab67616d0000b273fff2cb485c36a6d8f639bdba</v>
      </c>
      <c r="AD340" s="3"/>
      <c r="AE340" s="3"/>
      <c r="AF340" s="3"/>
      <c r="AG340" s="3"/>
      <c r="AH340" s="3"/>
    </row>
    <row r="341" spans="1:34" x14ac:dyDescent="0.3">
      <c r="A341" s="11" t="s">
        <v>871</v>
      </c>
      <c r="B341" s="12" t="s">
        <v>872</v>
      </c>
      <c r="C341" s="12" t="s">
        <v>841</v>
      </c>
      <c r="D341" s="13" t="s">
        <v>842</v>
      </c>
      <c r="E341" s="6">
        <v>2011</v>
      </c>
      <c r="F341" s="3">
        <v>113773</v>
      </c>
      <c r="G341" s="3">
        <v>33</v>
      </c>
      <c r="H341" s="3" t="s">
        <v>5670</v>
      </c>
      <c r="I341" s="3" t="s">
        <v>843</v>
      </c>
      <c r="J341" s="3" t="s">
        <v>844</v>
      </c>
      <c r="K341" s="3" t="s">
        <v>845</v>
      </c>
      <c r="L341" s="3">
        <v>0.252</v>
      </c>
      <c r="M341" s="3">
        <v>0.188</v>
      </c>
      <c r="N341" s="3">
        <v>1</v>
      </c>
      <c r="O341" s="8">
        <v>-11648</v>
      </c>
      <c r="P341" s="3">
        <v>1</v>
      </c>
      <c r="Q341" s="3">
        <v>4.5600000000000002E-2</v>
      </c>
      <c r="R341" s="3">
        <v>0.32900000000000001</v>
      </c>
      <c r="S341" s="3">
        <v>0.121</v>
      </c>
      <c r="T341" s="3">
        <v>0.1</v>
      </c>
      <c r="U341" s="3">
        <v>3.0200000000000001E-2</v>
      </c>
      <c r="V341" s="8">
        <v>86997</v>
      </c>
      <c r="W341" s="3">
        <v>4</v>
      </c>
      <c r="X341" s="3" t="str">
        <f t="shared" si="24"/>
        <v>-SADNE-</v>
      </c>
      <c r="Y341" s="3" t="str">
        <f t="shared" si="25"/>
        <v>-SLOWSS-</v>
      </c>
      <c r="Z341" s="4" t="str">
        <f t="shared" si="26"/>
        <v>{"couname":"Another Wave From You","img":"https://i.scdn.co/image/ab67616d0000b273fff2cb485c36a6d8f639bdba","pty":"33","artist":"M83","genres":"indietronica","duration":"113773","spotId":"1XVO06yjToSOSTTaL6YqV5","Items":["-SADNE-","-SLOWSS-","","","GN_FrenchElectro"]},</v>
      </c>
      <c r="AA341" s="5" t="s">
        <v>6100</v>
      </c>
      <c r="AB341" s="3" t="str">
        <f t="shared" si="27"/>
        <v>["-SADNE-","-SLOWSS-","","","GN_FrenchElectro"]</v>
      </c>
      <c r="AC341" s="3" t="str">
        <f>_xlfn.XLOOKUP(A341,Album!A:A,Album!J:J)</f>
        <v>https://i.scdn.co/image/ab67616d0000b273fff2cb485c36a6d8f639bdba</v>
      </c>
      <c r="AD341" s="3"/>
      <c r="AE341" s="3"/>
      <c r="AF341" s="3"/>
      <c r="AG341" s="3"/>
      <c r="AH341" s="3"/>
    </row>
    <row r="342" spans="1:34" x14ac:dyDescent="0.3">
      <c r="A342" s="11" t="s">
        <v>957</v>
      </c>
      <c r="B342" s="12" t="s">
        <v>958</v>
      </c>
      <c r="C342" s="12" t="s">
        <v>939</v>
      </c>
      <c r="D342" s="13" t="s">
        <v>842</v>
      </c>
      <c r="E342" s="6">
        <v>38626</v>
      </c>
      <c r="F342" s="3">
        <v>124533</v>
      </c>
      <c r="G342" s="3">
        <v>33</v>
      </c>
      <c r="H342" s="3" t="s">
        <v>5669</v>
      </c>
      <c r="I342" s="3" t="s">
        <v>889</v>
      </c>
      <c r="J342" s="3" t="s">
        <v>844</v>
      </c>
      <c r="K342" s="3" t="s">
        <v>940</v>
      </c>
      <c r="L342" s="3">
        <v>0.41599999999999998</v>
      </c>
      <c r="M342" s="3">
        <v>0.308</v>
      </c>
      <c r="N342" s="3">
        <v>0</v>
      </c>
      <c r="O342" s="8">
        <v>-15863</v>
      </c>
      <c r="P342" s="3">
        <v>1</v>
      </c>
      <c r="Q342" s="3">
        <v>6.2600000000000003E-2</v>
      </c>
      <c r="R342" s="3">
        <v>0.91</v>
      </c>
      <c r="S342" s="3">
        <v>0.90700000000000003</v>
      </c>
      <c r="T342" s="3">
        <v>8.5300000000000001E-2</v>
      </c>
      <c r="U342" s="3">
        <v>3.7199999999999997E-2</v>
      </c>
      <c r="V342" s="8">
        <v>115602</v>
      </c>
      <c r="W342" s="3">
        <v>3</v>
      </c>
      <c r="X342" s="3" t="str">
        <f t="shared" si="24"/>
        <v>-SADNE-</v>
      </c>
      <c r="Y342" s="3" t="str">
        <f t="shared" si="25"/>
        <v>-SLOWSS-</v>
      </c>
      <c r="Z342" s="4" t="str">
        <f t="shared" si="26"/>
        <v>{"couname":"Slight Night Shiver","img":"https://i.scdn.co/image/ab67616d0000b273d2025055762d32e9e8dab468","pty":"33","artist":"M83","genres":"indietronica","duration":"124533","spotId":"1rlZtficvzdcOpY9ujHb9X","Items":["-SADNE-","-SLOWSS-","","","GN_FrenchElectro"]},</v>
      </c>
      <c r="AA342" s="5" t="s">
        <v>6100</v>
      </c>
      <c r="AB342" s="3" t="str">
        <f t="shared" si="27"/>
        <v>["-SADNE-","-SLOWSS-","","","GN_FrenchElectro"]</v>
      </c>
      <c r="AC342" s="3" t="str">
        <f>_xlfn.XLOOKUP(A342,Album!A:A,Album!J:J)</f>
        <v>https://i.scdn.co/image/ab67616d0000b273d2025055762d32e9e8dab468</v>
      </c>
      <c r="AD342" s="3"/>
      <c r="AE342" s="3"/>
      <c r="AF342" s="3"/>
      <c r="AG342" s="3"/>
      <c r="AH342" s="3"/>
    </row>
    <row r="343" spans="1:34" x14ac:dyDescent="0.3">
      <c r="A343" s="11" t="s">
        <v>990</v>
      </c>
      <c r="B343" s="12" t="s">
        <v>991</v>
      </c>
      <c r="C343" s="12" t="s">
        <v>961</v>
      </c>
      <c r="D343" s="13" t="s">
        <v>842</v>
      </c>
      <c r="E343" s="6">
        <v>45002</v>
      </c>
      <c r="F343" s="3">
        <v>248133</v>
      </c>
      <c r="G343" s="3">
        <v>33</v>
      </c>
      <c r="H343" s="3" t="s">
        <v>5668</v>
      </c>
      <c r="I343" s="3" t="s">
        <v>889</v>
      </c>
      <c r="J343" s="3" t="s">
        <v>844</v>
      </c>
      <c r="K343" s="3" t="s">
        <v>962</v>
      </c>
      <c r="L343" s="3">
        <v>0.41799999999999998</v>
      </c>
      <c r="M343" s="3">
        <v>0.68899999999999995</v>
      </c>
      <c r="N343" s="3">
        <v>6</v>
      </c>
      <c r="O343" s="8">
        <v>-5694</v>
      </c>
      <c r="P343" s="3">
        <v>1</v>
      </c>
      <c r="Q343" s="3">
        <v>2.87E-2</v>
      </c>
      <c r="R343" s="3">
        <v>3.1900000000000001E-3</v>
      </c>
      <c r="S343" s="3">
        <v>0.122</v>
      </c>
      <c r="T343" s="3">
        <v>9.4600000000000004E-2</v>
      </c>
      <c r="U343" s="3">
        <v>0.223</v>
      </c>
      <c r="V343" s="8">
        <v>143883</v>
      </c>
      <c r="W343" s="3">
        <v>4</v>
      </c>
      <c r="X343" s="3" t="str">
        <f t="shared" si="24"/>
        <v>-SADNE-</v>
      </c>
      <c r="Y343" s="3" t="str">
        <f t="shared" si="25"/>
        <v>-ENERGY-</v>
      </c>
      <c r="Z343" s="4" t="str">
        <f t="shared" si="26"/>
        <v>{"couname":"Laura","img":"https://i.scdn.co/image/ab67616d0000b2732112ea8c833adcdb84da3912","pty":"33","artist":"M83","genres":"indietronica","duration":"248133","spotId":"4xT29Eb884f9g5JS4G8TDq","Items":["-SADNE-","-ENERGY-","","","GN_FrenchElectro"]},</v>
      </c>
      <c r="AA343" s="5" t="s">
        <v>6100</v>
      </c>
      <c r="AB343" s="3" t="str">
        <f t="shared" si="27"/>
        <v>["-SADNE-","-ENERGY-","","","GN_FrenchElectro"]</v>
      </c>
      <c r="AC343" s="3" t="str">
        <f>_xlfn.XLOOKUP(A343,Album!A:A,Album!J:J)</f>
        <v>https://i.scdn.co/image/ab67616d0000b2732112ea8c833adcdb84da3912</v>
      </c>
      <c r="AD343" s="3"/>
      <c r="AE343" s="3"/>
      <c r="AF343" s="3"/>
      <c r="AG343" s="3"/>
      <c r="AH343" s="3"/>
    </row>
    <row r="344" spans="1:34" x14ac:dyDescent="0.3">
      <c r="A344" s="11" t="s">
        <v>994</v>
      </c>
      <c r="B344" s="12" t="s">
        <v>995</v>
      </c>
      <c r="C344" s="12" t="s">
        <v>931</v>
      </c>
      <c r="D344" s="13" t="s">
        <v>842</v>
      </c>
      <c r="E344" s="6">
        <v>2008</v>
      </c>
      <c r="F344" s="3">
        <v>372866</v>
      </c>
      <c r="G344" s="3">
        <v>33</v>
      </c>
      <c r="H344" s="3" t="s">
        <v>5667</v>
      </c>
      <c r="I344" s="3" t="s">
        <v>889</v>
      </c>
      <c r="J344" s="3" t="s">
        <v>844</v>
      </c>
      <c r="K344" s="3" t="s">
        <v>890</v>
      </c>
      <c r="L344" s="3">
        <v>0.496</v>
      </c>
      <c r="M344" s="3">
        <v>0.69</v>
      </c>
      <c r="N344" s="3">
        <v>11</v>
      </c>
      <c r="O344" s="8">
        <v>-6613</v>
      </c>
      <c r="P344" s="3">
        <v>1</v>
      </c>
      <c r="Q344" s="3">
        <v>3.0499999999999999E-2</v>
      </c>
      <c r="R344" s="3">
        <v>6.28E-3</v>
      </c>
      <c r="S344" s="3">
        <v>1.4E-2</v>
      </c>
      <c r="T344" s="3">
        <v>0.20399999999999999</v>
      </c>
      <c r="U344" s="3">
        <v>0.249</v>
      </c>
      <c r="V344" s="8">
        <v>120047</v>
      </c>
      <c r="W344" s="3">
        <v>4</v>
      </c>
      <c r="X344" s="3" t="str">
        <f t="shared" si="24"/>
        <v>-SADNE-</v>
      </c>
      <c r="Y344" s="3" t="str">
        <f t="shared" si="25"/>
        <v>-ENERGY-</v>
      </c>
      <c r="Z344" s="4" t="str">
        <f t="shared" si="26"/>
        <v>{"couname":"Skin of the Night","img":"https://i.scdn.co/image/ab67616d0000b273fb1ed9d614dc2fa4d5ead013","pty":"33","artist":"M83","genres":"indietronica","duration":"372866","spotId":"0ldqUhgUHeaZcaosF7RsrZ","Items":["-SADNE-","-ENERGY-","","","GN_FrenchElectro"]},</v>
      </c>
      <c r="AA344" s="5" t="s">
        <v>6100</v>
      </c>
      <c r="AB344" s="3" t="str">
        <f t="shared" si="27"/>
        <v>["-SADNE-","-ENERGY-","","","GN_FrenchElectro"]</v>
      </c>
      <c r="AC344" s="3" t="str">
        <f>_xlfn.XLOOKUP(A344,Album!A:A,Album!J:J)</f>
        <v>https://i.scdn.co/image/ab67616d0000b273fb1ed9d614dc2fa4d5ead013</v>
      </c>
      <c r="AD344" s="3"/>
      <c r="AE344" s="3"/>
      <c r="AF344" s="3"/>
      <c r="AG344" s="3"/>
      <c r="AH344" s="3"/>
    </row>
    <row r="345" spans="1:34" x14ac:dyDescent="0.3">
      <c r="A345" s="11" t="s">
        <v>997</v>
      </c>
      <c r="B345" s="12" t="s">
        <v>998</v>
      </c>
      <c r="C345" s="12" t="s">
        <v>961</v>
      </c>
      <c r="D345" s="13" t="s">
        <v>842</v>
      </c>
      <c r="E345" s="6">
        <v>45002</v>
      </c>
      <c r="F345" s="3">
        <v>400037</v>
      </c>
      <c r="G345" s="3">
        <v>33</v>
      </c>
      <c r="H345" s="3" t="s">
        <v>5666</v>
      </c>
      <c r="I345" s="3" t="s">
        <v>889</v>
      </c>
      <c r="J345" s="3" t="s">
        <v>844</v>
      </c>
      <c r="K345" s="3" t="s">
        <v>962</v>
      </c>
      <c r="L345" s="3">
        <v>0.54800000000000004</v>
      </c>
      <c r="M345" s="3">
        <v>0.85599999999999998</v>
      </c>
      <c r="N345" s="3">
        <v>5</v>
      </c>
      <c r="O345" s="8">
        <v>-6611</v>
      </c>
      <c r="P345" s="3">
        <v>1</v>
      </c>
      <c r="Q345" s="3">
        <v>3.1399999999999997E-2</v>
      </c>
      <c r="R345" s="3">
        <v>1.8700000000000001E-2</v>
      </c>
      <c r="S345" s="3">
        <v>0.55300000000000005</v>
      </c>
      <c r="T345" s="3">
        <v>0.107</v>
      </c>
      <c r="U345" s="3">
        <v>0.20599999999999999</v>
      </c>
      <c r="V345" s="8">
        <v>133985</v>
      </c>
      <c r="W345" s="3">
        <v>4</v>
      </c>
      <c r="X345" s="3" t="str">
        <f t="shared" si="24"/>
        <v>-SADNE-</v>
      </c>
      <c r="Y345" s="3" t="str">
        <f t="shared" si="25"/>
        <v>-ENERGY-</v>
      </c>
      <c r="Z345" s="4" t="str">
        <f t="shared" si="26"/>
        <v>{"couname":"Earth To Sea","img":"https://i.scdn.co/image/ab67616d0000b2732112ea8c833adcdb84da3912","pty":"33","artist":"M83","genres":"indietronica","duration":"400037","spotId":"1m69cgoCdNLhtnyVw9yzWr","Items":["-SADNE-","-ENERGY-","","","GN_FrenchElectro"]},</v>
      </c>
      <c r="AA345" s="5" t="s">
        <v>6100</v>
      </c>
      <c r="AB345" s="3" t="str">
        <f t="shared" si="27"/>
        <v>["-SADNE-","-ENERGY-","","","GN_FrenchElectro"]</v>
      </c>
      <c r="AC345" s="3" t="str">
        <f>_xlfn.XLOOKUP(A345,Album!A:A,Album!J:J)</f>
        <v>https://i.scdn.co/image/ab67616d0000b2732112ea8c833adcdb84da3912</v>
      </c>
      <c r="AD345" s="3"/>
      <c r="AE345" s="3"/>
      <c r="AF345" s="3"/>
      <c r="AG345" s="3"/>
      <c r="AH345" s="3"/>
    </row>
    <row r="346" spans="1:34" x14ac:dyDescent="0.3">
      <c r="A346" s="11" t="s">
        <v>999</v>
      </c>
      <c r="B346" s="12" t="s">
        <v>1000</v>
      </c>
      <c r="C346" s="12" t="s">
        <v>919</v>
      </c>
      <c r="D346" s="13" t="s">
        <v>3204</v>
      </c>
      <c r="E346" s="6">
        <v>42468</v>
      </c>
      <c r="F346" s="3">
        <v>234000</v>
      </c>
      <c r="G346" s="3">
        <v>33</v>
      </c>
      <c r="H346" s="3" t="s">
        <v>5665</v>
      </c>
      <c r="I346" s="3" t="s">
        <v>889</v>
      </c>
      <c r="J346" s="3" t="s">
        <v>844</v>
      </c>
      <c r="K346" s="3" t="s">
        <v>890</v>
      </c>
      <c r="L346" s="3">
        <v>0.62</v>
      </c>
      <c r="M346" s="3">
        <v>0.76800000000000002</v>
      </c>
      <c r="N346" s="3">
        <v>9</v>
      </c>
      <c r="O346" s="8">
        <v>-7028</v>
      </c>
      <c r="P346" s="3">
        <v>1</v>
      </c>
      <c r="Q346" s="3">
        <v>4.0399999999999998E-2</v>
      </c>
      <c r="R346" s="3">
        <v>2.1800000000000001E-3</v>
      </c>
      <c r="S346" s="3">
        <v>0.24399999999999999</v>
      </c>
      <c r="T346" s="3">
        <v>8.09E-2</v>
      </c>
      <c r="U346" s="3">
        <v>0.80700000000000005</v>
      </c>
      <c r="V346" s="8">
        <v>102.98</v>
      </c>
      <c r="W346" s="3">
        <v>4</v>
      </c>
      <c r="X346" s="3" t="str">
        <f t="shared" si="24"/>
        <v>-HAPPY-</v>
      </c>
      <c r="Y346" s="3" t="str">
        <f t="shared" si="25"/>
        <v>-ENERGY-</v>
      </c>
      <c r="Z346" s="4" t="str">
        <f t="shared" si="26"/>
        <v>{"couname":"Bibi the Dog","img":"https://i.scdn.co/image/ab67616d0000b27395e27fa175bad6817721f1ca","pty":"33","artist":"M83, MAI LAN","genres":"indietronica","duration":"234000","spotId":"2DbffuVNN87tjPOTmWzQx7","Items":["-HAPPY-","-ENERGY-","","","GN_FrenchElectro"]},</v>
      </c>
      <c r="AA346" s="5" t="s">
        <v>6100</v>
      </c>
      <c r="AB346" s="3" t="str">
        <f t="shared" si="27"/>
        <v>["-HAPPY-","-ENERGY-","","","GN_FrenchElectro"]</v>
      </c>
      <c r="AC346" s="3" t="str">
        <f>_xlfn.XLOOKUP(A346,Album!A:A,Album!J:J)</f>
        <v>https://i.scdn.co/image/ab67616d0000b27395e27fa175bad6817721f1ca</v>
      </c>
      <c r="AD346" s="3"/>
      <c r="AE346" s="3"/>
      <c r="AF346" s="3"/>
      <c r="AG346" s="3"/>
      <c r="AH346" s="3"/>
    </row>
    <row r="347" spans="1:34" x14ac:dyDescent="0.3">
      <c r="A347" s="11" t="s">
        <v>1241</v>
      </c>
      <c r="B347" s="12" t="s">
        <v>5663</v>
      </c>
      <c r="C347" s="12" t="s">
        <v>1205</v>
      </c>
      <c r="D347" s="13" t="s">
        <v>3748</v>
      </c>
      <c r="E347" s="6">
        <v>42093</v>
      </c>
      <c r="F347" s="3">
        <v>226746</v>
      </c>
      <c r="G347" s="3">
        <v>33</v>
      </c>
      <c r="H347" s="3" t="s">
        <v>5664</v>
      </c>
      <c r="I347" s="3" t="s">
        <v>1207</v>
      </c>
      <c r="J347" s="3" t="s">
        <v>1208</v>
      </c>
      <c r="K347" s="3" t="s">
        <v>84</v>
      </c>
      <c r="L347" s="3">
        <v>0.48099999999999998</v>
      </c>
      <c r="M347" s="3">
        <v>0.57899999999999996</v>
      </c>
      <c r="N347" s="3">
        <v>10</v>
      </c>
      <c r="O347" s="8">
        <v>-7011</v>
      </c>
      <c r="P347" s="3">
        <v>0</v>
      </c>
      <c r="Q347" s="3">
        <v>3.39E-2</v>
      </c>
      <c r="R347" s="3">
        <v>1.01E-2</v>
      </c>
      <c r="S347" s="3">
        <v>0</v>
      </c>
      <c r="T347" s="3">
        <v>8.2500000000000004E-2</v>
      </c>
      <c r="U347" s="3">
        <v>8.2000000000000003E-2</v>
      </c>
      <c r="V347" s="8">
        <v>101974</v>
      </c>
      <c r="W347" s="3">
        <v>4</v>
      </c>
      <c r="X347" s="3" t="str">
        <f t="shared" si="24"/>
        <v>-SADNE-</v>
      </c>
      <c r="Y347" s="3" t="str">
        <f t="shared" si="25"/>
        <v>-ENERGY-</v>
      </c>
      <c r="Z347" s="4" t="str">
        <f t="shared" si="26"/>
        <v>{"couname":"Only Way Out","img":"https://i.scdn.co/image/ab67616d0000b27392cb28b37837c67dffe602f9","pty":"33","artist":"Madeon, Vancouver Sleep Clinic","genres":"edm,house francés","duration":"226746","spotId":"4jryPeoj0IzKENkhcX0Lpm","Items":["-SADNE-","-ENERGY-","","","GN_FrenchElectro"]},</v>
      </c>
      <c r="AA347" s="5" t="s">
        <v>6100</v>
      </c>
      <c r="AB347" s="3" t="str">
        <f t="shared" si="27"/>
        <v>["-SADNE-","-ENERGY-","","","GN_FrenchElectro"]</v>
      </c>
      <c r="AC347" s="3" t="str">
        <f>_xlfn.XLOOKUP(A347,Album!A:A,Album!J:J)</f>
        <v>https://i.scdn.co/image/ab67616d0000b27392cb28b37837c67dffe602f9</v>
      </c>
      <c r="AD347" s="3"/>
      <c r="AE347" s="3"/>
      <c r="AF347" s="3"/>
      <c r="AG347" s="3"/>
      <c r="AH347" s="3"/>
    </row>
    <row r="348" spans="1:34" x14ac:dyDescent="0.3">
      <c r="A348" s="11" t="s">
        <v>1257</v>
      </c>
      <c r="B348" s="12" t="s">
        <v>1258</v>
      </c>
      <c r="C348" s="12" t="s">
        <v>1245</v>
      </c>
      <c r="D348" s="13" t="s">
        <v>1206</v>
      </c>
      <c r="E348" s="6">
        <v>43784</v>
      </c>
      <c r="F348" s="3">
        <v>186320</v>
      </c>
      <c r="G348" s="3">
        <v>33</v>
      </c>
      <c r="H348" s="3" t="s">
        <v>5662</v>
      </c>
      <c r="I348" s="3" t="s">
        <v>1207</v>
      </c>
      <c r="J348" s="3" t="s">
        <v>1208</v>
      </c>
      <c r="K348" s="3" t="s">
        <v>84</v>
      </c>
      <c r="L348" s="3">
        <v>0.45900000000000002</v>
      </c>
      <c r="M348" s="3">
        <v>0.69499999999999995</v>
      </c>
      <c r="N348" s="3">
        <v>1</v>
      </c>
      <c r="O348" s="8">
        <v>-6204</v>
      </c>
      <c r="P348" s="3">
        <v>1</v>
      </c>
      <c r="Q348" s="3">
        <v>5.1799999999999999E-2</v>
      </c>
      <c r="R348" s="3">
        <v>1.3599999999999999E-2</v>
      </c>
      <c r="S348" s="3">
        <v>0.122</v>
      </c>
      <c r="T348" s="3">
        <v>0.373</v>
      </c>
      <c r="U348" s="3">
        <v>0.38500000000000001</v>
      </c>
      <c r="V348" s="8">
        <v>152203</v>
      </c>
      <c r="W348" s="3">
        <v>4</v>
      </c>
      <c r="X348" s="3" t="str">
        <f t="shared" si="24"/>
        <v>-HAPPY-</v>
      </c>
      <c r="Y348" s="3" t="str">
        <f t="shared" si="25"/>
        <v>-ENERGY-</v>
      </c>
      <c r="Z348" s="4" t="str">
        <f t="shared" si="26"/>
        <v>{"couname":"Hold Me Just Because","img":"https://i.scdn.co/image/ab67616d0000b273dc384e6d13983fe1cd415ade","pty":"33","artist":"Madeon","genres":"edm,house francés","duration":"186320","spotId":"3WTbsKon4Spdj8jOabrg5a","Items":["-HAPPY-","-ENERGY-","","","GN_FrenchElectro"]},</v>
      </c>
      <c r="AA348" s="5" t="s">
        <v>6100</v>
      </c>
      <c r="AB348" s="3" t="str">
        <f t="shared" si="27"/>
        <v>["-HAPPY-","-ENERGY-","","","GN_FrenchElectro"]</v>
      </c>
      <c r="AC348" s="3" t="str">
        <f>_xlfn.XLOOKUP(A348,Album!A:A,Album!J:J)</f>
        <v>https://i.scdn.co/image/ab67616d0000b273dc384e6d13983fe1cd415ade</v>
      </c>
      <c r="AD348" s="3"/>
      <c r="AE348" s="3"/>
      <c r="AF348" s="3"/>
      <c r="AG348" s="3"/>
      <c r="AH348" s="3"/>
    </row>
    <row r="349" spans="1:34" x14ac:dyDescent="0.3">
      <c r="A349" s="11" t="s">
        <v>1400</v>
      </c>
      <c r="B349" s="12" t="s">
        <v>1401</v>
      </c>
      <c r="C349" s="12" t="s">
        <v>1367</v>
      </c>
      <c r="D349" s="13" t="s">
        <v>1345</v>
      </c>
      <c r="E349" s="6">
        <v>40091</v>
      </c>
      <c r="F349" s="3">
        <v>187600</v>
      </c>
      <c r="G349" s="3">
        <v>33</v>
      </c>
      <c r="H349" s="3" t="s">
        <v>5661</v>
      </c>
      <c r="I349" s="3" t="s">
        <v>1336</v>
      </c>
      <c r="J349" s="3" t="s">
        <v>1337</v>
      </c>
      <c r="K349" s="3" t="s">
        <v>1341</v>
      </c>
      <c r="L349" s="3">
        <v>0.51100000000000001</v>
      </c>
      <c r="M349" s="3">
        <v>0.753</v>
      </c>
      <c r="N349" s="3">
        <v>10</v>
      </c>
      <c r="O349" s="8">
        <v>-7361</v>
      </c>
      <c r="P349" s="3">
        <v>1</v>
      </c>
      <c r="Q349" s="3">
        <v>2.6800000000000001E-2</v>
      </c>
      <c r="R349" s="3">
        <v>1.83E-2</v>
      </c>
      <c r="S349" s="3">
        <v>5.0599999999999999E-2</v>
      </c>
      <c r="T349" s="3">
        <v>8.5000000000000006E-2</v>
      </c>
      <c r="U349" s="3">
        <v>0.73</v>
      </c>
      <c r="V349" s="8">
        <v>96423</v>
      </c>
      <c r="W349" s="3">
        <v>4</v>
      </c>
      <c r="X349" s="3" t="str">
        <f t="shared" si="24"/>
        <v>-HAPPY-</v>
      </c>
      <c r="Y349" s="3" t="str">
        <f t="shared" si="25"/>
        <v>-ENERGY-</v>
      </c>
      <c r="Z349" s="4" t="str">
        <f t="shared" si="26"/>
        <v>{"couname":"Sing Sang Sung","img":"https://i.scdn.co/image/ab67616d0000b2736b0efd35ef810103180cf54c","pty":"33","artist":"Air","genres":"trip hop,downtempo,house francés","duration":"187600","spotId":"1TTz7vRGZEQgpL6HJOEhWo","Items":["-HAPPY-","-ENERGY-","","","GN_FrenchElectro"]},</v>
      </c>
      <c r="AA349" s="5" t="s">
        <v>6100</v>
      </c>
      <c r="AB349" s="3" t="str">
        <f t="shared" si="27"/>
        <v>["-HAPPY-","-ENERGY-","","","GN_FrenchElectro"]</v>
      </c>
      <c r="AC349" s="3" t="str">
        <f>_xlfn.XLOOKUP(A349,Album!A:A,Album!J:J)</f>
        <v>https://i.scdn.co/image/ab67616d0000b2736b0efd35ef810103180cf54c</v>
      </c>
      <c r="AD349" s="3"/>
      <c r="AE349" s="3"/>
      <c r="AF349" s="3"/>
      <c r="AG349" s="3"/>
      <c r="AH349" s="3"/>
    </row>
    <row r="350" spans="1:34" x14ac:dyDescent="0.3">
      <c r="A350" s="11" t="s">
        <v>1402</v>
      </c>
      <c r="B350" s="12" t="s">
        <v>1403</v>
      </c>
      <c r="C350" s="12" t="s">
        <v>1348</v>
      </c>
      <c r="D350" s="13" t="s">
        <v>1345</v>
      </c>
      <c r="E350" s="6">
        <v>40945</v>
      </c>
      <c r="F350" s="3">
        <v>214257</v>
      </c>
      <c r="G350" s="3">
        <v>33</v>
      </c>
      <c r="H350" s="3" t="s">
        <v>5660</v>
      </c>
      <c r="I350" s="3" t="s">
        <v>1336</v>
      </c>
      <c r="J350" s="3" t="s">
        <v>1337</v>
      </c>
      <c r="K350" s="3" t="s">
        <v>1341</v>
      </c>
      <c r="L350" s="3">
        <v>0.35799999999999998</v>
      </c>
      <c r="M350" s="3">
        <v>0.13700000000000001</v>
      </c>
      <c r="N350" s="3">
        <v>6</v>
      </c>
      <c r="O350" s="8">
        <v>-21043</v>
      </c>
      <c r="P350" s="3">
        <v>1</v>
      </c>
      <c r="Q350" s="3">
        <v>3.8699999999999998E-2</v>
      </c>
      <c r="R350" s="3">
        <v>0.98399999999999999</v>
      </c>
      <c r="S350" s="3">
        <v>0.83799999999999997</v>
      </c>
      <c r="T350" s="3">
        <v>9.6000000000000002E-2</v>
      </c>
      <c r="U350" s="3">
        <v>8.2199999999999995E-2</v>
      </c>
      <c r="V350" s="8">
        <v>120107</v>
      </c>
      <c r="W350" s="3">
        <v>4</v>
      </c>
      <c r="X350" s="3" t="str">
        <f t="shared" si="24"/>
        <v>-SADNE-</v>
      </c>
      <c r="Y350" s="3" t="str">
        <f t="shared" si="25"/>
        <v>-SLOWSS-</v>
      </c>
      <c r="Z350" s="4" t="str">
        <f t="shared" si="26"/>
        <v>{"couname":"Moon Fever","img":"https://i.scdn.co/image/ab67616d0000b2732ec0dfc75d6e2ea22da95b32","pty":"33","artist":"Air","genres":"trip hop,downtempo,house francés","duration":"214257","spotId":"3mKB8BUg6JIXlNChQXQQNR","Items":["-SADNE-","-SLOWSS-","","","GN_FrenchElectro"]},</v>
      </c>
      <c r="AA350" s="5" t="s">
        <v>6100</v>
      </c>
      <c r="AB350" s="3" t="str">
        <f t="shared" si="27"/>
        <v>["-SADNE-","-SLOWSS-","","","GN_FrenchElectro"]</v>
      </c>
      <c r="AC350" s="3" t="str">
        <f>_xlfn.XLOOKUP(A350,Album!A:A,Album!J:J)</f>
        <v>https://i.scdn.co/image/ab67616d0000b2732ec0dfc75d6e2ea22da95b32</v>
      </c>
      <c r="AD350" s="3"/>
      <c r="AE350" s="3"/>
      <c r="AF350" s="3"/>
      <c r="AG350" s="3"/>
      <c r="AH350" s="3"/>
    </row>
    <row r="351" spans="1:34" x14ac:dyDescent="0.3">
      <c r="A351" s="11" t="s">
        <v>1417</v>
      </c>
      <c r="B351" s="12" t="s">
        <v>1418</v>
      </c>
      <c r="C351" s="12" t="s">
        <v>1372</v>
      </c>
      <c r="D351" s="13" t="s">
        <v>1345</v>
      </c>
      <c r="E351" s="6">
        <v>37039</v>
      </c>
      <c r="F351" s="3">
        <v>457586</v>
      </c>
      <c r="G351" s="3">
        <v>33</v>
      </c>
      <c r="H351" s="3" t="s">
        <v>5659</v>
      </c>
      <c r="I351" s="3" t="s">
        <v>1336</v>
      </c>
      <c r="J351" s="3" t="s">
        <v>1337</v>
      </c>
      <c r="K351" s="3" t="s">
        <v>83</v>
      </c>
      <c r="L351" s="3">
        <v>0.314</v>
      </c>
      <c r="M351" s="3">
        <v>0.35599999999999998</v>
      </c>
      <c r="N351" s="3">
        <v>10</v>
      </c>
      <c r="O351" s="8">
        <v>-14916</v>
      </c>
      <c r="P351" s="3">
        <v>1</v>
      </c>
      <c r="Q351" s="3">
        <v>3.4500000000000003E-2</v>
      </c>
      <c r="R351" s="3">
        <v>0.90200000000000002</v>
      </c>
      <c r="S351" s="3">
        <v>0.90400000000000003</v>
      </c>
      <c r="T351" s="3">
        <v>8.9599999999999999E-2</v>
      </c>
      <c r="U351" s="3">
        <v>0.155</v>
      </c>
      <c r="V351" s="8">
        <v>132.12</v>
      </c>
      <c r="W351" s="3">
        <v>4</v>
      </c>
      <c r="X351" s="3" t="str">
        <f t="shared" si="24"/>
        <v>-SADNE-</v>
      </c>
      <c r="Y351" s="3" t="str">
        <f t="shared" si="25"/>
        <v>-SLOWSS-</v>
      </c>
      <c r="Z351" s="4" t="str">
        <f t="shared" si="26"/>
        <v>{"couname":"Radian","img":"https://i.scdn.co/image/ab67616d0000b2735c2d2f43471655dbbf3d6284","pty":"33","artist":"Air","genres":"trip hop,downtempo,house francés","duration":"457586","spotId":"2KRtaifTqFrba2d5fa33w7","Items":["-SADNE-","-SLOWSS-","","","GN_FrenchElectro"]},</v>
      </c>
      <c r="AA351" s="5" t="s">
        <v>6100</v>
      </c>
      <c r="AB351" s="3" t="str">
        <f t="shared" si="27"/>
        <v>["-SADNE-","-SLOWSS-","","","GN_FrenchElectro"]</v>
      </c>
      <c r="AC351" s="3" t="str">
        <f>_xlfn.XLOOKUP(A351,Album!A:A,Album!J:J)</f>
        <v>https://i.scdn.co/image/ab67616d0000b2735c2d2f43471655dbbf3d6284</v>
      </c>
      <c r="AD351" s="3"/>
      <c r="AE351" s="3"/>
      <c r="AF351" s="3"/>
      <c r="AG351" s="3"/>
      <c r="AH351" s="3"/>
    </row>
    <row r="352" spans="1:34" x14ac:dyDescent="0.3">
      <c r="A352" s="11" t="s">
        <v>1424</v>
      </c>
      <c r="B352" s="12" t="s">
        <v>1425</v>
      </c>
      <c r="C352" s="12" t="s">
        <v>1340</v>
      </c>
      <c r="D352" s="13" t="s">
        <v>1345</v>
      </c>
      <c r="E352" s="6">
        <v>36581</v>
      </c>
      <c r="F352" s="3">
        <v>148796</v>
      </c>
      <c r="G352" s="3">
        <v>33</v>
      </c>
      <c r="H352" s="3" t="s">
        <v>5658</v>
      </c>
      <c r="I352" s="3" t="s">
        <v>1336</v>
      </c>
      <c r="J352" s="3" t="s">
        <v>1337</v>
      </c>
      <c r="K352" s="3" t="s">
        <v>1341</v>
      </c>
      <c r="L352" s="3">
        <v>0.30599999999999999</v>
      </c>
      <c r="M352" s="3">
        <v>3.48E-3</v>
      </c>
      <c r="N352" s="3">
        <v>6</v>
      </c>
      <c r="O352" s="8">
        <v>-30627</v>
      </c>
      <c r="P352" s="3">
        <v>0</v>
      </c>
      <c r="Q352" s="3">
        <v>4.2700000000000002E-2</v>
      </c>
      <c r="R352" s="3">
        <v>0.98599999999999999</v>
      </c>
      <c r="S352" s="3">
        <v>0.89400000000000002</v>
      </c>
      <c r="T352" s="3">
        <v>0.115</v>
      </c>
      <c r="U352" s="3">
        <v>0.11</v>
      </c>
      <c r="V352" s="8">
        <v>122889</v>
      </c>
      <c r="W352" s="3">
        <v>3</v>
      </c>
      <c r="X352" s="3" t="str">
        <f t="shared" si="24"/>
        <v>-SADNE-</v>
      </c>
      <c r="Y352" s="3" t="str">
        <f t="shared" si="25"/>
        <v>-SLOWSS-</v>
      </c>
      <c r="Z352" s="4" t="str">
        <f t="shared" si="26"/>
        <v>{"couname":"Dark Messages","img":"https://i.scdn.co/image/ab67616d0000b2735e3c18f342d16b0b4df04df2","pty":"33","artist":"Air","genres":"trip hop,downtempo,house francés","duration":"148796","spotId":"4sZL5qbJ6VU0y8vcjShkIS","Items":["-SADNE-","-SLOWSS-","","","GN_FrenchElectro"]},</v>
      </c>
      <c r="AA352" s="5" t="s">
        <v>6100</v>
      </c>
      <c r="AB352" s="3" t="str">
        <f t="shared" si="27"/>
        <v>["-SADNE-","-SLOWSS-","","","GN_FrenchElectro"]</v>
      </c>
      <c r="AC352" s="3" t="str">
        <f>_xlfn.XLOOKUP(A352,Album!A:A,Album!J:J)</f>
        <v>https://i.scdn.co/image/ab67616d0000b2735e3c18f342d16b0b4df04df2</v>
      </c>
      <c r="AD352" s="3"/>
      <c r="AE352" s="3"/>
      <c r="AF352" s="3"/>
      <c r="AG352" s="3"/>
      <c r="AH352" s="3"/>
    </row>
    <row r="353" spans="1:34" x14ac:dyDescent="0.3">
      <c r="A353" s="11" t="s">
        <v>1428</v>
      </c>
      <c r="B353" s="12" t="s">
        <v>1429</v>
      </c>
      <c r="C353" s="12" t="s">
        <v>1372</v>
      </c>
      <c r="D353" s="13" t="s">
        <v>1345</v>
      </c>
      <c r="E353" s="6">
        <v>37039</v>
      </c>
      <c r="F353" s="3">
        <v>336360</v>
      </c>
      <c r="G353" s="3">
        <v>33</v>
      </c>
      <c r="H353" s="3" t="s">
        <v>5657</v>
      </c>
      <c r="I353" s="3" t="s">
        <v>1336</v>
      </c>
      <c r="J353" s="3" t="s">
        <v>1337</v>
      </c>
      <c r="K353" s="3" t="s">
        <v>83</v>
      </c>
      <c r="L353" s="3">
        <v>0.72699999999999998</v>
      </c>
      <c r="M353" s="3">
        <v>0.82399999999999995</v>
      </c>
      <c r="N353" s="3">
        <v>7</v>
      </c>
      <c r="O353" s="8">
        <v>-7865</v>
      </c>
      <c r="P353" s="3">
        <v>1</v>
      </c>
      <c r="Q353" s="3">
        <v>7.3700000000000002E-2</v>
      </c>
      <c r="R353" s="3">
        <v>4.8099999999999997E-2</v>
      </c>
      <c r="S353" s="3">
        <v>0.88800000000000001</v>
      </c>
      <c r="T353" s="3">
        <v>0.128</v>
      </c>
      <c r="U353" s="3">
        <v>0.35599999999999998</v>
      </c>
      <c r="V353" s="8">
        <v>119787</v>
      </c>
      <c r="W353" s="3">
        <v>4</v>
      </c>
      <c r="X353" s="3" t="str">
        <f t="shared" si="24"/>
        <v>-HAPPY-</v>
      </c>
      <c r="Y353" s="3" t="str">
        <f t="shared" si="25"/>
        <v>-ENERGY-</v>
      </c>
      <c r="Z353" s="4" t="str">
        <f t="shared" si="26"/>
        <v>{"couname":"Electronic Performers","img":"https://i.scdn.co/image/ab67616d0000b2735c2d2f43471655dbbf3d6284","pty":"33","artist":"Air","genres":"trip hop,downtempo,house francés","duration":"336360","spotId":"0C3vrVa4c8R2ZlTAn2WiMt","Items":["-HAPPY-","-ENERGY-","","","GN_FrenchElectro"]},</v>
      </c>
      <c r="AA353" s="5" t="s">
        <v>6100</v>
      </c>
      <c r="AB353" s="3" t="str">
        <f t="shared" si="27"/>
        <v>["-HAPPY-","-ENERGY-","","","GN_FrenchElectro"]</v>
      </c>
      <c r="AC353" s="3" t="str">
        <f>_xlfn.XLOOKUP(A353,Album!A:A,Album!J:J)</f>
        <v>https://i.scdn.co/image/ab67616d0000b2735c2d2f43471655dbbf3d6284</v>
      </c>
      <c r="AD353" s="3"/>
      <c r="AE353" s="3"/>
      <c r="AF353" s="3"/>
      <c r="AG353" s="3"/>
      <c r="AH353" s="3"/>
    </row>
    <row r="354" spans="1:34" x14ac:dyDescent="0.3">
      <c r="A354" s="11" t="s">
        <v>1519</v>
      </c>
      <c r="B354" s="12" t="s">
        <v>1520</v>
      </c>
      <c r="C354" s="12" t="s">
        <v>1479</v>
      </c>
      <c r="D354" s="13" t="s">
        <v>1487</v>
      </c>
      <c r="E354" s="6">
        <v>43671</v>
      </c>
      <c r="F354" s="3">
        <v>231037</v>
      </c>
      <c r="G354" s="3">
        <v>33</v>
      </c>
      <c r="H354" s="3" t="s">
        <v>5656</v>
      </c>
      <c r="I354" s="3" t="s">
        <v>1463</v>
      </c>
      <c r="J354" s="3"/>
      <c r="K354" s="3" t="s">
        <v>1476</v>
      </c>
      <c r="L354" s="3">
        <v>0.59499999999999997</v>
      </c>
      <c r="M354" s="3">
        <v>0.95199999999999996</v>
      </c>
      <c r="N354" s="3">
        <v>5</v>
      </c>
      <c r="O354" s="8">
        <v>-1892</v>
      </c>
      <c r="P354" s="3">
        <v>0</v>
      </c>
      <c r="Q354" s="3">
        <v>4.2000000000000003E-2</v>
      </c>
      <c r="R354" s="3">
        <v>2.69E-2</v>
      </c>
      <c r="S354" s="3">
        <v>0.67100000000000004</v>
      </c>
      <c r="T354" s="3">
        <v>0.109</v>
      </c>
      <c r="U354" s="3">
        <v>0.59</v>
      </c>
      <c r="V354" s="8">
        <v>159996</v>
      </c>
      <c r="W354" s="3">
        <v>4</v>
      </c>
      <c r="X354" s="3" t="str">
        <f t="shared" si="24"/>
        <v>-HAPPY-</v>
      </c>
      <c r="Y354" s="3" t="str">
        <f t="shared" si="25"/>
        <v>-ENERGY-</v>
      </c>
      <c r="Z354" s="4" t="str">
        <f t="shared" si="26"/>
        <v>{"couname":"When The Lights Go Down","img":"https://i.scdn.co/image/ab67616d0000b273caf82abb2338880577e472be","pty":"33","artist":"DJ Snake","genres":"","duration":"231037","spotId":"0pSL76Z9uhRAfFd09VmF24","Items":["-HAPPY-","-ENERGY-","","","GN_FrenchElectro"]},</v>
      </c>
      <c r="AA354" s="5" t="s">
        <v>6100</v>
      </c>
      <c r="AB354" s="3" t="str">
        <f t="shared" si="27"/>
        <v>["-HAPPY-","-ENERGY-","","","GN_FrenchElectro"]</v>
      </c>
      <c r="AC354" s="3" t="str">
        <f>_xlfn.XLOOKUP(A354,Album!A:A,Album!J:J)</f>
        <v>https://i.scdn.co/image/ab67616d0000b273caf82abb2338880577e472be</v>
      </c>
      <c r="AD354" s="3"/>
      <c r="AE354" s="3"/>
      <c r="AF354" s="3"/>
      <c r="AG354" s="3"/>
      <c r="AH354" s="3"/>
    </row>
    <row r="355" spans="1:34" x14ac:dyDescent="0.3">
      <c r="A355" s="11" t="s">
        <v>1569</v>
      </c>
      <c r="B355" s="12" t="s">
        <v>1570</v>
      </c>
      <c r="C355" s="12" t="s">
        <v>1462</v>
      </c>
      <c r="D355" s="13" t="s">
        <v>4051</v>
      </c>
      <c r="E355" s="6">
        <v>42587</v>
      </c>
      <c r="F355" s="3">
        <v>222413</v>
      </c>
      <c r="G355" s="3">
        <v>33</v>
      </c>
      <c r="H355" s="3" t="s">
        <v>5655</v>
      </c>
      <c r="I355" s="3" t="s">
        <v>1463</v>
      </c>
      <c r="J355" s="3"/>
      <c r="K355" s="3" t="s">
        <v>1464</v>
      </c>
      <c r="L355" s="3">
        <v>0.79900000000000004</v>
      </c>
      <c r="M355" s="3">
        <v>0.628</v>
      </c>
      <c r="N355" s="3">
        <v>4</v>
      </c>
      <c r="O355" s="8">
        <v>-6914</v>
      </c>
      <c r="P355" s="3">
        <v>0</v>
      </c>
      <c r="Q355" s="3">
        <v>4.3200000000000002E-2</v>
      </c>
      <c r="R355" s="3">
        <v>5.0900000000000001E-2</v>
      </c>
      <c r="S355" s="3">
        <v>8.0000000000000007E-5</v>
      </c>
      <c r="T355" s="3">
        <v>0.159</v>
      </c>
      <c r="U355" s="3">
        <v>0.46600000000000003</v>
      </c>
      <c r="V355" s="8">
        <v>115997</v>
      </c>
      <c r="W355" s="3">
        <v>4</v>
      </c>
      <c r="X355" s="3" t="str">
        <f t="shared" si="24"/>
        <v>-HAPPY-</v>
      </c>
      <c r="Y355" s="3" t="str">
        <f t="shared" si="25"/>
        <v>-ENERGY-</v>
      </c>
      <c r="Z355" s="4" t="str">
        <f t="shared" si="26"/>
        <v>{"couname":"Future Pt 2","img":"https://i.scdn.co/image/ab67616d0000b273212d776c31027c511f0ee3bc","pty":"33","artist":"DJ Snake, Bipolar Sunshine","genres":"","duration":"222413","spotId":"5PsLICW9HfBbHZ64TT1liT","Items":["-HAPPY-","-ENERGY-","","","GN_FrenchElectro"]},</v>
      </c>
      <c r="AA355" s="5" t="s">
        <v>6100</v>
      </c>
      <c r="AB355" s="3" t="str">
        <f t="shared" si="27"/>
        <v>["-HAPPY-","-ENERGY-","","","GN_FrenchElectro"]</v>
      </c>
      <c r="AC355" s="3" t="str">
        <f>_xlfn.XLOOKUP(A355,Album!A:A,Album!J:J)</f>
        <v>https://i.scdn.co/image/ab67616d0000b273212d776c31027c511f0ee3bc</v>
      </c>
      <c r="AD355" s="3"/>
      <c r="AE355" s="3"/>
      <c r="AF355" s="3"/>
      <c r="AG355" s="3"/>
      <c r="AH355" s="3"/>
    </row>
    <row r="356" spans="1:34" x14ac:dyDescent="0.3">
      <c r="A356" s="11" t="s">
        <v>1611</v>
      </c>
      <c r="B356" s="12" t="s">
        <v>5653</v>
      </c>
      <c r="C356" s="12" t="s">
        <v>1479</v>
      </c>
      <c r="D356" s="13" t="s">
        <v>4290</v>
      </c>
      <c r="E356" s="6">
        <v>43671</v>
      </c>
      <c r="F356" s="3">
        <v>198303</v>
      </c>
      <c r="G356" s="3">
        <v>33</v>
      </c>
      <c r="H356" s="3" t="s">
        <v>5654</v>
      </c>
      <c r="I356" s="3" t="s">
        <v>1463</v>
      </c>
      <c r="J356" s="3" t="s">
        <v>1613</v>
      </c>
      <c r="K356" s="3" t="s">
        <v>1476</v>
      </c>
      <c r="L356" s="3">
        <v>0.40200000000000002</v>
      </c>
      <c r="M356" s="3">
        <v>0.82</v>
      </c>
      <c r="N356" s="3">
        <v>5</v>
      </c>
      <c r="O356" s="8">
        <v>-1887</v>
      </c>
      <c r="P356" s="3">
        <v>0</v>
      </c>
      <c r="Q356" s="3">
        <v>0.112</v>
      </c>
      <c r="R356" s="3">
        <v>0.14199999999999999</v>
      </c>
      <c r="S356" s="3">
        <v>0</v>
      </c>
      <c r="T356" s="3">
        <v>0.23699999999999999</v>
      </c>
      <c r="U356" s="3">
        <v>0.53800000000000003</v>
      </c>
      <c r="V356" s="8">
        <v>160055</v>
      </c>
      <c r="W356" s="3">
        <v>4</v>
      </c>
      <c r="X356" s="3" t="str">
        <f t="shared" si="24"/>
        <v>-HAPPY-</v>
      </c>
      <c r="Y356" s="3" t="str">
        <f t="shared" si="25"/>
        <v>-ENERGY-</v>
      </c>
      <c r="Z356" s="4" t="str">
        <f t="shared" si="26"/>
        <v>{"couname":"Smile","img":"https://i.scdn.co/image/ab67616d0000b273caf82abb2338880577e472be","pty":"33","artist":"DJ Snake, Bryson Tiller","genres":"r&amp;b","duration":"198303","spotId":"0qczhh8fOxKyXqnaKouJyZ","Items":["-HAPPY-","-ENERGY-","","","GN_FrenchElectro"]},</v>
      </c>
      <c r="AA356" s="5" t="s">
        <v>6100</v>
      </c>
      <c r="AB356" s="3" t="str">
        <f t="shared" si="27"/>
        <v>["-HAPPY-","-ENERGY-","","","GN_FrenchElectro"]</v>
      </c>
      <c r="AC356" s="3" t="str">
        <f>_xlfn.XLOOKUP(A356,Album!A:A,Album!J:J)</f>
        <v>https://i.scdn.co/image/ab67616d0000b273caf82abb2338880577e472be</v>
      </c>
      <c r="AD356" s="3"/>
      <c r="AE356" s="3"/>
      <c r="AF356" s="3"/>
      <c r="AG356" s="3"/>
      <c r="AH356" s="3"/>
    </row>
    <row r="357" spans="1:34" x14ac:dyDescent="0.3">
      <c r="A357" s="11" t="s">
        <v>1661</v>
      </c>
      <c r="B357" s="12" t="s">
        <v>1662</v>
      </c>
      <c r="C357" s="12" t="s">
        <v>1655</v>
      </c>
      <c r="D357" s="13" t="s">
        <v>1649</v>
      </c>
      <c r="E357" s="6">
        <v>41275</v>
      </c>
      <c r="F357" s="3">
        <v>217720</v>
      </c>
      <c r="G357" s="3">
        <v>33</v>
      </c>
      <c r="H357" s="3" t="s">
        <v>5652</v>
      </c>
      <c r="I357" s="3" t="s">
        <v>1650</v>
      </c>
      <c r="J357" s="3" t="s">
        <v>1651</v>
      </c>
      <c r="K357" s="3" t="s">
        <v>1656</v>
      </c>
      <c r="L357" s="3">
        <v>0.52500000000000002</v>
      </c>
      <c r="M357" s="3">
        <v>0.85399999999999998</v>
      </c>
      <c r="N357" s="3">
        <v>1</v>
      </c>
      <c r="O357" s="8">
        <v>-4193</v>
      </c>
      <c r="P357" s="3">
        <v>1</v>
      </c>
      <c r="Q357" s="3">
        <v>0.25600000000000001</v>
      </c>
      <c r="R357" s="3">
        <v>4.2299999999999997E-2</v>
      </c>
      <c r="S357" s="3">
        <v>0</v>
      </c>
      <c r="T357" s="3">
        <v>0.44900000000000001</v>
      </c>
      <c r="U357" s="3">
        <v>0.749</v>
      </c>
      <c r="V357" s="8">
        <v>130013</v>
      </c>
      <c r="W357" s="3">
        <v>3</v>
      </c>
      <c r="X357" s="3" t="str">
        <f t="shared" si="24"/>
        <v>-HAPPY-</v>
      </c>
      <c r="Y357" s="3" t="str">
        <f t="shared" si="25"/>
        <v>-ENERGY-</v>
      </c>
      <c r="Z357" s="4" t="str">
        <f t="shared" si="26"/>
        <v>{"couname":"Testarossa Autodrive","img":"https://i.scdn.co/image/ab67616d0000b2731c08bca073e89ae32c68ffaa","pty":"33","artist":"Kavinsky","genres":"synthwave,house francés","duration":"217720","spotId":"5MOwFMdgsaysrVPcE7Flnj","Items":["-HAPPY-","-ENERGY-","","","GN_FrenchElectro"]},</v>
      </c>
      <c r="AA357" s="5" t="s">
        <v>6100</v>
      </c>
      <c r="AB357" s="3" t="str">
        <f t="shared" si="27"/>
        <v>["-HAPPY-","-ENERGY-","","","GN_FrenchElectro"]</v>
      </c>
      <c r="AC357" s="3" t="str">
        <f>_xlfn.XLOOKUP(A357,Album!A:A,Album!J:J)</f>
        <v>https://i.scdn.co/image/ab67616d0000b2731c08bca073e89ae32c68ffaa</v>
      </c>
      <c r="AD357" s="3"/>
      <c r="AE357" s="3"/>
      <c r="AF357" s="3"/>
      <c r="AG357" s="3"/>
      <c r="AH357" s="3"/>
    </row>
    <row r="358" spans="1:34" x14ac:dyDescent="0.3">
      <c r="A358" s="11" t="s">
        <v>1877</v>
      </c>
      <c r="B358" s="12" t="s">
        <v>1878</v>
      </c>
      <c r="C358" s="12" t="s">
        <v>1876</v>
      </c>
      <c r="D358" s="13" t="s">
        <v>9</v>
      </c>
      <c r="E358" s="6">
        <v>38425</v>
      </c>
      <c r="F358" s="3">
        <v>263240</v>
      </c>
      <c r="G358" s="3">
        <v>33</v>
      </c>
      <c r="H358" s="3" t="s">
        <v>5651</v>
      </c>
      <c r="I358" s="3" t="s">
        <v>1809</v>
      </c>
      <c r="J358" s="3" t="s">
        <v>1810</v>
      </c>
      <c r="K358" s="3" t="s">
        <v>1811</v>
      </c>
      <c r="L358" s="3">
        <v>0.503</v>
      </c>
      <c r="M358" s="3">
        <v>0.50700000000000001</v>
      </c>
      <c r="N358" s="3">
        <v>9</v>
      </c>
      <c r="O358" s="8">
        <v>-7243</v>
      </c>
      <c r="P358" s="3">
        <v>1</v>
      </c>
      <c r="Q358" s="3">
        <v>0.18099999999999999</v>
      </c>
      <c r="R358" s="3">
        <v>4.5099999999999998E-5</v>
      </c>
      <c r="S358" s="3">
        <v>0.51400000000000001</v>
      </c>
      <c r="T358" s="3">
        <v>0.28799999999999998</v>
      </c>
      <c r="U358" s="3">
        <v>9.8699999999999996E-2</v>
      </c>
      <c r="V358" s="8">
        <v>128606</v>
      </c>
      <c r="W358" s="3">
        <v>4</v>
      </c>
      <c r="X358" s="3" t="str">
        <f t="shared" si="24"/>
        <v>-SADNE-</v>
      </c>
      <c r="Y358" s="3" t="str">
        <f t="shared" si="25"/>
        <v>-ENERGY-</v>
      </c>
      <c r="Z358" s="4" t="str">
        <f t="shared" si="26"/>
        <v>{"couname":"The Prime Time of Your Life","img":"https://i.scdn.co/image/ab67616d0000b273d8601e15fa1b4351fe1fc6ae","pty":"33","artist":"Daft Punk","genres":"house francés,electrónica,electro","duration":"263240","spotId":"2ABpuao3ZbTjP2cSiX9KZc","Items":["-SADNE-","-ENERGY-","","","GN_FrenchElectro"]},</v>
      </c>
      <c r="AA358" s="5" t="s">
        <v>6100</v>
      </c>
      <c r="AB358" s="3" t="str">
        <f t="shared" si="27"/>
        <v>["-SADNE-","-ENERGY-","","","GN_FrenchElectro"]</v>
      </c>
      <c r="AC358" s="3" t="str">
        <f>_xlfn.XLOOKUP(A358,Album!A:A,Album!J:J)</f>
        <v>https://i.scdn.co/image/ab67616d0000b273d8601e15fa1b4351fe1fc6ae</v>
      </c>
      <c r="AD358" s="3"/>
      <c r="AE358" s="3"/>
      <c r="AF358" s="3"/>
      <c r="AG358" s="3"/>
      <c r="AH358" s="3"/>
    </row>
    <row r="359" spans="1:34" x14ac:dyDescent="0.3">
      <c r="A359" s="11" t="s">
        <v>1893</v>
      </c>
      <c r="B359" s="12" t="s">
        <v>1894</v>
      </c>
      <c r="C359" s="12" t="s">
        <v>1876</v>
      </c>
      <c r="D359" s="13" t="s">
        <v>9</v>
      </c>
      <c r="E359" s="6">
        <v>38425</v>
      </c>
      <c r="F359" s="3">
        <v>417320</v>
      </c>
      <c r="G359" s="3">
        <v>33</v>
      </c>
      <c r="H359" s="3" t="s">
        <v>5650</v>
      </c>
      <c r="I359" s="3" t="s">
        <v>1809</v>
      </c>
      <c r="J359" s="3" t="s">
        <v>1810</v>
      </c>
      <c r="K359" s="3" t="s">
        <v>1811</v>
      </c>
      <c r="L359" s="3">
        <v>0.34399999999999997</v>
      </c>
      <c r="M359" s="3">
        <v>0.61299999999999999</v>
      </c>
      <c r="N359" s="3">
        <v>7</v>
      </c>
      <c r="O359" s="8">
        <v>-6881</v>
      </c>
      <c r="P359" s="3">
        <v>1</v>
      </c>
      <c r="Q359" s="3">
        <v>3.6900000000000002E-2</v>
      </c>
      <c r="R359" s="3">
        <v>5.5500000000000005E-4</v>
      </c>
      <c r="S359" s="3">
        <v>0.23200000000000001</v>
      </c>
      <c r="T359" s="3">
        <v>0.192</v>
      </c>
      <c r="U359" s="3">
        <v>5.2999999999999999E-2</v>
      </c>
      <c r="V359" s="8">
        <v>98305</v>
      </c>
      <c r="W359" s="3">
        <v>4</v>
      </c>
      <c r="X359" s="3" t="str">
        <f t="shared" si="24"/>
        <v>-SADNE-</v>
      </c>
      <c r="Y359" s="3" t="str">
        <f t="shared" si="25"/>
        <v>-ENERGY-</v>
      </c>
      <c r="Z359" s="4" t="str">
        <f t="shared" si="26"/>
        <v>{"couname":"Emotion","img":"https://i.scdn.co/image/ab67616d0000b273d8601e15fa1b4351fe1fc6ae","pty":"33","artist":"Daft Punk","genres":"house francés,electrónica,electro","duration":"417320","spotId":"3PsJ6zisndTa3F9eOjBfCc","Items":["-SADNE-","-ENERGY-","","","GN_FrenchElectro"]},</v>
      </c>
      <c r="AA359" s="5" t="s">
        <v>6100</v>
      </c>
      <c r="AB359" s="3" t="str">
        <f t="shared" si="27"/>
        <v>["-SADNE-","-ENERGY-","","","GN_FrenchElectro"]</v>
      </c>
      <c r="AC359" s="3" t="str">
        <f>_xlfn.XLOOKUP(A359,Album!A:A,Album!J:J)</f>
        <v>https://i.scdn.co/image/ab67616d0000b273d8601e15fa1b4351fe1fc6ae</v>
      </c>
      <c r="AD359" s="3"/>
      <c r="AE359" s="3"/>
      <c r="AF359" s="3"/>
      <c r="AG359" s="3"/>
      <c r="AH359" s="3"/>
    </row>
    <row r="360" spans="1:34" x14ac:dyDescent="0.3">
      <c r="A360" s="11" t="s">
        <v>1915</v>
      </c>
      <c r="B360" s="12" t="s">
        <v>5648</v>
      </c>
      <c r="C360" s="12" t="s">
        <v>1898</v>
      </c>
      <c r="D360" s="13" t="s">
        <v>9</v>
      </c>
      <c r="E360" s="6">
        <v>40515</v>
      </c>
      <c r="F360" s="3">
        <v>279320</v>
      </c>
      <c r="G360" s="3">
        <v>33</v>
      </c>
      <c r="H360" s="3" t="s">
        <v>5649</v>
      </c>
      <c r="I360" s="3" t="s">
        <v>1809</v>
      </c>
      <c r="J360" s="3" t="s">
        <v>1810</v>
      </c>
      <c r="K360" s="3" t="s">
        <v>51</v>
      </c>
      <c r="L360" s="3">
        <v>0.35299999999999998</v>
      </c>
      <c r="M360" s="3">
        <v>0.51100000000000001</v>
      </c>
      <c r="N360" s="3">
        <v>10</v>
      </c>
      <c r="O360" s="8">
        <v>-13065</v>
      </c>
      <c r="P360" s="3">
        <v>1</v>
      </c>
      <c r="Q360" s="3">
        <v>3.4099999999999998E-2</v>
      </c>
      <c r="R360" s="3">
        <v>0.34300000000000003</v>
      </c>
      <c r="S360" s="3">
        <v>0.746</v>
      </c>
      <c r="T360" s="3">
        <v>0.22800000000000001</v>
      </c>
      <c r="U360" s="3">
        <v>4.99E-2</v>
      </c>
      <c r="V360" s="8">
        <v>86249</v>
      </c>
      <c r="W360" s="3">
        <v>4</v>
      </c>
      <c r="X360" s="3" t="str">
        <f t="shared" si="24"/>
        <v>-SADNE-</v>
      </c>
      <c r="Y360" s="3" t="str">
        <f t="shared" si="25"/>
        <v>-ENERGY-</v>
      </c>
      <c r="Z360" s="4" t="str">
        <f t="shared" si="26"/>
        <v>{"couname":"C.L.U.","img":"https://i.scdn.co/image/ab67616d0000b27366919acb93950333962467f8","pty":"33","artist":"Daft Punk","genres":"house francés,electrónica,electro","duration":"279320","spotId":"0GmOKTeqDD8OJdl15LBpyD","Items":["-SADNE-","-ENERGY-","","","GN_FrenchElectro"]},</v>
      </c>
      <c r="AA360" s="5" t="s">
        <v>6100</v>
      </c>
      <c r="AB360" s="3" t="str">
        <f t="shared" si="27"/>
        <v>["-SADNE-","-ENERGY-","","","GN_FrenchElectro"]</v>
      </c>
      <c r="AC360" s="3" t="str">
        <f>_xlfn.XLOOKUP(A360,Album!A:A,Album!J:J)</f>
        <v>https://i.scdn.co/image/ab67616d0000b27366919acb93950333962467f8</v>
      </c>
      <c r="AD360" s="3"/>
      <c r="AE360" s="3"/>
      <c r="AF360" s="3"/>
      <c r="AG360" s="3"/>
      <c r="AH360" s="3"/>
    </row>
    <row r="361" spans="1:34" x14ac:dyDescent="0.3">
      <c r="A361" s="11" t="s">
        <v>2003</v>
      </c>
      <c r="B361" s="12" t="s">
        <v>2004</v>
      </c>
      <c r="C361" s="12" t="s">
        <v>2004</v>
      </c>
      <c r="D361" s="13" t="s">
        <v>1993</v>
      </c>
      <c r="E361" s="6">
        <v>40560</v>
      </c>
      <c r="F361" s="3">
        <v>214813</v>
      </c>
      <c r="G361" s="3">
        <v>33</v>
      </c>
      <c r="H361" s="3" t="s">
        <v>5647</v>
      </c>
      <c r="I361" s="3" t="s">
        <v>1983</v>
      </c>
      <c r="J361" s="3" t="s">
        <v>1994</v>
      </c>
      <c r="K361" s="3" t="s">
        <v>2002</v>
      </c>
      <c r="L361" s="3">
        <v>0.73499999999999999</v>
      </c>
      <c r="M361" s="3">
        <v>0.64400000000000002</v>
      </c>
      <c r="N361" s="3">
        <v>5</v>
      </c>
      <c r="O361" s="8">
        <v>-5111</v>
      </c>
      <c r="P361" s="3">
        <v>0</v>
      </c>
      <c r="Q361" s="3">
        <v>3.8300000000000001E-2</v>
      </c>
      <c r="R361" s="3">
        <v>6.8500000000000005E-2</v>
      </c>
      <c r="S361" s="3">
        <v>0.39100000000000001</v>
      </c>
      <c r="T361" s="3">
        <v>5.7200000000000001E-2</v>
      </c>
      <c r="U361" s="3">
        <v>0.92200000000000004</v>
      </c>
      <c r="V361" s="8">
        <v>120001</v>
      </c>
      <c r="W361" s="3">
        <v>4</v>
      </c>
      <c r="X361" s="3" t="str">
        <f t="shared" si="24"/>
        <v>-HAPPY-</v>
      </c>
      <c r="Y361" s="3" t="str">
        <f t="shared" si="25"/>
        <v>-ENERGY-</v>
      </c>
      <c r="Z361" s="4" t="str">
        <f t="shared" si="26"/>
        <v>{"couname":"Safari Disco Club","img":"https://i.scdn.co/image/ab67616d0000b2732a3613ff2c4649ec2a27b0ce","pty":"33","artist":"Yelle","genres":"pop francés,house francés,electroclash,electropop","duration":"214813","spotId":"0N5NY3HZ3IQ4oawVUGZysh","Items":["-HAPPY-","-ENERGY-","","","GN_FrenchElectro"]},</v>
      </c>
      <c r="AA361" s="5" t="s">
        <v>6100</v>
      </c>
      <c r="AB361" s="3" t="str">
        <f t="shared" si="27"/>
        <v>["-HAPPY-","-ENERGY-","","","GN_FrenchElectro"]</v>
      </c>
      <c r="AC361" s="3" t="str">
        <f>_xlfn.XLOOKUP(A361,Album!A:A,Album!J:J)</f>
        <v>https://i.scdn.co/image/ab67616d0000b2732a3613ff2c4649ec2a27b0ce</v>
      </c>
      <c r="AD361" s="3"/>
      <c r="AE361" s="3"/>
      <c r="AF361" s="3"/>
      <c r="AG361" s="3"/>
      <c r="AH361" s="3"/>
    </row>
    <row r="362" spans="1:34" x14ac:dyDescent="0.3">
      <c r="A362" s="11" t="s">
        <v>213</v>
      </c>
      <c r="B362" s="12" t="s">
        <v>5645</v>
      </c>
      <c r="C362" s="12" t="s">
        <v>204</v>
      </c>
      <c r="D362" s="13" t="s">
        <v>18</v>
      </c>
      <c r="E362" s="6">
        <v>42244</v>
      </c>
      <c r="F362" s="3">
        <v>225466</v>
      </c>
      <c r="G362" s="3">
        <v>32</v>
      </c>
      <c r="H362" s="3" t="s">
        <v>5646</v>
      </c>
      <c r="I362" s="3" t="s">
        <v>102</v>
      </c>
      <c r="J362" s="3" t="s">
        <v>103</v>
      </c>
      <c r="K362" s="3" t="s">
        <v>104</v>
      </c>
      <c r="L362" s="3">
        <v>0.55800000000000005</v>
      </c>
      <c r="M362" s="3">
        <v>0.77900000000000003</v>
      </c>
      <c r="N362" s="3">
        <v>1</v>
      </c>
      <c r="O362" s="8">
        <v>-7598</v>
      </c>
      <c r="P362" s="3">
        <v>1</v>
      </c>
      <c r="Q362" s="3">
        <v>4.5900000000000003E-2</v>
      </c>
      <c r="R362" s="3">
        <v>1.49E-3</v>
      </c>
      <c r="S362" s="3">
        <v>0.91800000000000004</v>
      </c>
      <c r="T362" s="3">
        <v>0.23300000000000001</v>
      </c>
      <c r="U362" s="3">
        <v>0.78900000000000003</v>
      </c>
      <c r="V362" s="8">
        <v>119958</v>
      </c>
      <c r="W362" s="3">
        <v>4</v>
      </c>
      <c r="X362" s="3" t="str">
        <f t="shared" si="24"/>
        <v>-HAPPY-</v>
      </c>
      <c r="Y362" s="3" t="str">
        <f t="shared" si="25"/>
        <v>-ENERGY-</v>
      </c>
      <c r="Z362" s="4" t="str">
        <f t="shared" si="26"/>
        <v>{"couname":"Chronology, Pt. 6","img":"https://i.scdn.co/image/ab67616d0000b273dae32ab51194394f576a6f3c","pty":"32","artist":"Jean-Michel Jarre","genres":"new age,electrónica,space music","duration":"225466","spotId":"6noyQTtUSeIYzTY40f1UN9","Items":["-HAPPY-","-ENERGY-","","","GN_FrenchElectro"]},</v>
      </c>
      <c r="AA362" s="5" t="s">
        <v>6100</v>
      </c>
      <c r="AB362" s="3" t="str">
        <f t="shared" si="27"/>
        <v>["-HAPPY-","-ENERGY-","","","GN_FrenchElectro"]</v>
      </c>
      <c r="AC362" s="3" t="str">
        <f>_xlfn.XLOOKUP(A362,Album!A:A,Album!J:J)</f>
        <v>https://i.scdn.co/image/ab67616d0000b273dae32ab51194394f576a6f3c</v>
      </c>
      <c r="AD362" s="3"/>
      <c r="AE362" s="3"/>
      <c r="AF362" s="3"/>
      <c r="AG362" s="3"/>
      <c r="AH362" s="3"/>
    </row>
    <row r="363" spans="1:34" x14ac:dyDescent="0.3">
      <c r="A363" s="11" t="s">
        <v>823</v>
      </c>
      <c r="B363" s="12" t="s">
        <v>824</v>
      </c>
      <c r="C363" s="12" t="s">
        <v>786</v>
      </c>
      <c r="D363" s="13" t="s">
        <v>745</v>
      </c>
      <c r="E363" s="6">
        <v>40840</v>
      </c>
      <c r="F363" s="3">
        <v>219080</v>
      </c>
      <c r="G363" s="3">
        <v>32</v>
      </c>
      <c r="H363" s="3" t="s">
        <v>5644</v>
      </c>
      <c r="I363" s="3" t="s">
        <v>738</v>
      </c>
      <c r="J363" s="3" t="s">
        <v>742</v>
      </c>
      <c r="K363" s="3" t="s">
        <v>770</v>
      </c>
      <c r="L363" s="3">
        <v>0.58499999999999996</v>
      </c>
      <c r="M363" s="3">
        <v>0.876</v>
      </c>
      <c r="N363" s="3">
        <v>0</v>
      </c>
      <c r="O363" s="8">
        <v>-4608</v>
      </c>
      <c r="P363" s="3">
        <v>1</v>
      </c>
      <c r="Q363" s="3">
        <v>7.4200000000000002E-2</v>
      </c>
      <c r="R363" s="3">
        <v>2.7299999999999998E-3</v>
      </c>
      <c r="S363" s="3">
        <v>0.42</v>
      </c>
      <c r="T363" s="3">
        <v>0.221</v>
      </c>
      <c r="U363" s="3">
        <v>0.21299999999999999</v>
      </c>
      <c r="V363" s="8">
        <v>116974</v>
      </c>
      <c r="W363" s="3">
        <v>4</v>
      </c>
      <c r="X363" s="3" t="str">
        <f t="shared" si="24"/>
        <v>-SADNE-</v>
      </c>
      <c r="Y363" s="3" t="str">
        <f t="shared" si="25"/>
        <v>-ENERGY-</v>
      </c>
      <c r="Z363" s="4" t="str">
        <f t="shared" si="26"/>
        <v>{"couname":"Horsepower","img":"https://i.scdn.co/image/ab67616d0000b273f9171c2b7bab0956cdfbd1fa","pty":"32","artist":"Justice","genres":"house francés,new rave,rock electrónico","duration":"219080","spotId":"4RWp46k6W4T1SISIuzgpH1","Items":["-SADNE-","-ENERGY-","","","GN_FrenchElectro"]},</v>
      </c>
      <c r="AA363" s="5" t="s">
        <v>6100</v>
      </c>
      <c r="AB363" s="3" t="str">
        <f t="shared" si="27"/>
        <v>["-SADNE-","-ENERGY-","","","GN_FrenchElectro"]</v>
      </c>
      <c r="AC363" s="3" t="str">
        <f>_xlfn.XLOOKUP(A363,Album!A:A,Album!J:J)</f>
        <v>https://i.scdn.co/image/ab67616d0000b273f9171c2b7bab0956cdfbd1fa</v>
      </c>
      <c r="AD363" s="3"/>
      <c r="AE363" s="3"/>
      <c r="AF363" s="3"/>
      <c r="AG363" s="3"/>
      <c r="AH363" s="3"/>
    </row>
    <row r="364" spans="1:34" x14ac:dyDescent="0.3">
      <c r="A364" s="11" t="s">
        <v>833</v>
      </c>
      <c r="B364" s="12" t="s">
        <v>11</v>
      </c>
      <c r="C364" s="12" t="s">
        <v>780</v>
      </c>
      <c r="D364" s="13" t="s">
        <v>745</v>
      </c>
      <c r="E364" s="6">
        <v>42692</v>
      </c>
      <c r="F364" s="3">
        <v>270859</v>
      </c>
      <c r="G364" s="3">
        <v>32</v>
      </c>
      <c r="H364" s="3" t="s">
        <v>5643</v>
      </c>
      <c r="I364" s="3" t="s">
        <v>738</v>
      </c>
      <c r="J364" s="3" t="s">
        <v>742</v>
      </c>
      <c r="K364" s="3" t="s">
        <v>19</v>
      </c>
      <c r="L364" s="3">
        <v>0.51800000000000002</v>
      </c>
      <c r="M364" s="3">
        <v>0.70199999999999996</v>
      </c>
      <c r="N364" s="3">
        <v>9</v>
      </c>
      <c r="O364" s="8">
        <v>-5039</v>
      </c>
      <c r="P364" s="3">
        <v>1</v>
      </c>
      <c r="Q364" s="3">
        <v>2.9899999999999999E-2</v>
      </c>
      <c r="R364" s="3">
        <v>3.6699999999999998E-4</v>
      </c>
      <c r="S364" s="3">
        <v>0.84099999999999997</v>
      </c>
      <c r="T364" s="3">
        <v>0.39600000000000002</v>
      </c>
      <c r="U364" s="3">
        <v>0.23</v>
      </c>
      <c r="V364" s="8">
        <v>117014</v>
      </c>
      <c r="W364" s="3">
        <v>4</v>
      </c>
      <c r="X364" s="3" t="str">
        <f t="shared" si="24"/>
        <v>-SADNE-</v>
      </c>
      <c r="Y364" s="3" t="str">
        <f t="shared" si="25"/>
        <v>-ENERGY-</v>
      </c>
      <c r="Z364" s="4" t="str">
        <f t="shared" si="26"/>
        <v>{"couname":"Heavy Metal","img":"https://i.scdn.co/image/ab67616d0000b273d4a2f9a24620e329d2db7078","pty":"32","artist":"Justice","genres":"house francés,new rave,rock electrónico","duration":"270859","spotId":"621W0YFtYurfPC6hwvmWgc","Items":["-SADNE-","-ENERGY-","","","GN_FrenchElectro"]},</v>
      </c>
      <c r="AA364" s="5" t="s">
        <v>6100</v>
      </c>
      <c r="AB364" s="3" t="str">
        <f t="shared" si="27"/>
        <v>["-SADNE-","-ENERGY-","","","GN_FrenchElectro"]</v>
      </c>
      <c r="AC364" s="3" t="str">
        <f>_xlfn.XLOOKUP(A364,Album!A:A,Album!J:J)</f>
        <v>https://i.scdn.co/image/ab67616d0000b273d4a2f9a24620e329d2db7078</v>
      </c>
      <c r="AD364" s="3"/>
      <c r="AE364" s="3"/>
      <c r="AF364" s="3"/>
      <c r="AG364" s="3"/>
      <c r="AH364" s="3"/>
    </row>
    <row r="365" spans="1:34" x14ac:dyDescent="0.3">
      <c r="A365" s="11" t="s">
        <v>863</v>
      </c>
      <c r="B365" s="12" t="s">
        <v>864</v>
      </c>
      <c r="C365" s="12" t="s">
        <v>841</v>
      </c>
      <c r="D365" s="13" t="s">
        <v>842</v>
      </c>
      <c r="E365" s="6">
        <v>2011</v>
      </c>
      <c r="F365" s="3">
        <v>189293</v>
      </c>
      <c r="G365" s="3">
        <v>32</v>
      </c>
      <c r="H365" s="3" t="s">
        <v>5642</v>
      </c>
      <c r="I365" s="3" t="s">
        <v>843</v>
      </c>
      <c r="J365" s="3" t="s">
        <v>844</v>
      </c>
      <c r="K365" s="3" t="s">
        <v>845</v>
      </c>
      <c r="L365" s="3">
        <v>0.40400000000000003</v>
      </c>
      <c r="M365" s="3">
        <v>0.40699999999999997</v>
      </c>
      <c r="N365" s="3">
        <v>5</v>
      </c>
      <c r="O365" s="8">
        <v>-11843</v>
      </c>
      <c r="P365" s="3">
        <v>1</v>
      </c>
      <c r="Q365" s="3">
        <v>2.9899999999999999E-2</v>
      </c>
      <c r="R365" s="3">
        <v>0.49199999999999999</v>
      </c>
      <c r="S365" s="3">
        <v>3.3799999999999997E-2</v>
      </c>
      <c r="T365" s="3">
        <v>0.39100000000000001</v>
      </c>
      <c r="U365" s="3">
        <v>8.48E-2</v>
      </c>
      <c r="V365" s="8">
        <v>106547</v>
      </c>
      <c r="W365" s="3">
        <v>4</v>
      </c>
      <c r="X365" s="3" t="str">
        <f t="shared" si="24"/>
        <v>-SADNE-</v>
      </c>
      <c r="Y365" s="3" t="str">
        <f t="shared" si="25"/>
        <v>-SLOWSS-</v>
      </c>
      <c r="Z365" s="4" t="str">
        <f t="shared" si="26"/>
        <v>{"couname":"Soon, My Friend","img":"https://i.scdn.co/image/ab67616d0000b273fff2cb485c36a6d8f639bdba","pty":"32","artist":"M83","genres":"indietronica","duration":"189293","spotId":"11GXRfMCSD2wdwgEXXEEc4","Items":["-SADNE-","-SLOWSS-","","","GN_FrenchElectro"]},</v>
      </c>
      <c r="AA365" s="5" t="s">
        <v>6100</v>
      </c>
      <c r="AB365" s="3" t="str">
        <f t="shared" si="27"/>
        <v>["-SADNE-","-SLOWSS-","","","GN_FrenchElectro"]</v>
      </c>
      <c r="AC365" s="3" t="str">
        <f>_xlfn.XLOOKUP(A365,Album!A:A,Album!J:J)</f>
        <v>https://i.scdn.co/image/ab67616d0000b273fff2cb485c36a6d8f639bdba</v>
      </c>
      <c r="AD365" s="3"/>
      <c r="AE365" s="3"/>
      <c r="AF365" s="3"/>
      <c r="AG365" s="3"/>
      <c r="AH365" s="3"/>
    </row>
    <row r="366" spans="1:34" x14ac:dyDescent="0.3">
      <c r="A366" s="11" t="s">
        <v>867</v>
      </c>
      <c r="B366" s="12" t="s">
        <v>868</v>
      </c>
      <c r="C366" s="12" t="s">
        <v>841</v>
      </c>
      <c r="D366" s="13" t="s">
        <v>842</v>
      </c>
      <c r="E366" s="6">
        <v>2011</v>
      </c>
      <c r="F366" s="3">
        <v>262746</v>
      </c>
      <c r="G366" s="3">
        <v>32</v>
      </c>
      <c r="H366" s="3" t="s">
        <v>5641</v>
      </c>
      <c r="I366" s="3" t="s">
        <v>843</v>
      </c>
      <c r="J366" s="3" t="s">
        <v>844</v>
      </c>
      <c r="K366" s="3" t="s">
        <v>845</v>
      </c>
      <c r="L366" s="3">
        <v>0.29599999999999999</v>
      </c>
      <c r="M366" s="3">
        <v>0.78900000000000003</v>
      </c>
      <c r="N366" s="3">
        <v>9</v>
      </c>
      <c r="O366" s="8">
        <v>-5813</v>
      </c>
      <c r="P366" s="3">
        <v>1</v>
      </c>
      <c r="Q366" s="3">
        <v>5.2400000000000002E-2</v>
      </c>
      <c r="R366" s="3">
        <v>4.86E-4</v>
      </c>
      <c r="S366" s="3">
        <v>0.115</v>
      </c>
      <c r="T366" s="3">
        <v>9.9000000000000005E-2</v>
      </c>
      <c r="U366" s="3">
        <v>0.23300000000000001</v>
      </c>
      <c r="V366" s="8">
        <v>162.75</v>
      </c>
      <c r="W366" s="3">
        <v>4</v>
      </c>
      <c r="X366" s="3" t="str">
        <f t="shared" si="24"/>
        <v>-SADNE-</v>
      </c>
      <c r="Y366" s="3" t="str">
        <f t="shared" si="25"/>
        <v>-ENERGY-</v>
      </c>
      <c r="Z366" s="4" t="str">
        <f t="shared" si="26"/>
        <v>{"couname":"New Map","img":"https://i.scdn.co/image/ab67616d0000b273fff2cb485c36a6d8f639bdba","pty":"32","artist":"M83","genres":"indietronica","duration":"262746","spotId":"6GdbwI8ytDROXDv1G7p34o","Items":["-SADNE-","-ENERGY-","","","GN_FrenchElectro"]},</v>
      </c>
      <c r="AA366" s="5" t="s">
        <v>6100</v>
      </c>
      <c r="AB366" s="3" t="str">
        <f t="shared" si="27"/>
        <v>["-SADNE-","-ENERGY-","","","GN_FrenchElectro"]</v>
      </c>
      <c r="AC366" s="3" t="str">
        <f>_xlfn.XLOOKUP(A366,Album!A:A,Album!J:J)</f>
        <v>https://i.scdn.co/image/ab67616d0000b273fff2cb485c36a6d8f639bdba</v>
      </c>
      <c r="AD366" s="3"/>
      <c r="AE366" s="3"/>
      <c r="AF366" s="3"/>
      <c r="AG366" s="3"/>
      <c r="AH366" s="3"/>
    </row>
    <row r="367" spans="1:34" x14ac:dyDescent="0.3">
      <c r="A367" s="11" t="s">
        <v>869</v>
      </c>
      <c r="B367" s="12" t="s">
        <v>870</v>
      </c>
      <c r="C367" s="12" t="s">
        <v>841</v>
      </c>
      <c r="D367" s="13" t="s">
        <v>842</v>
      </c>
      <c r="E367" s="6">
        <v>2011</v>
      </c>
      <c r="F367" s="3">
        <v>238120</v>
      </c>
      <c r="G367" s="3">
        <v>32</v>
      </c>
      <c r="H367" s="3" t="s">
        <v>5640</v>
      </c>
      <c r="I367" s="3" t="s">
        <v>843</v>
      </c>
      <c r="J367" s="3" t="s">
        <v>844</v>
      </c>
      <c r="K367" s="3" t="s">
        <v>845</v>
      </c>
      <c r="L367" s="3">
        <v>0.53200000000000003</v>
      </c>
      <c r="M367" s="3">
        <v>0.89800000000000002</v>
      </c>
      <c r="N367" s="3">
        <v>6</v>
      </c>
      <c r="O367" s="8">
        <v>-4648</v>
      </c>
      <c r="P367" s="3">
        <v>1</v>
      </c>
      <c r="Q367" s="3">
        <v>5.3800000000000001E-2</v>
      </c>
      <c r="R367" s="3">
        <v>5.8599999999999998E-3</v>
      </c>
      <c r="S367" s="3">
        <v>4.1300000000000001E-5</v>
      </c>
      <c r="T367" s="3">
        <v>9.9199999999999997E-2</v>
      </c>
      <c r="U367" s="3">
        <v>0.23699999999999999</v>
      </c>
      <c r="V367" s="8">
        <v>105973</v>
      </c>
      <c r="W367" s="3">
        <v>4</v>
      </c>
      <c r="X367" s="3" t="str">
        <f t="shared" si="24"/>
        <v>-SADNE-</v>
      </c>
      <c r="Y367" s="3" t="str">
        <f t="shared" si="25"/>
        <v>-ENERGY-</v>
      </c>
      <c r="Z367" s="4" t="str">
        <f t="shared" si="26"/>
        <v>{"couname":"Ok Pal","img":"https://i.scdn.co/image/ab67616d0000b273fff2cb485c36a6d8f639bdba","pty":"32","artist":"M83","genres":"indietronica","duration":"238120","spotId":"0xAOmpRlrqsr0afkC3NzVU","Items":["-SADNE-","-ENERGY-","","","GN_FrenchElectro"]},</v>
      </c>
      <c r="AA367" s="5" t="s">
        <v>6100</v>
      </c>
      <c r="AB367" s="3" t="str">
        <f t="shared" si="27"/>
        <v>["-SADNE-","-ENERGY-","","","GN_FrenchElectro"]</v>
      </c>
      <c r="AC367" s="3" t="str">
        <f>_xlfn.XLOOKUP(A367,Album!A:A,Album!J:J)</f>
        <v>https://i.scdn.co/image/ab67616d0000b273fff2cb485c36a6d8f639bdba</v>
      </c>
      <c r="AD367" s="3"/>
      <c r="AE367" s="3"/>
      <c r="AF367" s="3"/>
      <c r="AG367" s="3"/>
      <c r="AH367" s="3"/>
    </row>
    <row r="368" spans="1:34" x14ac:dyDescent="0.3">
      <c r="A368" s="11" t="s">
        <v>1054</v>
      </c>
      <c r="B368" s="12" t="s">
        <v>1055</v>
      </c>
      <c r="C368" s="12">
        <v>7</v>
      </c>
      <c r="D368" s="13" t="s">
        <v>3318</v>
      </c>
      <c r="E368" s="6">
        <v>43357</v>
      </c>
      <c r="F368" s="3">
        <v>178720</v>
      </c>
      <c r="G368" s="3">
        <v>32</v>
      </c>
      <c r="H368" s="3" t="s">
        <v>5639</v>
      </c>
      <c r="I368" s="3" t="s">
        <v>1013</v>
      </c>
      <c r="J368" s="3" t="s">
        <v>1019</v>
      </c>
      <c r="K368" s="3" t="s">
        <v>83</v>
      </c>
      <c r="L368" s="3">
        <v>0.45200000000000001</v>
      </c>
      <c r="M368" s="3">
        <v>0.70899999999999996</v>
      </c>
      <c r="N368" s="3">
        <v>9</v>
      </c>
      <c r="O368" s="8">
        <v>-6053</v>
      </c>
      <c r="P368" s="3">
        <v>0</v>
      </c>
      <c r="Q368" s="3">
        <v>4.48E-2</v>
      </c>
      <c r="R368" s="3">
        <v>5.9499999999999997E-2</v>
      </c>
      <c r="S368" s="3">
        <v>0</v>
      </c>
      <c r="T368" s="3">
        <v>0.124</v>
      </c>
      <c r="U368" s="3">
        <v>0.34300000000000003</v>
      </c>
      <c r="V368" s="8">
        <v>139883</v>
      </c>
      <c r="W368" s="3">
        <v>4</v>
      </c>
      <c r="X368" s="3" t="str">
        <f t="shared" si="24"/>
        <v>-SADNE-</v>
      </c>
      <c r="Y368" s="3" t="str">
        <f t="shared" si="25"/>
        <v>-ENERGY-</v>
      </c>
      <c r="Z368" s="4" t="str">
        <f t="shared" si="26"/>
        <v>{"couname":"Light Headed","img":"https://i.scdn.co/image/ab67616d0000b27367e400c9be79e6b0b0086880","pty":"32","artist":"David Guetta, Sia","genres":"edm,dance","duration":"178720","spotId":"63lctya7LlMoW5iht9JAVZ","Items":["-SADNE-","-ENERGY-","","","GN_FrenchElectro"]},</v>
      </c>
      <c r="AA368" s="5" t="s">
        <v>6100</v>
      </c>
      <c r="AB368" s="3" t="str">
        <f t="shared" si="27"/>
        <v>["-SADNE-","-ENERGY-","","","GN_FrenchElectro"]</v>
      </c>
      <c r="AC368" s="3" t="str">
        <f>_xlfn.XLOOKUP(A368,Album!A:A,Album!J:J)</f>
        <v>https://i.scdn.co/image/ab67616d0000b27367e400c9be79e6b0b0086880</v>
      </c>
      <c r="AD368" s="3"/>
      <c r="AE368" s="3"/>
      <c r="AF368" s="3"/>
      <c r="AG368" s="3"/>
      <c r="AH368" s="3"/>
    </row>
    <row r="369" spans="1:34" x14ac:dyDescent="0.3">
      <c r="A369" s="11" t="s">
        <v>1261</v>
      </c>
      <c r="B369" s="12" t="s">
        <v>1262</v>
      </c>
      <c r="C369" s="12" t="s">
        <v>1245</v>
      </c>
      <c r="D369" s="13" t="s">
        <v>1206</v>
      </c>
      <c r="E369" s="6">
        <v>43784</v>
      </c>
      <c r="F369" s="3">
        <v>285600</v>
      </c>
      <c r="G369" s="3">
        <v>32</v>
      </c>
      <c r="H369" s="3" t="s">
        <v>5638</v>
      </c>
      <c r="I369" s="3" t="s">
        <v>1207</v>
      </c>
      <c r="J369" s="3" t="s">
        <v>1208</v>
      </c>
      <c r="K369" s="3" t="s">
        <v>84</v>
      </c>
      <c r="L369" s="3">
        <v>0.19</v>
      </c>
      <c r="M369" s="3">
        <v>0.52500000000000002</v>
      </c>
      <c r="N369" s="3">
        <v>8</v>
      </c>
      <c r="O369" s="8">
        <v>-9.08</v>
      </c>
      <c r="P369" s="3">
        <v>0</v>
      </c>
      <c r="Q369" s="3">
        <v>3.1099999999999999E-2</v>
      </c>
      <c r="R369" s="3">
        <v>0.17499999999999999</v>
      </c>
      <c r="S369" s="3">
        <v>0.129</v>
      </c>
      <c r="T369" s="3">
        <v>8.6599999999999996E-2</v>
      </c>
      <c r="U369" s="3">
        <v>0.23599999999999999</v>
      </c>
      <c r="V369" s="8">
        <v>72936</v>
      </c>
      <c r="W369" s="3">
        <v>4</v>
      </c>
      <c r="X369" s="3" t="str">
        <f t="shared" si="24"/>
        <v>-SADNE-</v>
      </c>
      <c r="Y369" s="3" t="str">
        <f t="shared" si="25"/>
        <v>-ENERGY-</v>
      </c>
      <c r="Z369" s="4" t="str">
        <f t="shared" si="26"/>
        <v>{"couname":"Borealis","img":"https://i.scdn.co/image/ab67616d0000b273dc384e6d13983fe1cd415ade","pty":"32","artist":"Madeon","genres":"edm,house francés","duration":"285600","spotId":"0OomkPDgVnSGwnrK8ywiSX","Items":["-SADNE-","-ENERGY-","","","GN_FrenchElectro"]},</v>
      </c>
      <c r="AA369" s="5" t="s">
        <v>6100</v>
      </c>
      <c r="AB369" s="3" t="str">
        <f t="shared" si="27"/>
        <v>["-SADNE-","-ENERGY-","","","GN_FrenchElectro"]</v>
      </c>
      <c r="AC369" s="3" t="str">
        <f>_xlfn.XLOOKUP(A369,Album!A:A,Album!J:J)</f>
        <v>https://i.scdn.co/image/ab67616d0000b273dc384e6d13983fe1cd415ade</v>
      </c>
      <c r="AD369" s="3"/>
      <c r="AE369" s="3"/>
      <c r="AF369" s="3"/>
      <c r="AG369" s="3"/>
      <c r="AH369" s="3"/>
    </row>
    <row r="370" spans="1:34" x14ac:dyDescent="0.3">
      <c r="A370" s="11" t="s">
        <v>1297</v>
      </c>
      <c r="B370" s="12" t="s">
        <v>1221</v>
      </c>
      <c r="C370" s="12" t="s">
        <v>1221</v>
      </c>
      <c r="D370" s="13" t="s">
        <v>1206</v>
      </c>
      <c r="E370" s="6">
        <v>41945</v>
      </c>
      <c r="F370" s="3">
        <v>199280</v>
      </c>
      <c r="G370" s="3">
        <v>32</v>
      </c>
      <c r="H370" s="3" t="s">
        <v>5637</v>
      </c>
      <c r="I370" s="3" t="s">
        <v>1207</v>
      </c>
      <c r="J370" s="3" t="s">
        <v>1208</v>
      </c>
      <c r="K370" s="3" t="s">
        <v>1277</v>
      </c>
      <c r="L370" s="3">
        <v>0.63800000000000001</v>
      </c>
      <c r="M370" s="3">
        <v>0.94599999999999995</v>
      </c>
      <c r="N370" s="3">
        <v>1</v>
      </c>
      <c r="O370" s="8">
        <v>-1748</v>
      </c>
      <c r="P370" s="3">
        <v>1</v>
      </c>
      <c r="Q370" s="3">
        <v>7.9299999999999995E-2</v>
      </c>
      <c r="R370" s="3">
        <v>1.4999999999999999E-4</v>
      </c>
      <c r="S370" s="3">
        <v>4.2900000000000001E-2</v>
      </c>
      <c r="T370" s="3">
        <v>0.20499999999999999</v>
      </c>
      <c r="U370" s="3">
        <v>0.495</v>
      </c>
      <c r="V370" s="8">
        <v>110051</v>
      </c>
      <c r="W370" s="3">
        <v>4</v>
      </c>
      <c r="X370" s="3" t="str">
        <f t="shared" si="24"/>
        <v>-HAPPY-</v>
      </c>
      <c r="Y370" s="3" t="str">
        <f t="shared" si="25"/>
        <v>-ENERGY-</v>
      </c>
      <c r="Z370" s="4" t="str">
        <f t="shared" si="26"/>
        <v>{"couname":"Imperium","img":"https://i.scdn.co/image/ab67616d0000b27346757ac6e64fce8aeee7d855","pty":"32","artist":"Madeon","genres":"edm,house francés","duration":"199280","spotId":"2Ldx9kUwqKt8GKaqPYGT6e","Items":["-HAPPY-","-ENERGY-","","","GN_FrenchElectro"]},</v>
      </c>
      <c r="AA370" s="5" t="s">
        <v>6100</v>
      </c>
      <c r="AB370" s="3" t="str">
        <f t="shared" si="27"/>
        <v>["-HAPPY-","-ENERGY-","","","GN_FrenchElectro"]</v>
      </c>
      <c r="AC370" s="3" t="str">
        <f>_xlfn.XLOOKUP(A370,Album!A:A,Album!J:J)</f>
        <v>https://i.scdn.co/image/ab67616d0000b27346757ac6e64fce8aeee7d855</v>
      </c>
      <c r="AD370" s="3"/>
      <c r="AE370" s="3"/>
      <c r="AF370" s="3"/>
      <c r="AG370" s="3"/>
      <c r="AH370" s="3"/>
    </row>
    <row r="371" spans="1:34" x14ac:dyDescent="0.3">
      <c r="A371" s="11" t="s">
        <v>1395</v>
      </c>
      <c r="B371" s="12" t="s">
        <v>1396</v>
      </c>
      <c r="C371" s="12" t="s">
        <v>1362</v>
      </c>
      <c r="D371" s="13" t="s">
        <v>1345</v>
      </c>
      <c r="E371" s="6">
        <v>39141</v>
      </c>
      <c r="F371" s="3">
        <v>247186</v>
      </c>
      <c r="G371" s="3">
        <v>32</v>
      </c>
      <c r="H371" s="3" t="s">
        <v>5636</v>
      </c>
      <c r="I371" s="3" t="s">
        <v>1336</v>
      </c>
      <c r="J371" s="3" t="s">
        <v>1337</v>
      </c>
      <c r="K371" s="3" t="s">
        <v>1341</v>
      </c>
      <c r="L371" s="3">
        <v>0.434</v>
      </c>
      <c r="M371" s="3">
        <v>0.27700000000000002</v>
      </c>
      <c r="N371" s="3">
        <v>9</v>
      </c>
      <c r="O371" s="8">
        <v>-16148</v>
      </c>
      <c r="P371" s="3">
        <v>1</v>
      </c>
      <c r="Q371" s="3">
        <v>4.1700000000000001E-2</v>
      </c>
      <c r="R371" s="3">
        <v>0.93200000000000005</v>
      </c>
      <c r="S371" s="3">
        <v>0.70799999999999996</v>
      </c>
      <c r="T371" s="3">
        <v>8.3199999999999996E-2</v>
      </c>
      <c r="U371" s="3">
        <v>0.26</v>
      </c>
      <c r="V371" s="8">
        <v>133298</v>
      </c>
      <c r="W371" s="3">
        <v>5</v>
      </c>
      <c r="X371" s="3" t="str">
        <f t="shared" si="24"/>
        <v>-SADNE-</v>
      </c>
      <c r="Y371" s="3" t="str">
        <f t="shared" si="25"/>
        <v>-SLOWSS-</v>
      </c>
      <c r="Z371" s="4" t="str">
        <f t="shared" si="26"/>
        <v>{"couname":"Left Bank","img":"https://i.scdn.co/image/ab67616d0000b273b33ffd3900f46e9008344b79","pty":"32","artist":"Air","genres":"trip hop,downtempo,house francés","duration":"247186","spotId":"5O3fsEG10OEvVAVMVlJkJu","Items":["-SADNE-","-SLOWSS-","","","GN_FrenchElectro"]},</v>
      </c>
      <c r="AA371" s="5" t="s">
        <v>6100</v>
      </c>
      <c r="AB371" s="3" t="str">
        <f t="shared" si="27"/>
        <v>["-SADNE-","-SLOWSS-","","","GN_FrenchElectro"]</v>
      </c>
      <c r="AC371" s="3" t="str">
        <f>_xlfn.XLOOKUP(A371,Album!A:A,Album!J:J)</f>
        <v>https://i.scdn.co/image/ab67616d0000b273b33ffd3900f46e9008344b79</v>
      </c>
      <c r="AD371" s="3"/>
      <c r="AE371" s="3"/>
      <c r="AF371" s="3"/>
      <c r="AG371" s="3"/>
      <c r="AH371" s="3"/>
    </row>
    <row r="372" spans="1:34" x14ac:dyDescent="0.3">
      <c r="A372" s="11" t="s">
        <v>1406</v>
      </c>
      <c r="B372" s="12" t="s">
        <v>5634</v>
      </c>
      <c r="C372" s="12" t="s">
        <v>1408</v>
      </c>
      <c r="D372" s="13" t="s">
        <v>3979</v>
      </c>
      <c r="E372" s="6">
        <v>42170</v>
      </c>
      <c r="F372" s="3">
        <v>331560</v>
      </c>
      <c r="G372" s="3">
        <v>32</v>
      </c>
      <c r="H372" s="3" t="s">
        <v>5635</v>
      </c>
      <c r="I372" s="3" t="s">
        <v>1336</v>
      </c>
      <c r="J372" s="3" t="s">
        <v>1337</v>
      </c>
      <c r="K372" s="3" t="s">
        <v>83</v>
      </c>
      <c r="L372" s="3">
        <v>0.72</v>
      </c>
      <c r="M372" s="3">
        <v>0.59499999999999997</v>
      </c>
      <c r="N372" s="3">
        <v>8</v>
      </c>
      <c r="O372" s="8">
        <v>-7281</v>
      </c>
      <c r="P372" s="3">
        <v>1</v>
      </c>
      <c r="Q372" s="3">
        <v>2.5100000000000001E-2</v>
      </c>
      <c r="R372" s="3">
        <v>1.77E-2</v>
      </c>
      <c r="S372" s="3">
        <v>0.86</v>
      </c>
      <c r="T372" s="3">
        <v>0.34100000000000003</v>
      </c>
      <c r="U372" s="3">
        <v>0.58399999999999996</v>
      </c>
      <c r="V372" s="8">
        <v>90538</v>
      </c>
      <c r="W372" s="3">
        <v>4</v>
      </c>
      <c r="X372" s="3" t="str">
        <f t="shared" si="24"/>
        <v>-HAPPY-</v>
      </c>
      <c r="Y372" s="3" t="str">
        <f t="shared" si="25"/>
        <v>-ENERGY-</v>
      </c>
      <c r="Z372" s="4" t="str">
        <f t="shared" si="26"/>
        <v>{"couname":"Casanova 70","img":"https://i.scdn.co/image/ab67616d0000b273e918893dc520fc2f1d31ea8e","pty":"32","artist":"Air, Brendan Lynch","genres":"trip hop,downtempo,house francés","duration":"331560","spotId":"4brxErgyyAdhyNyDyG3V89","Items":["-HAPPY-","-ENERGY-","","","GN_FrenchElectro"]},</v>
      </c>
      <c r="AA372" s="5" t="s">
        <v>6100</v>
      </c>
      <c r="AB372" s="3" t="str">
        <f t="shared" si="27"/>
        <v>["-HAPPY-","-ENERGY-","","","GN_FrenchElectro"]</v>
      </c>
      <c r="AC372" s="3" t="str">
        <f>_xlfn.XLOOKUP(A372,Album!A:A,Album!J:J)</f>
        <v>https://i.scdn.co/image/ab67616d0000b273e918893dc520fc2f1d31ea8e</v>
      </c>
      <c r="AD372" s="3"/>
      <c r="AE372" s="3"/>
      <c r="AF372" s="3"/>
      <c r="AG372" s="3"/>
      <c r="AH372" s="3"/>
    </row>
    <row r="373" spans="1:34" x14ac:dyDescent="0.3">
      <c r="A373" s="11" t="s">
        <v>1419</v>
      </c>
      <c r="B373" s="12" t="s">
        <v>5631</v>
      </c>
      <c r="C373" s="12" t="s">
        <v>1421</v>
      </c>
      <c r="D373" s="13" t="s">
        <v>5633</v>
      </c>
      <c r="E373" s="6">
        <v>35796</v>
      </c>
      <c r="F373" s="3">
        <v>324200</v>
      </c>
      <c r="G373" s="3">
        <v>32</v>
      </c>
      <c r="H373" s="3" t="s">
        <v>5632</v>
      </c>
      <c r="I373" s="3" t="s">
        <v>1336</v>
      </c>
      <c r="J373" s="3" t="s">
        <v>1422</v>
      </c>
      <c r="K373" s="3" t="s">
        <v>1423</v>
      </c>
      <c r="L373" s="3">
        <v>0.70399999999999996</v>
      </c>
      <c r="M373" s="3">
        <v>0.36299999999999999</v>
      </c>
      <c r="N373" s="3">
        <v>0</v>
      </c>
      <c r="O373" s="8">
        <v>-10914</v>
      </c>
      <c r="P373" s="3">
        <v>0</v>
      </c>
      <c r="Q373" s="3">
        <v>2.5499999999999998E-2</v>
      </c>
      <c r="R373" s="3">
        <v>0.752</v>
      </c>
      <c r="S373" s="3">
        <v>0.32100000000000001</v>
      </c>
      <c r="T373" s="3">
        <v>0.111</v>
      </c>
      <c r="U373" s="3">
        <v>0.58399999999999996</v>
      </c>
      <c r="V373" s="8">
        <v>94906</v>
      </c>
      <c r="W373" s="3">
        <v>4</v>
      </c>
      <c r="X373" s="3" t="str">
        <f t="shared" si="24"/>
        <v>-HAPPY-</v>
      </c>
      <c r="Y373" s="3" t="str">
        <f t="shared" si="25"/>
        <v>-ENERGY-</v>
      </c>
      <c r="Z373" s="4" t="str">
        <f t="shared" si="26"/>
        <v>{"couname":"Soldissimo","img":"https://i.scdn.co/image/ab67616d0000b2733320199fa1b3204a1298afe8","pty":"32","artist":"Étienne de Crécy, Air","genres":"house francés,electroclash,electro,trip hop,downtempo","duration":"324200","spotId":"3idNEgoJiR3hjnj6S5VZI1","Items":["-HAPPY-","-ENERGY-","","","GN_FrenchElectro"]},</v>
      </c>
      <c r="AA373" s="5" t="s">
        <v>6100</v>
      </c>
      <c r="AB373" s="3" t="str">
        <f t="shared" si="27"/>
        <v>["-HAPPY-","-ENERGY-","","","GN_FrenchElectro"]</v>
      </c>
      <c r="AC373" s="3" t="str">
        <f>_xlfn.XLOOKUP(A373,Album!A:A,Album!J:J)</f>
        <v>https://i.scdn.co/image/ab67616d0000b2733320199fa1b3204a1298afe8</v>
      </c>
      <c r="AD373" s="3"/>
      <c r="AE373" s="3"/>
      <c r="AF373" s="3"/>
      <c r="AG373" s="3"/>
      <c r="AH373" s="3"/>
    </row>
    <row r="374" spans="1:34" x14ac:dyDescent="0.3">
      <c r="A374" s="11" t="s">
        <v>1645</v>
      </c>
      <c r="B374" s="12" t="s">
        <v>1646</v>
      </c>
      <c r="C374" s="12" t="s">
        <v>1646</v>
      </c>
      <c r="D374" s="13" t="s">
        <v>1633</v>
      </c>
      <c r="E374" s="6">
        <v>44757</v>
      </c>
      <c r="F374" s="3">
        <v>208486</v>
      </c>
      <c r="G374" s="3">
        <v>32</v>
      </c>
      <c r="H374" s="3" t="s">
        <v>5630</v>
      </c>
      <c r="I374" s="3" t="s">
        <v>1463</v>
      </c>
      <c r="J374" s="3"/>
      <c r="K374" s="3" t="s">
        <v>1634</v>
      </c>
      <c r="L374" s="3">
        <v>0.57299999999999995</v>
      </c>
      <c r="M374" s="3">
        <v>0.76100000000000001</v>
      </c>
      <c r="N374" s="3">
        <v>11</v>
      </c>
      <c r="O374" s="8">
        <v>-5088</v>
      </c>
      <c r="P374" s="3">
        <v>1</v>
      </c>
      <c r="Q374" s="3">
        <v>3.5499999999999997E-2</v>
      </c>
      <c r="R374" s="3">
        <v>0.20799999999999999</v>
      </c>
      <c r="S374" s="3">
        <v>1.05E-4</v>
      </c>
      <c r="T374" s="3">
        <v>0.12</v>
      </c>
      <c r="U374" s="3">
        <v>0.36599999999999999</v>
      </c>
      <c r="V374" s="8">
        <v>104987</v>
      </c>
      <c r="W374" s="3">
        <v>4</v>
      </c>
      <c r="X374" s="3" t="str">
        <f t="shared" si="24"/>
        <v>-HAPPY-</v>
      </c>
      <c r="Y374" s="3" t="str">
        <f t="shared" si="25"/>
        <v>-ENERGY-</v>
      </c>
      <c r="Z374" s="4" t="str">
        <f t="shared" si="26"/>
        <v>{"couname":"Hold On","img":"https://i.scdn.co/image/ab67616d0000b273af6a6d2e0e8687114461a683","pty":"32","artist":"Shara Rose","genres":"","duration":"208486","spotId":"03Roej1xJUxdZxWpGof2OH","Items":["-HAPPY-","-ENERGY-","","","GN_FrenchElectro"]},</v>
      </c>
      <c r="AA374" s="5" t="s">
        <v>6100</v>
      </c>
      <c r="AB374" s="3" t="str">
        <f t="shared" si="27"/>
        <v>["-HAPPY-","-ENERGY-","","","GN_FrenchElectro"]</v>
      </c>
      <c r="AC374" s="3" t="str">
        <f>_xlfn.XLOOKUP(A374,Album!A:A,Album!J:J)</f>
        <v>https://i.scdn.co/image/ab67616d0000b273af6a6d2e0e8687114461a683</v>
      </c>
      <c r="AD374" s="3"/>
      <c r="AE374" s="3"/>
      <c r="AF374" s="3"/>
      <c r="AG374" s="3"/>
      <c r="AH374" s="3"/>
    </row>
    <row r="375" spans="1:34" x14ac:dyDescent="0.3">
      <c r="A375" s="11" t="s">
        <v>1688</v>
      </c>
      <c r="B375" s="12" t="s">
        <v>1689</v>
      </c>
      <c r="C375" s="12" t="s">
        <v>1690</v>
      </c>
      <c r="D375" s="13" t="s">
        <v>4392</v>
      </c>
      <c r="E375" s="6">
        <v>43637</v>
      </c>
      <c r="F375" s="3">
        <v>223853</v>
      </c>
      <c r="G375" s="3">
        <v>32</v>
      </c>
      <c r="H375" s="3" t="s">
        <v>5629</v>
      </c>
      <c r="I375" s="3" t="s">
        <v>1675</v>
      </c>
      <c r="J375" s="3" t="s">
        <v>463</v>
      </c>
      <c r="K375" s="3" t="s">
        <v>1691</v>
      </c>
      <c r="L375" s="3">
        <v>0.77600000000000002</v>
      </c>
      <c r="M375" s="3">
        <v>0.74</v>
      </c>
      <c r="N375" s="3">
        <v>4</v>
      </c>
      <c r="O375" s="8">
        <v>-4599</v>
      </c>
      <c r="P375" s="3">
        <v>0</v>
      </c>
      <c r="Q375" s="3">
        <v>3.2599999999999997E-2</v>
      </c>
      <c r="R375" s="3">
        <v>1.2800000000000001E-2</v>
      </c>
      <c r="S375" s="3">
        <v>1.22E-6</v>
      </c>
      <c r="T375" s="3">
        <v>7.2499999999999995E-2</v>
      </c>
      <c r="U375" s="3">
        <v>0.97599999999999998</v>
      </c>
      <c r="V375" s="8">
        <v>120</v>
      </c>
      <c r="W375" s="3">
        <v>4</v>
      </c>
      <c r="X375" s="3" t="str">
        <f t="shared" si="24"/>
        <v>-HAPPY-</v>
      </c>
      <c r="Y375" s="3" t="str">
        <f t="shared" si="25"/>
        <v>-ENERGY-</v>
      </c>
      <c r="Z375" s="4" t="str">
        <f t="shared" si="26"/>
        <v>{"couname":"Don't Let Me Be","img":"https://i.scdn.co/image/ab67616d0000b2730bb9eff4be678363242f0b6e","pty":"32","artist":"Cassius, Owlle","genres":"house francés,disco house","duration":"223853","spotId":"5n9o0Z4Is58SMhpX3WWTLi","Items":["-HAPPY-","-ENERGY-","","","GN_FrenchElectro"]},</v>
      </c>
      <c r="AA375" s="5" t="s">
        <v>6100</v>
      </c>
      <c r="AB375" s="3" t="str">
        <f t="shared" si="27"/>
        <v>["-HAPPY-","-ENERGY-","","","GN_FrenchElectro"]</v>
      </c>
      <c r="AC375" s="3" t="str">
        <f>_xlfn.XLOOKUP(A375,Album!A:A,Album!J:J)</f>
        <v>https://i.scdn.co/image/ab67616d0000b2730bb9eff4be678363242f0b6e</v>
      </c>
      <c r="AD375" s="3"/>
      <c r="AE375" s="3"/>
      <c r="AF375" s="3"/>
      <c r="AG375" s="3"/>
      <c r="AH375" s="3"/>
    </row>
    <row r="376" spans="1:34" x14ac:dyDescent="0.3">
      <c r="A376" s="11" t="s">
        <v>1698</v>
      </c>
      <c r="B376" s="12" t="s">
        <v>1699</v>
      </c>
      <c r="C376" s="12" t="s">
        <v>1699</v>
      </c>
      <c r="D376" s="13" t="s">
        <v>4406</v>
      </c>
      <c r="E376" s="6">
        <v>42706</v>
      </c>
      <c r="F376" s="3">
        <v>218946</v>
      </c>
      <c r="G376" s="3">
        <v>32</v>
      </c>
      <c r="H376" s="3" t="s">
        <v>5628</v>
      </c>
      <c r="I376" s="3" t="s">
        <v>1675</v>
      </c>
      <c r="J376" s="3" t="s">
        <v>1700</v>
      </c>
      <c r="K376" s="3" t="s">
        <v>1701</v>
      </c>
      <c r="L376" s="3">
        <v>0.74</v>
      </c>
      <c r="M376" s="3">
        <v>0.67300000000000004</v>
      </c>
      <c r="N376" s="3">
        <v>4</v>
      </c>
      <c r="O376" s="8">
        <v>-5284</v>
      </c>
      <c r="P376" s="3">
        <v>0</v>
      </c>
      <c r="Q376" s="3">
        <v>0.1</v>
      </c>
      <c r="R376" s="3">
        <v>7.8299999999999995E-2</v>
      </c>
      <c r="S376" s="3">
        <v>2.4399999999999999E-3</v>
      </c>
      <c r="T376" s="3">
        <v>6.2799999999999995E-2</v>
      </c>
      <c r="U376" s="3">
        <v>0.71899999999999997</v>
      </c>
      <c r="V376" s="8">
        <v>115016</v>
      </c>
      <c r="W376" s="3">
        <v>4</v>
      </c>
      <c r="X376" s="3" t="str">
        <f t="shared" si="24"/>
        <v>-HAPPY-</v>
      </c>
      <c r="Y376" s="3" t="str">
        <f t="shared" si="25"/>
        <v>-ENERGY-</v>
      </c>
      <c r="Z376" s="4" t="str">
        <f t="shared" si="26"/>
        <v>{"couname":"Oh My My","img":"https://i.scdn.co/image/ab67616d0000b273eedabed826eeb6506a4c700d","pty":"32","artist":"OneRepublic, Cassius","genres":"pop suave,house francés,disco house","duration":"218946","spotId":"0QaCNjtdot0XiD8E347iQn","Items":["-HAPPY-","-ENERGY-","","","GN_FrenchElectro"]},</v>
      </c>
      <c r="AA376" s="5" t="s">
        <v>6100</v>
      </c>
      <c r="AB376" s="3" t="str">
        <f t="shared" si="27"/>
        <v>["-HAPPY-","-ENERGY-","","","GN_FrenchElectro"]</v>
      </c>
      <c r="AC376" s="3" t="str">
        <f>_xlfn.XLOOKUP(A376,Album!A:A,Album!J:J)</f>
        <v>https://i.scdn.co/image/ab67616d0000b273eedabed826eeb6506a4c700d</v>
      </c>
      <c r="AD376" s="3"/>
      <c r="AE376" s="3"/>
      <c r="AF376" s="3"/>
      <c r="AG376" s="3"/>
      <c r="AH376" s="3"/>
    </row>
    <row r="377" spans="1:34" x14ac:dyDescent="0.3">
      <c r="A377" s="11" t="s">
        <v>1873</v>
      </c>
      <c r="B377" s="12" t="s">
        <v>1874</v>
      </c>
      <c r="C377" s="12" t="s">
        <v>1872</v>
      </c>
      <c r="D377" s="13" t="s">
        <v>9</v>
      </c>
      <c r="E377" s="6">
        <v>37956</v>
      </c>
      <c r="F377" s="3">
        <v>468427</v>
      </c>
      <c r="G377" s="3">
        <v>32</v>
      </c>
      <c r="H377" s="3" t="s">
        <v>5627</v>
      </c>
      <c r="I377" s="3" t="s">
        <v>1809</v>
      </c>
      <c r="J377" s="3" t="s">
        <v>1810</v>
      </c>
      <c r="K377" s="3" t="s">
        <v>1811</v>
      </c>
      <c r="L377" s="3">
        <v>0.56599999999999995</v>
      </c>
      <c r="M377" s="3">
        <v>0.97799999999999998</v>
      </c>
      <c r="N377" s="3">
        <v>9</v>
      </c>
      <c r="O377" s="8">
        <v>-8274</v>
      </c>
      <c r="P377" s="3">
        <v>0</v>
      </c>
      <c r="Q377" s="3">
        <v>0.17799999999999999</v>
      </c>
      <c r="R377" s="3">
        <v>5.4400000000000001E-5</v>
      </c>
      <c r="S377" s="3">
        <v>0.95799999999999996</v>
      </c>
      <c r="T377" s="3">
        <v>2.9700000000000001E-2</v>
      </c>
      <c r="U377" s="3">
        <v>0.106</v>
      </c>
      <c r="V377" s="8">
        <v>121989</v>
      </c>
      <c r="W377" s="3">
        <v>4</v>
      </c>
      <c r="X377" s="3" t="str">
        <f t="shared" si="24"/>
        <v>-SADNE-</v>
      </c>
      <c r="Y377" s="3" t="str">
        <f t="shared" si="25"/>
        <v>-ENERGY-</v>
      </c>
      <c r="Z377" s="4" t="str">
        <f t="shared" si="26"/>
        <v>{"couname":"Aerodynamite","img":"https://i.scdn.co/image/ab67616d0000b273662ca2ebec199607ebf37ce0","pty":"32","artist":"Daft Punk","genres":"house francés,electrónica,electro","duration":"468427","spotId":"15WSNNQZRQDOrzuKYMyrDX","Items":["-SADNE-","-ENERGY-","","","GN_FrenchElectro"]},</v>
      </c>
      <c r="AA377" s="5" t="s">
        <v>6100</v>
      </c>
      <c r="AB377" s="3" t="str">
        <f t="shared" si="27"/>
        <v>["-SADNE-","-ENERGY-","","","GN_FrenchElectro"]</v>
      </c>
      <c r="AC377" s="3" t="str">
        <f>_xlfn.XLOOKUP(A377,Album!A:A,Album!J:J)</f>
        <v>https://i.scdn.co/image/ab67616d0000b273662ca2ebec199607ebf37ce0</v>
      </c>
      <c r="AD377" s="3"/>
      <c r="AE377" s="3"/>
      <c r="AF377" s="3"/>
      <c r="AG377" s="3"/>
      <c r="AH377" s="3"/>
    </row>
    <row r="378" spans="1:34" x14ac:dyDescent="0.3">
      <c r="A378" s="11" t="s">
        <v>1908</v>
      </c>
      <c r="B378" s="12" t="s">
        <v>85</v>
      </c>
      <c r="C378" s="12" t="s">
        <v>1898</v>
      </c>
      <c r="D378" s="13" t="s">
        <v>9</v>
      </c>
      <c r="E378" s="6">
        <v>40515</v>
      </c>
      <c r="F378" s="3">
        <v>101680</v>
      </c>
      <c r="G378" s="3">
        <v>32</v>
      </c>
      <c r="H378" s="3" t="s">
        <v>5626</v>
      </c>
      <c r="I378" s="3" t="s">
        <v>1809</v>
      </c>
      <c r="J378" s="3" t="s">
        <v>1810</v>
      </c>
      <c r="K378" s="3" t="s">
        <v>51</v>
      </c>
      <c r="L378" s="3">
        <v>0.185</v>
      </c>
      <c r="M378" s="3">
        <v>3.6200000000000003E-2</v>
      </c>
      <c r="N378" s="3">
        <v>9</v>
      </c>
      <c r="O378" s="8">
        <v>-27285</v>
      </c>
      <c r="P378" s="3">
        <v>0</v>
      </c>
      <c r="Q378" s="3">
        <v>3.73E-2</v>
      </c>
      <c r="R378" s="3">
        <v>0.499</v>
      </c>
      <c r="S378" s="3">
        <v>0.74</v>
      </c>
      <c r="T378" s="3">
        <v>0.11</v>
      </c>
      <c r="U378" s="3">
        <v>3.3500000000000002E-2</v>
      </c>
      <c r="V378" s="8">
        <v>75131</v>
      </c>
      <c r="W378" s="3">
        <v>3</v>
      </c>
      <c r="X378" s="3" t="str">
        <f t="shared" si="24"/>
        <v>-SADNE-</v>
      </c>
      <c r="Y378" s="3" t="str">
        <f t="shared" si="25"/>
        <v>-SLOWSS-</v>
      </c>
      <c r="Z378" s="4" t="str">
        <f t="shared" si="26"/>
        <v>{"couname":"Nocturne","img":"https://i.scdn.co/image/ab67616d0000b27366919acb93950333962467f8","pty":"32","artist":"Daft Punk","genres":"house francés,electrónica,electro","duration":"101680","spotId":"6d0B924xI8hHs3Xk7enRjj","Items":["-SADNE-","-SLOWSS-","","","GN_FrenchElectro"]},</v>
      </c>
      <c r="AA378" s="5" t="s">
        <v>6100</v>
      </c>
      <c r="AB378" s="3" t="str">
        <f t="shared" si="27"/>
        <v>["-SADNE-","-SLOWSS-","","","GN_FrenchElectro"]</v>
      </c>
      <c r="AC378" s="3" t="str">
        <f>_xlfn.XLOOKUP(A378,Album!A:A,Album!J:J)</f>
        <v>https://i.scdn.co/image/ab67616d0000b27366919acb93950333962467f8</v>
      </c>
      <c r="AD378" s="3"/>
      <c r="AE378" s="3"/>
      <c r="AF378" s="3"/>
      <c r="AG378" s="3"/>
      <c r="AH378" s="3"/>
    </row>
    <row r="379" spans="1:34" x14ac:dyDescent="0.3">
      <c r="A379" s="11" t="s">
        <v>1916</v>
      </c>
      <c r="B379" s="12" t="s">
        <v>20</v>
      </c>
      <c r="C379" s="12" t="s">
        <v>1898</v>
      </c>
      <c r="D379" s="13" t="s">
        <v>9</v>
      </c>
      <c r="E379" s="6">
        <v>40515</v>
      </c>
      <c r="F379" s="3">
        <v>120493</v>
      </c>
      <c r="G379" s="3">
        <v>32</v>
      </c>
      <c r="H379" s="3" t="s">
        <v>5625</v>
      </c>
      <c r="I379" s="3" t="s">
        <v>1809</v>
      </c>
      <c r="J379" s="3" t="s">
        <v>1810</v>
      </c>
      <c r="K379" s="3" t="s">
        <v>51</v>
      </c>
      <c r="L379" s="3">
        <v>0.107</v>
      </c>
      <c r="M379" s="3">
        <v>0.13</v>
      </c>
      <c r="N379" s="3">
        <v>8</v>
      </c>
      <c r="O379" s="8">
        <v>-22.59</v>
      </c>
      <c r="P379" s="3">
        <v>0</v>
      </c>
      <c r="Q379" s="3">
        <v>4.9200000000000001E-2</v>
      </c>
      <c r="R379" s="3">
        <v>0.91700000000000004</v>
      </c>
      <c r="S379" s="3">
        <v>0.72199999999999998</v>
      </c>
      <c r="T379" s="3">
        <v>0.115</v>
      </c>
      <c r="U379" s="3">
        <v>3.85E-2</v>
      </c>
      <c r="V379" s="8">
        <v>78249</v>
      </c>
      <c r="W379" s="3">
        <v>5</v>
      </c>
      <c r="X379" s="3" t="str">
        <f t="shared" si="24"/>
        <v>-SADNE-</v>
      </c>
      <c r="Y379" s="3" t="str">
        <f t="shared" si="25"/>
        <v>-SLOWSS-</v>
      </c>
      <c r="Z379" s="4" t="str">
        <f t="shared" si="26"/>
        <v>{"couname":"Arrival","img":"https://i.scdn.co/image/ab67616d0000b27366919acb93950333962467f8","pty":"32","artist":"Daft Punk","genres":"house francés,electrónica,electro","duration":"120493","spotId":"5XxnQCH09YiaPPdUGS8xNC","Items":["-SADNE-","-SLOWSS-","","","GN_FrenchElectro"]},</v>
      </c>
      <c r="AA379" s="5" t="s">
        <v>6100</v>
      </c>
      <c r="AB379" s="3" t="str">
        <f t="shared" si="27"/>
        <v>["-SADNE-","-SLOWSS-","","","GN_FrenchElectro"]</v>
      </c>
      <c r="AC379" s="3" t="str">
        <f>_xlfn.XLOOKUP(A379,Album!A:A,Album!J:J)</f>
        <v>https://i.scdn.co/image/ab67616d0000b27366919acb93950333962467f8</v>
      </c>
      <c r="AD379" s="3"/>
      <c r="AE379" s="3"/>
      <c r="AF379" s="3"/>
      <c r="AG379" s="3"/>
      <c r="AH379" s="3"/>
    </row>
    <row r="380" spans="1:34" x14ac:dyDescent="0.3">
      <c r="A380" s="11" t="s">
        <v>219</v>
      </c>
      <c r="B380" s="12" t="s">
        <v>220</v>
      </c>
      <c r="C380" s="12" t="s">
        <v>221</v>
      </c>
      <c r="D380" s="13" t="s">
        <v>18</v>
      </c>
      <c r="E380" s="6">
        <v>42706</v>
      </c>
      <c r="F380" s="3">
        <v>701546</v>
      </c>
      <c r="G380" s="3">
        <v>31</v>
      </c>
      <c r="H380" s="3" t="s">
        <v>5624</v>
      </c>
      <c r="I380" s="3" t="s">
        <v>102</v>
      </c>
      <c r="J380" s="3" t="s">
        <v>103</v>
      </c>
      <c r="K380" s="3" t="s">
        <v>104</v>
      </c>
      <c r="L380" s="3">
        <v>0.35799999999999998</v>
      </c>
      <c r="M380" s="3">
        <v>0.84799999999999998</v>
      </c>
      <c r="N380" s="3">
        <v>7</v>
      </c>
      <c r="O380" s="8">
        <v>-7276</v>
      </c>
      <c r="P380" s="3">
        <v>0</v>
      </c>
      <c r="Q380" s="3">
        <v>4.07E-2</v>
      </c>
      <c r="R380" s="3">
        <v>8.5199999999999998E-2</v>
      </c>
      <c r="S380" s="3">
        <v>0.33600000000000002</v>
      </c>
      <c r="T380" s="3">
        <v>0.58399999999999996</v>
      </c>
      <c r="U380" s="3">
        <v>0.16900000000000001</v>
      </c>
      <c r="V380" s="8">
        <v>124983</v>
      </c>
      <c r="W380" s="3">
        <v>4</v>
      </c>
      <c r="X380" s="3" t="str">
        <f t="shared" si="24"/>
        <v>-SADNE-</v>
      </c>
      <c r="Y380" s="3" t="str">
        <f t="shared" si="25"/>
        <v>-ENERGY-</v>
      </c>
      <c r="Z380" s="4" t="str">
        <f t="shared" si="26"/>
        <v>{"couname":"Oxygene, Pt. 7","img":"https://i.scdn.co/image/ab67616d0000b273f0ebde6d9dd82a4f12462245","pty":"31","artist":"Jean-Michel Jarre","genres":"new age,electrónica,space music","duration":"701546","spotId":"1ubifiz3Tr6r0e8WlqGMhu","Items":["-SADNE-","-ENERGY-","","","GN_FrenchElectro"]},</v>
      </c>
      <c r="AA380" s="5" t="s">
        <v>6100</v>
      </c>
      <c r="AB380" s="3" t="str">
        <f t="shared" si="27"/>
        <v>["-SADNE-","-ENERGY-","","","GN_FrenchElectro"]</v>
      </c>
      <c r="AC380" s="3" t="str">
        <f>_xlfn.XLOOKUP(A380,Album!A:A,Album!J:J)</f>
        <v>https://i.scdn.co/image/ab67616d0000b273f0ebde6d9dd82a4f12462245</v>
      </c>
      <c r="AD380" s="3"/>
      <c r="AE380" s="3"/>
      <c r="AF380" s="3"/>
      <c r="AG380" s="3"/>
      <c r="AH380" s="3"/>
    </row>
    <row r="381" spans="1:34" x14ac:dyDescent="0.3">
      <c r="A381" s="11" t="s">
        <v>502</v>
      </c>
      <c r="B381" s="12" t="s">
        <v>5455</v>
      </c>
      <c r="C381" s="12" t="s">
        <v>504</v>
      </c>
      <c r="D381" s="13" t="s">
        <v>2595</v>
      </c>
      <c r="E381" s="6">
        <v>45443</v>
      </c>
      <c r="F381" s="3">
        <v>213870</v>
      </c>
      <c r="G381" s="3">
        <v>31</v>
      </c>
      <c r="H381" s="3" t="s">
        <v>5623</v>
      </c>
      <c r="I381" s="3" t="s">
        <v>462</v>
      </c>
      <c r="J381" s="3" t="s">
        <v>505</v>
      </c>
      <c r="K381" s="3" t="s">
        <v>469</v>
      </c>
      <c r="L381" s="3">
        <v>0.67700000000000005</v>
      </c>
      <c r="M381" s="3">
        <v>0.93600000000000005</v>
      </c>
      <c r="N381" s="3">
        <v>7</v>
      </c>
      <c r="O381" s="8">
        <v>-6041</v>
      </c>
      <c r="P381" s="3">
        <v>1</v>
      </c>
      <c r="Q381" s="3">
        <v>4.2700000000000002E-2</v>
      </c>
      <c r="R381" s="3">
        <v>1.9699999999999999E-2</v>
      </c>
      <c r="S381" s="3">
        <v>1.54E-2</v>
      </c>
      <c r="T381" s="3">
        <v>0.38300000000000001</v>
      </c>
      <c r="U381" s="3">
        <v>0.39700000000000002</v>
      </c>
      <c r="V381" s="8">
        <v>123987</v>
      </c>
      <c r="W381" s="3">
        <v>4</v>
      </c>
      <c r="X381" s="3" t="str">
        <f t="shared" si="24"/>
        <v>-HAPPY-</v>
      </c>
      <c r="Y381" s="3" t="str">
        <f t="shared" si="25"/>
        <v>-ENERGY-</v>
      </c>
      <c r="Z381" s="4" t="str">
        <f t="shared" si="26"/>
        <v>{"couname":"Summer Moon","img":"https://i.scdn.co/image/ab67616d0000b2738f50c78c162e0978cc0ce84d","pty":"31","artist":"Africanism, Eran Hersh, Stadiumx, Bob Sinclar, David Guetta, Joachim Garraud, Tim Deluxe, Ben Onono","genres":"house francés,tribal house,house latino,afro house,house melódico,house orgánico,house progresivo,future house,edm,disco house,dance,electro house,funky house","duration":"213870","spotId":"689ghDMwOpD5J4t0NjjJtm","Items":["-HAPPY-","-ENERGY-","","","GN_FrenchElectro"]},</v>
      </c>
      <c r="AA381" s="5" t="s">
        <v>6100</v>
      </c>
      <c r="AB381" s="3" t="str">
        <f t="shared" si="27"/>
        <v>["-HAPPY-","-ENERGY-","","","GN_FrenchElectro"]</v>
      </c>
      <c r="AC381" s="3" t="str">
        <f>_xlfn.XLOOKUP(A381,Album!A:A,Album!J:J)</f>
        <v>https://i.scdn.co/image/ab67616d0000b2738f50c78c162e0978cc0ce84d</v>
      </c>
      <c r="AD381" s="3"/>
      <c r="AE381" s="3"/>
      <c r="AF381" s="3"/>
      <c r="AG381" s="3"/>
      <c r="AH381" s="3"/>
    </row>
    <row r="382" spans="1:34" x14ac:dyDescent="0.3">
      <c r="A382" s="11" t="s">
        <v>855</v>
      </c>
      <c r="B382" s="12" t="s">
        <v>856</v>
      </c>
      <c r="C382" s="12" t="s">
        <v>841</v>
      </c>
      <c r="D382" s="13" t="s">
        <v>842</v>
      </c>
      <c r="E382" s="6">
        <v>2011</v>
      </c>
      <c r="F382" s="3">
        <v>75586</v>
      </c>
      <c r="G382" s="3">
        <v>31</v>
      </c>
      <c r="H382" s="3" t="s">
        <v>5622</v>
      </c>
      <c r="I382" s="3" t="s">
        <v>843</v>
      </c>
      <c r="J382" s="3" t="s">
        <v>844</v>
      </c>
      <c r="K382" s="3" t="s">
        <v>845</v>
      </c>
      <c r="L382" s="3">
        <v>0.41599999999999998</v>
      </c>
      <c r="M382" s="3">
        <v>0.77400000000000002</v>
      </c>
      <c r="N382" s="3">
        <v>0</v>
      </c>
      <c r="O382" s="8">
        <v>-13187</v>
      </c>
      <c r="P382" s="3">
        <v>1</v>
      </c>
      <c r="Q382" s="3">
        <v>4.3400000000000001E-2</v>
      </c>
      <c r="R382" s="3">
        <v>0.95099999999999996</v>
      </c>
      <c r="S382" s="3">
        <v>0.88500000000000001</v>
      </c>
      <c r="T382" s="3">
        <v>0.61599999999999999</v>
      </c>
      <c r="U382" s="3">
        <v>0.49099999999999999</v>
      </c>
      <c r="V382" s="8">
        <v>106977</v>
      </c>
      <c r="W382" s="3">
        <v>3</v>
      </c>
      <c r="X382" s="3" t="str">
        <f t="shared" si="24"/>
        <v>-HAPPY-</v>
      </c>
      <c r="Y382" s="3" t="str">
        <f t="shared" si="25"/>
        <v>-ENERGY-</v>
      </c>
      <c r="Z382" s="4" t="str">
        <f t="shared" si="26"/>
        <v>{"couname":"Train To Pluton","img":"https://i.scdn.co/image/ab67616d0000b273fff2cb485c36a6d8f639bdba","pty":"31","artist":"M83","genres":"indietronica","duration":"75586","spotId":"5ovJD4orq3aCbJnQHMwKmt","Items":["-HAPPY-","-ENERGY-","","","GN_FrenchElectro"]},</v>
      </c>
      <c r="AA382" s="5" t="s">
        <v>6100</v>
      </c>
      <c r="AB382" s="3" t="str">
        <f t="shared" si="27"/>
        <v>["-HAPPY-","-ENERGY-","","","GN_FrenchElectro"]</v>
      </c>
      <c r="AC382" s="3" t="str">
        <f>_xlfn.XLOOKUP(A382,Album!A:A,Album!J:J)</f>
        <v>https://i.scdn.co/image/ab67616d0000b273fff2cb485c36a6d8f639bdba</v>
      </c>
      <c r="AD382" s="3"/>
      <c r="AE382" s="3"/>
      <c r="AF382" s="3"/>
      <c r="AG382" s="3"/>
      <c r="AH382" s="3"/>
    </row>
    <row r="383" spans="1:34" x14ac:dyDescent="0.3">
      <c r="A383" s="11" t="s">
        <v>873</v>
      </c>
      <c r="B383" s="12" t="s">
        <v>874</v>
      </c>
      <c r="C383" s="12" t="s">
        <v>841</v>
      </c>
      <c r="D383" s="13" t="s">
        <v>842</v>
      </c>
      <c r="E383" s="6">
        <v>2011</v>
      </c>
      <c r="F383" s="3">
        <v>307586</v>
      </c>
      <c r="G383" s="3">
        <v>31</v>
      </c>
      <c r="H383" s="3" t="s">
        <v>5621</v>
      </c>
      <c r="I383" s="3" t="s">
        <v>843</v>
      </c>
      <c r="J383" s="3" t="s">
        <v>844</v>
      </c>
      <c r="K383" s="3" t="s">
        <v>845</v>
      </c>
      <c r="L383" s="3">
        <v>0.192</v>
      </c>
      <c r="M383" s="3">
        <v>0.193</v>
      </c>
      <c r="N383" s="3">
        <v>2</v>
      </c>
      <c r="O383" s="8">
        <v>-11249</v>
      </c>
      <c r="P383" s="3">
        <v>1</v>
      </c>
      <c r="Q383" s="3">
        <v>3.39E-2</v>
      </c>
      <c r="R383" s="3">
        <v>0.93</v>
      </c>
      <c r="S383" s="3">
        <v>0.76800000000000002</v>
      </c>
      <c r="T383" s="3">
        <v>9.2600000000000002E-2</v>
      </c>
      <c r="U383" s="3">
        <v>0.13800000000000001</v>
      </c>
      <c r="V383" s="8">
        <v>129208</v>
      </c>
      <c r="W383" s="3">
        <v>4</v>
      </c>
      <c r="X383" s="3" t="str">
        <f t="shared" si="24"/>
        <v>-SADNE-</v>
      </c>
      <c r="Y383" s="3" t="str">
        <f t="shared" si="25"/>
        <v>-SLOWSS-</v>
      </c>
      <c r="Z383" s="4" t="str">
        <f t="shared" si="26"/>
        <v>{"couname":"Splendor","img":"https://i.scdn.co/image/ab67616d0000b273fff2cb485c36a6d8f639bdba","pty":"31","artist":"M83","genres":"indietronica","duration":"307586","spotId":"0NOQxyVgo8javoH9H4wvU7","Items":["-SADNE-","-SLOWSS-","","","GN_FrenchElectro"]},</v>
      </c>
      <c r="AA383" s="5" t="s">
        <v>6100</v>
      </c>
      <c r="AB383" s="3" t="str">
        <f t="shared" si="27"/>
        <v>["-SADNE-","-SLOWSS-","","","GN_FrenchElectro"]</v>
      </c>
      <c r="AC383" s="3" t="str">
        <f>_xlfn.XLOOKUP(A383,Album!A:A,Album!J:J)</f>
        <v>https://i.scdn.co/image/ab67616d0000b273fff2cb485c36a6d8f639bdba</v>
      </c>
      <c r="AD383" s="3"/>
      <c r="AE383" s="3"/>
      <c r="AF383" s="3"/>
      <c r="AG383" s="3"/>
      <c r="AH383" s="3"/>
    </row>
    <row r="384" spans="1:34" x14ac:dyDescent="0.3">
      <c r="A384" s="11" t="s">
        <v>881</v>
      </c>
      <c r="B384" s="12" t="s">
        <v>882</v>
      </c>
      <c r="C384" s="12" t="s">
        <v>841</v>
      </c>
      <c r="D384" s="13" t="s">
        <v>842</v>
      </c>
      <c r="E384" s="6">
        <v>2011</v>
      </c>
      <c r="F384" s="3">
        <v>219666</v>
      </c>
      <c r="G384" s="3">
        <v>31</v>
      </c>
      <c r="H384" s="3" t="s">
        <v>5620</v>
      </c>
      <c r="I384" s="3" t="s">
        <v>843</v>
      </c>
      <c r="J384" s="3" t="s">
        <v>844</v>
      </c>
      <c r="K384" s="3" t="s">
        <v>845</v>
      </c>
      <c r="L384" s="3">
        <v>0.188</v>
      </c>
      <c r="M384" s="3">
        <v>0.47099999999999997</v>
      </c>
      <c r="N384" s="3">
        <v>7</v>
      </c>
      <c r="O384" s="8">
        <v>-10383</v>
      </c>
      <c r="P384" s="3">
        <v>1</v>
      </c>
      <c r="Q384" s="3">
        <v>6.0199999999999997E-2</v>
      </c>
      <c r="R384" s="3">
        <v>4.4999999999999998E-2</v>
      </c>
      <c r="S384" s="3">
        <v>0.77800000000000002</v>
      </c>
      <c r="T384" s="3">
        <v>0.33400000000000002</v>
      </c>
      <c r="U384" s="3">
        <v>0.222</v>
      </c>
      <c r="V384" s="8">
        <v>103672</v>
      </c>
      <c r="W384" s="3">
        <v>4</v>
      </c>
      <c r="X384" s="3" t="str">
        <f t="shared" si="24"/>
        <v>-SADNE-</v>
      </c>
      <c r="Y384" s="3" t="str">
        <f t="shared" si="25"/>
        <v>-SLOWSS-</v>
      </c>
      <c r="Z384" s="4" t="str">
        <f t="shared" si="26"/>
        <v>{"couname":"Echoes Of Mine","img":"https://i.scdn.co/image/ab67616d0000b273fff2cb485c36a6d8f639bdba","pty":"31","artist":"M83","genres":"indietronica","duration":"219666","spotId":"5jWvCQXM7plS3T9FAAeBCR","Items":["-SADNE-","-SLOWSS-","","","GN_FrenchElectro"]},</v>
      </c>
      <c r="AA384" s="5" t="s">
        <v>6100</v>
      </c>
      <c r="AB384" s="3" t="str">
        <f t="shared" si="27"/>
        <v>["-SADNE-","-SLOWSS-","","","GN_FrenchElectro"]</v>
      </c>
      <c r="AC384" s="3" t="str">
        <f>_xlfn.XLOOKUP(A384,Album!A:A,Album!J:J)</f>
        <v>https://i.scdn.co/image/ab67616d0000b273fff2cb485c36a6d8f639bdba</v>
      </c>
      <c r="AD384" s="3"/>
      <c r="AE384" s="3"/>
      <c r="AF384" s="3"/>
      <c r="AG384" s="3"/>
      <c r="AH384" s="3"/>
    </row>
    <row r="385" spans="1:34" x14ac:dyDescent="0.3">
      <c r="A385" s="11" t="s">
        <v>969</v>
      </c>
      <c r="B385" s="12" t="s">
        <v>970</v>
      </c>
      <c r="C385" s="12" t="s">
        <v>908</v>
      </c>
      <c r="D385" s="13" t="s">
        <v>842</v>
      </c>
      <c r="E385" s="6">
        <v>41596</v>
      </c>
      <c r="F385" s="3">
        <v>115346</v>
      </c>
      <c r="G385" s="3">
        <v>31</v>
      </c>
      <c r="H385" s="3" t="s">
        <v>5619</v>
      </c>
      <c r="I385" s="3" t="s">
        <v>889</v>
      </c>
      <c r="J385" s="3" t="s">
        <v>844</v>
      </c>
      <c r="K385" s="3" t="s">
        <v>890</v>
      </c>
      <c r="L385" s="3">
        <v>0.17499999999999999</v>
      </c>
      <c r="M385" s="3">
        <v>0.3</v>
      </c>
      <c r="N385" s="3">
        <v>0</v>
      </c>
      <c r="O385" s="8">
        <v>-14888</v>
      </c>
      <c r="P385" s="3">
        <v>1</v>
      </c>
      <c r="Q385" s="3">
        <v>4.0899999999999999E-2</v>
      </c>
      <c r="R385" s="3">
        <v>0.95399999999999996</v>
      </c>
      <c r="S385" s="3">
        <v>0.92900000000000005</v>
      </c>
      <c r="T385" s="3">
        <v>0.11</v>
      </c>
      <c r="U385" s="3">
        <v>3.1800000000000002E-2</v>
      </c>
      <c r="V385" s="8">
        <v>74825</v>
      </c>
      <c r="W385" s="3">
        <v>3</v>
      </c>
      <c r="X385" s="3" t="str">
        <f t="shared" si="24"/>
        <v>-SADNE-</v>
      </c>
      <c r="Y385" s="3" t="str">
        <f t="shared" si="25"/>
        <v>-SLOWSS-</v>
      </c>
      <c r="Z385" s="4" t="str">
        <f t="shared" si="26"/>
        <v>{"couname":"Vision, pt. 1","img":"https://i.scdn.co/image/ab67616d0000b273dc2d1dcf42c7f1368b8014ac","pty":"31","artist":"M83","genres":"indietronica","duration":"115346","spotId":"0nZGWdj8BxugWUKb5w4FG9","Items":["-SADNE-","-SLOWSS-","","","GN_FrenchElectro"]},</v>
      </c>
      <c r="AA385" s="5" t="s">
        <v>6100</v>
      </c>
      <c r="AB385" s="3" t="str">
        <f t="shared" si="27"/>
        <v>["-SADNE-","-SLOWSS-","","","GN_FrenchElectro"]</v>
      </c>
      <c r="AC385" s="3" t="str">
        <f>_xlfn.XLOOKUP(A385,Album!A:A,Album!J:J)</f>
        <v>https://i.scdn.co/image/ab67616d0000b273dc2d1dcf42c7f1368b8014ac</v>
      </c>
      <c r="AD385" s="3"/>
      <c r="AE385" s="3"/>
      <c r="AF385" s="3"/>
      <c r="AG385" s="3"/>
      <c r="AH385" s="3"/>
    </row>
    <row r="386" spans="1:34" x14ac:dyDescent="0.3">
      <c r="A386" s="11" t="s">
        <v>1222</v>
      </c>
      <c r="B386" s="12" t="s">
        <v>1223</v>
      </c>
      <c r="C386" s="12" t="s">
        <v>1205</v>
      </c>
      <c r="D386" s="13" t="s">
        <v>1206</v>
      </c>
      <c r="E386" s="6">
        <v>42093</v>
      </c>
      <c r="F386" s="3">
        <v>220373</v>
      </c>
      <c r="G386" s="3">
        <v>31</v>
      </c>
      <c r="H386" s="3" t="s">
        <v>5618</v>
      </c>
      <c r="I386" s="3" t="s">
        <v>1207</v>
      </c>
      <c r="J386" s="3" t="s">
        <v>1208</v>
      </c>
      <c r="K386" s="3" t="s">
        <v>84</v>
      </c>
      <c r="L386" s="3">
        <v>0.622</v>
      </c>
      <c r="M386" s="3">
        <v>0.89300000000000002</v>
      </c>
      <c r="N386" s="3">
        <v>11</v>
      </c>
      <c r="O386" s="8">
        <v>-1903</v>
      </c>
      <c r="P386" s="3">
        <v>1</v>
      </c>
      <c r="Q386" s="3">
        <v>7.9799999999999996E-2</v>
      </c>
      <c r="R386" s="3">
        <v>3.4399999999999999E-3</v>
      </c>
      <c r="S386" s="3">
        <v>1.75E-4</v>
      </c>
      <c r="T386" s="3">
        <v>0.48499999999999999</v>
      </c>
      <c r="U386" s="3">
        <v>0.44500000000000001</v>
      </c>
      <c r="V386" s="8">
        <v>126.01</v>
      </c>
      <c r="W386" s="3">
        <v>4</v>
      </c>
      <c r="X386" s="3" t="str">
        <f t="shared" si="24"/>
        <v>-HAPPY-</v>
      </c>
      <c r="Y386" s="3" t="str">
        <f t="shared" si="25"/>
        <v>-ENERGY-</v>
      </c>
      <c r="Z386" s="4" t="str">
        <f t="shared" si="26"/>
        <v>{"couname":"Zephyr","img":"https://i.scdn.co/image/ab67616d0000b27392cb28b37837c67dffe602f9","pty":"31","artist":"Madeon","genres":"edm,house francés","duration":"220373","spotId":"058WYdKjtPVuahMU1ey9DS","Items":["-HAPPY-","-ENERGY-","","","GN_FrenchElectro"]},</v>
      </c>
      <c r="AA386" s="5" t="s">
        <v>6100</v>
      </c>
      <c r="AB386" s="3" t="str">
        <f t="shared" si="27"/>
        <v>["-HAPPY-","-ENERGY-","","","GN_FrenchElectro"]</v>
      </c>
      <c r="AC386" s="3" t="str">
        <f>_xlfn.XLOOKUP(A386,Album!A:A,Album!J:J)</f>
        <v>https://i.scdn.co/image/ab67616d0000b27392cb28b37837c67dffe602f9</v>
      </c>
      <c r="AD386" s="3"/>
      <c r="AE386" s="3"/>
      <c r="AF386" s="3"/>
      <c r="AG386" s="3"/>
      <c r="AH386" s="3"/>
    </row>
    <row r="387" spans="1:34" x14ac:dyDescent="0.3">
      <c r="A387" s="11" t="s">
        <v>1251</v>
      </c>
      <c r="B387" s="12" t="s">
        <v>1252</v>
      </c>
      <c r="C387" s="12" t="s">
        <v>1245</v>
      </c>
      <c r="D387" s="13" t="s">
        <v>1206</v>
      </c>
      <c r="E387" s="6">
        <v>43784</v>
      </c>
      <c r="F387" s="3">
        <v>152840</v>
      </c>
      <c r="G387" s="3">
        <v>31</v>
      </c>
      <c r="H387" s="3" t="s">
        <v>5617</v>
      </c>
      <c r="I387" s="3" t="s">
        <v>1207</v>
      </c>
      <c r="J387" s="3" t="s">
        <v>1208</v>
      </c>
      <c r="K387" s="3" t="s">
        <v>84</v>
      </c>
      <c r="L387" s="3">
        <v>0.52800000000000002</v>
      </c>
      <c r="M387" s="3">
        <v>0.6</v>
      </c>
      <c r="N387" s="3">
        <v>8</v>
      </c>
      <c r="O387" s="8">
        <v>-8666</v>
      </c>
      <c r="P387" s="3">
        <v>1</v>
      </c>
      <c r="Q387" s="3">
        <v>4.0399999999999998E-2</v>
      </c>
      <c r="R387" s="3">
        <v>1.77E-2</v>
      </c>
      <c r="S387" s="3">
        <v>0.42399999999999999</v>
      </c>
      <c r="T387" s="3">
        <v>0.106</v>
      </c>
      <c r="U387" s="3">
        <v>3.8800000000000001E-2</v>
      </c>
      <c r="V387" s="8">
        <v>78.010000000000005</v>
      </c>
      <c r="W387" s="3">
        <v>4</v>
      </c>
      <c r="X387" s="3" t="str">
        <f t="shared" ref="X387:X450" si="28">IF(OR(U387&lt;0.301, AND(U387&lt;0.4, P387=0)), "-SADNE-", "-HAPPY-")</f>
        <v>-SADNE-</v>
      </c>
      <c r="Y387" s="3" t="str">
        <f t="shared" ref="Y387:Y450" si="29">IF(OR(AND(L387&lt;0.5,M387&lt;0.5),AND(L387&lt;0.45,V387&lt;100),AND(M387&lt;0.45,V387&lt;100),AND(U387&lt;0.39,V387&lt;100)),"-SLOWSS-","-ENERGY-")</f>
        <v>-SLOWSS-</v>
      </c>
      <c r="Z387" s="4" t="str">
        <f t="shared" ref="Z387:Z450" si="30">"{"&amp;CHAR(34)&amp;"couname"&amp;CHAR(34)&amp;":"&amp;CHAR(34)&amp;B387&amp;CHAR(34)&amp;","&amp;CHAR(34)&amp;"img"&amp;CHAR(34)&amp;":"&amp;CHAR(34)&amp;AC387&amp;CHAR(34)&amp;","&amp;CHAR(34)&amp;"pty"&amp;CHAR(34)&amp;":"&amp;CHAR(34)&amp;G387&amp;CHAR(34)&amp;","&amp;CHAR(34)&amp;"artist"&amp;CHAR(34)&amp;":"&amp;CHAR(34)&amp;D387&amp;CHAR(34)&amp;","&amp;CHAR(34)&amp;"genres"&amp;CHAR(34)&amp;":"&amp;CHAR(34)&amp;J387&amp;CHAR(34)&amp;","&amp;CHAR(34)&amp;"duration"&amp;CHAR(34)&amp;":"&amp;CHAR(34)&amp;F387&amp;CHAR(34)&amp;","&amp;CHAR(34)&amp;"spotId"&amp;CHAR(34)&amp;":"&amp;CHAR(34)&amp;A387&amp;CHAR(34)&amp;","&amp;CHAR(34)&amp;"Items"&amp;CHAR(34)&amp;":"&amp;AB387&amp;"},"</f>
        <v>{"couname":"Mania","img":"https://i.scdn.co/image/ab67616d0000b273dc384e6d13983fe1cd415ade","pty":"31","artist":"Madeon","genres":"edm,house francés","duration":"152840","spotId":"4Nnsl0Ji84Bcku8uVbFbjV","Items":["-SADNE-","-SLOWSS-","","","GN_FrenchElectro"]},</v>
      </c>
      <c r="AA387" s="5" t="s">
        <v>6100</v>
      </c>
      <c r="AB387" s="3" t="str">
        <f t="shared" ref="AB387:AB450" si="31" xml:space="preserve"> "[" &amp; _xlfn.TEXTJOIN(",",TRUE,CHAR(34) &amp; X387&amp; CHAR(34), CHAR(34) &amp; Y387 &amp; CHAR(34),  CHAR(34) &amp; AF387 &amp; CHAR(34), CHAR(34) &amp;AG387 &amp; CHAR(34), CHAR(34) &amp; AA387 &amp; CHAR(34)) &amp; "]"</f>
        <v>["-SADNE-","-SLOWSS-","","","GN_FrenchElectro"]</v>
      </c>
      <c r="AC387" s="3" t="str">
        <f>_xlfn.XLOOKUP(A387,Album!A:A,Album!J:J)</f>
        <v>https://i.scdn.co/image/ab67616d0000b273dc384e6d13983fe1cd415ade</v>
      </c>
      <c r="AD387" s="3"/>
      <c r="AE387" s="3"/>
      <c r="AF387" s="3"/>
      <c r="AG387" s="3"/>
      <c r="AH387" s="3"/>
    </row>
    <row r="388" spans="1:34" x14ac:dyDescent="0.3">
      <c r="A388" s="11" t="s">
        <v>1298</v>
      </c>
      <c r="B388" s="12" t="s">
        <v>5291</v>
      </c>
      <c r="C388" s="12" t="s">
        <v>1210</v>
      </c>
      <c r="D388" s="13" t="s">
        <v>3706</v>
      </c>
      <c r="E388" s="6">
        <v>41981</v>
      </c>
      <c r="F388" s="3">
        <v>192706</v>
      </c>
      <c r="G388" s="3">
        <v>31</v>
      </c>
      <c r="H388" s="3" t="s">
        <v>5616</v>
      </c>
      <c r="I388" s="3" t="s">
        <v>1207</v>
      </c>
      <c r="J388" s="3" t="s">
        <v>1208</v>
      </c>
      <c r="K388" s="3" t="s">
        <v>1277</v>
      </c>
      <c r="L388" s="3">
        <v>0.51100000000000001</v>
      </c>
      <c r="M388" s="3">
        <v>0.91700000000000004</v>
      </c>
      <c r="N388" s="3">
        <v>7</v>
      </c>
      <c r="O388" s="8">
        <v>-3239</v>
      </c>
      <c r="P388" s="3">
        <v>0</v>
      </c>
      <c r="Q388" s="3">
        <v>0.124</v>
      </c>
      <c r="R388" s="3">
        <v>2.7300000000000001E-2</v>
      </c>
      <c r="S388" s="3">
        <v>0</v>
      </c>
      <c r="T388" s="3">
        <v>0.81899999999999995</v>
      </c>
      <c r="U388" s="3">
        <v>0.24099999999999999</v>
      </c>
      <c r="V388" s="8">
        <v>100123</v>
      </c>
      <c r="W388" s="3">
        <v>4</v>
      </c>
      <c r="X388" s="3" t="str">
        <f t="shared" si="28"/>
        <v>-SADNE-</v>
      </c>
      <c r="Y388" s="3" t="str">
        <f t="shared" si="29"/>
        <v>-ENERGY-</v>
      </c>
      <c r="Z388" s="4" t="str">
        <f t="shared" si="30"/>
        <v>{"couname":"You're On","img":"https://i.scdn.co/image/ab67616d0000b27364c3eaa3250653b478b3cf80","pty":"31","artist":"Madeon, Kyan","genres":"edm,house francés","duration":"192706","spotId":"0ZtLv7aVallYjnPJNZJWk7","Items":["-SADNE-","-ENERGY-","","","GN_FrenchElectro"]},</v>
      </c>
      <c r="AA388" s="5" t="s">
        <v>6100</v>
      </c>
      <c r="AB388" s="3" t="str">
        <f t="shared" si="31"/>
        <v>["-SADNE-","-ENERGY-","","","GN_FrenchElectro"]</v>
      </c>
      <c r="AC388" s="3" t="str">
        <f>_xlfn.XLOOKUP(A388,Album!A:A,Album!J:J)</f>
        <v>https://i.scdn.co/image/ab67616d0000b27364c3eaa3250653b478b3cf80</v>
      </c>
      <c r="AD388" s="3"/>
      <c r="AE388" s="3"/>
      <c r="AF388" s="3"/>
      <c r="AG388" s="3"/>
      <c r="AH388" s="3"/>
    </row>
    <row r="389" spans="1:34" x14ac:dyDescent="0.3">
      <c r="A389" s="11" t="s">
        <v>1397</v>
      </c>
      <c r="B389" s="12" t="s">
        <v>5614</v>
      </c>
      <c r="C389" s="12" t="s">
        <v>1399</v>
      </c>
      <c r="D389" s="13" t="s">
        <v>1345</v>
      </c>
      <c r="E389" s="6">
        <v>45366</v>
      </c>
      <c r="F389" s="3">
        <v>249793</v>
      </c>
      <c r="G389" s="3">
        <v>31</v>
      </c>
      <c r="H389" s="3" t="s">
        <v>5615</v>
      </c>
      <c r="I389" s="3" t="s">
        <v>1336</v>
      </c>
      <c r="J389" s="3" t="s">
        <v>1337</v>
      </c>
      <c r="K389" s="3" t="s">
        <v>83</v>
      </c>
      <c r="L389" s="3">
        <v>0.26800000000000002</v>
      </c>
      <c r="M389" s="3">
        <v>0.35399999999999998</v>
      </c>
      <c r="N389" s="3">
        <v>5</v>
      </c>
      <c r="O389" s="8">
        <v>-13253</v>
      </c>
      <c r="P389" s="3">
        <v>1</v>
      </c>
      <c r="Q389" s="3">
        <v>3.1E-2</v>
      </c>
      <c r="R389" s="3">
        <v>0.222</v>
      </c>
      <c r="S389" s="3">
        <v>0.92400000000000004</v>
      </c>
      <c r="T389" s="3">
        <v>0.111</v>
      </c>
      <c r="U389" s="3">
        <v>0.17299999999999999</v>
      </c>
      <c r="V389" s="8">
        <v>151074</v>
      </c>
      <c r="W389" s="3">
        <v>4</v>
      </c>
      <c r="X389" s="3" t="str">
        <f t="shared" si="28"/>
        <v>-SADNE-</v>
      </c>
      <c r="Y389" s="3" t="str">
        <f t="shared" si="29"/>
        <v>-SLOWSS-</v>
      </c>
      <c r="Z389" s="4" t="str">
        <f t="shared" si="30"/>
        <v>{"couname":"J'ai dormi sous l'eau","img":"https://i.scdn.co/image/ab67616d0000b273c4027cea1ac0a27a6801f3cf","pty":"31","artist":"Air","genres":"trip hop,downtempo,house francés","duration":"249793","spotId":"4Li5lpGpbRdj60kUegIGku","Items":["-SADNE-","-SLOWSS-","","","GN_FrenchElectro"]},</v>
      </c>
      <c r="AA389" s="5" t="s">
        <v>6100</v>
      </c>
      <c r="AB389" s="3" t="str">
        <f t="shared" si="31"/>
        <v>["-SADNE-","-SLOWSS-","","","GN_FrenchElectro"]</v>
      </c>
      <c r="AC389" s="3" t="str">
        <f>_xlfn.XLOOKUP(A389,Album!A:A,Album!J:J)</f>
        <v>https://i.scdn.co/image/ab67616d0000b273c4027cea1ac0a27a6801f3cf</v>
      </c>
      <c r="AD389" s="3"/>
      <c r="AE389" s="3"/>
      <c r="AF389" s="3"/>
      <c r="AG389" s="3"/>
      <c r="AH389" s="3"/>
    </row>
    <row r="390" spans="1:34" x14ac:dyDescent="0.3">
      <c r="A390" s="11" t="s">
        <v>1426</v>
      </c>
      <c r="B390" s="12" t="s">
        <v>1427</v>
      </c>
      <c r="C390" s="12" t="s">
        <v>1362</v>
      </c>
      <c r="D390" s="13" t="s">
        <v>1345</v>
      </c>
      <c r="E390" s="6">
        <v>39141</v>
      </c>
      <c r="F390" s="3">
        <v>302226</v>
      </c>
      <c r="G390" s="3">
        <v>31</v>
      </c>
      <c r="H390" s="3" t="s">
        <v>5613</v>
      </c>
      <c r="I390" s="3" t="s">
        <v>1336</v>
      </c>
      <c r="J390" s="3" t="s">
        <v>1337</v>
      </c>
      <c r="K390" s="3" t="s">
        <v>1341</v>
      </c>
      <c r="L390" s="3">
        <v>0.39700000000000002</v>
      </c>
      <c r="M390" s="3">
        <v>0.54600000000000004</v>
      </c>
      <c r="N390" s="3">
        <v>1</v>
      </c>
      <c r="O390" s="8">
        <v>-9845</v>
      </c>
      <c r="P390" s="3">
        <v>0</v>
      </c>
      <c r="Q390" s="3">
        <v>2.81E-2</v>
      </c>
      <c r="R390" s="3">
        <v>0.68400000000000005</v>
      </c>
      <c r="S390" s="3">
        <v>0.78100000000000003</v>
      </c>
      <c r="T390" s="3">
        <v>0.112</v>
      </c>
      <c r="U390" s="3">
        <v>0.29699999999999999</v>
      </c>
      <c r="V390" s="8">
        <v>119.98</v>
      </c>
      <c r="W390" s="3">
        <v>5</v>
      </c>
      <c r="X390" s="3" t="str">
        <f t="shared" si="28"/>
        <v>-SADNE-</v>
      </c>
      <c r="Y390" s="3" t="str">
        <f t="shared" si="29"/>
        <v>-ENERGY-</v>
      </c>
      <c r="Z390" s="4" t="str">
        <f t="shared" si="30"/>
        <v>{"couname":"Once Upon a Time","img":"https://i.scdn.co/image/ab67616d0000b273b33ffd3900f46e9008344b79","pty":"31","artist":"Air","genres":"trip hop,downtempo,house francés","duration":"302226","spotId":"7dvkAGglW9TS6VmQ6sufAX","Items":["-SADNE-","-ENERGY-","","","GN_FrenchElectro"]},</v>
      </c>
      <c r="AA390" s="5" t="s">
        <v>6100</v>
      </c>
      <c r="AB390" s="3" t="str">
        <f t="shared" si="31"/>
        <v>["-SADNE-","-ENERGY-","","","GN_FrenchElectro"]</v>
      </c>
      <c r="AC390" s="3" t="str">
        <f>_xlfn.XLOOKUP(A390,Album!A:A,Album!J:J)</f>
        <v>https://i.scdn.co/image/ab67616d0000b273b33ffd3900f46e9008344b79</v>
      </c>
      <c r="AD390" s="3"/>
      <c r="AE390" s="3"/>
      <c r="AF390" s="3"/>
      <c r="AG390" s="3"/>
      <c r="AH390" s="3"/>
    </row>
    <row r="391" spans="1:34" x14ac:dyDescent="0.3">
      <c r="A391" s="11" t="s">
        <v>1443</v>
      </c>
      <c r="B391" s="12" t="s">
        <v>1444</v>
      </c>
      <c r="C391" s="12" t="s">
        <v>1372</v>
      </c>
      <c r="D391" s="13" t="s">
        <v>1345</v>
      </c>
      <c r="E391" s="6">
        <v>37039</v>
      </c>
      <c r="F391" s="3">
        <v>378840</v>
      </c>
      <c r="G391" s="3">
        <v>31</v>
      </c>
      <c r="H391" s="3" t="s">
        <v>5612</v>
      </c>
      <c r="I391" s="3" t="s">
        <v>1336</v>
      </c>
      <c r="J391" s="3" t="s">
        <v>1337</v>
      </c>
      <c r="K391" s="3" t="s">
        <v>83</v>
      </c>
      <c r="L391" s="3">
        <v>0.51700000000000002</v>
      </c>
      <c r="M391" s="3">
        <v>0.69599999999999995</v>
      </c>
      <c r="N391" s="3">
        <v>4</v>
      </c>
      <c r="O391" s="8">
        <v>-7794</v>
      </c>
      <c r="P391" s="3">
        <v>1</v>
      </c>
      <c r="Q391" s="3">
        <v>5.21E-2</v>
      </c>
      <c r="R391" s="3">
        <v>6.88E-2</v>
      </c>
      <c r="S391" s="3">
        <v>0.78900000000000003</v>
      </c>
      <c r="T391" s="3">
        <v>0.122</v>
      </c>
      <c r="U391" s="3">
        <v>0.34300000000000003</v>
      </c>
      <c r="V391" s="8">
        <v>168422</v>
      </c>
      <c r="W391" s="3">
        <v>4</v>
      </c>
      <c r="X391" s="3" t="str">
        <f t="shared" si="28"/>
        <v>-HAPPY-</v>
      </c>
      <c r="Y391" s="3" t="str">
        <f t="shared" si="29"/>
        <v>-ENERGY-</v>
      </c>
      <c r="Z391" s="4" t="str">
        <f t="shared" si="30"/>
        <v>{"couname":"Don't Be Light","img":"https://i.scdn.co/image/ab67616d0000b2735c2d2f43471655dbbf3d6284","pty":"31","artist":"Air","genres":"trip hop,downtempo,house francés","duration":"378840","spotId":"1vO7cEdUkYHjHuSKg1HdSC","Items":["-HAPPY-","-ENERGY-","","","GN_FrenchElectro"]},</v>
      </c>
      <c r="AA391" s="5" t="s">
        <v>6100</v>
      </c>
      <c r="AB391" s="3" t="str">
        <f t="shared" si="31"/>
        <v>["-HAPPY-","-ENERGY-","","","GN_FrenchElectro"]</v>
      </c>
      <c r="AC391" s="3" t="str">
        <f>_xlfn.XLOOKUP(A391,Album!A:A,Album!J:J)</f>
        <v>https://i.scdn.co/image/ab67616d0000b2735c2d2f43471655dbbf3d6284</v>
      </c>
      <c r="AD391" s="3"/>
      <c r="AE391" s="3"/>
      <c r="AF391" s="3"/>
      <c r="AG391" s="3"/>
      <c r="AH391" s="3"/>
    </row>
    <row r="392" spans="1:34" x14ac:dyDescent="0.3">
      <c r="A392" s="11" t="s">
        <v>1521</v>
      </c>
      <c r="B392" s="12" t="s">
        <v>1522</v>
      </c>
      <c r="C392" s="12" t="s">
        <v>1479</v>
      </c>
      <c r="D392" s="13" t="s">
        <v>1487</v>
      </c>
      <c r="E392" s="6">
        <v>43671</v>
      </c>
      <c r="F392" s="3">
        <v>204800</v>
      </c>
      <c r="G392" s="3">
        <v>31</v>
      </c>
      <c r="H392" s="3" t="s">
        <v>5611</v>
      </c>
      <c r="I392" s="3" t="s">
        <v>1463</v>
      </c>
      <c r="J392" s="3"/>
      <c r="K392" s="3" t="s">
        <v>1476</v>
      </c>
      <c r="L392" s="3">
        <v>0.224</v>
      </c>
      <c r="M392" s="3">
        <v>0.64400000000000002</v>
      </c>
      <c r="N392" s="3">
        <v>5</v>
      </c>
      <c r="O392" s="8">
        <v>-7275</v>
      </c>
      <c r="P392" s="3">
        <v>0</v>
      </c>
      <c r="Q392" s="3">
        <v>3.85E-2</v>
      </c>
      <c r="R392" s="3">
        <v>4.0699999999999998E-3</v>
      </c>
      <c r="S392" s="3">
        <v>0.254</v>
      </c>
      <c r="T392" s="3">
        <v>0.53700000000000003</v>
      </c>
      <c r="U392" s="3">
        <v>3.8699999999999998E-2</v>
      </c>
      <c r="V392" s="8">
        <v>149824</v>
      </c>
      <c r="W392" s="3">
        <v>4</v>
      </c>
      <c r="X392" s="3" t="str">
        <f t="shared" si="28"/>
        <v>-SADNE-</v>
      </c>
      <c r="Y392" s="3" t="str">
        <f t="shared" si="29"/>
        <v>-ENERGY-</v>
      </c>
      <c r="Z392" s="4" t="str">
        <f t="shared" si="30"/>
        <v>{"couname":"Butterfly Effect","img":"https://i.scdn.co/image/ab67616d0000b273caf82abb2338880577e472be","pty":"31","artist":"DJ Snake","genres":"","duration":"204800","spotId":"6lg0Md3xQ7U5EYAcsnysiv","Items":["-SADNE-","-ENERGY-","","","GN_FrenchElectro"]},</v>
      </c>
      <c r="AA392" s="5" t="s">
        <v>6100</v>
      </c>
      <c r="AB392" s="3" t="str">
        <f t="shared" si="31"/>
        <v>["-SADNE-","-ENERGY-","","","GN_FrenchElectro"]</v>
      </c>
      <c r="AC392" s="3" t="str">
        <f>_xlfn.XLOOKUP(A392,Album!A:A,Album!J:J)</f>
        <v>https://i.scdn.co/image/ab67616d0000b273caf82abb2338880577e472be</v>
      </c>
      <c r="AD392" s="3"/>
      <c r="AE392" s="3"/>
      <c r="AF392" s="3"/>
      <c r="AG392" s="3"/>
      <c r="AH392" s="3"/>
    </row>
    <row r="393" spans="1:34" x14ac:dyDescent="0.3">
      <c r="A393" s="11" t="s">
        <v>1617</v>
      </c>
      <c r="B393" s="12" t="s">
        <v>5609</v>
      </c>
      <c r="C393" s="12" t="s">
        <v>1619</v>
      </c>
      <c r="D393" s="13" t="s">
        <v>4300</v>
      </c>
      <c r="E393" s="6">
        <v>42244</v>
      </c>
      <c r="F393" s="3">
        <v>222400</v>
      </c>
      <c r="G393" s="3">
        <v>31</v>
      </c>
      <c r="H393" s="3" t="s">
        <v>5610</v>
      </c>
      <c r="I393" s="3" t="s">
        <v>1463</v>
      </c>
      <c r="J393" s="3" t="s">
        <v>1620</v>
      </c>
      <c r="K393" s="3" t="s">
        <v>84</v>
      </c>
      <c r="L393" s="3">
        <v>0.61599999999999999</v>
      </c>
      <c r="M393" s="3">
        <v>0.90300000000000002</v>
      </c>
      <c r="N393" s="3">
        <v>9</v>
      </c>
      <c r="O393" s="8">
        <v>-0.47499999999999998</v>
      </c>
      <c r="P393" s="3">
        <v>1</v>
      </c>
      <c r="Q393" s="3">
        <v>9.3799999999999994E-2</v>
      </c>
      <c r="R393" s="3">
        <v>1.4999999999999999E-2</v>
      </c>
      <c r="S393" s="3">
        <v>1.01E-3</v>
      </c>
      <c r="T393" s="3">
        <v>0.14099999999999999</v>
      </c>
      <c r="U393" s="3">
        <v>0.44700000000000001</v>
      </c>
      <c r="V393" s="8">
        <v>149934</v>
      </c>
      <c r="W393" s="3">
        <v>4</v>
      </c>
      <c r="X393" s="3" t="str">
        <f t="shared" si="28"/>
        <v>-HAPPY-</v>
      </c>
      <c r="Y393" s="3" t="str">
        <f t="shared" si="29"/>
        <v>-ENERGY-</v>
      </c>
      <c r="Z393" s="4" t="str">
        <f t="shared" si="30"/>
        <v>{"couname":"How Deep Is Your Love","img":"https://i.scdn.co/image/ab67616d0000b27311d58294e8d2f26343e9bfa6","pty":"31","artist":"Calvin Harris, Disciples, DJ Snake","genres":"edm,house","duration":"222400","spotId":"2mQ7KmAI8gFLH3baaDXc6o","Items":["-HAPPY-","-ENERGY-","","","GN_FrenchElectro"]},</v>
      </c>
      <c r="AA393" s="5" t="s">
        <v>6100</v>
      </c>
      <c r="AB393" s="3" t="str">
        <f t="shared" si="31"/>
        <v>["-HAPPY-","-ENERGY-","","","GN_FrenchElectro"]</v>
      </c>
      <c r="AC393" s="3" t="str">
        <f>_xlfn.XLOOKUP(A393,Album!A:A,Album!J:J)</f>
        <v>https://i.scdn.co/image/ab67616d0000b27311d58294e8d2f26343e9bfa6</v>
      </c>
      <c r="AD393" s="3"/>
      <c r="AE393" s="3"/>
      <c r="AF393" s="3"/>
      <c r="AG393" s="3"/>
      <c r="AH393" s="3"/>
    </row>
    <row r="394" spans="1:34" x14ac:dyDescent="0.3">
      <c r="A394" s="11" t="s">
        <v>1913</v>
      </c>
      <c r="B394" s="12" t="s">
        <v>5607</v>
      </c>
      <c r="C394" s="12" t="s">
        <v>1898</v>
      </c>
      <c r="D394" s="13" t="s">
        <v>9</v>
      </c>
      <c r="E394" s="6">
        <v>40515</v>
      </c>
      <c r="F394" s="3">
        <v>134053</v>
      </c>
      <c r="G394" s="3">
        <v>31</v>
      </c>
      <c r="H394" s="3" t="s">
        <v>5608</v>
      </c>
      <c r="I394" s="3" t="s">
        <v>1809</v>
      </c>
      <c r="J394" s="3" t="s">
        <v>1810</v>
      </c>
      <c r="K394" s="3" t="s">
        <v>51</v>
      </c>
      <c r="L394" s="3">
        <v>0.438</v>
      </c>
      <c r="M394" s="3">
        <v>0.191</v>
      </c>
      <c r="N394" s="3">
        <v>2</v>
      </c>
      <c r="O394" s="8">
        <v>-14827</v>
      </c>
      <c r="P394" s="3">
        <v>1</v>
      </c>
      <c r="Q394" s="3">
        <v>3.73E-2</v>
      </c>
      <c r="R394" s="3">
        <v>0.58399999999999996</v>
      </c>
      <c r="S394" s="3">
        <v>0.86399999999999999</v>
      </c>
      <c r="T394" s="3">
        <v>0.121</v>
      </c>
      <c r="U394" s="3">
        <v>3.9800000000000002E-2</v>
      </c>
      <c r="V394" s="8">
        <v>66006</v>
      </c>
      <c r="W394" s="3">
        <v>4</v>
      </c>
      <c r="X394" s="3" t="str">
        <f t="shared" si="28"/>
        <v>-SADNE-</v>
      </c>
      <c r="Y394" s="3" t="str">
        <f t="shared" si="29"/>
        <v>-SLOWSS-</v>
      </c>
      <c r="Z394" s="4" t="str">
        <f t="shared" si="30"/>
        <v>{"couname":"Rectifier","img":"https://i.scdn.co/image/ab67616d0000b27366919acb93950333962467f8","pty":"31","artist":"Daft Punk","genres":"house francés,electrónica,electro","duration":"134053","spotId":"1H36BBwHZuAWszr2EET29m","Items":["-SADNE-","-SLOWSS-","","","GN_FrenchElectro"]},</v>
      </c>
      <c r="AA394" s="5" t="s">
        <v>6100</v>
      </c>
      <c r="AB394" s="3" t="str">
        <f t="shared" si="31"/>
        <v>["-SADNE-","-SLOWSS-","","","GN_FrenchElectro"]</v>
      </c>
      <c r="AC394" s="3" t="str">
        <f>_xlfn.XLOOKUP(A394,Album!A:A,Album!J:J)</f>
        <v>https://i.scdn.co/image/ab67616d0000b27366919acb93950333962467f8</v>
      </c>
      <c r="AD394" s="3"/>
      <c r="AE394" s="3"/>
      <c r="AF394" s="3"/>
      <c r="AG394" s="3"/>
      <c r="AH394" s="3"/>
    </row>
    <row r="395" spans="1:34" x14ac:dyDescent="0.3">
      <c r="A395" s="11" t="s">
        <v>2015</v>
      </c>
      <c r="B395" s="12" t="s">
        <v>5605</v>
      </c>
      <c r="C395" s="12" t="s">
        <v>2004</v>
      </c>
      <c r="D395" s="13" t="s">
        <v>4848</v>
      </c>
      <c r="E395" s="6">
        <v>40560</v>
      </c>
      <c r="F395" s="3">
        <v>238084</v>
      </c>
      <c r="G395" s="3">
        <v>31</v>
      </c>
      <c r="H395" s="3" t="s">
        <v>5606</v>
      </c>
      <c r="I395" s="3" t="s">
        <v>1983</v>
      </c>
      <c r="J395" s="3" t="s">
        <v>2017</v>
      </c>
      <c r="K395" s="3" t="s">
        <v>2002</v>
      </c>
      <c r="L395" s="3">
        <v>0.61199999999999999</v>
      </c>
      <c r="M395" s="3">
        <v>0.8</v>
      </c>
      <c r="N395" s="3">
        <v>11</v>
      </c>
      <c r="O395" s="8">
        <v>-3261</v>
      </c>
      <c r="P395" s="3">
        <v>0</v>
      </c>
      <c r="Q395" s="3">
        <v>3.4599999999999999E-2</v>
      </c>
      <c r="R395" s="3">
        <v>2.48E-3</v>
      </c>
      <c r="S395" s="3">
        <v>8.9900000000000003E-5</v>
      </c>
      <c r="T395" s="3">
        <v>0.20499999999999999</v>
      </c>
      <c r="U395" s="3">
        <v>0.26600000000000001</v>
      </c>
      <c r="V395" s="8">
        <v>124.99</v>
      </c>
      <c r="W395" s="3">
        <v>4</v>
      </c>
      <c r="X395" s="3" t="str">
        <f t="shared" si="28"/>
        <v>-SADNE-</v>
      </c>
      <c r="Y395" s="3" t="str">
        <f t="shared" si="29"/>
        <v>-ENERGY-</v>
      </c>
      <c r="Z395" s="4" t="str">
        <f t="shared" si="30"/>
        <v>{"couname":"Que veux-tu","img":"https://i.scdn.co/image/ab67616d0000b2732a3613ff2c4649ec2a27b0ce","pty":"31","artist":"Yelle, Madeon","genres":"pop francés,house francés,electroclash,electropop,edm","duration":"238084","spotId":"5i8mPZVSSAlKEP0wSvOVrR","Items":["-SADNE-","-ENERGY-","","","GN_FrenchElectro"]},</v>
      </c>
      <c r="AA395" s="5" t="s">
        <v>6100</v>
      </c>
      <c r="AB395" s="3" t="str">
        <f t="shared" si="31"/>
        <v>["-SADNE-","-ENERGY-","","","GN_FrenchElectro"]</v>
      </c>
      <c r="AC395" s="3" t="str">
        <f>_xlfn.XLOOKUP(A395,Album!A:A,Album!J:J)</f>
        <v>https://i.scdn.co/image/ab67616d0000b2732a3613ff2c4649ec2a27b0ce</v>
      </c>
      <c r="AD395" s="3"/>
      <c r="AE395" s="3"/>
      <c r="AF395" s="3"/>
      <c r="AG395" s="3"/>
      <c r="AH395" s="3"/>
    </row>
    <row r="396" spans="1:34" x14ac:dyDescent="0.3">
      <c r="A396" s="11" t="s">
        <v>2020</v>
      </c>
      <c r="B396" s="12" t="s">
        <v>2019</v>
      </c>
      <c r="C396" s="12" t="s">
        <v>2021</v>
      </c>
      <c r="D396" s="13" t="s">
        <v>4856</v>
      </c>
      <c r="E396" s="6">
        <v>39482</v>
      </c>
      <c r="F396" s="3">
        <v>172000</v>
      </c>
      <c r="G396" s="3">
        <v>31</v>
      </c>
      <c r="H396" s="3" t="s">
        <v>5604</v>
      </c>
      <c r="I396" s="3" t="s">
        <v>1983</v>
      </c>
      <c r="J396" s="3" t="s">
        <v>1994</v>
      </c>
      <c r="K396" s="3" t="s">
        <v>2022</v>
      </c>
      <c r="L396" s="3">
        <v>0.67700000000000005</v>
      </c>
      <c r="M396" s="3">
        <v>0.81499999999999995</v>
      </c>
      <c r="N396" s="3">
        <v>2</v>
      </c>
      <c r="O396" s="8">
        <v>-5.12</v>
      </c>
      <c r="P396" s="3">
        <v>1</v>
      </c>
      <c r="Q396" s="3">
        <v>5.9799999999999999E-2</v>
      </c>
      <c r="R396" s="3">
        <v>2.5799999999999998E-4</v>
      </c>
      <c r="S396" s="3">
        <v>0.85</v>
      </c>
      <c r="T396" s="3">
        <v>7.4499999999999997E-2</v>
      </c>
      <c r="U396" s="3">
        <v>0.96699999999999997</v>
      </c>
      <c r="V396" s="8">
        <v>127975</v>
      </c>
      <c r="W396" s="3">
        <v>4</v>
      </c>
      <c r="X396" s="3" t="str">
        <f t="shared" si="28"/>
        <v>-HAPPY-</v>
      </c>
      <c r="Y396" s="3" t="str">
        <f t="shared" si="29"/>
        <v>-ENERGY-</v>
      </c>
      <c r="Z396" s="4" t="str">
        <f t="shared" si="30"/>
        <v>{"couname":"À cause des garçons","img":"https://i.scdn.co/image/ab67616d0000b2732412d822fa03b269889e27de","pty":"31","artist":"Yelle, Tepr","genres":"pop francés,house francés,electroclash,electropop","duration":"172000","spotId":"1AWfu7duhNfynT4UdtIqZT","Items":["-HAPPY-","-ENERGY-","","","GN_FrenchElectro"]},</v>
      </c>
      <c r="AA396" s="5" t="s">
        <v>6100</v>
      </c>
      <c r="AB396" s="3" t="str">
        <f t="shared" si="31"/>
        <v>["-HAPPY-","-ENERGY-","","","GN_FrenchElectro"]</v>
      </c>
      <c r="AC396" s="3" t="str">
        <f>_xlfn.XLOOKUP(A396,Album!A:A,Album!J:J)</f>
        <v>https://i.scdn.co/image/ab67616d0000b2732412d822fa03b269889e27de</v>
      </c>
      <c r="AD396" s="3"/>
      <c r="AE396" s="3"/>
      <c r="AF396" s="3"/>
      <c r="AG396" s="3"/>
      <c r="AH396" s="3"/>
    </row>
    <row r="397" spans="1:34" x14ac:dyDescent="0.3">
      <c r="A397" s="11" t="s">
        <v>430</v>
      </c>
      <c r="B397" s="12" t="s">
        <v>5602</v>
      </c>
      <c r="C397" s="12" t="s">
        <v>417</v>
      </c>
      <c r="D397" s="13" t="s">
        <v>18</v>
      </c>
      <c r="E397" s="6">
        <v>2018</v>
      </c>
      <c r="F397" s="3">
        <v>256246</v>
      </c>
      <c r="G397" s="3">
        <v>30</v>
      </c>
      <c r="H397" s="3" t="s">
        <v>5603</v>
      </c>
      <c r="I397" s="3" t="s">
        <v>102</v>
      </c>
      <c r="J397" s="3" t="s">
        <v>103</v>
      </c>
      <c r="K397" s="3" t="s">
        <v>87</v>
      </c>
      <c r="L397" s="3">
        <v>0.35</v>
      </c>
      <c r="M397" s="3">
        <v>0.73899999999999999</v>
      </c>
      <c r="N397" s="3">
        <v>2</v>
      </c>
      <c r="O397" s="8">
        <v>-7825</v>
      </c>
      <c r="P397" s="3">
        <v>1</v>
      </c>
      <c r="Q397" s="3">
        <v>3.15E-2</v>
      </c>
      <c r="R397" s="3">
        <v>5.1200000000000002E-2</v>
      </c>
      <c r="S397" s="3">
        <v>0.85399999999999998</v>
      </c>
      <c r="T397" s="3">
        <v>0.152</v>
      </c>
      <c r="U397" s="3">
        <v>0.16</v>
      </c>
      <c r="V397" s="8">
        <v>195.04</v>
      </c>
      <c r="W397" s="3">
        <v>3</v>
      </c>
      <c r="X397" s="3" t="str">
        <f t="shared" si="28"/>
        <v>-SADNE-</v>
      </c>
      <c r="Y397" s="3" t="str">
        <f t="shared" si="29"/>
        <v>-ENERGY-</v>
      </c>
      <c r="Z397" s="4" t="str">
        <f t="shared" si="30"/>
        <v>{"couname":"THE OPENING","img":"https://i.scdn.co/image/ab67616d0000b273549c7972b8511360e8761adf","pty":"30","artist":"Jean-Michel Jarre","genres":"new age,electrónica,space music","duration":"256246","spotId":"24CyE6SLG5VS3MoEcRKbmY","Items":["-SADNE-","-ENERGY-","","","GN_FrenchElectro"]},</v>
      </c>
      <c r="AA397" s="5" t="s">
        <v>6100</v>
      </c>
      <c r="AB397" s="3" t="str">
        <f t="shared" si="31"/>
        <v>["-SADNE-","-ENERGY-","","","GN_FrenchElectro"]</v>
      </c>
      <c r="AC397" s="3" t="str">
        <f>_xlfn.XLOOKUP(A397,Album!A:A,Album!J:J)</f>
        <v>https://i.scdn.co/image/ab67616d0000b273549c7972b8511360e8761adf</v>
      </c>
      <c r="AD397" s="3"/>
      <c r="AE397" s="3"/>
      <c r="AF397" s="3"/>
      <c r="AG397" s="3"/>
      <c r="AH397" s="3"/>
    </row>
    <row r="398" spans="1:34" x14ac:dyDescent="0.3">
      <c r="A398" s="11" t="s">
        <v>586</v>
      </c>
      <c r="B398" s="12" t="s">
        <v>5600</v>
      </c>
      <c r="C398" s="12" t="s">
        <v>587</v>
      </c>
      <c r="D398" s="13" t="s">
        <v>2731</v>
      </c>
      <c r="E398" s="6">
        <v>44344</v>
      </c>
      <c r="F398" s="3">
        <v>164506</v>
      </c>
      <c r="G398" s="3">
        <v>30</v>
      </c>
      <c r="H398" s="3" t="s">
        <v>5601</v>
      </c>
      <c r="I398" s="3" t="s">
        <v>462</v>
      </c>
      <c r="J398" s="3" t="s">
        <v>463</v>
      </c>
      <c r="K398" s="3" t="s">
        <v>12</v>
      </c>
      <c r="L398" s="3">
        <v>0.68200000000000005</v>
      </c>
      <c r="M398" s="3">
        <v>0.80700000000000005</v>
      </c>
      <c r="N398" s="3">
        <v>1</v>
      </c>
      <c r="O398" s="8">
        <v>-5411</v>
      </c>
      <c r="P398" s="3">
        <v>0</v>
      </c>
      <c r="Q398" s="3">
        <v>9.7299999999999998E-2</v>
      </c>
      <c r="R398" s="3">
        <v>8.4200000000000004E-3</v>
      </c>
      <c r="S398" s="3">
        <v>9.9599999999999995E-5</v>
      </c>
      <c r="T398" s="3">
        <v>0.625</v>
      </c>
      <c r="U398" s="3">
        <v>0.79300000000000004</v>
      </c>
      <c r="V398" s="8">
        <v>119993</v>
      </c>
      <c r="W398" s="3">
        <v>4</v>
      </c>
      <c r="X398" s="3" t="str">
        <f t="shared" si="28"/>
        <v>-HAPPY-</v>
      </c>
      <c r="Y398" s="3" t="str">
        <f t="shared" si="29"/>
        <v>-ENERGY-</v>
      </c>
      <c r="Z398" s="4" t="str">
        <f t="shared" si="30"/>
        <v>{"couname":"We Could Be Dancing","img":"https://i.scdn.co/image/ab67616d0000b273ef42a47a766c3b54610bd6e1","pty":"30","artist":"Bob Sinclar, Molly Hammar","genres":"house francés,disco house","duration":"164506","spotId":"367BbT7Cg2xZLv5redErC9","Items":["-HAPPY-","-ENERGY-","","","GN_FrenchElectro"]},</v>
      </c>
      <c r="AA398" s="5" t="s">
        <v>6100</v>
      </c>
      <c r="AB398" s="3" t="str">
        <f t="shared" si="31"/>
        <v>["-HAPPY-","-ENERGY-","","","GN_FrenchElectro"]</v>
      </c>
      <c r="AC398" s="3" t="str">
        <f>_xlfn.XLOOKUP(A398,Album!A:A,Album!J:J)</f>
        <v>https://i.scdn.co/image/ab67616d0000b273ef42a47a766c3b54610bd6e1</v>
      </c>
      <c r="AD398" s="3"/>
      <c r="AE398" s="3"/>
      <c r="AF398" s="3"/>
      <c r="AG398" s="3"/>
      <c r="AH398" s="3"/>
    </row>
    <row r="399" spans="1:34" x14ac:dyDescent="0.3">
      <c r="A399" s="11" t="s">
        <v>861</v>
      </c>
      <c r="B399" s="12" t="s">
        <v>862</v>
      </c>
      <c r="C399" s="12" t="s">
        <v>841</v>
      </c>
      <c r="D399" s="13" t="s">
        <v>842</v>
      </c>
      <c r="E399" s="6">
        <v>2011</v>
      </c>
      <c r="F399" s="3">
        <v>83600</v>
      </c>
      <c r="G399" s="3">
        <v>30</v>
      </c>
      <c r="H399" s="3" t="s">
        <v>5599</v>
      </c>
      <c r="I399" s="3" t="s">
        <v>843</v>
      </c>
      <c r="J399" s="3" t="s">
        <v>844</v>
      </c>
      <c r="K399" s="3" t="s">
        <v>845</v>
      </c>
      <c r="L399" s="3">
        <v>0.20799999999999999</v>
      </c>
      <c r="M399" s="3">
        <v>0.125</v>
      </c>
      <c r="N399" s="3">
        <v>6</v>
      </c>
      <c r="O399" s="8">
        <v>-21395</v>
      </c>
      <c r="P399" s="3">
        <v>1</v>
      </c>
      <c r="Q399" s="3">
        <v>6.2E-2</v>
      </c>
      <c r="R399" s="3">
        <v>0.996</v>
      </c>
      <c r="S399" s="3">
        <v>0.95599999999999996</v>
      </c>
      <c r="T399" s="3">
        <v>9.3700000000000006E-2</v>
      </c>
      <c r="U399" s="3">
        <v>3.2899999999999999E-2</v>
      </c>
      <c r="V399" s="8">
        <v>72183</v>
      </c>
      <c r="W399" s="3">
        <v>4</v>
      </c>
      <c r="X399" s="3" t="str">
        <f t="shared" si="28"/>
        <v>-SADNE-</v>
      </c>
      <c r="Y399" s="3" t="str">
        <f t="shared" si="29"/>
        <v>-SLOWSS-</v>
      </c>
      <c r="Z399" s="4" t="str">
        <f t="shared" si="30"/>
        <v>{"couname":"When Will You Come Home?","img":"https://i.scdn.co/image/ab67616d0000b273fff2cb485c36a6d8f639bdba","pty":"30","artist":"M83","genres":"indietronica","duration":"83600","spotId":"0ILPnIuTZ2TJ8pbYxmOHzF","Items":["-SADNE-","-SLOWSS-","","","GN_FrenchElectro"]},</v>
      </c>
      <c r="AA399" s="5" t="s">
        <v>6100</v>
      </c>
      <c r="AB399" s="3" t="str">
        <f t="shared" si="31"/>
        <v>["-SADNE-","-SLOWSS-","","","GN_FrenchElectro"]</v>
      </c>
      <c r="AC399" s="3" t="str">
        <f>_xlfn.XLOOKUP(A399,Album!A:A,Album!J:J)</f>
        <v>https://i.scdn.co/image/ab67616d0000b273fff2cb485c36a6d8f639bdba</v>
      </c>
      <c r="AD399" s="3"/>
      <c r="AE399" s="3"/>
      <c r="AF399" s="3"/>
      <c r="AG399" s="3"/>
      <c r="AH399" s="3"/>
    </row>
    <row r="400" spans="1:34" x14ac:dyDescent="0.3">
      <c r="A400" s="11" t="s">
        <v>963</v>
      </c>
      <c r="B400" s="12" t="s">
        <v>964</v>
      </c>
      <c r="C400" s="12" t="s">
        <v>965</v>
      </c>
      <c r="D400" s="13" t="s">
        <v>842</v>
      </c>
      <c r="E400" s="6">
        <v>39328</v>
      </c>
      <c r="F400" s="3">
        <v>141506</v>
      </c>
      <c r="G400" s="3">
        <v>30</v>
      </c>
      <c r="H400" s="3" t="s">
        <v>5598</v>
      </c>
      <c r="I400" s="3" t="s">
        <v>889</v>
      </c>
      <c r="J400" s="3" t="s">
        <v>844</v>
      </c>
      <c r="K400" s="3" t="s">
        <v>890</v>
      </c>
      <c r="L400" s="3">
        <v>0.182</v>
      </c>
      <c r="M400" s="3">
        <v>8.7300000000000003E-2</v>
      </c>
      <c r="N400" s="3">
        <v>7</v>
      </c>
      <c r="O400" s="8">
        <v>-19941</v>
      </c>
      <c r="P400" s="3">
        <v>1</v>
      </c>
      <c r="Q400" s="3">
        <v>3.9899999999999998E-2</v>
      </c>
      <c r="R400" s="3">
        <v>0.99299999999999999</v>
      </c>
      <c r="S400" s="3">
        <v>0.96399999999999997</v>
      </c>
      <c r="T400" s="3">
        <v>0.1</v>
      </c>
      <c r="U400" s="3">
        <v>5.4800000000000001E-2</v>
      </c>
      <c r="V400" s="8">
        <v>124128</v>
      </c>
      <c r="W400" s="3">
        <v>4</v>
      </c>
      <c r="X400" s="3" t="str">
        <f t="shared" si="28"/>
        <v>-SADNE-</v>
      </c>
      <c r="Y400" s="3" t="str">
        <f t="shared" si="29"/>
        <v>-SLOWSS-</v>
      </c>
      <c r="Z400" s="4" t="str">
        <f t="shared" si="30"/>
        <v>{"couname":"Sister, Pt. 2","img":"https://i.scdn.co/image/ab67616d0000b27336dfe773fef33a09f2d91e89","pty":"30","artist":"M83","genres":"indietronica","duration":"141506","spotId":"1ZdpLzCg0IqieNn2NwYfGq","Items":["-SADNE-","-SLOWSS-","","","GN_FrenchElectro"]},</v>
      </c>
      <c r="AA400" s="5" t="s">
        <v>6100</v>
      </c>
      <c r="AB400" s="3" t="str">
        <f t="shared" si="31"/>
        <v>["-SADNE-","-SLOWSS-","","","GN_FrenchElectro"]</v>
      </c>
      <c r="AC400" s="3" t="str">
        <f>_xlfn.XLOOKUP(A400,Album!A:A,Album!J:J)</f>
        <v>https://i.scdn.co/image/ab67616d0000b27336dfe773fef33a09f2d91e89</v>
      </c>
      <c r="AD400" s="3"/>
      <c r="AE400" s="3"/>
      <c r="AF400" s="3"/>
      <c r="AG400" s="3"/>
      <c r="AH400" s="3"/>
    </row>
    <row r="401" spans="1:34" x14ac:dyDescent="0.3">
      <c r="A401" s="11" t="s">
        <v>973</v>
      </c>
      <c r="B401" s="12" t="s">
        <v>974</v>
      </c>
      <c r="C401" s="12" t="s">
        <v>975</v>
      </c>
      <c r="D401" s="13" t="s">
        <v>842</v>
      </c>
      <c r="E401" s="6">
        <v>43728</v>
      </c>
      <c r="F401" s="3">
        <v>145473</v>
      </c>
      <c r="G401" s="3">
        <v>30</v>
      </c>
      <c r="H401" s="3" t="s">
        <v>5597</v>
      </c>
      <c r="I401" s="3" t="s">
        <v>889</v>
      </c>
      <c r="J401" s="3" t="s">
        <v>844</v>
      </c>
      <c r="K401" s="3" t="s">
        <v>894</v>
      </c>
      <c r="L401" s="3">
        <v>0.46400000000000002</v>
      </c>
      <c r="M401" s="3">
        <v>0.28499999999999998</v>
      </c>
      <c r="N401" s="3">
        <v>1</v>
      </c>
      <c r="O401" s="8">
        <v>-12704</v>
      </c>
      <c r="P401" s="3">
        <v>0</v>
      </c>
      <c r="Q401" s="3">
        <v>2.8400000000000002E-2</v>
      </c>
      <c r="R401" s="3">
        <v>0.93899999999999995</v>
      </c>
      <c r="S401" s="3">
        <v>0.93200000000000005</v>
      </c>
      <c r="T401" s="3">
        <v>9.06E-2</v>
      </c>
      <c r="U401" s="3">
        <v>8.0600000000000005E-2</v>
      </c>
      <c r="V401" s="8">
        <v>107025</v>
      </c>
      <c r="W401" s="3">
        <v>3</v>
      </c>
      <c r="X401" s="3" t="str">
        <f t="shared" si="28"/>
        <v>-SADNE-</v>
      </c>
      <c r="Y401" s="3" t="str">
        <f t="shared" si="29"/>
        <v>-SLOWSS-</v>
      </c>
      <c r="Z401" s="4" t="str">
        <f t="shared" si="30"/>
        <v>{"couname":"Goodbye Captain Lee","img":"https://i.scdn.co/image/ab67616d0000b273d6e19f60738af1f9d4e1d09f","pty":"30","artist":"M83","genres":"indietronica","duration":"145473","spotId":"6iFr5JLC9396GKxAh8nzoC","Items":["-SADNE-","-SLOWSS-","","","GN_FrenchElectro"]},</v>
      </c>
      <c r="AA401" s="5" t="s">
        <v>6100</v>
      </c>
      <c r="AB401" s="3" t="str">
        <f t="shared" si="31"/>
        <v>["-SADNE-","-SLOWSS-","","","GN_FrenchElectro"]</v>
      </c>
      <c r="AC401" s="3" t="str">
        <f>_xlfn.XLOOKUP(A401,Album!A:A,Album!J:J)</f>
        <v>https://i.scdn.co/image/ab67616d0000b273d6e19f60738af1f9d4e1d09f</v>
      </c>
      <c r="AD401" s="3"/>
      <c r="AE401" s="3"/>
      <c r="AF401" s="3"/>
      <c r="AG401" s="3"/>
      <c r="AH401" s="3"/>
    </row>
    <row r="402" spans="1:34" x14ac:dyDescent="0.3">
      <c r="A402" s="11" t="s">
        <v>978</v>
      </c>
      <c r="B402" s="12" t="s">
        <v>979</v>
      </c>
      <c r="C402" s="12" t="s">
        <v>908</v>
      </c>
      <c r="D402" s="13" t="s">
        <v>842</v>
      </c>
      <c r="E402" s="6">
        <v>41596</v>
      </c>
      <c r="F402" s="3">
        <v>153240</v>
      </c>
      <c r="G402" s="3">
        <v>30</v>
      </c>
      <c r="H402" s="3" t="s">
        <v>5596</v>
      </c>
      <c r="I402" s="3" t="s">
        <v>889</v>
      </c>
      <c r="J402" s="3" t="s">
        <v>844</v>
      </c>
      <c r="K402" s="3" t="s">
        <v>890</v>
      </c>
      <c r="L402" s="3">
        <v>0.17299999999999999</v>
      </c>
      <c r="M402" s="3">
        <v>0.40500000000000003</v>
      </c>
      <c r="N402" s="3">
        <v>2</v>
      </c>
      <c r="O402" s="8">
        <v>-12239</v>
      </c>
      <c r="P402" s="3">
        <v>1</v>
      </c>
      <c r="Q402" s="3">
        <v>4.6800000000000001E-2</v>
      </c>
      <c r="R402" s="3">
        <v>0.97099999999999997</v>
      </c>
      <c r="S402" s="3">
        <v>0.97599999999999998</v>
      </c>
      <c r="T402" s="3">
        <v>8.3199999999999996E-2</v>
      </c>
      <c r="U402" s="3">
        <v>2.86E-2</v>
      </c>
      <c r="V402" s="8">
        <v>75489</v>
      </c>
      <c r="W402" s="3">
        <v>4</v>
      </c>
      <c r="X402" s="3" t="str">
        <f t="shared" si="28"/>
        <v>-SADNE-</v>
      </c>
      <c r="Y402" s="3" t="str">
        <f t="shared" si="29"/>
        <v>-SLOWSS-</v>
      </c>
      <c r="Z402" s="4" t="str">
        <f t="shared" si="30"/>
        <v>{"couname":"To Sudden Silence","img":"https://i.scdn.co/image/ab67616d0000b273dc2d1dcf42c7f1368b8014ac","pty":"30","artist":"M83","genres":"indietronica","duration":"153240","spotId":"48HbuihGi43xm0qy4sErwH","Items":["-SADNE-","-SLOWSS-","","","GN_FrenchElectro"]},</v>
      </c>
      <c r="AA402" s="5" t="s">
        <v>6100</v>
      </c>
      <c r="AB402" s="3" t="str">
        <f t="shared" si="31"/>
        <v>["-SADNE-","-SLOWSS-","","","GN_FrenchElectro"]</v>
      </c>
      <c r="AC402" s="3" t="str">
        <f>_xlfn.XLOOKUP(A402,Album!A:A,Album!J:J)</f>
        <v>https://i.scdn.co/image/ab67616d0000b273dc2d1dcf42c7f1368b8014ac</v>
      </c>
      <c r="AD402" s="3"/>
      <c r="AE402" s="3"/>
      <c r="AF402" s="3"/>
      <c r="AG402" s="3"/>
      <c r="AH402" s="3"/>
    </row>
    <row r="403" spans="1:34" x14ac:dyDescent="0.3">
      <c r="A403" s="11" t="s">
        <v>984</v>
      </c>
      <c r="B403" s="12" t="s">
        <v>985</v>
      </c>
      <c r="C403" s="12" t="s">
        <v>965</v>
      </c>
      <c r="D403" s="13" t="s">
        <v>842</v>
      </c>
      <c r="E403" s="6">
        <v>39328</v>
      </c>
      <c r="F403" s="3">
        <v>207493</v>
      </c>
      <c r="G403" s="3">
        <v>30</v>
      </c>
      <c r="H403" s="3" t="s">
        <v>5595</v>
      </c>
      <c r="I403" s="3" t="s">
        <v>889</v>
      </c>
      <c r="J403" s="3" t="s">
        <v>844</v>
      </c>
      <c r="K403" s="3" t="s">
        <v>890</v>
      </c>
      <c r="L403" s="3">
        <v>0.17699999999999999</v>
      </c>
      <c r="M403" s="3">
        <v>0.249</v>
      </c>
      <c r="N403" s="3">
        <v>6</v>
      </c>
      <c r="O403" s="8">
        <v>-9724</v>
      </c>
      <c r="P403" s="3">
        <v>1</v>
      </c>
      <c r="Q403" s="3">
        <v>3.3500000000000002E-2</v>
      </c>
      <c r="R403" s="3">
        <v>0.93</v>
      </c>
      <c r="S403" s="3">
        <v>0.92400000000000004</v>
      </c>
      <c r="T403" s="3">
        <v>0.113</v>
      </c>
      <c r="U403" s="3">
        <v>5.5199999999999999E-2</v>
      </c>
      <c r="V403" s="8">
        <v>112184</v>
      </c>
      <c r="W403" s="3">
        <v>4</v>
      </c>
      <c r="X403" s="3" t="str">
        <f t="shared" si="28"/>
        <v>-SADNE-</v>
      </c>
      <c r="Y403" s="3" t="str">
        <f t="shared" si="29"/>
        <v>-SLOWSS-</v>
      </c>
      <c r="Z403" s="4" t="str">
        <f t="shared" si="30"/>
        <v>{"couname":"Coloring the Void","img":"https://i.scdn.co/image/ab67616d0000b27336dfe773fef33a09f2d91e89","pty":"30","artist":"M83","genres":"indietronica","duration":"207493","spotId":"6Cg63kL4yLAawT6HGrJlPO","Items":["-SADNE-","-SLOWSS-","","","GN_FrenchElectro"]},</v>
      </c>
      <c r="AA403" s="5" t="s">
        <v>6100</v>
      </c>
      <c r="AB403" s="3" t="str">
        <f t="shared" si="31"/>
        <v>["-SADNE-","-SLOWSS-","","","GN_FrenchElectro"]</v>
      </c>
      <c r="AC403" s="3" t="str">
        <f>_xlfn.XLOOKUP(A403,Album!A:A,Album!J:J)</f>
        <v>https://i.scdn.co/image/ab67616d0000b27336dfe773fef33a09f2d91e89</v>
      </c>
      <c r="AD403" s="3"/>
      <c r="AE403" s="3"/>
      <c r="AF403" s="3"/>
      <c r="AG403" s="3"/>
      <c r="AH403" s="3"/>
    </row>
    <row r="404" spans="1:34" x14ac:dyDescent="0.3">
      <c r="A404" s="11" t="s">
        <v>986</v>
      </c>
      <c r="B404" s="12" t="s">
        <v>961</v>
      </c>
      <c r="C404" s="12" t="s">
        <v>988</v>
      </c>
      <c r="D404" s="13" t="s">
        <v>3284</v>
      </c>
      <c r="E404" s="6">
        <v>45373</v>
      </c>
      <c r="F404" s="3">
        <v>248469</v>
      </c>
      <c r="G404" s="3">
        <v>30</v>
      </c>
      <c r="H404" s="3" t="s">
        <v>5594</v>
      </c>
      <c r="I404" s="3" t="s">
        <v>889</v>
      </c>
      <c r="J404" s="3" t="s">
        <v>989</v>
      </c>
      <c r="K404" s="3" t="s">
        <v>962</v>
      </c>
      <c r="L404" s="3">
        <v>0.73899999999999999</v>
      </c>
      <c r="M404" s="3">
        <v>0.90400000000000003</v>
      </c>
      <c r="N404" s="3">
        <v>1</v>
      </c>
      <c r="O404" s="8">
        <v>-7337</v>
      </c>
      <c r="P404" s="3">
        <v>1</v>
      </c>
      <c r="Q404" s="3">
        <v>3.4599999999999999E-2</v>
      </c>
      <c r="R404" s="3">
        <v>7.1500000000000003E-5</v>
      </c>
      <c r="S404" s="3">
        <v>0.88800000000000001</v>
      </c>
      <c r="T404" s="3">
        <v>0.11799999999999999</v>
      </c>
      <c r="U404" s="3">
        <v>0.34699999999999998</v>
      </c>
      <c r="V404" s="8">
        <v>125985</v>
      </c>
      <c r="W404" s="3">
        <v>4</v>
      </c>
      <c r="X404" s="3" t="str">
        <f t="shared" si="28"/>
        <v>-HAPPY-</v>
      </c>
      <c r="Y404" s="3" t="str">
        <f t="shared" si="29"/>
        <v>-ENERGY-</v>
      </c>
      <c r="Z404" s="4" t="str">
        <f t="shared" si="30"/>
        <v>{"couname":"Fantasy","img":"https://i.scdn.co/image/ab67616d0000b27343df73fd9a7d10cfcf6554ae","pty":"30","artist":"M83, Sofia Kourtesis","genres":"indietronica,lo-fi house","duration":"248469","spotId":"3ETFK4bJe6LOJRuTnoR4Nl","Items":["-HAPPY-","-ENERGY-","","","GN_FrenchElectro"]},</v>
      </c>
      <c r="AA404" s="5" t="s">
        <v>6100</v>
      </c>
      <c r="AB404" s="3" t="str">
        <f t="shared" si="31"/>
        <v>["-HAPPY-","-ENERGY-","","","GN_FrenchElectro"]</v>
      </c>
      <c r="AC404" s="3" t="str">
        <f>_xlfn.XLOOKUP(A404,Album!A:A,Album!J:J)</f>
        <v>https://i.scdn.co/image/ab67616d0000b27343df73fd9a7d10cfcf6554ae</v>
      </c>
      <c r="AD404" s="3"/>
      <c r="AE404" s="3"/>
      <c r="AF404" s="3"/>
      <c r="AG404" s="3"/>
      <c r="AH404" s="3"/>
    </row>
    <row r="405" spans="1:34" x14ac:dyDescent="0.3">
      <c r="A405" s="11" t="s">
        <v>1005</v>
      </c>
      <c r="B405" s="12" t="s">
        <v>1006</v>
      </c>
      <c r="C405" s="12" t="s">
        <v>961</v>
      </c>
      <c r="D405" s="13" t="s">
        <v>842</v>
      </c>
      <c r="E405" s="6">
        <v>45002</v>
      </c>
      <c r="F405" s="3">
        <v>191356</v>
      </c>
      <c r="G405" s="3">
        <v>30</v>
      </c>
      <c r="H405" s="3" t="s">
        <v>5593</v>
      </c>
      <c r="I405" s="3" t="s">
        <v>889</v>
      </c>
      <c r="J405" s="3" t="s">
        <v>844</v>
      </c>
      <c r="K405" s="3" t="s">
        <v>962</v>
      </c>
      <c r="L405" s="3">
        <v>0.13800000000000001</v>
      </c>
      <c r="M405" s="3">
        <v>0.21099999999999999</v>
      </c>
      <c r="N405" s="3">
        <v>6</v>
      </c>
      <c r="O405" s="8">
        <v>-12188</v>
      </c>
      <c r="P405" s="3">
        <v>1</v>
      </c>
      <c r="Q405" s="3">
        <v>3.9100000000000003E-2</v>
      </c>
      <c r="R405" s="3">
        <v>0.28199999999999997</v>
      </c>
      <c r="S405" s="3">
        <v>0.95199999999999996</v>
      </c>
      <c r="T405" s="3">
        <v>0.123</v>
      </c>
      <c r="U405" s="3">
        <v>3.9800000000000002E-2</v>
      </c>
      <c r="V405" s="8">
        <v>94739</v>
      </c>
      <c r="W405" s="3">
        <v>3</v>
      </c>
      <c r="X405" s="3" t="str">
        <f t="shared" si="28"/>
        <v>-SADNE-</v>
      </c>
      <c r="Y405" s="3" t="str">
        <f t="shared" si="29"/>
        <v>-SLOWSS-</v>
      </c>
      <c r="Z405" s="4" t="str">
        <f t="shared" si="30"/>
        <v>{"couname":"Water Deep","img":"https://i.scdn.co/image/ab67616d0000b2732112ea8c833adcdb84da3912","pty":"30","artist":"M83","genres":"indietronica","duration":"191356","spotId":"3qEeps4iJiSXB0PZf73UEI","Items":["-SADNE-","-SLOWSS-","","","GN_FrenchElectro"]},</v>
      </c>
      <c r="AA405" s="5" t="s">
        <v>6100</v>
      </c>
      <c r="AB405" s="3" t="str">
        <f t="shared" si="31"/>
        <v>["-SADNE-","-SLOWSS-","","","GN_FrenchElectro"]</v>
      </c>
      <c r="AC405" s="3" t="str">
        <f>_xlfn.XLOOKUP(A405,Album!A:A,Album!J:J)</f>
        <v>https://i.scdn.co/image/ab67616d0000b2732112ea8c833adcdb84da3912</v>
      </c>
      <c r="AD405" s="3"/>
      <c r="AE405" s="3"/>
      <c r="AF405" s="3"/>
      <c r="AG405" s="3"/>
      <c r="AH405" s="3"/>
    </row>
    <row r="406" spans="1:34" x14ac:dyDescent="0.3">
      <c r="A406" s="11" t="s">
        <v>1009</v>
      </c>
      <c r="B406" s="12" t="s">
        <v>1010</v>
      </c>
      <c r="C406" s="12" t="s">
        <v>931</v>
      </c>
      <c r="D406" s="13" t="s">
        <v>842</v>
      </c>
      <c r="E406" s="6">
        <v>2008</v>
      </c>
      <c r="F406" s="3">
        <v>219293</v>
      </c>
      <c r="G406" s="3">
        <v>30</v>
      </c>
      <c r="H406" s="3" t="s">
        <v>5592</v>
      </c>
      <c r="I406" s="3" t="s">
        <v>889</v>
      </c>
      <c r="J406" s="3" t="s">
        <v>844</v>
      </c>
      <c r="K406" s="3" t="s">
        <v>890</v>
      </c>
      <c r="L406" s="3">
        <v>0.33700000000000002</v>
      </c>
      <c r="M406" s="3">
        <v>0.23499999999999999</v>
      </c>
      <c r="N406" s="3">
        <v>7</v>
      </c>
      <c r="O406" s="8">
        <v>-11454</v>
      </c>
      <c r="P406" s="3">
        <v>1</v>
      </c>
      <c r="Q406" s="3">
        <v>2.9499999999999998E-2</v>
      </c>
      <c r="R406" s="3">
        <v>0.78600000000000003</v>
      </c>
      <c r="S406" s="3">
        <v>0.70299999999999996</v>
      </c>
      <c r="T406" s="3">
        <v>0.161</v>
      </c>
      <c r="U406" s="3">
        <v>0.19600000000000001</v>
      </c>
      <c r="V406" s="8">
        <v>96377</v>
      </c>
      <c r="W406" s="3">
        <v>4</v>
      </c>
      <c r="X406" s="3" t="str">
        <f t="shared" si="28"/>
        <v>-SADNE-</v>
      </c>
      <c r="Y406" s="3" t="str">
        <f t="shared" si="29"/>
        <v>-SLOWSS-</v>
      </c>
      <c r="Z406" s="4" t="str">
        <f t="shared" si="30"/>
        <v>{"couname":"You Appearing","img":"https://i.scdn.co/image/ab67616d0000b273fb1ed9d614dc2fa4d5ead013","pty":"30","artist":"M83","genres":"indietronica","duration":"219293","spotId":"5lLyDsLiemfY2w3N7NCKlW","Items":["-SADNE-","-SLOWSS-","","","GN_FrenchElectro"]},</v>
      </c>
      <c r="AA406" s="5" t="s">
        <v>6100</v>
      </c>
      <c r="AB406" s="3" t="str">
        <f t="shared" si="31"/>
        <v>["-SADNE-","-SLOWSS-","","","GN_FrenchElectro"]</v>
      </c>
      <c r="AC406" s="3" t="str">
        <f>_xlfn.XLOOKUP(A406,Album!A:A,Album!J:J)</f>
        <v>https://i.scdn.co/image/ab67616d0000b273fb1ed9d614dc2fa4d5ead013</v>
      </c>
      <c r="AD406" s="3"/>
      <c r="AE406" s="3"/>
      <c r="AF406" s="3"/>
      <c r="AG406" s="3"/>
      <c r="AH406" s="3"/>
    </row>
    <row r="407" spans="1:34" x14ac:dyDescent="0.3">
      <c r="A407" s="11" t="s">
        <v>1182</v>
      </c>
      <c r="B407" s="12" t="s">
        <v>5590</v>
      </c>
      <c r="C407" s="12" t="s">
        <v>1018</v>
      </c>
      <c r="D407" s="13" t="s">
        <v>3648</v>
      </c>
      <c r="E407" s="6">
        <v>40779</v>
      </c>
      <c r="F407" s="3">
        <v>209533</v>
      </c>
      <c r="G407" s="3">
        <v>30</v>
      </c>
      <c r="H407" s="3" t="s">
        <v>5591</v>
      </c>
      <c r="I407" s="3" t="s">
        <v>1013</v>
      </c>
      <c r="J407" s="3" t="s">
        <v>1184</v>
      </c>
      <c r="K407" s="3" t="s">
        <v>83</v>
      </c>
      <c r="L407" s="3">
        <v>0.67</v>
      </c>
      <c r="M407" s="3">
        <v>0.93899999999999995</v>
      </c>
      <c r="N407" s="3">
        <v>9</v>
      </c>
      <c r="O407" s="8">
        <v>-2.06</v>
      </c>
      <c r="P407" s="3">
        <v>1</v>
      </c>
      <c r="Q407" s="3">
        <v>4.2700000000000002E-2</v>
      </c>
      <c r="R407" s="3">
        <v>4.6300000000000001E-2</v>
      </c>
      <c r="S407" s="3">
        <v>1.1000000000000001E-6</v>
      </c>
      <c r="T407" s="3">
        <v>0.33500000000000002</v>
      </c>
      <c r="U407" s="3">
        <v>0.26400000000000001</v>
      </c>
      <c r="V407" s="8">
        <v>127946</v>
      </c>
      <c r="W407" s="3">
        <v>4</v>
      </c>
      <c r="X407" s="3" t="str">
        <f t="shared" si="28"/>
        <v>-SADNE-</v>
      </c>
      <c r="Y407" s="3" t="str">
        <f t="shared" si="29"/>
        <v>-ENERGY-</v>
      </c>
      <c r="Z407" s="4" t="str">
        <f t="shared" si="30"/>
        <v>{"couname":"I Can Only Imagine","img":"https://i.scdn.co/image/ab67616d0000b273bd5ba80ea2ad342e488ba54d","pty":"30","artist":"David Guetta, Chris Brown, Lil Wayne","genres":"edm,dance,r&amp;b,rap,hip hop","duration":"209533","spotId":"10w1VHXe5Ti6YK80yM9A8K","Items":["-SADNE-","-ENERGY-","","","GN_FrenchElectro"]},</v>
      </c>
      <c r="AA407" s="5" t="s">
        <v>6100</v>
      </c>
      <c r="AB407" s="3" t="str">
        <f t="shared" si="31"/>
        <v>["-SADNE-","-ENERGY-","","","GN_FrenchElectro"]</v>
      </c>
      <c r="AC407" s="3" t="str">
        <f>_xlfn.XLOOKUP(A407,Album!A:A,Album!J:J)</f>
        <v>https://i.scdn.co/image/ab67616d0000b273bd5ba80ea2ad342e488ba54d</v>
      </c>
      <c r="AD407" s="3"/>
      <c r="AE407" s="3"/>
      <c r="AF407" s="3"/>
      <c r="AG407" s="3"/>
      <c r="AH407" s="3"/>
    </row>
    <row r="408" spans="1:34" x14ac:dyDescent="0.3">
      <c r="A408" s="11" t="s">
        <v>1237</v>
      </c>
      <c r="B408" s="12" t="s">
        <v>1238</v>
      </c>
      <c r="C408" s="12" t="s">
        <v>1205</v>
      </c>
      <c r="D408" s="13" t="s">
        <v>1206</v>
      </c>
      <c r="E408" s="6">
        <v>42093</v>
      </c>
      <c r="F408" s="3">
        <v>197573</v>
      </c>
      <c r="G408" s="3">
        <v>30</v>
      </c>
      <c r="H408" s="3" t="s">
        <v>5589</v>
      </c>
      <c r="I408" s="3" t="s">
        <v>1207</v>
      </c>
      <c r="J408" s="3" t="s">
        <v>1208</v>
      </c>
      <c r="K408" s="3" t="s">
        <v>84</v>
      </c>
      <c r="L408" s="3">
        <v>0.51600000000000001</v>
      </c>
      <c r="M408" s="3">
        <v>0.878</v>
      </c>
      <c r="N408" s="3">
        <v>11</v>
      </c>
      <c r="O408" s="8">
        <v>-2245</v>
      </c>
      <c r="P408" s="3">
        <v>0</v>
      </c>
      <c r="Q408" s="3">
        <v>0.216</v>
      </c>
      <c r="R408" s="3">
        <v>1.01E-3</v>
      </c>
      <c r="S408" s="3">
        <v>0.115</v>
      </c>
      <c r="T408" s="3">
        <v>0.313</v>
      </c>
      <c r="U408" s="3">
        <v>0.379</v>
      </c>
      <c r="V408" s="8">
        <v>115163</v>
      </c>
      <c r="W408" s="3">
        <v>4</v>
      </c>
      <c r="X408" s="3" t="str">
        <f t="shared" si="28"/>
        <v>-SADNE-</v>
      </c>
      <c r="Y408" s="3" t="str">
        <f t="shared" si="29"/>
        <v>-ENERGY-</v>
      </c>
      <c r="Z408" s="4" t="str">
        <f t="shared" si="30"/>
        <v>{"couname":"Cut the Kid","img":"https://i.scdn.co/image/ab67616d0000b27392cb28b37837c67dffe602f9","pty":"30","artist":"Madeon","genres":"edm,house francés","duration":"197573","spotId":"6HCYraYP2Q91yZZ9wQqkBi","Items":["-SADNE-","-ENERGY-","","","GN_FrenchElectro"]},</v>
      </c>
      <c r="AA408" s="5" t="s">
        <v>6100</v>
      </c>
      <c r="AB408" s="3" t="str">
        <f t="shared" si="31"/>
        <v>["-SADNE-","-ENERGY-","","","GN_FrenchElectro"]</v>
      </c>
      <c r="AC408" s="3" t="str">
        <f>_xlfn.XLOOKUP(A408,Album!A:A,Album!J:J)</f>
        <v>https://i.scdn.co/image/ab67616d0000b27392cb28b37837c67dffe602f9</v>
      </c>
      <c r="AD408" s="3"/>
      <c r="AE408" s="3"/>
      <c r="AF408" s="3"/>
      <c r="AG408" s="3"/>
      <c r="AH408" s="3"/>
    </row>
    <row r="409" spans="1:34" x14ac:dyDescent="0.3">
      <c r="A409" s="11" t="s">
        <v>1304</v>
      </c>
      <c r="B409" s="12" t="s">
        <v>5291</v>
      </c>
      <c r="C409" s="12" t="s">
        <v>1301</v>
      </c>
      <c r="D409" s="13" t="s">
        <v>3842</v>
      </c>
      <c r="E409" s="6">
        <v>42030</v>
      </c>
      <c r="F409" s="3">
        <v>199800</v>
      </c>
      <c r="G409" s="3">
        <v>30</v>
      </c>
      <c r="H409" s="3" t="s">
        <v>5588</v>
      </c>
      <c r="I409" s="3" t="s">
        <v>1207</v>
      </c>
      <c r="J409" s="3" t="s">
        <v>1306</v>
      </c>
      <c r="K409" s="3" t="s">
        <v>84</v>
      </c>
      <c r="L409" s="3">
        <v>0.57599999999999996</v>
      </c>
      <c r="M409" s="3">
        <v>0.871</v>
      </c>
      <c r="N409" s="3">
        <v>7</v>
      </c>
      <c r="O409" s="8">
        <v>-5579</v>
      </c>
      <c r="P409" s="3">
        <v>0</v>
      </c>
      <c r="Q409" s="3">
        <v>0.114</v>
      </c>
      <c r="R409" s="3">
        <v>5.5199999999999997E-3</v>
      </c>
      <c r="S409" s="3">
        <v>1.8300000000000001E-5</v>
      </c>
      <c r="T409" s="3">
        <v>0.107</v>
      </c>
      <c r="U409" s="3">
        <v>0.42199999999999999</v>
      </c>
      <c r="V409" s="8">
        <v>99936</v>
      </c>
      <c r="W409" s="3">
        <v>4</v>
      </c>
      <c r="X409" s="3" t="str">
        <f t="shared" si="28"/>
        <v>-HAPPY-</v>
      </c>
      <c r="Y409" s="3" t="str">
        <f t="shared" si="29"/>
        <v>-ENERGY-</v>
      </c>
      <c r="Z409" s="4" t="str">
        <f t="shared" si="30"/>
        <v>{"couname":"You're On","img":"https://i.scdn.co/image/ab67616d0000b273f734363c71b93265900fdcc4","pty":"30","artist":"Madeon, Kyan, Gramatik","genres":"edm,house francés,electro swing,trip hop,nu jazz,downtempo","duration":"199800","spotId":"2OlZu4pJaqsq5rXgc5EqaK","Items":["-HAPPY-","-ENERGY-","","","GN_FrenchElectro"]},</v>
      </c>
      <c r="AA409" s="5" t="s">
        <v>6100</v>
      </c>
      <c r="AB409" s="3" t="str">
        <f t="shared" si="31"/>
        <v>["-HAPPY-","-ENERGY-","","","GN_FrenchElectro"]</v>
      </c>
      <c r="AC409" s="3" t="str">
        <f>_xlfn.XLOOKUP(A409,Album!A:A,Album!J:J)</f>
        <v>https://i.scdn.co/image/ab67616d0000b273f734363c71b93265900fdcc4</v>
      </c>
      <c r="AD409" s="3"/>
      <c r="AE409" s="3"/>
      <c r="AF409" s="3"/>
      <c r="AG409" s="3"/>
      <c r="AH409" s="3"/>
    </row>
    <row r="410" spans="1:34" x14ac:dyDescent="0.3">
      <c r="A410" s="11" t="s">
        <v>1409</v>
      </c>
      <c r="B410" s="12" t="s">
        <v>1410</v>
      </c>
      <c r="C410" s="12" t="s">
        <v>1367</v>
      </c>
      <c r="D410" s="13" t="s">
        <v>1345</v>
      </c>
      <c r="E410" s="6">
        <v>40091</v>
      </c>
      <c r="F410" s="3">
        <v>233373</v>
      </c>
      <c r="G410" s="3">
        <v>30</v>
      </c>
      <c r="H410" s="3" t="s">
        <v>5587</v>
      </c>
      <c r="I410" s="3" t="s">
        <v>1336</v>
      </c>
      <c r="J410" s="3" t="s">
        <v>1337</v>
      </c>
      <c r="K410" s="3" t="s">
        <v>1341</v>
      </c>
      <c r="L410" s="3">
        <v>0.57899999999999996</v>
      </c>
      <c r="M410" s="3">
        <v>0.69599999999999995</v>
      </c>
      <c r="N410" s="3">
        <v>9</v>
      </c>
      <c r="O410" s="8">
        <v>-7003</v>
      </c>
      <c r="P410" s="3">
        <v>1</v>
      </c>
      <c r="Q410" s="3">
        <v>2.5000000000000001E-2</v>
      </c>
      <c r="R410" s="3">
        <v>0.48499999999999999</v>
      </c>
      <c r="S410" s="3">
        <v>0.91600000000000004</v>
      </c>
      <c r="T410" s="3">
        <v>0.35899999999999999</v>
      </c>
      <c r="U410" s="3">
        <v>0.54</v>
      </c>
      <c r="V410" s="8">
        <v>104916</v>
      </c>
      <c r="W410" s="3">
        <v>4</v>
      </c>
      <c r="X410" s="3" t="str">
        <f t="shared" si="28"/>
        <v>-HAPPY-</v>
      </c>
      <c r="Y410" s="3" t="str">
        <f t="shared" si="29"/>
        <v>-ENERGY-</v>
      </c>
      <c r="Z410" s="4" t="str">
        <f t="shared" si="30"/>
        <v>{"couname":"Heaven's Light","img":"https://i.scdn.co/image/ab67616d0000b2736b0efd35ef810103180cf54c","pty":"30","artist":"Air","genres":"trip hop,downtempo,house francés","duration":"233373","spotId":"7Kio6nzVbnCwBDrel86jKK","Items":["-HAPPY-","-ENERGY-","","","GN_FrenchElectro"]},</v>
      </c>
      <c r="AA410" s="5" t="s">
        <v>6100</v>
      </c>
      <c r="AB410" s="3" t="str">
        <f t="shared" si="31"/>
        <v>["-HAPPY-","-ENERGY-","","","GN_FrenchElectro"]</v>
      </c>
      <c r="AC410" s="3" t="str">
        <f>_xlfn.XLOOKUP(A410,Album!A:A,Album!J:J)</f>
        <v>https://i.scdn.co/image/ab67616d0000b2736b0efd35ef810103180cf54c</v>
      </c>
      <c r="AD410" s="3"/>
      <c r="AE410" s="3"/>
      <c r="AF410" s="3"/>
      <c r="AG410" s="3"/>
      <c r="AH410" s="3"/>
    </row>
    <row r="411" spans="1:34" x14ac:dyDescent="0.3">
      <c r="A411" s="11" t="s">
        <v>1415</v>
      </c>
      <c r="B411" s="12" t="s">
        <v>1416</v>
      </c>
      <c r="C411" s="12" t="s">
        <v>1362</v>
      </c>
      <c r="D411" s="13" t="s">
        <v>1345</v>
      </c>
      <c r="E411" s="6">
        <v>39141</v>
      </c>
      <c r="F411" s="3">
        <v>212226</v>
      </c>
      <c r="G411" s="3">
        <v>30</v>
      </c>
      <c r="H411" s="3" t="s">
        <v>5586</v>
      </c>
      <c r="I411" s="3" t="s">
        <v>1336</v>
      </c>
      <c r="J411" s="3" t="s">
        <v>1337</v>
      </c>
      <c r="K411" s="3" t="s">
        <v>1341</v>
      </c>
      <c r="L411" s="3">
        <v>0.47699999999999998</v>
      </c>
      <c r="M411" s="3">
        <v>0.245</v>
      </c>
      <c r="N411" s="3">
        <v>2</v>
      </c>
      <c r="O411" s="8">
        <v>-13862</v>
      </c>
      <c r="P411" s="3">
        <v>1</v>
      </c>
      <c r="Q411" s="3">
        <v>3.5099999999999999E-2</v>
      </c>
      <c r="R411" s="3">
        <v>0.96199999999999997</v>
      </c>
      <c r="S411" s="3">
        <v>0.9</v>
      </c>
      <c r="T411" s="3">
        <v>9.9199999999999997E-2</v>
      </c>
      <c r="U411" s="3">
        <v>0.10299999999999999</v>
      </c>
      <c r="V411" s="8">
        <v>62.01</v>
      </c>
      <c r="W411" s="3">
        <v>4</v>
      </c>
      <c r="X411" s="3" t="str">
        <f t="shared" si="28"/>
        <v>-SADNE-</v>
      </c>
      <c r="Y411" s="3" t="str">
        <f t="shared" si="29"/>
        <v>-SLOWSS-</v>
      </c>
      <c r="Z411" s="4" t="str">
        <f t="shared" si="30"/>
        <v>{"couname":"Lost Message","img":"https://i.scdn.co/image/ab67616d0000b273b33ffd3900f46e9008344b79","pty":"30","artist":"Air","genres":"trip hop,downtempo,house francés","duration":"212226","spotId":"0Qm1CN3ZFzClfWkaA2CymZ","Items":["-SADNE-","-SLOWSS-","","","GN_FrenchElectro"]},</v>
      </c>
      <c r="AA411" s="5" t="s">
        <v>6100</v>
      </c>
      <c r="AB411" s="3" t="str">
        <f t="shared" si="31"/>
        <v>["-SADNE-","-SLOWSS-","","","GN_FrenchElectro"]</v>
      </c>
      <c r="AC411" s="3" t="str">
        <f>_xlfn.XLOOKUP(A411,Album!A:A,Album!J:J)</f>
        <v>https://i.scdn.co/image/ab67616d0000b273b33ffd3900f46e9008344b79</v>
      </c>
      <c r="AD411" s="3"/>
      <c r="AE411" s="3"/>
      <c r="AF411" s="3"/>
      <c r="AG411" s="3"/>
      <c r="AH411" s="3"/>
    </row>
    <row r="412" spans="1:34" x14ac:dyDescent="0.3">
      <c r="A412" s="11" t="s">
        <v>1433</v>
      </c>
      <c r="B412" s="12" t="s">
        <v>1435</v>
      </c>
      <c r="C412" s="12" t="s">
        <v>1435</v>
      </c>
      <c r="D412" s="13" t="s">
        <v>4014</v>
      </c>
      <c r="E412" s="6">
        <v>40235</v>
      </c>
      <c r="F412" s="3">
        <v>255106</v>
      </c>
      <c r="G412" s="3">
        <v>30</v>
      </c>
      <c r="H412" s="3" t="s">
        <v>5585</v>
      </c>
      <c r="I412" s="3" t="s">
        <v>1336</v>
      </c>
      <c r="J412" s="3" t="s">
        <v>1436</v>
      </c>
      <c r="K412" s="3" t="s">
        <v>1341</v>
      </c>
      <c r="L412" s="3">
        <v>0.65700000000000003</v>
      </c>
      <c r="M412" s="3">
        <v>0.46800000000000003</v>
      </c>
      <c r="N412" s="3">
        <v>1</v>
      </c>
      <c r="O412" s="8">
        <v>-6877</v>
      </c>
      <c r="P412" s="3">
        <v>1</v>
      </c>
      <c r="Q412" s="3">
        <v>2.7799999999999998E-2</v>
      </c>
      <c r="R412" s="3">
        <v>3.6499999999999998E-2</v>
      </c>
      <c r="S412" s="3">
        <v>0.92100000000000004</v>
      </c>
      <c r="T412" s="3">
        <v>7.3700000000000002E-2</v>
      </c>
      <c r="U412" s="3">
        <v>0.193</v>
      </c>
      <c r="V412" s="8">
        <v>98023</v>
      </c>
      <c r="W412" s="3">
        <v>4</v>
      </c>
      <c r="X412" s="3" t="str">
        <f t="shared" si="28"/>
        <v>-SADNE-</v>
      </c>
      <c r="Y412" s="3" t="str">
        <f t="shared" si="29"/>
        <v>-ENERGY-</v>
      </c>
      <c r="Z412" s="4" t="str">
        <f t="shared" si="30"/>
        <v>{"couname":"So Light Is Her Footfall","img":"https://i.scdn.co/image/ab67616d0000b273520389dc07ad2484e4933448","pty":"30","artist":"Air, Breakbot","genres":"trip hop,downtempo,house francés,nu disco","duration":"255106","spotId":"50OXXMC0drCHGdSFINtUkI","Items":["-SADNE-","-ENERGY-","","","GN_FrenchElectro"]},</v>
      </c>
      <c r="AA412" s="5" t="s">
        <v>6100</v>
      </c>
      <c r="AB412" s="3" t="str">
        <f t="shared" si="31"/>
        <v>["-SADNE-","-ENERGY-","","","GN_FrenchElectro"]</v>
      </c>
      <c r="AC412" s="3" t="str">
        <f>_xlfn.XLOOKUP(A412,Album!A:A,Album!J:J)</f>
        <v>https://i.scdn.co/image/ab67616d0000b273520389dc07ad2484e4933448</v>
      </c>
      <c r="AD412" s="3"/>
      <c r="AE412" s="3"/>
      <c r="AF412" s="3"/>
      <c r="AG412" s="3"/>
      <c r="AH412" s="3"/>
    </row>
    <row r="413" spans="1:34" x14ac:dyDescent="0.3">
      <c r="A413" s="11" t="s">
        <v>1576</v>
      </c>
      <c r="B413" s="12" t="s">
        <v>840</v>
      </c>
      <c r="C413" s="12" t="s">
        <v>1462</v>
      </c>
      <c r="D413" s="13" t="s">
        <v>1487</v>
      </c>
      <c r="E413" s="6">
        <v>42587</v>
      </c>
      <c r="F413" s="3">
        <v>83400</v>
      </c>
      <c r="G413" s="3">
        <v>30</v>
      </c>
      <c r="H413" s="3" t="s">
        <v>5584</v>
      </c>
      <c r="I413" s="3" t="s">
        <v>1463</v>
      </c>
      <c r="J413" s="3"/>
      <c r="K413" s="3" t="s">
        <v>1464</v>
      </c>
      <c r="L413" s="3">
        <v>0.41599999999999998</v>
      </c>
      <c r="M413" s="3">
        <v>0.39</v>
      </c>
      <c r="N413" s="3">
        <v>9</v>
      </c>
      <c r="O413" s="8">
        <v>-7903</v>
      </c>
      <c r="P413" s="3">
        <v>0</v>
      </c>
      <c r="Q413" s="3">
        <v>3.0800000000000001E-2</v>
      </c>
      <c r="R413" s="3">
        <v>0.75900000000000001</v>
      </c>
      <c r="S413" s="3">
        <v>1.9400000000000001E-6</v>
      </c>
      <c r="T413" s="3">
        <v>0.14699999999999999</v>
      </c>
      <c r="U413" s="3">
        <v>0.13800000000000001</v>
      </c>
      <c r="V413" s="8">
        <v>99.76</v>
      </c>
      <c r="W413" s="3">
        <v>4</v>
      </c>
      <c r="X413" s="3" t="str">
        <f t="shared" si="28"/>
        <v>-SADNE-</v>
      </c>
      <c r="Y413" s="3" t="str">
        <f t="shared" si="29"/>
        <v>-SLOWSS-</v>
      </c>
      <c r="Z413" s="4" t="str">
        <f t="shared" si="30"/>
        <v>{"couname":"Intro","img":"https://i.scdn.co/image/ab67616d0000b273212d776c31027c511f0ee3bc","pty":"30","artist":"DJ Snake","genres":"","duration":"83400","spotId":"21yo11TFsfpDtuYyCbqhZS","Items":["-SADNE-","-SLOWSS-","","","GN_FrenchElectro"]},</v>
      </c>
      <c r="AA413" s="5" t="s">
        <v>6100</v>
      </c>
      <c r="AB413" s="3" t="str">
        <f t="shared" si="31"/>
        <v>["-SADNE-","-SLOWSS-","","","GN_FrenchElectro"]</v>
      </c>
      <c r="AC413" s="3" t="str">
        <f>_xlfn.XLOOKUP(A413,Album!A:A,Album!J:J)</f>
        <v>https://i.scdn.co/image/ab67616d0000b273212d776c31027c511f0ee3bc</v>
      </c>
      <c r="AD413" s="3"/>
      <c r="AE413" s="3"/>
      <c r="AF413" s="3"/>
      <c r="AG413" s="3"/>
      <c r="AH413" s="3"/>
    </row>
    <row r="414" spans="1:34" x14ac:dyDescent="0.3">
      <c r="A414" s="11" t="s">
        <v>1586</v>
      </c>
      <c r="B414" s="12" t="s">
        <v>5582</v>
      </c>
      <c r="C414" s="12" t="s">
        <v>1479</v>
      </c>
      <c r="D414" s="13" t="s">
        <v>4246</v>
      </c>
      <c r="E414" s="6">
        <v>43671</v>
      </c>
      <c r="F414" s="3">
        <v>214736</v>
      </c>
      <c r="G414" s="3">
        <v>30</v>
      </c>
      <c r="H414" s="3" t="s">
        <v>5583</v>
      </c>
      <c r="I414" s="3" t="s">
        <v>1463</v>
      </c>
      <c r="J414" s="3"/>
      <c r="K414" s="3" t="s">
        <v>1476</v>
      </c>
      <c r="L414" s="3">
        <v>0.73199999999999998</v>
      </c>
      <c r="M414" s="3">
        <v>0.68100000000000005</v>
      </c>
      <c r="N414" s="3">
        <v>8</v>
      </c>
      <c r="O414" s="8">
        <v>-7655</v>
      </c>
      <c r="P414" s="3">
        <v>1</v>
      </c>
      <c r="Q414" s="3">
        <v>9.5699999999999993E-2</v>
      </c>
      <c r="R414" s="3">
        <v>0.24299999999999999</v>
      </c>
      <c r="S414" s="3">
        <v>5.1099999999999995E-4</v>
      </c>
      <c r="T414" s="3">
        <v>0.111</v>
      </c>
      <c r="U414" s="3">
        <v>0.43099999999999999</v>
      </c>
      <c r="V414" s="8">
        <v>113958</v>
      </c>
      <c r="W414" s="3">
        <v>4</v>
      </c>
      <c r="X414" s="3" t="str">
        <f t="shared" si="28"/>
        <v>-HAPPY-</v>
      </c>
      <c r="Y414" s="3" t="str">
        <f t="shared" si="29"/>
        <v>-ENERGY-</v>
      </c>
      <c r="Z414" s="4" t="str">
        <f t="shared" si="30"/>
        <v>{"couname":"Recognize","img":"https://i.scdn.co/image/ab67616d0000b273caf82abb2338880577e472be","pty":"30","artist":"DJ Snake, Majid Jordan","genres":"","duration":"214736","spotId":"2zzwSQ5xhBsZ5FoYv4IS82","Items":["-HAPPY-","-ENERGY-","","","GN_FrenchElectro"]},</v>
      </c>
      <c r="AA414" s="5" t="s">
        <v>6100</v>
      </c>
      <c r="AB414" s="3" t="str">
        <f t="shared" si="31"/>
        <v>["-HAPPY-","-ENERGY-","","","GN_FrenchElectro"]</v>
      </c>
      <c r="AC414" s="3" t="str">
        <f>_xlfn.XLOOKUP(A414,Album!A:A,Album!J:J)</f>
        <v>https://i.scdn.co/image/ab67616d0000b273caf82abb2338880577e472be</v>
      </c>
      <c r="AD414" s="3"/>
      <c r="AE414" s="3"/>
      <c r="AF414" s="3"/>
      <c r="AG414" s="3"/>
      <c r="AH414" s="3"/>
    </row>
    <row r="415" spans="1:34" x14ac:dyDescent="0.3">
      <c r="A415" s="11" t="s">
        <v>1702</v>
      </c>
      <c r="B415" s="12" t="s">
        <v>5580</v>
      </c>
      <c r="C415" s="12" t="s">
        <v>1704</v>
      </c>
      <c r="D415" s="13" t="s">
        <v>4414</v>
      </c>
      <c r="E415" s="6">
        <v>43224</v>
      </c>
      <c r="F415" s="3">
        <v>233703</v>
      </c>
      <c r="G415" s="3">
        <v>30</v>
      </c>
      <c r="H415" s="3" t="s">
        <v>5581</v>
      </c>
      <c r="I415" s="3" t="s">
        <v>1675</v>
      </c>
      <c r="J415" s="3" t="s">
        <v>1705</v>
      </c>
      <c r="K415" s="3" t="s">
        <v>1706</v>
      </c>
      <c r="L415" s="3">
        <v>0.77800000000000002</v>
      </c>
      <c r="M415" s="3">
        <v>0.51200000000000001</v>
      </c>
      <c r="N415" s="3">
        <v>5</v>
      </c>
      <c r="O415" s="8">
        <v>-10809</v>
      </c>
      <c r="P415" s="3">
        <v>0</v>
      </c>
      <c r="Q415" s="3">
        <v>4.1799999999999997E-2</v>
      </c>
      <c r="R415" s="3">
        <v>9.6200000000000001E-3</v>
      </c>
      <c r="S415" s="3">
        <v>0.69099999999999995</v>
      </c>
      <c r="T415" s="3">
        <v>0.14699999999999999</v>
      </c>
      <c r="U415" s="3">
        <v>0.11700000000000001</v>
      </c>
      <c r="V415" s="8">
        <v>120968</v>
      </c>
      <c r="W415" s="3">
        <v>4</v>
      </c>
      <c r="X415" s="3" t="str">
        <f t="shared" si="28"/>
        <v>-SADNE-</v>
      </c>
      <c r="Y415" s="3" t="str">
        <f t="shared" si="29"/>
        <v>-ENERGY-</v>
      </c>
      <c r="Z415" s="4" t="str">
        <f t="shared" si="30"/>
        <v>{"couname":"Under The Moon","img":"https://i.scdn.co/image/ab67616d0000b27399a3b68e6d950d21ec0edc25","pty":"30","artist":"Claptone, Nathan Nicholson, Cassius","genres":"techno melódico,house melódico,house francés,disco house","duration":"233703","spotId":"2dAcb7rIb2EeFsz8hebdue","Items":["-SADNE-","-ENERGY-","","","GN_FrenchElectro"]},</v>
      </c>
      <c r="AA415" s="5" t="s">
        <v>6100</v>
      </c>
      <c r="AB415" s="3" t="str">
        <f t="shared" si="31"/>
        <v>["-SADNE-","-ENERGY-","","","GN_FrenchElectro"]</v>
      </c>
      <c r="AC415" s="3" t="str">
        <f>_xlfn.XLOOKUP(A415,Album!A:A,Album!J:J)</f>
        <v>https://i.scdn.co/image/ab67616d0000b27399a3b68e6d950d21ec0edc25</v>
      </c>
      <c r="AD415" s="3"/>
      <c r="AE415" s="3"/>
      <c r="AF415" s="3"/>
      <c r="AG415" s="3"/>
      <c r="AH415" s="3"/>
    </row>
    <row r="416" spans="1:34" x14ac:dyDescent="0.3">
      <c r="A416" s="11" t="s">
        <v>1881</v>
      </c>
      <c r="B416" s="12" t="s">
        <v>1882</v>
      </c>
      <c r="C416" s="12" t="s">
        <v>1876</v>
      </c>
      <c r="D416" s="13" t="s">
        <v>9</v>
      </c>
      <c r="E416" s="6">
        <v>38425</v>
      </c>
      <c r="F416" s="3">
        <v>321186</v>
      </c>
      <c r="G416" s="3">
        <v>30</v>
      </c>
      <c r="H416" s="3" t="s">
        <v>5579</v>
      </c>
      <c r="I416" s="3" t="s">
        <v>1809</v>
      </c>
      <c r="J416" s="3" t="s">
        <v>1810</v>
      </c>
      <c r="K416" s="3" t="s">
        <v>1811</v>
      </c>
      <c r="L416" s="3">
        <v>0.51800000000000002</v>
      </c>
      <c r="M416" s="3">
        <v>0.745</v>
      </c>
      <c r="N416" s="3">
        <v>11</v>
      </c>
      <c r="O416" s="8">
        <v>-6787</v>
      </c>
      <c r="P416" s="3">
        <v>0</v>
      </c>
      <c r="Q416" s="3">
        <v>0.21199999999999999</v>
      </c>
      <c r="R416" s="3">
        <v>5.0699999999999999E-5</v>
      </c>
      <c r="S416" s="3">
        <v>0.80200000000000005</v>
      </c>
      <c r="T416" s="3">
        <v>0.22900000000000001</v>
      </c>
      <c r="U416" s="3">
        <v>0.54900000000000004</v>
      </c>
      <c r="V416" s="8">
        <v>92.07</v>
      </c>
      <c r="W416" s="3">
        <v>4</v>
      </c>
      <c r="X416" s="3" t="str">
        <f t="shared" si="28"/>
        <v>-HAPPY-</v>
      </c>
      <c r="Y416" s="3" t="str">
        <f t="shared" si="29"/>
        <v>-ENERGY-</v>
      </c>
      <c r="Z416" s="4" t="str">
        <f t="shared" si="30"/>
        <v>{"couname":"Steam Machine","img":"https://i.scdn.co/image/ab67616d0000b273d8601e15fa1b4351fe1fc6ae","pty":"30","artist":"Daft Punk","genres":"house francés,electrónica,electro","duration":"321186","spotId":"07KtTNn0wZndtN5NOYdBWR","Items":["-HAPPY-","-ENERGY-","","","GN_FrenchElectro"]},</v>
      </c>
      <c r="AA416" s="5" t="s">
        <v>6100</v>
      </c>
      <c r="AB416" s="3" t="str">
        <f t="shared" si="31"/>
        <v>["-HAPPY-","-ENERGY-","","","GN_FrenchElectro"]</v>
      </c>
      <c r="AC416" s="3" t="str">
        <f>_xlfn.XLOOKUP(A416,Album!A:A,Album!J:J)</f>
        <v>https://i.scdn.co/image/ab67616d0000b273d8601e15fa1b4351fe1fc6ae</v>
      </c>
      <c r="AD416" s="3"/>
      <c r="AE416" s="3"/>
      <c r="AF416" s="3"/>
      <c r="AG416" s="3"/>
      <c r="AH416" s="3"/>
    </row>
    <row r="417" spans="1:34" x14ac:dyDescent="0.3">
      <c r="A417" s="11" t="s">
        <v>1919</v>
      </c>
      <c r="B417" s="12" t="s">
        <v>1281</v>
      </c>
      <c r="C417" s="12" t="s">
        <v>1898</v>
      </c>
      <c r="D417" s="13" t="s">
        <v>9</v>
      </c>
      <c r="E417" s="6">
        <v>40515</v>
      </c>
      <c r="F417" s="3">
        <v>262786</v>
      </c>
      <c r="G417" s="3">
        <v>30</v>
      </c>
      <c r="H417" s="3" t="s">
        <v>5578</v>
      </c>
      <c r="I417" s="3" t="s">
        <v>1809</v>
      </c>
      <c r="J417" s="3" t="s">
        <v>1810</v>
      </c>
      <c r="K417" s="3" t="s">
        <v>51</v>
      </c>
      <c r="L417" s="3">
        <v>7.8700000000000006E-2</v>
      </c>
      <c r="M417" s="3">
        <v>0.11</v>
      </c>
      <c r="N417" s="3">
        <v>5</v>
      </c>
      <c r="O417" s="8">
        <v>-15199</v>
      </c>
      <c r="P417" s="3">
        <v>1</v>
      </c>
      <c r="Q417" s="3">
        <v>4.9099999999999998E-2</v>
      </c>
      <c r="R417" s="3">
        <v>0.93500000000000005</v>
      </c>
      <c r="S417" s="3">
        <v>0.86499999999999999</v>
      </c>
      <c r="T417" s="3">
        <v>9.8500000000000004E-2</v>
      </c>
      <c r="U417" s="3">
        <v>2.8199999999999999E-2</v>
      </c>
      <c r="V417" s="8">
        <v>173343</v>
      </c>
      <c r="W417" s="3">
        <v>1</v>
      </c>
      <c r="X417" s="3" t="str">
        <f t="shared" si="28"/>
        <v>-SADNE-</v>
      </c>
      <c r="Y417" s="3" t="str">
        <f t="shared" si="29"/>
        <v>-SLOWSS-</v>
      </c>
      <c r="Z417" s="4" t="str">
        <f t="shared" si="30"/>
        <v>{"couname":"Finale","img":"https://i.scdn.co/image/ab67616d0000b27366919acb93950333962467f8","pty":"30","artist":"Daft Punk","genres":"house francés,electrónica,electro","duration":"262786","spotId":"63Ul5qgAxlXbtj97gKaAfn","Items":["-SADNE-","-SLOWSS-","","","GN_FrenchElectro"]},</v>
      </c>
      <c r="AA417" s="5" t="s">
        <v>6100</v>
      </c>
      <c r="AB417" s="3" t="str">
        <f t="shared" si="31"/>
        <v>["-SADNE-","-SLOWSS-","","","GN_FrenchElectro"]</v>
      </c>
      <c r="AC417" s="3" t="str">
        <f>_xlfn.XLOOKUP(A417,Album!A:A,Album!J:J)</f>
        <v>https://i.scdn.co/image/ab67616d0000b27366919acb93950333962467f8</v>
      </c>
      <c r="AD417" s="3"/>
      <c r="AE417" s="3"/>
      <c r="AF417" s="3"/>
      <c r="AG417" s="3"/>
      <c r="AH417" s="3"/>
    </row>
    <row r="418" spans="1:34" x14ac:dyDescent="0.3">
      <c r="A418" s="11" t="s">
        <v>2007</v>
      </c>
      <c r="B418" s="12" t="s">
        <v>2008</v>
      </c>
      <c r="C418" s="12" t="s">
        <v>2009</v>
      </c>
      <c r="D418" s="13" t="s">
        <v>4834</v>
      </c>
      <c r="E418" s="6">
        <v>45625</v>
      </c>
      <c r="F418" s="3">
        <v>175773</v>
      </c>
      <c r="G418" s="3">
        <v>30</v>
      </c>
      <c r="H418" s="3" t="s">
        <v>5577</v>
      </c>
      <c r="I418" s="3" t="s">
        <v>1983</v>
      </c>
      <c r="J418" s="3" t="s">
        <v>1994</v>
      </c>
      <c r="K418" s="3" t="s">
        <v>2010</v>
      </c>
      <c r="L418" s="3">
        <v>0.72899999999999998</v>
      </c>
      <c r="M418" s="3">
        <v>0.62</v>
      </c>
      <c r="N418" s="3">
        <v>10</v>
      </c>
      <c r="O418" s="8">
        <v>-7723</v>
      </c>
      <c r="P418" s="3">
        <v>0</v>
      </c>
      <c r="Q418" s="3">
        <v>4.9700000000000001E-2</v>
      </c>
      <c r="R418" s="3">
        <v>6.6600000000000006E-2</v>
      </c>
      <c r="S418" s="3">
        <v>3.6100000000000002E-6</v>
      </c>
      <c r="T418" s="3">
        <v>9.7600000000000006E-2</v>
      </c>
      <c r="U418" s="3">
        <v>0.53600000000000003</v>
      </c>
      <c r="V418" s="8">
        <v>121971</v>
      </c>
      <c r="W418" s="3">
        <v>4</v>
      </c>
      <c r="X418" s="3" t="str">
        <f t="shared" si="28"/>
        <v>-HAPPY-</v>
      </c>
      <c r="Y418" s="3" t="str">
        <f t="shared" si="29"/>
        <v>-ENERGY-</v>
      </c>
      <c r="Z418" s="4" t="str">
        <f t="shared" si="30"/>
        <v>{"couname":"Pas touche !","img":"https://i.scdn.co/image/ab67616d0000b2732752c4b1b5775dcdd81f47df","pty":"30","artist":"Ambriel, Yelle","genres":"pop francés,house francés,electroclash,electropop","duration":"175773","spotId":"5MgRdYexoyjUNHX1QLI4Sv","Items":["-HAPPY-","-ENERGY-","","","GN_FrenchElectro"]},</v>
      </c>
      <c r="AA418" s="5" t="s">
        <v>6100</v>
      </c>
      <c r="AB418" s="3" t="str">
        <f t="shared" si="31"/>
        <v>["-HAPPY-","-ENERGY-","","","GN_FrenchElectro"]</v>
      </c>
      <c r="AC418" s="3" t="str">
        <f>_xlfn.XLOOKUP(A418,Album!A:A,Album!J:J)</f>
        <v>https://i.scdn.co/image/ab67616d0000b2732752c4b1b5775dcdd81f47df</v>
      </c>
      <c r="AD418" s="3"/>
      <c r="AE418" s="3"/>
      <c r="AF418" s="3"/>
      <c r="AG418" s="3"/>
      <c r="AH418" s="3"/>
    </row>
    <row r="419" spans="1:34" x14ac:dyDescent="0.3">
      <c r="A419" s="11" t="s">
        <v>2011</v>
      </c>
      <c r="B419" s="12" t="s">
        <v>2012</v>
      </c>
      <c r="C419" s="12" t="s">
        <v>2012</v>
      </c>
      <c r="D419" s="13" t="s">
        <v>4842</v>
      </c>
      <c r="E419" s="6">
        <v>45610</v>
      </c>
      <c r="F419" s="3">
        <v>192250</v>
      </c>
      <c r="G419" s="3">
        <v>30</v>
      </c>
      <c r="H419" s="3" t="s">
        <v>5576</v>
      </c>
      <c r="I419" s="3" t="s">
        <v>1983</v>
      </c>
      <c r="J419" s="3" t="s">
        <v>2013</v>
      </c>
      <c r="K419" s="3" t="s">
        <v>2014</v>
      </c>
      <c r="L419" s="3">
        <v>0.48899999999999999</v>
      </c>
      <c r="M419" s="3">
        <v>0.69199999999999995</v>
      </c>
      <c r="N419" s="3">
        <v>0</v>
      </c>
      <c r="O419" s="8">
        <v>-7476</v>
      </c>
      <c r="P419" s="3">
        <v>1</v>
      </c>
      <c r="Q419" s="3">
        <v>2.76E-2</v>
      </c>
      <c r="R419" s="3">
        <v>4.4499999999999997E-4</v>
      </c>
      <c r="S419" s="3">
        <v>1.9599999999999999E-2</v>
      </c>
      <c r="T419" s="3">
        <v>0.20699999999999999</v>
      </c>
      <c r="U419" s="3">
        <v>0.22</v>
      </c>
      <c r="V419" s="8">
        <v>129947</v>
      </c>
      <c r="W419" s="3">
        <v>4</v>
      </c>
      <c r="X419" s="3" t="str">
        <f t="shared" si="28"/>
        <v>-SADNE-</v>
      </c>
      <c r="Y419" s="3" t="str">
        <f t="shared" si="29"/>
        <v>-ENERGY-</v>
      </c>
      <c r="Z419" s="4" t="str">
        <f t="shared" si="30"/>
        <v>{"couname":"Des Choses","img":"https://i.scdn.co/image/ab67616d0000b2732be688badfe4345d22cc9e14","pty":"30","artist":"Scratch Massive, Yelle, Maud Geffray","genres":"coldwave,pop francés,house francés,electroclash,electropop","duration":"192250","spotId":"1zvmRYVcCbdr2ml6U9cqxw","Items":["-SADNE-","-ENERGY-","","","GN_FrenchElectro"]},</v>
      </c>
      <c r="AA419" s="5" t="s">
        <v>6100</v>
      </c>
      <c r="AB419" s="3" t="str">
        <f t="shared" si="31"/>
        <v>["-SADNE-","-ENERGY-","","","GN_FrenchElectro"]</v>
      </c>
      <c r="AC419" s="3" t="str">
        <f>_xlfn.XLOOKUP(A419,Album!A:A,Album!J:J)</f>
        <v>https://i.scdn.co/image/ab67616d0000b2732be688badfe4345d22cc9e14</v>
      </c>
      <c r="AD419" s="3"/>
      <c r="AE419" s="3"/>
      <c r="AF419" s="3"/>
      <c r="AG419" s="3"/>
      <c r="AH419" s="3"/>
    </row>
    <row r="420" spans="1:34" x14ac:dyDescent="0.3">
      <c r="A420" s="11" t="s">
        <v>2040</v>
      </c>
      <c r="B420" s="12" t="s">
        <v>5574</v>
      </c>
      <c r="C420" s="12" t="s">
        <v>2041</v>
      </c>
      <c r="D420" s="13" t="s">
        <v>4893</v>
      </c>
      <c r="E420" s="6">
        <v>39230</v>
      </c>
      <c r="F420" s="3">
        <v>252733</v>
      </c>
      <c r="G420" s="3">
        <v>30</v>
      </c>
      <c r="H420" s="3" t="s">
        <v>5575</v>
      </c>
      <c r="I420" s="3" t="s">
        <v>1983</v>
      </c>
      <c r="J420" s="3" t="s">
        <v>1994</v>
      </c>
      <c r="K420" s="3" t="s">
        <v>2042</v>
      </c>
      <c r="L420" s="3">
        <v>0.97</v>
      </c>
      <c r="M420" s="3">
        <v>0.80400000000000005</v>
      </c>
      <c r="N420" s="3">
        <v>1</v>
      </c>
      <c r="O420" s="8">
        <v>-5872</v>
      </c>
      <c r="P420" s="3">
        <v>1</v>
      </c>
      <c r="Q420" s="3">
        <v>0.151</v>
      </c>
      <c r="R420" s="3">
        <v>0.51300000000000001</v>
      </c>
      <c r="S420" s="3">
        <v>0</v>
      </c>
      <c r="T420" s="3">
        <v>0.63900000000000001</v>
      </c>
      <c r="U420" s="3">
        <v>0.93799999999999994</v>
      </c>
      <c r="V420" s="8">
        <v>124001</v>
      </c>
      <c r="W420" s="3">
        <v>4</v>
      </c>
      <c r="X420" s="3" t="str">
        <f t="shared" si="28"/>
        <v>-HAPPY-</v>
      </c>
      <c r="Y420" s="3" t="str">
        <f t="shared" si="29"/>
        <v>-ENERGY-</v>
      </c>
      <c r="Z420" s="4" t="str">
        <f t="shared" si="30"/>
        <v>{"couname":"Parle à ma main","img":"https://i.scdn.co/image/ab67616d0000b273f607fd527d2dee688c2eb344","pty":"30","artist":"Fatal Bazooka, Christelle, Yelle","genres":"pop francés,house francés,electroclash,electropop","duration":"252733","spotId":"4JD8PzfV0eBiRMQhHPB36L","Items":["-HAPPY-","-ENERGY-","","","GN_FrenchElectro"]},</v>
      </c>
      <c r="AA420" s="5" t="s">
        <v>6100</v>
      </c>
      <c r="AB420" s="3" t="str">
        <f t="shared" si="31"/>
        <v>["-HAPPY-","-ENERGY-","","","GN_FrenchElectro"]</v>
      </c>
      <c r="AC420" s="3" t="str">
        <f>_xlfn.XLOOKUP(A420,Album!A:A,Album!J:J)</f>
        <v>https://i.scdn.co/image/ab67616d0000b273f607fd527d2dee688c2eb344</v>
      </c>
      <c r="AD420" s="3"/>
      <c r="AE420" s="3"/>
      <c r="AF420" s="3"/>
      <c r="AG420" s="3"/>
      <c r="AH420" s="3"/>
    </row>
    <row r="421" spans="1:34" x14ac:dyDescent="0.3">
      <c r="A421" s="11" t="s">
        <v>200</v>
      </c>
      <c r="B421" s="12" t="s">
        <v>195</v>
      </c>
      <c r="C421" s="12" t="s">
        <v>195</v>
      </c>
      <c r="D421" s="13" t="s">
        <v>18</v>
      </c>
      <c r="E421" s="6">
        <v>42244</v>
      </c>
      <c r="F421" s="3">
        <v>2806400</v>
      </c>
      <c r="G421" s="3">
        <v>29</v>
      </c>
      <c r="H421" s="3" t="s">
        <v>5573</v>
      </c>
      <c r="I421" s="3" t="s">
        <v>102</v>
      </c>
      <c r="J421" s="3" t="s">
        <v>103</v>
      </c>
      <c r="K421" s="3" t="s">
        <v>104</v>
      </c>
      <c r="L421" s="3">
        <v>0.193</v>
      </c>
      <c r="M421" s="3">
        <v>0.19600000000000001</v>
      </c>
      <c r="N421" s="3">
        <v>2</v>
      </c>
      <c r="O421" s="8">
        <v>-19207</v>
      </c>
      <c r="P421" s="3">
        <v>0</v>
      </c>
      <c r="Q421" s="3">
        <v>4.6199999999999998E-2</v>
      </c>
      <c r="R421" s="3">
        <v>0.78400000000000003</v>
      </c>
      <c r="S421" s="3">
        <v>0.86799999999999999</v>
      </c>
      <c r="T421" s="3">
        <v>7.0000000000000007E-2</v>
      </c>
      <c r="U421" s="3">
        <v>3.8300000000000001E-2</v>
      </c>
      <c r="V421" s="8">
        <v>71269</v>
      </c>
      <c r="W421" s="3">
        <v>3</v>
      </c>
      <c r="X421" s="3" t="str">
        <f t="shared" si="28"/>
        <v>-SADNE-</v>
      </c>
      <c r="Y421" s="3" t="str">
        <f t="shared" si="29"/>
        <v>-SLOWSS-</v>
      </c>
      <c r="Z421" s="4" t="str">
        <f t="shared" si="30"/>
        <v>{"couname":"Waiting for Cousteau","img":"https://i.scdn.co/image/ab67616d0000b273fccf49c7f9a31f591e72d8a0","pty":"29","artist":"Jean-Michel Jarre","genres":"new age,electrónica,space music","duration":"2806400","spotId":"2BirEbHitEwxH7yu2YmXN6","Items":["-SADNE-","-SLOWSS-","","","GN_FrenchElectro"]},</v>
      </c>
      <c r="AA421" s="5" t="s">
        <v>6100</v>
      </c>
      <c r="AB421" s="3" t="str">
        <f t="shared" si="31"/>
        <v>["-SADNE-","-SLOWSS-","","","GN_FrenchElectro"]</v>
      </c>
      <c r="AC421" s="3" t="str">
        <f>_xlfn.XLOOKUP(A421,Album!A:A,Album!J:J)</f>
        <v>https://i.scdn.co/image/ab67616d0000b273fccf49c7f9a31f591e72d8a0</v>
      </c>
      <c r="AD421" s="3"/>
      <c r="AE421" s="3"/>
      <c r="AF421" s="3"/>
      <c r="AG421" s="3"/>
      <c r="AH421" s="3"/>
    </row>
    <row r="422" spans="1:34" x14ac:dyDescent="0.3">
      <c r="A422" s="11" t="s">
        <v>282</v>
      </c>
      <c r="B422" s="12" t="s">
        <v>283</v>
      </c>
      <c r="C422" s="12" t="s">
        <v>280</v>
      </c>
      <c r="D422" s="13" t="s">
        <v>18</v>
      </c>
      <c r="E422" s="6">
        <v>42496</v>
      </c>
      <c r="F422" s="3">
        <v>250000</v>
      </c>
      <c r="G422" s="3">
        <v>29</v>
      </c>
      <c r="H422" s="3" t="s">
        <v>5572</v>
      </c>
      <c r="I422" s="3" t="s">
        <v>102</v>
      </c>
      <c r="J422" s="3" t="s">
        <v>103</v>
      </c>
      <c r="K422" s="3" t="s">
        <v>84</v>
      </c>
      <c r="L422" s="3">
        <v>0.53100000000000003</v>
      </c>
      <c r="M422" s="3">
        <v>0.84299999999999997</v>
      </c>
      <c r="N422" s="3">
        <v>8</v>
      </c>
      <c r="O422" s="8">
        <v>-7655</v>
      </c>
      <c r="P422" s="3">
        <v>0</v>
      </c>
      <c r="Q422" s="3">
        <v>3.0499999999999999E-2</v>
      </c>
      <c r="R422" s="3">
        <v>1.03E-2</v>
      </c>
      <c r="S422" s="3">
        <v>0.54200000000000004</v>
      </c>
      <c r="T422" s="3">
        <v>0.26700000000000002</v>
      </c>
      <c r="U422" s="3">
        <v>6.3100000000000003E-2</v>
      </c>
      <c r="V422" s="8">
        <v>119989</v>
      </c>
      <c r="W422" s="3">
        <v>4</v>
      </c>
      <c r="X422" s="3" t="str">
        <f t="shared" si="28"/>
        <v>-SADNE-</v>
      </c>
      <c r="Y422" s="3" t="str">
        <f t="shared" si="29"/>
        <v>-ENERGY-</v>
      </c>
      <c r="Z422" s="4" t="str">
        <f t="shared" si="30"/>
        <v>{"couname":"The Heart of Noise, Pt. 2","img":"https://i.scdn.co/image/ab67616d0000b273359a423dd08ed414400e0cb7","pty":"29","artist":"Jean-Michel Jarre","genres":"new age,electrónica,space music","duration":"250000","spotId":"3gMk1HI9r3vjt1tEhnAMWu","Items":["-SADNE-","-ENERGY-","","","GN_FrenchElectro"]},</v>
      </c>
      <c r="AA422" s="5" t="s">
        <v>6100</v>
      </c>
      <c r="AB422" s="3" t="str">
        <f t="shared" si="31"/>
        <v>["-SADNE-","-ENERGY-","","","GN_FrenchElectro"]</v>
      </c>
      <c r="AC422" s="3" t="str">
        <f>_xlfn.XLOOKUP(A422,Album!A:A,Album!J:J)</f>
        <v>https://i.scdn.co/image/ab67616d0000b273359a423dd08ed414400e0cb7</v>
      </c>
      <c r="AD422" s="3"/>
      <c r="AE422" s="3"/>
      <c r="AF422" s="3"/>
      <c r="AG422" s="3"/>
      <c r="AH422" s="3"/>
    </row>
    <row r="423" spans="1:34" x14ac:dyDescent="0.3">
      <c r="A423" s="11" t="s">
        <v>883</v>
      </c>
      <c r="B423" s="12" t="s">
        <v>884</v>
      </c>
      <c r="C423" s="12" t="s">
        <v>841</v>
      </c>
      <c r="D423" s="13" t="s">
        <v>842</v>
      </c>
      <c r="E423" s="6">
        <v>2011</v>
      </c>
      <c r="F423" s="3">
        <v>104533</v>
      </c>
      <c r="G423" s="3">
        <v>29</v>
      </c>
      <c r="H423" s="3" t="s">
        <v>5571</v>
      </c>
      <c r="I423" s="3" t="s">
        <v>843</v>
      </c>
      <c r="J423" s="3" t="s">
        <v>844</v>
      </c>
      <c r="K423" s="3" t="s">
        <v>845</v>
      </c>
      <c r="L423" s="3">
        <v>0.42899999999999999</v>
      </c>
      <c r="M423" s="3">
        <v>0.75600000000000001</v>
      </c>
      <c r="N423" s="3">
        <v>6</v>
      </c>
      <c r="O423" s="8">
        <v>-9661</v>
      </c>
      <c r="P423" s="3">
        <v>0</v>
      </c>
      <c r="Q423" s="3">
        <v>4.1200000000000001E-2</v>
      </c>
      <c r="R423" s="3">
        <v>1.95E-5</v>
      </c>
      <c r="S423" s="3">
        <v>0.19600000000000001</v>
      </c>
      <c r="T423" s="3">
        <v>0.28699999999999998</v>
      </c>
      <c r="U423" s="3">
        <v>3.5200000000000002E-2</v>
      </c>
      <c r="V423" s="8">
        <v>117105</v>
      </c>
      <c r="W423" s="3">
        <v>4</v>
      </c>
      <c r="X423" s="3" t="str">
        <f t="shared" si="28"/>
        <v>-SADNE-</v>
      </c>
      <c r="Y423" s="3" t="str">
        <f t="shared" si="29"/>
        <v>-ENERGY-</v>
      </c>
      <c r="Z423" s="4" t="str">
        <f t="shared" si="30"/>
        <v>{"couname":"Klaus I Love You","img":"https://i.scdn.co/image/ab67616d0000b273fff2cb485c36a6d8f639bdba","pty":"29","artist":"M83","genres":"indietronica","duration":"104533","spotId":"4XeX53Xs0zZRLGwIm45aDf","Items":["-SADNE-","-ENERGY-","","","GN_FrenchElectro"]},</v>
      </c>
      <c r="AA423" s="5" t="s">
        <v>6100</v>
      </c>
      <c r="AB423" s="3" t="str">
        <f t="shared" si="31"/>
        <v>["-SADNE-","-ENERGY-","","","GN_FrenchElectro"]</v>
      </c>
      <c r="AC423" s="3" t="str">
        <f>_xlfn.XLOOKUP(A423,Album!A:A,Album!J:J)</f>
        <v>https://i.scdn.co/image/ab67616d0000b273fff2cb485c36a6d8f639bdba</v>
      </c>
      <c r="AD423" s="3"/>
      <c r="AE423" s="3"/>
      <c r="AF423" s="3"/>
      <c r="AG423" s="3"/>
      <c r="AH423" s="3"/>
    </row>
    <row r="424" spans="1:34" x14ac:dyDescent="0.3">
      <c r="A424" s="11" t="s">
        <v>1203</v>
      </c>
      <c r="B424" s="12" t="s">
        <v>5569</v>
      </c>
      <c r="C424" s="12" t="s">
        <v>1205</v>
      </c>
      <c r="D424" s="13" t="s">
        <v>1206</v>
      </c>
      <c r="E424" s="6">
        <v>42093</v>
      </c>
      <c r="F424" s="3">
        <v>80560</v>
      </c>
      <c r="G424" s="3">
        <v>29</v>
      </c>
      <c r="H424" s="3" t="s">
        <v>5570</v>
      </c>
      <c r="I424" s="3" t="s">
        <v>1207</v>
      </c>
      <c r="J424" s="3" t="s">
        <v>1208</v>
      </c>
      <c r="K424" s="3" t="s">
        <v>84</v>
      </c>
      <c r="L424" s="3">
        <v>0.36599999999999999</v>
      </c>
      <c r="M424" s="3">
        <v>0.70199999999999996</v>
      </c>
      <c r="N424" s="3">
        <v>10</v>
      </c>
      <c r="O424" s="8">
        <v>-5.05</v>
      </c>
      <c r="P424" s="3">
        <v>1</v>
      </c>
      <c r="Q424" s="3">
        <v>3.3000000000000002E-2</v>
      </c>
      <c r="R424" s="3">
        <v>0.189</v>
      </c>
      <c r="S424" s="3">
        <v>0.83799999999999997</v>
      </c>
      <c r="T424" s="3">
        <v>0.35</v>
      </c>
      <c r="U424" s="3">
        <v>0.28299999999999997</v>
      </c>
      <c r="V424" s="8">
        <v>129573</v>
      </c>
      <c r="W424" s="3">
        <v>4</v>
      </c>
      <c r="X424" s="3" t="str">
        <f t="shared" si="28"/>
        <v>-SADNE-</v>
      </c>
      <c r="Y424" s="3" t="str">
        <f t="shared" si="29"/>
        <v>-ENERGY-</v>
      </c>
      <c r="Z424" s="4" t="str">
        <f t="shared" si="30"/>
        <v>{"couname":"Isometric","img":"https://i.scdn.co/image/ab67616d0000b27392cb28b37837c67dffe602f9","pty":"29","artist":"Madeon","genres":"edm,house francés","duration":"80560","spotId":"4RWeizdES94TbsDWSrQdLU","Items":["-SADNE-","-ENERGY-","","","GN_FrenchElectro"]},</v>
      </c>
      <c r="AA424" s="5" t="s">
        <v>6100</v>
      </c>
      <c r="AB424" s="3" t="str">
        <f t="shared" si="31"/>
        <v>["-SADNE-","-ENERGY-","","","GN_FrenchElectro"]</v>
      </c>
      <c r="AC424" s="3" t="str">
        <f>_xlfn.XLOOKUP(A424,Album!A:A,Album!J:J)</f>
        <v>https://i.scdn.co/image/ab67616d0000b27392cb28b37837c67dffe602f9</v>
      </c>
      <c r="AD424" s="3"/>
      <c r="AE424" s="3"/>
      <c r="AF424" s="3"/>
      <c r="AG424" s="3"/>
      <c r="AH424" s="3"/>
    </row>
    <row r="425" spans="1:34" x14ac:dyDescent="0.3">
      <c r="A425" s="11" t="s">
        <v>1250</v>
      </c>
      <c r="B425" s="12" t="s">
        <v>0</v>
      </c>
      <c r="C425" s="12" t="s">
        <v>1245</v>
      </c>
      <c r="D425" s="13" t="s">
        <v>1206</v>
      </c>
      <c r="E425" s="6">
        <v>43784</v>
      </c>
      <c r="F425" s="3">
        <v>152413</v>
      </c>
      <c r="G425" s="3">
        <v>29</v>
      </c>
      <c r="H425" s="3" t="s">
        <v>5568</v>
      </c>
      <c r="I425" s="3" t="s">
        <v>1207</v>
      </c>
      <c r="J425" s="3" t="s">
        <v>1208</v>
      </c>
      <c r="K425" s="3" t="s">
        <v>84</v>
      </c>
      <c r="L425" s="3">
        <v>0.187</v>
      </c>
      <c r="M425" s="3">
        <v>0.55300000000000005</v>
      </c>
      <c r="N425" s="3">
        <v>0</v>
      </c>
      <c r="O425" s="8">
        <v>-6.55</v>
      </c>
      <c r="P425" s="3">
        <v>0</v>
      </c>
      <c r="Q425" s="3">
        <v>3.5000000000000003E-2</v>
      </c>
      <c r="R425" s="3">
        <v>2.6599999999999999E-2</v>
      </c>
      <c r="S425" s="3">
        <v>2.6200000000000001E-2</v>
      </c>
      <c r="T425" s="3">
        <v>0.45300000000000001</v>
      </c>
      <c r="U425" s="3">
        <v>6.7199999999999996E-2</v>
      </c>
      <c r="V425" s="8">
        <v>150303</v>
      </c>
      <c r="W425" s="3">
        <v>4</v>
      </c>
      <c r="X425" s="3" t="str">
        <f t="shared" si="28"/>
        <v>-SADNE-</v>
      </c>
      <c r="Y425" s="3" t="str">
        <f t="shared" si="29"/>
        <v>-ENERGY-</v>
      </c>
      <c r="Z425" s="4" t="str">
        <f t="shared" si="30"/>
        <v>{"couname":"Nirvana","img":"https://i.scdn.co/image/ab67616d0000b273dc384e6d13983fe1cd415ade","pty":"29","artist":"Madeon","genres":"edm,house francés","duration":"152413","spotId":"1KdEqgbQtzGffswF29Jc5U","Items":["-SADNE-","-ENERGY-","","","GN_FrenchElectro"]},</v>
      </c>
      <c r="AA425" s="5" t="s">
        <v>6100</v>
      </c>
      <c r="AB425" s="3" t="str">
        <f t="shared" si="31"/>
        <v>["-SADNE-","-ENERGY-","","","GN_FrenchElectro"]</v>
      </c>
      <c r="AC425" s="3" t="str">
        <f>_xlfn.XLOOKUP(A425,Album!A:A,Album!J:J)</f>
        <v>https://i.scdn.co/image/ab67616d0000b273dc384e6d13983fe1cd415ade</v>
      </c>
      <c r="AD425" s="3"/>
      <c r="AE425" s="3"/>
      <c r="AF425" s="3"/>
      <c r="AG425" s="3"/>
      <c r="AH425" s="3"/>
    </row>
    <row r="426" spans="1:34" x14ac:dyDescent="0.3">
      <c r="A426" s="11" t="s">
        <v>1430</v>
      </c>
      <c r="B426" s="12" t="s">
        <v>5566</v>
      </c>
      <c r="C426" s="12" t="s">
        <v>1432</v>
      </c>
      <c r="D426" s="13" t="s">
        <v>1345</v>
      </c>
      <c r="E426" s="6">
        <v>39591</v>
      </c>
      <c r="F426" s="3">
        <v>284146</v>
      </c>
      <c r="G426" s="3">
        <v>29</v>
      </c>
      <c r="H426" s="3" t="s">
        <v>5567</v>
      </c>
      <c r="I426" s="3" t="s">
        <v>1336</v>
      </c>
      <c r="J426" s="3" t="s">
        <v>1337</v>
      </c>
      <c r="K426" s="3" t="s">
        <v>83</v>
      </c>
      <c r="L426" s="3">
        <v>0.73799999999999999</v>
      </c>
      <c r="M426" s="3">
        <v>0.34200000000000003</v>
      </c>
      <c r="N426" s="3">
        <v>5</v>
      </c>
      <c r="O426" s="8">
        <v>-14109</v>
      </c>
      <c r="P426" s="3">
        <v>1</v>
      </c>
      <c r="Q426" s="3">
        <v>3.0200000000000001E-2</v>
      </c>
      <c r="R426" s="3">
        <v>0.90700000000000003</v>
      </c>
      <c r="S426" s="3">
        <v>0.77200000000000002</v>
      </c>
      <c r="T426" s="3">
        <v>0.10299999999999999</v>
      </c>
      <c r="U426" s="3">
        <v>0.51200000000000001</v>
      </c>
      <c r="V426" s="8">
        <v>116009</v>
      </c>
      <c r="W426" s="3">
        <v>4</v>
      </c>
      <c r="X426" s="3" t="str">
        <f t="shared" si="28"/>
        <v>-HAPPY-</v>
      </c>
      <c r="Y426" s="3" t="str">
        <f t="shared" si="29"/>
        <v>-ENERGY-</v>
      </c>
      <c r="Z426" s="4" t="str">
        <f t="shared" si="30"/>
        <v>{"couname":"Bossa 96","img":"https://i.scdn.co/image/ab67616d0000b2737fa5ac4d2de80d5d1a0308bc","pty":"29","artist":"Air","genres":"trip hop,downtempo,house francés","duration":"284146","spotId":"71b8YyXwgzkXxBlbdVOyZ2","Items":["-HAPPY-","-ENERGY-","","","GN_FrenchElectro"]},</v>
      </c>
      <c r="AA426" s="5" t="s">
        <v>6100</v>
      </c>
      <c r="AB426" s="3" t="str">
        <f t="shared" si="31"/>
        <v>["-HAPPY-","-ENERGY-","","","GN_FrenchElectro"]</v>
      </c>
      <c r="AC426" s="3" t="str">
        <f>_xlfn.XLOOKUP(A426,Album!A:A,Album!J:J)</f>
        <v>https://i.scdn.co/image/ab67616d0000b2737fa5ac4d2de80d5d1a0308bc</v>
      </c>
      <c r="AD426" s="3"/>
      <c r="AE426" s="3"/>
      <c r="AF426" s="3"/>
      <c r="AG426" s="3"/>
      <c r="AH426" s="3"/>
    </row>
    <row r="427" spans="1:34" x14ac:dyDescent="0.3">
      <c r="A427" s="11" t="s">
        <v>1437</v>
      </c>
      <c r="B427" s="12" t="s">
        <v>1438</v>
      </c>
      <c r="C427" s="12" t="s">
        <v>1362</v>
      </c>
      <c r="D427" s="13" t="s">
        <v>1345</v>
      </c>
      <c r="E427" s="6">
        <v>39141</v>
      </c>
      <c r="F427" s="3">
        <v>207320</v>
      </c>
      <c r="G427" s="3">
        <v>29</v>
      </c>
      <c r="H427" s="3" t="s">
        <v>5565</v>
      </c>
      <c r="I427" s="3" t="s">
        <v>1336</v>
      </c>
      <c r="J427" s="3" t="s">
        <v>1337</v>
      </c>
      <c r="K427" s="3" t="s">
        <v>1341</v>
      </c>
      <c r="L427" s="3">
        <v>0.69499999999999995</v>
      </c>
      <c r="M427" s="3">
        <v>0.56599999999999995</v>
      </c>
      <c r="N427" s="3">
        <v>9</v>
      </c>
      <c r="O427" s="8">
        <v>-8114</v>
      </c>
      <c r="P427" s="3">
        <v>1</v>
      </c>
      <c r="Q427" s="3">
        <v>2.93E-2</v>
      </c>
      <c r="R427" s="3">
        <v>0.191</v>
      </c>
      <c r="S427" s="3">
        <v>0.93899999999999995</v>
      </c>
      <c r="T427" s="3">
        <v>0.28699999999999998</v>
      </c>
      <c r="U427" s="3">
        <v>0.45300000000000001</v>
      </c>
      <c r="V427" s="8">
        <v>115982</v>
      </c>
      <c r="W427" s="3">
        <v>4</v>
      </c>
      <c r="X427" s="3" t="str">
        <f t="shared" si="28"/>
        <v>-HAPPY-</v>
      </c>
      <c r="Y427" s="3" t="str">
        <f t="shared" si="29"/>
        <v>-ENERGY-</v>
      </c>
      <c r="Z427" s="4" t="str">
        <f t="shared" si="30"/>
        <v>{"couname":"Napalm Love","img":"https://i.scdn.co/image/ab67616d0000b273b33ffd3900f46e9008344b79","pty":"29","artist":"Air","genres":"trip hop,downtempo,house francés","duration":"207320","spotId":"7KLreOZ3iUjAOoYlGUuLkv","Items":["-HAPPY-","-ENERGY-","","","GN_FrenchElectro"]},</v>
      </c>
      <c r="AA427" s="5" t="s">
        <v>6100</v>
      </c>
      <c r="AB427" s="3" t="str">
        <f t="shared" si="31"/>
        <v>["-HAPPY-","-ENERGY-","","","GN_FrenchElectro"]</v>
      </c>
      <c r="AC427" s="3" t="str">
        <f>_xlfn.XLOOKUP(A427,Album!A:A,Album!J:J)</f>
        <v>https://i.scdn.co/image/ab67616d0000b273b33ffd3900f46e9008344b79</v>
      </c>
      <c r="AD427" s="3"/>
      <c r="AE427" s="3"/>
      <c r="AF427" s="3"/>
      <c r="AG427" s="3"/>
      <c r="AH427" s="3"/>
    </row>
    <row r="428" spans="1:34" x14ac:dyDescent="0.3">
      <c r="A428" s="11" t="s">
        <v>1439</v>
      </c>
      <c r="B428" s="12" t="s">
        <v>1440</v>
      </c>
      <c r="C428" s="12" t="s">
        <v>1399</v>
      </c>
      <c r="D428" s="13" t="s">
        <v>1345</v>
      </c>
      <c r="E428" s="6">
        <v>45366</v>
      </c>
      <c r="F428" s="3">
        <v>263691</v>
      </c>
      <c r="G428" s="3">
        <v>29</v>
      </c>
      <c r="H428" s="3" t="s">
        <v>5564</v>
      </c>
      <c r="I428" s="3" t="s">
        <v>1336</v>
      </c>
      <c r="J428" s="3" t="s">
        <v>1337</v>
      </c>
      <c r="K428" s="3" t="s">
        <v>83</v>
      </c>
      <c r="L428" s="3">
        <v>0.41499999999999998</v>
      </c>
      <c r="M428" s="3">
        <v>0.44700000000000001</v>
      </c>
      <c r="N428" s="3">
        <v>0</v>
      </c>
      <c r="O428" s="8">
        <v>-9374</v>
      </c>
      <c r="P428" s="3">
        <v>1</v>
      </c>
      <c r="Q428" s="3">
        <v>3.5900000000000001E-2</v>
      </c>
      <c r="R428" s="3">
        <v>0.182</v>
      </c>
      <c r="S428" s="3">
        <v>0.65100000000000002</v>
      </c>
      <c r="T428" s="3">
        <v>0.13300000000000001</v>
      </c>
      <c r="U428" s="3">
        <v>0.23699999999999999</v>
      </c>
      <c r="V428" s="8">
        <v>109083</v>
      </c>
      <c r="W428" s="3">
        <v>4</v>
      </c>
      <c r="X428" s="3" t="str">
        <f t="shared" si="28"/>
        <v>-SADNE-</v>
      </c>
      <c r="Y428" s="3" t="str">
        <f t="shared" si="29"/>
        <v>-SLOWSS-</v>
      </c>
      <c r="Z428" s="4" t="str">
        <f t="shared" si="30"/>
        <v>{"couname":"Dirty Hiroshima","img":"https://i.scdn.co/image/ab67616d0000b273c4027cea1ac0a27a6801f3cf","pty":"29","artist":"Air","genres":"trip hop,downtempo,house francés","duration":"263691","spotId":"7Cq5wNRNsHdnIDT7s2iBH9","Items":["-SADNE-","-SLOWSS-","","","GN_FrenchElectro"]},</v>
      </c>
      <c r="AA428" s="5" t="s">
        <v>6100</v>
      </c>
      <c r="AB428" s="3" t="str">
        <f t="shared" si="31"/>
        <v>["-SADNE-","-SLOWSS-","","","GN_FrenchElectro"]</v>
      </c>
      <c r="AC428" s="3" t="str">
        <f>_xlfn.XLOOKUP(A428,Album!A:A,Album!J:J)</f>
        <v>https://i.scdn.co/image/ab67616d0000b273c4027cea1ac0a27a6801f3cf</v>
      </c>
      <c r="AD428" s="3"/>
      <c r="AE428" s="3"/>
      <c r="AF428" s="3"/>
      <c r="AG428" s="3"/>
      <c r="AH428" s="3"/>
    </row>
    <row r="429" spans="1:34" x14ac:dyDescent="0.3">
      <c r="A429" s="11" t="s">
        <v>1445</v>
      </c>
      <c r="B429" s="12" t="s">
        <v>5562</v>
      </c>
      <c r="C429" s="12" t="s">
        <v>1399</v>
      </c>
      <c r="D429" s="13" t="s">
        <v>1345</v>
      </c>
      <c r="E429" s="6">
        <v>45366</v>
      </c>
      <c r="F429" s="3">
        <v>443953</v>
      </c>
      <c r="G429" s="3">
        <v>29</v>
      </c>
      <c r="H429" s="3" t="s">
        <v>5563</v>
      </c>
      <c r="I429" s="3" t="s">
        <v>1336</v>
      </c>
      <c r="J429" s="3" t="s">
        <v>1337</v>
      </c>
      <c r="K429" s="3" t="s">
        <v>83</v>
      </c>
      <c r="L429" s="3">
        <v>0.16200000000000001</v>
      </c>
      <c r="M429" s="3">
        <v>0.435</v>
      </c>
      <c r="N429" s="3">
        <v>4</v>
      </c>
      <c r="O429" s="8">
        <v>-10478</v>
      </c>
      <c r="P429" s="3">
        <v>0</v>
      </c>
      <c r="Q429" s="3">
        <v>3.5000000000000003E-2</v>
      </c>
      <c r="R429" s="3">
        <v>0.64300000000000002</v>
      </c>
      <c r="S429" s="3">
        <v>0.16700000000000001</v>
      </c>
      <c r="T429" s="3">
        <v>0.60199999999999998</v>
      </c>
      <c r="U429" s="3">
        <v>5.9400000000000001E-2</v>
      </c>
      <c r="V429" s="8">
        <v>140119</v>
      </c>
      <c r="W429" s="3">
        <v>3</v>
      </c>
      <c r="X429" s="3" t="str">
        <f t="shared" si="28"/>
        <v>-SADNE-</v>
      </c>
      <c r="Y429" s="3" t="str">
        <f t="shared" si="29"/>
        <v>-SLOWSS-</v>
      </c>
      <c r="Z429" s="4" t="str">
        <f t="shared" si="30"/>
        <v>{"couname":"Maggot Brain","img":"https://i.scdn.co/image/ab67616d0000b273c4027cea1ac0a27a6801f3cf","pty":"29","artist":"Air","genres":"trip hop,downtempo,house francés","duration":"443953","spotId":"2TinQlb11XoAIF6koTT75b","Items":["-SADNE-","-SLOWSS-","","","GN_FrenchElectro"]},</v>
      </c>
      <c r="AA429" s="5" t="s">
        <v>6100</v>
      </c>
      <c r="AB429" s="3" t="str">
        <f t="shared" si="31"/>
        <v>["-SADNE-","-SLOWSS-","","","GN_FrenchElectro"]</v>
      </c>
      <c r="AC429" s="3" t="str">
        <f>_xlfn.XLOOKUP(A429,Album!A:A,Album!J:J)</f>
        <v>https://i.scdn.co/image/ab67616d0000b273c4027cea1ac0a27a6801f3cf</v>
      </c>
      <c r="AD429" s="3"/>
      <c r="AE429" s="3"/>
      <c r="AF429" s="3"/>
      <c r="AG429" s="3"/>
      <c r="AH429" s="3"/>
    </row>
    <row r="430" spans="1:34" x14ac:dyDescent="0.3">
      <c r="A430" s="11" t="s">
        <v>1599</v>
      </c>
      <c r="B430" s="12" t="s">
        <v>1600</v>
      </c>
      <c r="C430" s="12" t="s">
        <v>1462</v>
      </c>
      <c r="D430" s="13" t="s">
        <v>4164</v>
      </c>
      <c r="E430" s="6">
        <v>42587</v>
      </c>
      <c r="F430" s="3">
        <v>213240</v>
      </c>
      <c r="G430" s="3">
        <v>29</v>
      </c>
      <c r="H430" s="3" t="s">
        <v>5561</v>
      </c>
      <c r="I430" s="3" t="s">
        <v>1463</v>
      </c>
      <c r="J430" s="3"/>
      <c r="K430" s="3" t="s">
        <v>1464</v>
      </c>
      <c r="L430" s="3">
        <v>0.53900000000000003</v>
      </c>
      <c r="M430" s="3">
        <v>0.57999999999999996</v>
      </c>
      <c r="N430" s="3">
        <v>6</v>
      </c>
      <c r="O430" s="8">
        <v>-5853</v>
      </c>
      <c r="P430" s="3">
        <v>0</v>
      </c>
      <c r="Q430" s="3">
        <v>4.0500000000000001E-2</v>
      </c>
      <c r="R430" s="3">
        <v>0.503</v>
      </c>
      <c r="S430" s="3">
        <v>1.7600000000000001E-5</v>
      </c>
      <c r="T430" s="3">
        <v>0.11899999999999999</v>
      </c>
      <c r="U430" s="3">
        <v>0.246</v>
      </c>
      <c r="V430" s="8">
        <v>129949</v>
      </c>
      <c r="W430" s="3">
        <v>4</v>
      </c>
      <c r="X430" s="3" t="str">
        <f t="shared" si="28"/>
        <v>-SADNE-</v>
      </c>
      <c r="Y430" s="3" t="str">
        <f t="shared" si="29"/>
        <v>-ENERGY-</v>
      </c>
      <c r="Z430" s="4" t="str">
        <f t="shared" si="30"/>
        <v>{"couname":"4 Life","img":"https://i.scdn.co/image/ab67616d0000b273212d776c31027c511f0ee3bc","pty":"29","artist":"DJ Snake, GASHI","genres":"","duration":"213240","spotId":"2cs9NbGdcutSqoy0SEmyuY","Items":["-SADNE-","-ENERGY-","","","GN_FrenchElectro"]},</v>
      </c>
      <c r="AA430" s="5" t="s">
        <v>6100</v>
      </c>
      <c r="AB430" s="3" t="str">
        <f t="shared" si="31"/>
        <v>["-SADNE-","-ENERGY-","","","GN_FrenchElectro"]</v>
      </c>
      <c r="AC430" s="3" t="str">
        <f>_xlfn.XLOOKUP(A430,Album!A:A,Album!J:J)</f>
        <v>https://i.scdn.co/image/ab67616d0000b273212d776c31027c511f0ee3bc</v>
      </c>
      <c r="AD430" s="3"/>
      <c r="AE430" s="3"/>
      <c r="AF430" s="3"/>
      <c r="AG430" s="3"/>
      <c r="AH430" s="3"/>
    </row>
    <row r="431" spans="1:34" x14ac:dyDescent="0.3">
      <c r="A431" s="11" t="s">
        <v>1635</v>
      </c>
      <c r="B431" s="12" t="s">
        <v>1636</v>
      </c>
      <c r="C431" s="12" t="s">
        <v>1636</v>
      </c>
      <c r="D431" s="13" t="s">
        <v>1633</v>
      </c>
      <c r="E431" s="6">
        <v>45534</v>
      </c>
      <c r="F431" s="3">
        <v>215548</v>
      </c>
      <c r="G431" s="3">
        <v>29</v>
      </c>
      <c r="H431" s="3" t="s">
        <v>5560</v>
      </c>
      <c r="I431" s="3" t="s">
        <v>1463</v>
      </c>
      <c r="J431" s="3"/>
      <c r="K431" s="3" t="s">
        <v>1634</v>
      </c>
      <c r="L431" s="3">
        <v>0.312</v>
      </c>
      <c r="M431" s="3">
        <v>0.52600000000000002</v>
      </c>
      <c r="N431" s="3">
        <v>11</v>
      </c>
      <c r="O431" s="8">
        <v>-5412</v>
      </c>
      <c r="P431" s="3">
        <v>1</v>
      </c>
      <c r="Q431" s="3">
        <v>3.1699999999999999E-2</v>
      </c>
      <c r="R431" s="3">
        <v>0.16500000000000001</v>
      </c>
      <c r="S431" s="3">
        <v>0</v>
      </c>
      <c r="T431" s="3">
        <v>0.113</v>
      </c>
      <c r="U431" s="3">
        <v>0.30599999999999999</v>
      </c>
      <c r="V431" s="8">
        <v>107383</v>
      </c>
      <c r="W431" s="3">
        <v>5</v>
      </c>
      <c r="X431" s="3" t="str">
        <f t="shared" si="28"/>
        <v>-HAPPY-</v>
      </c>
      <c r="Y431" s="3" t="str">
        <f t="shared" si="29"/>
        <v>-ENERGY-</v>
      </c>
      <c r="Z431" s="4" t="str">
        <f t="shared" si="30"/>
        <v>{"couname":"Purpose in the Process","img":"https://i.scdn.co/image/ab67616d0000b273755cf285aead19a0116f50f4","pty":"29","artist":"Shara Rose","genres":"","duration":"215548","spotId":"4WnxF24O6C5tQJbASiRkiq","Items":["-HAPPY-","-ENERGY-","","","GN_FrenchElectro"]},</v>
      </c>
      <c r="AA431" s="5" t="s">
        <v>6100</v>
      </c>
      <c r="AB431" s="3" t="str">
        <f t="shared" si="31"/>
        <v>["-HAPPY-","-ENERGY-","","","GN_FrenchElectro"]</v>
      </c>
      <c r="AC431" s="3" t="str">
        <f>_xlfn.XLOOKUP(A431,Album!A:A,Album!J:J)</f>
        <v>https://i.scdn.co/image/ab67616d0000b273755cf285aead19a0116f50f4</v>
      </c>
      <c r="AD431" s="3"/>
      <c r="AE431" s="3"/>
      <c r="AF431" s="3"/>
      <c r="AG431" s="3"/>
      <c r="AH431" s="3"/>
    </row>
    <row r="432" spans="1:34" x14ac:dyDescent="0.3">
      <c r="A432" s="11" t="s">
        <v>1641</v>
      </c>
      <c r="B432" s="12" t="s">
        <v>1642</v>
      </c>
      <c r="C432" s="12" t="s">
        <v>1642</v>
      </c>
      <c r="D432" s="13" t="s">
        <v>1633</v>
      </c>
      <c r="E432" s="6">
        <v>45205</v>
      </c>
      <c r="F432" s="3">
        <v>193653</v>
      </c>
      <c r="G432" s="3">
        <v>29</v>
      </c>
      <c r="H432" s="3" t="s">
        <v>5559</v>
      </c>
      <c r="I432" s="3" t="s">
        <v>1463</v>
      </c>
      <c r="J432" s="3"/>
      <c r="K432" s="3" t="s">
        <v>1634</v>
      </c>
      <c r="L432" s="3">
        <v>0.6</v>
      </c>
      <c r="M432" s="3">
        <v>0.77</v>
      </c>
      <c r="N432" s="3">
        <v>7</v>
      </c>
      <c r="O432" s="8">
        <v>-7.58</v>
      </c>
      <c r="P432" s="3">
        <v>1</v>
      </c>
      <c r="Q432" s="3">
        <v>3.4799999999999998E-2</v>
      </c>
      <c r="R432" s="3">
        <v>0.16800000000000001</v>
      </c>
      <c r="S432" s="3">
        <v>5.2700000000000002E-4</v>
      </c>
      <c r="T432" s="3">
        <v>5.9900000000000002E-2</v>
      </c>
      <c r="U432" s="3">
        <v>0.59899999999999998</v>
      </c>
      <c r="V432" s="8">
        <v>125015</v>
      </c>
      <c r="W432" s="3">
        <v>4</v>
      </c>
      <c r="X432" s="3" t="str">
        <f t="shared" si="28"/>
        <v>-HAPPY-</v>
      </c>
      <c r="Y432" s="3" t="str">
        <f t="shared" si="29"/>
        <v>-ENERGY-</v>
      </c>
      <c r="Z432" s="4" t="str">
        <f t="shared" si="30"/>
        <v>{"couname":"Four Chord Song","img":"https://i.scdn.co/image/ab67616d0000b273770e798c89bff927f16c8276","pty":"29","artist":"Shara Rose","genres":"","duration":"193653","spotId":"514sKNEFGsPYy0fRBYyPLK","Items":["-HAPPY-","-ENERGY-","","","GN_FrenchElectro"]},</v>
      </c>
      <c r="AA432" s="5" t="s">
        <v>6100</v>
      </c>
      <c r="AB432" s="3" t="str">
        <f t="shared" si="31"/>
        <v>["-HAPPY-","-ENERGY-","","","GN_FrenchElectro"]</v>
      </c>
      <c r="AC432" s="3" t="str">
        <f>_xlfn.XLOOKUP(A432,Album!A:A,Album!J:J)</f>
        <v>https://i.scdn.co/image/ab67616d0000b273770e798c89bff927f16c8276</v>
      </c>
      <c r="AD432" s="3"/>
      <c r="AE432" s="3"/>
      <c r="AF432" s="3"/>
      <c r="AG432" s="3"/>
      <c r="AH432" s="3"/>
    </row>
    <row r="433" spans="1:34" x14ac:dyDescent="0.3">
      <c r="A433" s="11" t="s">
        <v>1715</v>
      </c>
      <c r="B433" s="12" t="s">
        <v>5557</v>
      </c>
      <c r="C433" s="12" t="s">
        <v>1683</v>
      </c>
      <c r="D433" s="13" t="s">
        <v>4432</v>
      </c>
      <c r="E433" s="6">
        <v>1999</v>
      </c>
      <c r="F433" s="3">
        <v>538066</v>
      </c>
      <c r="G433" s="3">
        <v>29</v>
      </c>
      <c r="H433" s="3" t="s">
        <v>5558</v>
      </c>
      <c r="I433" s="3" t="s">
        <v>1675</v>
      </c>
      <c r="J433" s="3" t="s">
        <v>1717</v>
      </c>
      <c r="K433" s="3" t="s">
        <v>1680</v>
      </c>
      <c r="L433" s="3">
        <v>0.75600000000000001</v>
      </c>
      <c r="M433" s="3">
        <v>0.89700000000000002</v>
      </c>
      <c r="N433" s="3">
        <v>6</v>
      </c>
      <c r="O433" s="8">
        <v>-5202</v>
      </c>
      <c r="P433" s="3">
        <v>1</v>
      </c>
      <c r="Q433" s="3">
        <v>0.21099999999999999</v>
      </c>
      <c r="R433" s="3">
        <v>2.3E-3</v>
      </c>
      <c r="S433" s="3">
        <v>0.84699999999999998</v>
      </c>
      <c r="T433" s="3">
        <v>0.32900000000000001</v>
      </c>
      <c r="U433" s="3">
        <v>0.39800000000000002</v>
      </c>
      <c r="V433" s="8">
        <v>130878</v>
      </c>
      <c r="W433" s="3">
        <v>4</v>
      </c>
      <c r="X433" s="3" t="str">
        <f t="shared" si="28"/>
        <v>-HAPPY-</v>
      </c>
      <c r="Y433" s="3" t="str">
        <f t="shared" si="29"/>
        <v>-ENERGY-</v>
      </c>
      <c r="Z433" s="4" t="str">
        <f t="shared" si="30"/>
        <v>{"couname":"La Mouche","img":"https://i.scdn.co/image/ab67616d0000b2731d86f0dd2c46c5d75cf07bdd","pty":"29","artist":"Cassius, DJ Falcon","genres":"house francés,disco house,frenchcore,gabber,speedcore,hardcore","duration":"538066","spotId":"43yQiATsXbfGkY7kKj40iM","Items":["-HAPPY-","-ENERGY-","","","GN_FrenchElectro"]},</v>
      </c>
      <c r="AA433" s="5" t="s">
        <v>6100</v>
      </c>
      <c r="AB433" s="3" t="str">
        <f t="shared" si="31"/>
        <v>["-HAPPY-","-ENERGY-","","","GN_FrenchElectro"]</v>
      </c>
      <c r="AC433" s="3" t="str">
        <f>_xlfn.XLOOKUP(A433,Album!A:A,Album!J:J)</f>
        <v>https://i.scdn.co/image/ab67616d0000b2731d86f0dd2c46c5d75cf07bdd</v>
      </c>
      <c r="AD433" s="3"/>
      <c r="AE433" s="3"/>
      <c r="AF433" s="3"/>
      <c r="AG433" s="3"/>
      <c r="AH433" s="3"/>
    </row>
    <row r="434" spans="1:34" x14ac:dyDescent="0.3">
      <c r="A434" s="11" t="s">
        <v>1885</v>
      </c>
      <c r="B434" s="12" t="s">
        <v>1886</v>
      </c>
      <c r="C434" s="12" t="s">
        <v>1876</v>
      </c>
      <c r="D434" s="13" t="s">
        <v>9</v>
      </c>
      <c r="E434" s="6">
        <v>38425</v>
      </c>
      <c r="F434" s="3">
        <v>248400</v>
      </c>
      <c r="G434" s="3">
        <v>29</v>
      </c>
      <c r="H434" s="3" t="s">
        <v>5556</v>
      </c>
      <c r="I434" s="3" t="s">
        <v>1809</v>
      </c>
      <c r="J434" s="3" t="s">
        <v>1810</v>
      </c>
      <c r="K434" s="3" t="s">
        <v>1811</v>
      </c>
      <c r="L434" s="3">
        <v>0.53100000000000003</v>
      </c>
      <c r="M434" s="3">
        <v>0.89400000000000002</v>
      </c>
      <c r="N434" s="3">
        <v>6</v>
      </c>
      <c r="O434" s="8">
        <v>-5435</v>
      </c>
      <c r="P434" s="3">
        <v>0</v>
      </c>
      <c r="Q434" s="3">
        <v>4.6600000000000003E-2</v>
      </c>
      <c r="R434" s="3">
        <v>1.36E-5</v>
      </c>
      <c r="S434" s="3">
        <v>0.83699999999999997</v>
      </c>
      <c r="T434" s="3">
        <v>7.4200000000000002E-2</v>
      </c>
      <c r="U434" s="3">
        <v>3.8199999999999998E-2</v>
      </c>
      <c r="V434" s="8">
        <v>119708</v>
      </c>
      <c r="W434" s="3">
        <v>4</v>
      </c>
      <c r="X434" s="3" t="str">
        <f t="shared" si="28"/>
        <v>-SADNE-</v>
      </c>
      <c r="Y434" s="3" t="str">
        <f t="shared" si="29"/>
        <v>-ENERGY-</v>
      </c>
      <c r="Z434" s="4" t="str">
        <f t="shared" si="30"/>
        <v>{"couname":"The Brainwasher","img":"https://i.scdn.co/image/ab67616d0000b273d8601e15fa1b4351fe1fc6ae","pty":"29","artist":"Daft Punk","genres":"house francés,electrónica,electro","duration":"248400","spotId":"61qwHnU8dyMqPemGzopDcp","Items":["-SADNE-","-ENERGY-","","","GN_FrenchElectro"]},</v>
      </c>
      <c r="AA434" s="5" t="s">
        <v>6100</v>
      </c>
      <c r="AB434" s="3" t="str">
        <f t="shared" si="31"/>
        <v>["-SADNE-","-ENERGY-","","","GN_FrenchElectro"]</v>
      </c>
      <c r="AC434" s="3" t="str">
        <f>_xlfn.XLOOKUP(A434,Album!A:A,Album!J:J)</f>
        <v>https://i.scdn.co/image/ab67616d0000b273d8601e15fa1b4351fe1fc6ae</v>
      </c>
      <c r="AD434" s="3"/>
      <c r="AE434" s="3"/>
      <c r="AF434" s="3"/>
      <c r="AG434" s="3"/>
      <c r="AH434" s="3"/>
    </row>
    <row r="435" spans="1:34" x14ac:dyDescent="0.3">
      <c r="A435" s="11" t="s">
        <v>1895</v>
      </c>
      <c r="B435" s="12" t="s">
        <v>16</v>
      </c>
      <c r="C435" s="12" t="s">
        <v>1896</v>
      </c>
      <c r="D435" s="13" t="s">
        <v>9</v>
      </c>
      <c r="E435" s="6">
        <v>38805</v>
      </c>
      <c r="F435" s="3">
        <v>413600</v>
      </c>
      <c r="G435" s="3">
        <v>29</v>
      </c>
      <c r="H435" s="3" t="s">
        <v>5555</v>
      </c>
      <c r="I435" s="3" t="s">
        <v>1809</v>
      </c>
      <c r="J435" s="3" t="s">
        <v>1810</v>
      </c>
      <c r="K435" s="3" t="s">
        <v>1811</v>
      </c>
      <c r="L435" s="3">
        <v>0.82</v>
      </c>
      <c r="M435" s="3">
        <v>0.88500000000000001</v>
      </c>
      <c r="N435" s="3">
        <v>11</v>
      </c>
      <c r="O435" s="8">
        <v>-6996</v>
      </c>
      <c r="P435" s="3">
        <v>1</v>
      </c>
      <c r="Q435" s="3">
        <v>8.1100000000000005E-2</v>
      </c>
      <c r="R435" s="3">
        <v>1.65E-3</v>
      </c>
      <c r="S435" s="3">
        <v>0.84799999999999998</v>
      </c>
      <c r="T435" s="3">
        <v>8.5000000000000006E-2</v>
      </c>
      <c r="U435" s="3">
        <v>0.83199999999999996</v>
      </c>
      <c r="V435" s="8">
        <v>117206</v>
      </c>
      <c r="W435" s="3">
        <v>4</v>
      </c>
      <c r="X435" s="3" t="str">
        <f t="shared" si="28"/>
        <v>-HAPPY-</v>
      </c>
      <c r="Y435" s="3" t="str">
        <f t="shared" si="29"/>
        <v>-ENERGY-</v>
      </c>
      <c r="Z435" s="4" t="str">
        <f t="shared" si="30"/>
        <v>{"couname":"Musique","img":"https://i.scdn.co/image/ab67616d0000b27354a277d652eba4cd35a2e78a","pty":"29","artist":"Daft Punk","genres":"house francés,electrónica,electro","duration":"413600","spotId":"2easgxsXK5j6lNp63yZF7S","Items":["-HAPPY-","-ENERGY-","","","GN_FrenchElectro"]},</v>
      </c>
      <c r="AA435" s="5" t="s">
        <v>6100</v>
      </c>
      <c r="AB435" s="3" t="str">
        <f t="shared" si="31"/>
        <v>["-HAPPY-","-ENERGY-","","","GN_FrenchElectro"]</v>
      </c>
      <c r="AC435" s="3" t="str">
        <f>_xlfn.XLOOKUP(A435,Album!A:A,Album!J:J)</f>
        <v>https://i.scdn.co/image/ab67616d0000b27354a277d652eba4cd35a2e78a</v>
      </c>
      <c r="AD435" s="3"/>
      <c r="AE435" s="3"/>
      <c r="AF435" s="3"/>
      <c r="AG435" s="3"/>
      <c r="AH435" s="3"/>
    </row>
    <row r="436" spans="1:34" x14ac:dyDescent="0.3">
      <c r="A436" s="11" t="s">
        <v>245</v>
      </c>
      <c r="B436" s="12" t="s">
        <v>246</v>
      </c>
      <c r="C436" s="12" t="s">
        <v>236</v>
      </c>
      <c r="D436" s="13" t="s">
        <v>2255</v>
      </c>
      <c r="E436" s="6">
        <v>42293</v>
      </c>
      <c r="F436" s="3">
        <v>178573</v>
      </c>
      <c r="G436" s="3">
        <v>28</v>
      </c>
      <c r="H436" s="3" t="s">
        <v>5554</v>
      </c>
      <c r="I436" s="3" t="s">
        <v>102</v>
      </c>
      <c r="J436" s="3" t="s">
        <v>103</v>
      </c>
      <c r="K436" s="3" t="s">
        <v>84</v>
      </c>
      <c r="L436" s="3">
        <v>0.52500000000000002</v>
      </c>
      <c r="M436" s="3">
        <v>0.95699999999999996</v>
      </c>
      <c r="N436" s="3">
        <v>8</v>
      </c>
      <c r="O436" s="8">
        <v>-4426</v>
      </c>
      <c r="P436" s="3">
        <v>1</v>
      </c>
      <c r="Q436" s="3">
        <v>3.2099999999999997E-2</v>
      </c>
      <c r="R436" s="3">
        <v>8.2299999999999995E-3</v>
      </c>
      <c r="S436" s="3">
        <v>0.94599999999999995</v>
      </c>
      <c r="T436" s="3">
        <v>0.11799999999999999</v>
      </c>
      <c r="U436" s="3">
        <v>0.39</v>
      </c>
      <c r="V436" s="8">
        <v>128004</v>
      </c>
      <c r="W436" s="3">
        <v>4</v>
      </c>
      <c r="X436" s="3" t="str">
        <f t="shared" si="28"/>
        <v>-HAPPY-</v>
      </c>
      <c r="Y436" s="3" t="str">
        <f t="shared" si="29"/>
        <v>-ENERGY-</v>
      </c>
      <c r="Z436" s="4" t="str">
        <f t="shared" si="30"/>
        <v>{"couname":"Automatic, Pt. 2","img":"https://i.scdn.co/image/ab67616d0000b27376987a71d6639ea8f44b5c09","pty":"28","artist":"Jean-Michel Jarre, Vincent Clarke","genres":"new age,electrónica,space music","duration":"178573","spotId":"3Nge9dphsx1RhHd0kHLozc","Items":["-HAPPY-","-ENERGY-","","","GN_FrenchElectro"]},</v>
      </c>
      <c r="AA436" s="5" t="s">
        <v>6100</v>
      </c>
      <c r="AB436" s="3" t="str">
        <f t="shared" si="31"/>
        <v>["-HAPPY-","-ENERGY-","","","GN_FrenchElectro"]</v>
      </c>
      <c r="AC436" s="3" t="str">
        <f>_xlfn.XLOOKUP(A436,Album!A:A,Album!J:J)</f>
        <v>https://i.scdn.co/image/ab67616d0000b27376987a71d6639ea8f44b5c09</v>
      </c>
      <c r="AD436" s="3"/>
      <c r="AE436" s="3"/>
      <c r="AF436" s="3"/>
      <c r="AG436" s="3"/>
      <c r="AH436" s="3"/>
    </row>
    <row r="437" spans="1:34" x14ac:dyDescent="0.3">
      <c r="A437" s="11" t="s">
        <v>278</v>
      </c>
      <c r="B437" s="12" t="s">
        <v>279</v>
      </c>
      <c r="C437" s="12" t="s">
        <v>280</v>
      </c>
      <c r="D437" s="13" t="s">
        <v>2307</v>
      </c>
      <c r="E437" s="6">
        <v>42496</v>
      </c>
      <c r="F437" s="3">
        <v>265600</v>
      </c>
      <c r="G437" s="3">
        <v>28</v>
      </c>
      <c r="H437" s="3" t="s">
        <v>5553</v>
      </c>
      <c r="I437" s="3" t="s">
        <v>102</v>
      </c>
      <c r="J437" s="3" t="s">
        <v>281</v>
      </c>
      <c r="K437" s="3" t="s">
        <v>84</v>
      </c>
      <c r="L437" s="3">
        <v>0.105</v>
      </c>
      <c r="M437" s="3">
        <v>0.45800000000000002</v>
      </c>
      <c r="N437" s="3">
        <v>1</v>
      </c>
      <c r="O437" s="8">
        <v>-15257</v>
      </c>
      <c r="P437" s="3">
        <v>0</v>
      </c>
      <c r="Q437" s="3">
        <v>4.3400000000000001E-2</v>
      </c>
      <c r="R437" s="3">
        <v>0.81899999999999995</v>
      </c>
      <c r="S437" s="3">
        <v>0.88100000000000001</v>
      </c>
      <c r="T437" s="3">
        <v>0.33800000000000002</v>
      </c>
      <c r="U437" s="3">
        <v>0.128</v>
      </c>
      <c r="V437" s="8">
        <v>179626</v>
      </c>
      <c r="W437" s="3">
        <v>3</v>
      </c>
      <c r="X437" s="3" t="str">
        <f t="shared" si="28"/>
        <v>-SADNE-</v>
      </c>
      <c r="Y437" s="3" t="str">
        <f t="shared" si="29"/>
        <v>-SLOWSS-</v>
      </c>
      <c r="Z437" s="4" t="str">
        <f t="shared" si="30"/>
        <v>{"couname":"The Heart of Noise, Pt. 1","img":"https://i.scdn.co/image/ab67616d0000b273359a423dd08ed414400e0cb7","pty":"28","artist":"Jean-Michel Jarre, Rone","genres":"new age,electrónica,space music,electro","duration":"265600","spotId":"78v0F8s5vH7cdUVaGj0J5a","Items":["-SADNE-","-SLOWSS-","","","GN_FrenchElectro"]},</v>
      </c>
      <c r="AA437" s="5" t="s">
        <v>6100</v>
      </c>
      <c r="AB437" s="3" t="str">
        <f t="shared" si="31"/>
        <v>["-SADNE-","-SLOWSS-","","","GN_FrenchElectro"]</v>
      </c>
      <c r="AC437" s="3" t="str">
        <f>_xlfn.XLOOKUP(A437,Album!A:A,Album!J:J)</f>
        <v>https://i.scdn.co/image/ab67616d0000b273359a423dd08ed414400e0cb7</v>
      </c>
      <c r="AD437" s="3"/>
      <c r="AE437" s="3"/>
      <c r="AF437" s="3"/>
      <c r="AG437" s="3"/>
      <c r="AH437" s="3"/>
    </row>
    <row r="438" spans="1:34" x14ac:dyDescent="0.3">
      <c r="A438" s="11" t="s">
        <v>326</v>
      </c>
      <c r="B438" s="12" t="s">
        <v>5551</v>
      </c>
      <c r="C438" s="12" t="s">
        <v>280</v>
      </c>
      <c r="D438" s="13" t="s">
        <v>18</v>
      </c>
      <c r="E438" s="6">
        <v>42496</v>
      </c>
      <c r="F438" s="3">
        <v>159373</v>
      </c>
      <c r="G438" s="3">
        <v>28</v>
      </c>
      <c r="H438" s="3" t="s">
        <v>5552</v>
      </c>
      <c r="I438" s="3" t="s">
        <v>102</v>
      </c>
      <c r="J438" s="3" t="s">
        <v>103</v>
      </c>
      <c r="K438" s="3" t="s">
        <v>84</v>
      </c>
      <c r="L438" s="3">
        <v>0.68799999999999994</v>
      </c>
      <c r="M438" s="3">
        <v>0.26600000000000001</v>
      </c>
      <c r="N438" s="3">
        <v>1</v>
      </c>
      <c r="O438" s="8">
        <v>-8604</v>
      </c>
      <c r="P438" s="3">
        <v>0</v>
      </c>
      <c r="Q438" s="3">
        <v>3.2500000000000001E-2</v>
      </c>
      <c r="R438" s="3">
        <v>0.83099999999999996</v>
      </c>
      <c r="S438" s="3">
        <v>0.81499999999999995</v>
      </c>
      <c r="T438" s="3">
        <v>0.1</v>
      </c>
      <c r="U438" s="3">
        <v>0.53200000000000003</v>
      </c>
      <c r="V438" s="8">
        <v>120012</v>
      </c>
      <c r="W438" s="3">
        <v>4</v>
      </c>
      <c r="X438" s="3" t="str">
        <f t="shared" si="28"/>
        <v>-HAPPY-</v>
      </c>
      <c r="Y438" s="3" t="str">
        <f t="shared" si="29"/>
        <v>-ENERGY-</v>
      </c>
      <c r="Z438" s="4" t="str">
        <f t="shared" si="30"/>
        <v>{"couname":"The Heart of Noise","img":"https://i.scdn.co/image/ab67616d0000b273359a423dd08ed414400e0cb7","pty":"28","artist":"Jean-Michel Jarre","genres":"new age,electrónica,space music","duration":"159373","spotId":"7pxpEfYqCMM4H8tTJUdRwo","Items":["-HAPPY-","-ENERGY-","","","GN_FrenchElectro"]},</v>
      </c>
      <c r="AA438" s="5" t="s">
        <v>6100</v>
      </c>
      <c r="AB438" s="3" t="str">
        <f t="shared" si="31"/>
        <v>["-HAPPY-","-ENERGY-","","","GN_FrenchElectro"]</v>
      </c>
      <c r="AC438" s="3" t="str">
        <f>_xlfn.XLOOKUP(A438,Album!A:A,Album!J:J)</f>
        <v>https://i.scdn.co/image/ab67616d0000b273359a423dd08ed414400e0cb7</v>
      </c>
      <c r="AD438" s="3"/>
      <c r="AE438" s="3"/>
      <c r="AF438" s="3"/>
      <c r="AG438" s="3"/>
      <c r="AH438" s="3"/>
    </row>
    <row r="439" spans="1:34" x14ac:dyDescent="0.3">
      <c r="A439" s="11" t="s">
        <v>420</v>
      </c>
      <c r="B439" s="12" t="s">
        <v>5549</v>
      </c>
      <c r="C439" s="12" t="s">
        <v>417</v>
      </c>
      <c r="D439" s="13" t="s">
        <v>18</v>
      </c>
      <c r="E439" s="6">
        <v>2018</v>
      </c>
      <c r="F439" s="3">
        <v>344049</v>
      </c>
      <c r="G439" s="3">
        <v>28</v>
      </c>
      <c r="H439" s="3" t="s">
        <v>5550</v>
      </c>
      <c r="I439" s="3" t="s">
        <v>102</v>
      </c>
      <c r="J439" s="3" t="s">
        <v>103</v>
      </c>
      <c r="K439" s="3" t="s">
        <v>87</v>
      </c>
      <c r="L439" s="3">
        <v>0.52400000000000002</v>
      </c>
      <c r="M439" s="3">
        <v>0.63900000000000001</v>
      </c>
      <c r="N439" s="3">
        <v>8</v>
      </c>
      <c r="O439" s="8">
        <v>-9372</v>
      </c>
      <c r="P439" s="3">
        <v>1</v>
      </c>
      <c r="Q439" s="3">
        <v>2.8199999999999999E-2</v>
      </c>
      <c r="R439" s="3">
        <v>0.14799999999999999</v>
      </c>
      <c r="S439" s="3">
        <v>0.60099999999999998</v>
      </c>
      <c r="T439" s="3">
        <v>0.10299999999999999</v>
      </c>
      <c r="U439" s="3">
        <v>0.15</v>
      </c>
      <c r="V439" s="8">
        <v>128029</v>
      </c>
      <c r="W439" s="3">
        <v>4</v>
      </c>
      <c r="X439" s="3" t="str">
        <f t="shared" si="28"/>
        <v>-SADNE-</v>
      </c>
      <c r="Y439" s="3" t="str">
        <f t="shared" si="29"/>
        <v>-ENERGY-</v>
      </c>
      <c r="Z439" s="4" t="str">
        <f t="shared" si="30"/>
        <v>{"couname":"ROBOTS DON'T CRY","img":"https://i.scdn.co/image/ab67616d0000b273549c7972b8511360e8761adf","pty":"28","artist":"Jean-Michel Jarre","genres":"new age,electrónica,space music","duration":"344049","spotId":"7vQqaXVfyEk7AJvV6PUpss","Items":["-SADNE-","-ENERGY-","","","GN_FrenchElectro"]},</v>
      </c>
      <c r="AA439" s="5" t="s">
        <v>6100</v>
      </c>
      <c r="AB439" s="3" t="str">
        <f t="shared" si="31"/>
        <v>["-SADNE-","-ENERGY-","","","GN_FrenchElectro"]</v>
      </c>
      <c r="AC439" s="3" t="str">
        <f>_xlfn.XLOOKUP(A439,Album!A:A,Album!J:J)</f>
        <v>https://i.scdn.co/image/ab67616d0000b273549c7972b8511360e8761adf</v>
      </c>
      <c r="AD439" s="3"/>
      <c r="AE439" s="3"/>
      <c r="AF439" s="3"/>
      <c r="AG439" s="3"/>
      <c r="AH439" s="3"/>
    </row>
    <row r="440" spans="1:34" x14ac:dyDescent="0.3">
      <c r="A440" s="11" t="s">
        <v>629</v>
      </c>
      <c r="B440" s="12" t="s">
        <v>5547</v>
      </c>
      <c r="C440" s="12" t="s">
        <v>631</v>
      </c>
      <c r="D440" s="13" t="s">
        <v>2815</v>
      </c>
      <c r="E440" s="6">
        <v>45317</v>
      </c>
      <c r="F440" s="3">
        <v>183774</v>
      </c>
      <c r="G440" s="3">
        <v>28</v>
      </c>
      <c r="H440" s="3" t="s">
        <v>5548</v>
      </c>
      <c r="I440" s="3" t="s">
        <v>462</v>
      </c>
      <c r="J440" s="3" t="s">
        <v>632</v>
      </c>
      <c r="K440" s="3" t="s">
        <v>464</v>
      </c>
      <c r="L440" s="3">
        <v>0.56899999999999995</v>
      </c>
      <c r="M440" s="3">
        <v>0.92700000000000005</v>
      </c>
      <c r="N440" s="3">
        <v>0</v>
      </c>
      <c r="O440" s="8">
        <v>-6119</v>
      </c>
      <c r="P440" s="3">
        <v>1</v>
      </c>
      <c r="Q440" s="3">
        <v>6.1199999999999997E-2</v>
      </c>
      <c r="R440" s="3">
        <v>5.4000000000000003E-3</v>
      </c>
      <c r="S440" s="3">
        <v>1.34E-2</v>
      </c>
      <c r="T440" s="3">
        <v>6.4399999999999999E-2</v>
      </c>
      <c r="U440" s="3">
        <v>0.63600000000000001</v>
      </c>
      <c r="V440" s="8">
        <v>123968</v>
      </c>
      <c r="W440" s="3">
        <v>4</v>
      </c>
      <c r="X440" s="3" t="str">
        <f t="shared" si="28"/>
        <v>-HAPPY-</v>
      </c>
      <c r="Y440" s="3" t="str">
        <f t="shared" si="29"/>
        <v>-ENERGY-</v>
      </c>
      <c r="Z440" s="4" t="str">
        <f t="shared" si="30"/>
        <v>{"couname":"What A Wonderful World","img":"https://i.scdn.co/image/ab67616d0000b273d5563d63928b0bd5e8f8fbab","pty":"28","artist":"Bob Sinclar, Axwell, Ron Carroll, Greg Cerrone","genres":"house francés,disco house,edm,house progresivo","duration":"183774","spotId":"56ggEwgh0zcUaXAJbQz6Xo","Items":["-HAPPY-","-ENERGY-","","","GN_FrenchElectro"]},</v>
      </c>
      <c r="AA440" s="5" t="s">
        <v>6100</v>
      </c>
      <c r="AB440" s="3" t="str">
        <f t="shared" si="31"/>
        <v>["-HAPPY-","-ENERGY-","","","GN_FrenchElectro"]</v>
      </c>
      <c r="AC440" s="3" t="str">
        <f>_xlfn.XLOOKUP(A440,Album!A:A,Album!J:J)</f>
        <v>https://i.scdn.co/image/ab67616d0000b273d5563d63928b0bd5e8f8fbab</v>
      </c>
      <c r="AD440" s="3"/>
      <c r="AE440" s="3"/>
      <c r="AF440" s="3"/>
      <c r="AG440" s="3"/>
      <c r="AH440" s="3"/>
    </row>
    <row r="441" spans="1:34" x14ac:dyDescent="0.3">
      <c r="A441" s="11" t="s">
        <v>700</v>
      </c>
      <c r="B441" s="12" t="s">
        <v>5545</v>
      </c>
      <c r="C441" s="12" t="s">
        <v>702</v>
      </c>
      <c r="D441" s="13" t="s">
        <v>2940</v>
      </c>
      <c r="E441" s="6">
        <v>39465</v>
      </c>
      <c r="F441" s="3">
        <v>431386</v>
      </c>
      <c r="G441" s="3">
        <v>28</v>
      </c>
      <c r="H441" s="3" t="s">
        <v>5546</v>
      </c>
      <c r="I441" s="3" t="s">
        <v>639</v>
      </c>
      <c r="J441" s="3" t="s">
        <v>640</v>
      </c>
      <c r="K441" s="3" t="s">
        <v>703</v>
      </c>
      <c r="L441" s="3">
        <v>0.72699999999999998</v>
      </c>
      <c r="M441" s="3">
        <v>0.68799999999999994</v>
      </c>
      <c r="N441" s="3">
        <v>1</v>
      </c>
      <c r="O441" s="8">
        <v>-10401</v>
      </c>
      <c r="P441" s="3">
        <v>1</v>
      </c>
      <c r="Q441" s="3">
        <v>4.9099999999999998E-2</v>
      </c>
      <c r="R441" s="3">
        <v>1.99E-3</v>
      </c>
      <c r="S441" s="3">
        <v>0.74399999999999999</v>
      </c>
      <c r="T441" s="3">
        <v>8.2000000000000003E-2</v>
      </c>
      <c r="U441" s="3">
        <v>0.435</v>
      </c>
      <c r="V441" s="8">
        <v>123986</v>
      </c>
      <c r="W441" s="3">
        <v>4</v>
      </c>
      <c r="X441" s="3" t="str">
        <f t="shared" si="28"/>
        <v>-HAPPY-</v>
      </c>
      <c r="Y441" s="3" t="str">
        <f t="shared" si="29"/>
        <v>-ENERGY-</v>
      </c>
      <c r="Z441" s="4" t="str">
        <f t="shared" si="30"/>
        <v>{"couname":"Cabo Parano","img":"https://i.scdn.co/image/ab67616d0000b273e5361726b5a45810889fe68c","pty":"28","artist":"Martin Solveig, Stephy Haik","genres":"house francés","duration":"431386","spotId":"4l2saDd5DUBLbBbnvbP9Jl","Items":["-HAPPY-","-ENERGY-","","","GN_FrenchElectro"]},</v>
      </c>
      <c r="AA441" s="5" t="s">
        <v>6100</v>
      </c>
      <c r="AB441" s="3" t="str">
        <f t="shared" si="31"/>
        <v>["-HAPPY-","-ENERGY-","","","GN_FrenchElectro"]</v>
      </c>
      <c r="AC441" s="3" t="str">
        <f>_xlfn.XLOOKUP(A441,Album!A:A,Album!J:J)</f>
        <v>https://i.scdn.co/image/ab67616d0000b273e5361726b5a45810889fe68c</v>
      </c>
      <c r="AD441" s="3"/>
      <c r="AE441" s="3"/>
      <c r="AF441" s="3"/>
      <c r="AG441" s="3"/>
      <c r="AH441" s="3"/>
    </row>
    <row r="442" spans="1:34" x14ac:dyDescent="0.3">
      <c r="A442" s="11" t="s">
        <v>996</v>
      </c>
      <c r="B442" s="12" t="s">
        <v>95</v>
      </c>
      <c r="C442" s="12" t="s">
        <v>975</v>
      </c>
      <c r="D442" s="13" t="s">
        <v>842</v>
      </c>
      <c r="E442" s="6">
        <v>43728</v>
      </c>
      <c r="F442" s="3">
        <v>166021</v>
      </c>
      <c r="G442" s="3">
        <v>28</v>
      </c>
      <c r="H442" s="3" t="s">
        <v>5544</v>
      </c>
      <c r="I442" s="3" t="s">
        <v>889</v>
      </c>
      <c r="J442" s="3" t="s">
        <v>844</v>
      </c>
      <c r="K442" s="3" t="s">
        <v>894</v>
      </c>
      <c r="L442" s="3">
        <v>0.13200000000000001</v>
      </c>
      <c r="M442" s="3">
        <v>0.22600000000000001</v>
      </c>
      <c r="N442" s="3">
        <v>11</v>
      </c>
      <c r="O442" s="8">
        <v>-15475</v>
      </c>
      <c r="P442" s="3">
        <v>1</v>
      </c>
      <c r="Q442" s="3">
        <v>3.6600000000000001E-2</v>
      </c>
      <c r="R442" s="3">
        <v>0.13200000000000001</v>
      </c>
      <c r="S442" s="3">
        <v>0.79</v>
      </c>
      <c r="T442" s="3">
        <v>0.123</v>
      </c>
      <c r="U442" s="3">
        <v>3.9300000000000002E-2</v>
      </c>
      <c r="V442" s="8">
        <v>83497</v>
      </c>
      <c r="W442" s="3">
        <v>4</v>
      </c>
      <c r="X442" s="3" t="str">
        <f t="shared" si="28"/>
        <v>-SADNE-</v>
      </c>
      <c r="Y442" s="3" t="str">
        <f t="shared" si="29"/>
        <v>-SLOWSS-</v>
      </c>
      <c r="Z442" s="4" t="str">
        <f t="shared" si="30"/>
        <v>{"couname":"Mirage","img":"https://i.scdn.co/image/ab67616d0000b273d6e19f60738af1f9d4e1d09f","pty":"28","artist":"M83","genres":"indietronica","duration":"166021","spotId":"3lanP7waF2wZd7OSXWhnaM","Items":["-SADNE-","-SLOWSS-","","","GN_FrenchElectro"]},</v>
      </c>
      <c r="AA442" s="5" t="s">
        <v>6100</v>
      </c>
      <c r="AB442" s="3" t="str">
        <f t="shared" si="31"/>
        <v>["-SADNE-","-SLOWSS-","","","GN_FrenchElectro"]</v>
      </c>
      <c r="AC442" s="3" t="str">
        <f>_xlfn.XLOOKUP(A442,Album!A:A,Album!J:J)</f>
        <v>https://i.scdn.co/image/ab67616d0000b273d6e19f60738af1f9d4e1d09f</v>
      </c>
      <c r="AD442" s="3"/>
      <c r="AE442" s="3"/>
      <c r="AF442" s="3"/>
      <c r="AG442" s="3"/>
      <c r="AH442" s="3"/>
    </row>
    <row r="443" spans="1:34" x14ac:dyDescent="0.3">
      <c r="A443" s="11" t="s">
        <v>1113</v>
      </c>
      <c r="B443" s="12" t="s">
        <v>1114</v>
      </c>
      <c r="C443" s="12" t="s">
        <v>1022</v>
      </c>
      <c r="D443" s="13" t="s">
        <v>3504</v>
      </c>
      <c r="E443" s="6">
        <v>40504</v>
      </c>
      <c r="F443" s="3">
        <v>186320</v>
      </c>
      <c r="G443" s="3">
        <v>28</v>
      </c>
      <c r="H443" s="3" t="s">
        <v>5543</v>
      </c>
      <c r="I443" s="3" t="s">
        <v>1013</v>
      </c>
      <c r="J443" s="3" t="s">
        <v>1019</v>
      </c>
      <c r="K443" s="3" t="s">
        <v>83</v>
      </c>
      <c r="L443" s="3">
        <v>0.65100000000000002</v>
      </c>
      <c r="M443" s="3">
        <v>0.79600000000000004</v>
      </c>
      <c r="N443" s="3">
        <v>4</v>
      </c>
      <c r="O443" s="8">
        <v>-5303</v>
      </c>
      <c r="P443" s="3">
        <v>0</v>
      </c>
      <c r="Q443" s="3">
        <v>4.1500000000000002E-2</v>
      </c>
      <c r="R443" s="3">
        <v>1.0800000000000001E-2</v>
      </c>
      <c r="S443" s="3">
        <v>3.7599999999999998E-4</v>
      </c>
      <c r="T443" s="3">
        <v>0.46600000000000003</v>
      </c>
      <c r="U443" s="3">
        <v>0.63800000000000001</v>
      </c>
      <c r="V443" s="8">
        <v>127989</v>
      </c>
      <c r="W443" s="3">
        <v>4</v>
      </c>
      <c r="X443" s="3" t="str">
        <f t="shared" si="28"/>
        <v>-HAPPY-</v>
      </c>
      <c r="Y443" s="3" t="str">
        <f t="shared" si="29"/>
        <v>-ENERGY-</v>
      </c>
      <c r="Z443" s="4" t="str">
        <f t="shared" si="30"/>
        <v>{"couname":"Love Is Gone","img":"https://i.scdn.co/image/ab67616d0000b273f45c50e7cff5f2376c1e36ea","pty":"28","artist":"David Guetta, Chris Willis","genres":"edm,dance","duration":"186320","spotId":"59GJyU1FgV4ApeHE0uvSZV","Items":["-HAPPY-","-ENERGY-","","","GN_FrenchElectro"]},</v>
      </c>
      <c r="AA443" s="5" t="s">
        <v>6100</v>
      </c>
      <c r="AB443" s="3" t="str">
        <f t="shared" si="31"/>
        <v>["-HAPPY-","-ENERGY-","","","GN_FrenchElectro"]</v>
      </c>
      <c r="AC443" s="3" t="str">
        <f>_xlfn.XLOOKUP(A443,Album!A:A,Album!J:J)</f>
        <v>https://i.scdn.co/image/ab67616d0000b273f45c50e7cff5f2376c1e36ea</v>
      </c>
      <c r="AD443" s="3"/>
      <c r="AE443" s="3"/>
      <c r="AF443" s="3"/>
      <c r="AG443" s="3"/>
      <c r="AH443" s="3"/>
    </row>
    <row r="444" spans="1:34" x14ac:dyDescent="0.3">
      <c r="A444" s="11" t="s">
        <v>1176</v>
      </c>
      <c r="B444" s="12" t="s">
        <v>5541</v>
      </c>
      <c r="C444" s="12" t="s">
        <v>1178</v>
      </c>
      <c r="D444" s="13" t="s">
        <v>3638</v>
      </c>
      <c r="E444" s="6">
        <v>39234</v>
      </c>
      <c r="F444" s="3">
        <v>208026</v>
      </c>
      <c r="G444" s="3">
        <v>28</v>
      </c>
      <c r="H444" s="3" t="s">
        <v>5542</v>
      </c>
      <c r="I444" s="3" t="s">
        <v>1013</v>
      </c>
      <c r="J444" s="3" t="s">
        <v>1179</v>
      </c>
      <c r="K444" s="3" t="s">
        <v>83</v>
      </c>
      <c r="L444" s="3">
        <v>0.58799999999999997</v>
      </c>
      <c r="M444" s="3">
        <v>0.749</v>
      </c>
      <c r="N444" s="3">
        <v>0</v>
      </c>
      <c r="O444" s="8">
        <v>-7621</v>
      </c>
      <c r="P444" s="3">
        <v>1</v>
      </c>
      <c r="Q444" s="3">
        <v>3.5000000000000003E-2</v>
      </c>
      <c r="R444" s="3">
        <v>2.64E-2</v>
      </c>
      <c r="S444" s="3">
        <v>0</v>
      </c>
      <c r="T444" s="3">
        <v>0.13900000000000001</v>
      </c>
      <c r="U444" s="3">
        <v>0.248</v>
      </c>
      <c r="V444" s="8">
        <v>129959</v>
      </c>
      <c r="W444" s="3">
        <v>4</v>
      </c>
      <c r="X444" s="3" t="str">
        <f t="shared" si="28"/>
        <v>-SADNE-</v>
      </c>
      <c r="Y444" s="3" t="str">
        <f t="shared" si="29"/>
        <v>-ENERGY-</v>
      </c>
      <c r="Z444" s="4" t="str">
        <f t="shared" si="30"/>
        <v>{"couname":"Baby When the Light","img":"https://i.scdn.co/image/ab67616d0000b27370e3e482d0d47df283e792e4","pty":"28","artist":"David Guetta, Steve Angello, Cozi","genres":"edm,dance,house progresivo","duration":"208026","spotId":"30uJvYj0JwozcqYLvfl24k","Items":["-SADNE-","-ENERGY-","","","GN_FrenchElectro"]},</v>
      </c>
      <c r="AA444" s="5" t="s">
        <v>6100</v>
      </c>
      <c r="AB444" s="3" t="str">
        <f t="shared" si="31"/>
        <v>["-SADNE-","-ENERGY-","","","GN_FrenchElectro"]</v>
      </c>
      <c r="AC444" s="3" t="str">
        <f>_xlfn.XLOOKUP(A444,Album!A:A,Album!J:J)</f>
        <v>https://i.scdn.co/image/ab67616d0000b27370e3e482d0d47df283e792e4</v>
      </c>
      <c r="AD444" s="3"/>
      <c r="AE444" s="3"/>
      <c r="AF444" s="3"/>
      <c r="AG444" s="3"/>
      <c r="AH444" s="3"/>
    </row>
    <row r="445" spans="1:34" x14ac:dyDescent="0.3">
      <c r="A445" s="11" t="s">
        <v>1411</v>
      </c>
      <c r="B445" s="12" t="s">
        <v>1412</v>
      </c>
      <c r="C445" s="12" t="s">
        <v>1348</v>
      </c>
      <c r="D445" s="13" t="s">
        <v>1345</v>
      </c>
      <c r="E445" s="6">
        <v>40945</v>
      </c>
      <c r="F445" s="3">
        <v>97697</v>
      </c>
      <c r="G445" s="3">
        <v>28</v>
      </c>
      <c r="H445" s="3" t="s">
        <v>5540</v>
      </c>
      <c r="I445" s="3" t="s">
        <v>1336</v>
      </c>
      <c r="J445" s="3" t="s">
        <v>1337</v>
      </c>
      <c r="K445" s="3" t="s">
        <v>1341</v>
      </c>
      <c r="L445" s="3">
        <v>0.45800000000000002</v>
      </c>
      <c r="M445" s="3">
        <v>0.36199999999999999</v>
      </c>
      <c r="N445" s="3">
        <v>4</v>
      </c>
      <c r="O445" s="8">
        <v>-15661</v>
      </c>
      <c r="P445" s="3">
        <v>0</v>
      </c>
      <c r="Q445" s="3">
        <v>2.75E-2</v>
      </c>
      <c r="R445" s="3">
        <v>0.183</v>
      </c>
      <c r="S445" s="3">
        <v>0.88900000000000001</v>
      </c>
      <c r="T445" s="3">
        <v>0.109</v>
      </c>
      <c r="U445" s="3">
        <v>0.26900000000000002</v>
      </c>
      <c r="V445" s="8">
        <v>145.91</v>
      </c>
      <c r="W445" s="3">
        <v>4</v>
      </c>
      <c r="X445" s="3" t="str">
        <f t="shared" si="28"/>
        <v>-SADNE-</v>
      </c>
      <c r="Y445" s="3" t="str">
        <f t="shared" si="29"/>
        <v>-SLOWSS-</v>
      </c>
      <c r="Z445" s="4" t="str">
        <f t="shared" si="30"/>
        <v>{"couname":"Décollage","img":"https://i.scdn.co/image/ab67616d0000b2732ec0dfc75d6e2ea22da95b32","pty":"28","artist":"Air","genres":"trip hop,downtempo,house francés","duration":"97697","spotId":"4eZvw3vnwX6wmwK8H1YgcD","Items":["-SADNE-","-SLOWSS-","","","GN_FrenchElectro"]},</v>
      </c>
      <c r="AA445" s="5" t="s">
        <v>6100</v>
      </c>
      <c r="AB445" s="3" t="str">
        <f t="shared" si="31"/>
        <v>["-SADNE-","-SLOWSS-","","","GN_FrenchElectro"]</v>
      </c>
      <c r="AC445" s="3" t="str">
        <f>_xlfn.XLOOKUP(A445,Album!A:A,Album!J:J)</f>
        <v>https://i.scdn.co/image/ab67616d0000b2732ec0dfc75d6e2ea22da95b32</v>
      </c>
      <c r="AD445" s="3"/>
      <c r="AE445" s="3"/>
      <c r="AF445" s="3"/>
      <c r="AG445" s="3"/>
      <c r="AH445" s="3"/>
    </row>
    <row r="446" spans="1:34" x14ac:dyDescent="0.3">
      <c r="A446" s="11" t="s">
        <v>1449</v>
      </c>
      <c r="B446" s="12" t="s">
        <v>1450</v>
      </c>
      <c r="C446" s="12" t="s">
        <v>1372</v>
      </c>
      <c r="D446" s="13" t="s">
        <v>1345</v>
      </c>
      <c r="E446" s="6">
        <v>37039</v>
      </c>
      <c r="F446" s="3">
        <v>297200</v>
      </c>
      <c r="G446" s="3">
        <v>28</v>
      </c>
      <c r="H446" s="3" t="s">
        <v>5539</v>
      </c>
      <c r="I446" s="3" t="s">
        <v>1336</v>
      </c>
      <c r="J446" s="3" t="s">
        <v>1337</v>
      </c>
      <c r="K446" s="3" t="s">
        <v>83</v>
      </c>
      <c r="L446" s="3">
        <v>0.64100000000000001</v>
      </c>
      <c r="M446" s="3">
        <v>0.52800000000000002</v>
      </c>
      <c r="N446" s="3">
        <v>7</v>
      </c>
      <c r="O446" s="8">
        <v>-8317</v>
      </c>
      <c r="P446" s="3">
        <v>0</v>
      </c>
      <c r="Q446" s="3">
        <v>4.0899999999999999E-2</v>
      </c>
      <c r="R446" s="3">
        <v>0.29399999999999998</v>
      </c>
      <c r="S446" s="3">
        <v>0.88200000000000001</v>
      </c>
      <c r="T446" s="3">
        <v>8.2100000000000006E-2</v>
      </c>
      <c r="U446" s="3">
        <v>0.21299999999999999</v>
      </c>
      <c r="V446" s="8">
        <v>137708</v>
      </c>
      <c r="W446" s="3">
        <v>4</v>
      </c>
      <c r="X446" s="3" t="str">
        <f t="shared" si="28"/>
        <v>-SADNE-</v>
      </c>
      <c r="Y446" s="3" t="str">
        <f t="shared" si="29"/>
        <v>-ENERGY-</v>
      </c>
      <c r="Z446" s="4" t="str">
        <f t="shared" si="30"/>
        <v>{"couname":"People in the City","img":"https://i.scdn.co/image/ab67616d0000b2735c2d2f43471655dbbf3d6284","pty":"28","artist":"Air","genres":"trip hop,downtempo,house francés","duration":"297200","spotId":"0WSidzg7a5e5YofecV5nZd","Items":["-SADNE-","-ENERGY-","","","GN_FrenchElectro"]},</v>
      </c>
      <c r="AA446" s="5" t="s">
        <v>6100</v>
      </c>
      <c r="AB446" s="3" t="str">
        <f t="shared" si="31"/>
        <v>["-SADNE-","-ENERGY-","","","GN_FrenchElectro"]</v>
      </c>
      <c r="AC446" s="3" t="str">
        <f>_xlfn.XLOOKUP(A446,Album!A:A,Album!J:J)</f>
        <v>https://i.scdn.co/image/ab67616d0000b2735c2d2f43471655dbbf3d6284</v>
      </c>
      <c r="AD446" s="3"/>
      <c r="AE446" s="3"/>
      <c r="AF446" s="3"/>
      <c r="AG446" s="3"/>
      <c r="AH446" s="3"/>
    </row>
    <row r="447" spans="1:34" x14ac:dyDescent="0.3">
      <c r="A447" s="11" t="s">
        <v>1870</v>
      </c>
      <c r="B447" s="12" t="s">
        <v>1871</v>
      </c>
      <c r="C447" s="12" t="s">
        <v>1872</v>
      </c>
      <c r="D447" s="13" t="s">
        <v>9</v>
      </c>
      <c r="E447" s="6">
        <v>37956</v>
      </c>
      <c r="F447" s="3">
        <v>160626</v>
      </c>
      <c r="G447" s="3">
        <v>28</v>
      </c>
      <c r="H447" s="3" t="s">
        <v>5538</v>
      </c>
      <c r="I447" s="3" t="s">
        <v>1809</v>
      </c>
      <c r="J447" s="3" t="s">
        <v>1810</v>
      </c>
      <c r="K447" s="3" t="s">
        <v>1811</v>
      </c>
      <c r="L447" s="3">
        <v>0.59199999999999997</v>
      </c>
      <c r="M447" s="3">
        <v>0.82899999999999996</v>
      </c>
      <c r="N447" s="3">
        <v>11</v>
      </c>
      <c r="O447" s="8">
        <v>-10497</v>
      </c>
      <c r="P447" s="3">
        <v>1</v>
      </c>
      <c r="Q447" s="3">
        <v>4.1500000000000002E-2</v>
      </c>
      <c r="R447" s="3">
        <v>2.7400000000000001E-2</v>
      </c>
      <c r="S447" s="3">
        <v>0.88500000000000001</v>
      </c>
      <c r="T447" s="3">
        <v>8.1699999999999995E-2</v>
      </c>
      <c r="U447" s="3">
        <v>3.4200000000000001E-2</v>
      </c>
      <c r="V447" s="8">
        <v>122999</v>
      </c>
      <c r="W447" s="3">
        <v>4</v>
      </c>
      <c r="X447" s="3" t="str">
        <f t="shared" si="28"/>
        <v>-SADNE-</v>
      </c>
      <c r="Y447" s="3" t="str">
        <f t="shared" si="29"/>
        <v>-ENERGY-</v>
      </c>
      <c r="Z447" s="4" t="str">
        <f t="shared" si="30"/>
        <v>{"couname":"Ouverture","img":"https://i.scdn.co/image/ab67616d0000b273662ca2ebec199607ebf37ce0","pty":"28","artist":"Daft Punk","genres":"house francés,electrónica,electro","duration":"160626","spotId":"1pyTJdbGVBVvKXC3MtemHA","Items":["-SADNE-","-ENERGY-","","","GN_FrenchElectro"]},</v>
      </c>
      <c r="AA447" s="5" t="s">
        <v>6100</v>
      </c>
      <c r="AB447" s="3" t="str">
        <f t="shared" si="31"/>
        <v>["-SADNE-","-ENERGY-","","","GN_FrenchElectro"]</v>
      </c>
      <c r="AC447" s="3" t="str">
        <f>_xlfn.XLOOKUP(A447,Album!A:A,Album!J:J)</f>
        <v>https://i.scdn.co/image/ab67616d0000b273662ca2ebec199607ebf37ce0</v>
      </c>
      <c r="AD447" s="3"/>
      <c r="AE447" s="3"/>
      <c r="AF447" s="3"/>
      <c r="AG447" s="3"/>
      <c r="AH447" s="3"/>
    </row>
    <row r="448" spans="1:34" x14ac:dyDescent="0.3">
      <c r="A448" s="11" t="s">
        <v>230</v>
      </c>
      <c r="B448" s="12" t="s">
        <v>231</v>
      </c>
      <c r="C448" s="12" t="s">
        <v>221</v>
      </c>
      <c r="D448" s="13" t="s">
        <v>18</v>
      </c>
      <c r="E448" s="6">
        <v>42706</v>
      </c>
      <c r="F448" s="3">
        <v>340760</v>
      </c>
      <c r="G448" s="3">
        <v>27</v>
      </c>
      <c r="H448" s="3" t="s">
        <v>5537</v>
      </c>
      <c r="I448" s="3" t="s">
        <v>102</v>
      </c>
      <c r="J448" s="3" t="s">
        <v>103</v>
      </c>
      <c r="K448" s="3" t="s">
        <v>104</v>
      </c>
      <c r="L448" s="3">
        <v>0.51400000000000001</v>
      </c>
      <c r="M448" s="3">
        <v>0.97199999999999998</v>
      </c>
      <c r="N448" s="3">
        <v>0</v>
      </c>
      <c r="O448" s="8">
        <v>-6608</v>
      </c>
      <c r="P448" s="3">
        <v>0</v>
      </c>
      <c r="Q448" s="3">
        <v>5.1799999999999999E-2</v>
      </c>
      <c r="R448" s="3">
        <v>0.03</v>
      </c>
      <c r="S448" s="3">
        <v>0.80900000000000005</v>
      </c>
      <c r="T448" s="3">
        <v>0.57199999999999995</v>
      </c>
      <c r="U448" s="3">
        <v>0.27300000000000002</v>
      </c>
      <c r="V448" s="8">
        <v>140024</v>
      </c>
      <c r="W448" s="3">
        <v>4</v>
      </c>
      <c r="X448" s="3" t="str">
        <f t="shared" si="28"/>
        <v>-SADNE-</v>
      </c>
      <c r="Y448" s="3" t="str">
        <f t="shared" si="29"/>
        <v>-ENERGY-</v>
      </c>
      <c r="Z448" s="4" t="str">
        <f t="shared" si="30"/>
        <v>{"couname":"Oxygene, Pt. 12","img":"https://i.scdn.co/image/ab67616d0000b273f0ebde6d9dd82a4f12462245","pty":"27","artist":"Jean-Michel Jarre","genres":"new age,electrónica,space music","duration":"340760","spotId":"5cjCeXnZDaljutam2gnm4m","Items":["-SADNE-","-ENERGY-","","","GN_FrenchElectro"]},</v>
      </c>
      <c r="AA448" s="5" t="s">
        <v>6100</v>
      </c>
      <c r="AB448" s="3" t="str">
        <f t="shared" si="31"/>
        <v>["-SADNE-","-ENERGY-","","","GN_FrenchElectro"]</v>
      </c>
      <c r="AC448" s="3" t="str">
        <f>_xlfn.XLOOKUP(A448,Album!A:A,Album!J:J)</f>
        <v>https://i.scdn.co/image/ab67616d0000b273f0ebde6d9dd82a4f12462245</v>
      </c>
      <c r="AD448" s="3"/>
      <c r="AE448" s="3"/>
      <c r="AF448" s="3"/>
      <c r="AG448" s="3"/>
      <c r="AH448" s="3"/>
    </row>
    <row r="449" spans="1:34" x14ac:dyDescent="0.3">
      <c r="A449" s="11" t="s">
        <v>267</v>
      </c>
      <c r="B449" s="12" t="s">
        <v>23</v>
      </c>
      <c r="C449" s="12" t="s">
        <v>236</v>
      </c>
      <c r="D449" s="13" t="s">
        <v>2289</v>
      </c>
      <c r="E449" s="6">
        <v>42293</v>
      </c>
      <c r="F449" s="3">
        <v>276013</v>
      </c>
      <c r="G449" s="3">
        <v>27</v>
      </c>
      <c r="H449" s="3" t="s">
        <v>5536</v>
      </c>
      <c r="I449" s="3" t="s">
        <v>102</v>
      </c>
      <c r="J449" s="3" t="s">
        <v>268</v>
      </c>
      <c r="K449" s="3" t="s">
        <v>84</v>
      </c>
      <c r="L449" s="3">
        <v>0.48899999999999999</v>
      </c>
      <c r="M449" s="3">
        <v>0.92200000000000004</v>
      </c>
      <c r="N449" s="3">
        <v>11</v>
      </c>
      <c r="O449" s="8">
        <v>-7576</v>
      </c>
      <c r="P449" s="3">
        <v>0</v>
      </c>
      <c r="Q449" s="3">
        <v>3.6700000000000003E-2</v>
      </c>
      <c r="R449" s="3">
        <v>0.121</v>
      </c>
      <c r="S449" s="3">
        <v>0.85099999999999998</v>
      </c>
      <c r="T449" s="3">
        <v>0.26700000000000002</v>
      </c>
      <c r="U449" s="3">
        <v>0.104</v>
      </c>
      <c r="V449" s="8">
        <v>132011</v>
      </c>
      <c r="W449" s="3">
        <v>4</v>
      </c>
      <c r="X449" s="3" t="str">
        <f t="shared" si="28"/>
        <v>-SADNE-</v>
      </c>
      <c r="Y449" s="3" t="str">
        <f t="shared" si="29"/>
        <v>-ENERGY-</v>
      </c>
      <c r="Z449" s="4" t="str">
        <f t="shared" si="30"/>
        <v>{"couname":"Stardust","img":"https://i.scdn.co/image/ab67616d0000b27376987a71d6639ea8f44b5c09","pty":"27","artist":"Jean-Michel Jarre, Armin van Buuren","genres":"new age,electrónica,space music,trance,house progresivo,edm","duration":"276013","spotId":"11VcrifJFrqF6uOCWHv3if","Items":["-SADNE-","-ENERGY-","","","GN_FrenchElectro"]},</v>
      </c>
      <c r="AA449" s="5" t="s">
        <v>6100</v>
      </c>
      <c r="AB449" s="3" t="str">
        <f t="shared" si="31"/>
        <v>["-SADNE-","-ENERGY-","","","GN_FrenchElectro"]</v>
      </c>
      <c r="AC449" s="3" t="str">
        <f>_xlfn.XLOOKUP(A449,Album!A:A,Album!J:J)</f>
        <v>https://i.scdn.co/image/ab67616d0000b27376987a71d6639ea8f44b5c09</v>
      </c>
      <c r="AD449" s="3"/>
      <c r="AE449" s="3"/>
      <c r="AF449" s="3"/>
      <c r="AG449" s="3"/>
      <c r="AH449" s="3"/>
    </row>
    <row r="450" spans="1:34" x14ac:dyDescent="0.3">
      <c r="A450" s="11" t="s">
        <v>418</v>
      </c>
      <c r="B450" s="12" t="s">
        <v>5534</v>
      </c>
      <c r="C450" s="12" t="s">
        <v>417</v>
      </c>
      <c r="D450" s="13" t="s">
        <v>18</v>
      </c>
      <c r="E450" s="6">
        <v>2018</v>
      </c>
      <c r="F450" s="3">
        <v>233812</v>
      </c>
      <c r="G450" s="3">
        <v>27</v>
      </c>
      <c r="H450" s="3" t="s">
        <v>5535</v>
      </c>
      <c r="I450" s="3" t="s">
        <v>102</v>
      </c>
      <c r="J450" s="3" t="s">
        <v>103</v>
      </c>
      <c r="K450" s="3" t="s">
        <v>87</v>
      </c>
      <c r="L450" s="3">
        <v>0.51600000000000001</v>
      </c>
      <c r="M450" s="3">
        <v>0.57399999999999995</v>
      </c>
      <c r="N450" s="3">
        <v>9</v>
      </c>
      <c r="O450" s="8">
        <v>-11478</v>
      </c>
      <c r="P450" s="3">
        <v>0</v>
      </c>
      <c r="Q450" s="3">
        <v>2.6800000000000001E-2</v>
      </c>
      <c r="R450" s="3">
        <v>0.69599999999999995</v>
      </c>
      <c r="S450" s="3">
        <v>0.81299999999999994</v>
      </c>
      <c r="T450" s="3">
        <v>7.7200000000000005E-2</v>
      </c>
      <c r="U450" s="3">
        <v>0.34699999999999998</v>
      </c>
      <c r="V450" s="8">
        <v>128041</v>
      </c>
      <c r="W450" s="3">
        <v>4</v>
      </c>
      <c r="X450" s="3" t="str">
        <f t="shared" si="28"/>
        <v>-SADNE-</v>
      </c>
      <c r="Y450" s="3" t="str">
        <f t="shared" si="29"/>
        <v>-ENERGY-</v>
      </c>
      <c r="Z450" s="4" t="str">
        <f t="shared" si="30"/>
        <v>{"couname":"FLYING TOTEMS","img":"https://i.scdn.co/image/ab67616d0000b273549c7972b8511360e8761adf","pty":"27","artist":"Jean-Michel Jarre","genres":"new age,electrónica,space music","duration":"233812","spotId":"05M6zX62Q2k2u7W6NuxLTR","Items":["-SADNE-","-ENERGY-","","","GN_FrenchElectro"]},</v>
      </c>
      <c r="AA450" s="5" t="s">
        <v>6100</v>
      </c>
      <c r="AB450" s="3" t="str">
        <f t="shared" si="31"/>
        <v>["-SADNE-","-ENERGY-","","","GN_FrenchElectro"]</v>
      </c>
      <c r="AC450" s="3" t="str">
        <f>_xlfn.XLOOKUP(A450,Album!A:A,Album!J:J)</f>
        <v>https://i.scdn.co/image/ab67616d0000b273549c7972b8511360e8761adf</v>
      </c>
      <c r="AD450" s="3"/>
      <c r="AE450" s="3"/>
      <c r="AF450" s="3"/>
      <c r="AG450" s="3"/>
      <c r="AH450" s="3"/>
    </row>
    <row r="451" spans="1:34" x14ac:dyDescent="0.3">
      <c r="A451" s="11" t="s">
        <v>478</v>
      </c>
      <c r="B451" s="12" t="s">
        <v>5532</v>
      </c>
      <c r="C451" s="12" t="s">
        <v>480</v>
      </c>
      <c r="D451" s="13" t="s">
        <v>2551</v>
      </c>
      <c r="E451" s="6">
        <v>45541</v>
      </c>
      <c r="F451" s="3">
        <v>277617</v>
      </c>
      <c r="G451" s="3">
        <v>27</v>
      </c>
      <c r="H451" s="3" t="s">
        <v>5533</v>
      </c>
      <c r="I451" s="3" t="s">
        <v>462</v>
      </c>
      <c r="J451" s="3" t="s">
        <v>463</v>
      </c>
      <c r="K451" s="3" t="s">
        <v>469</v>
      </c>
      <c r="L451" s="3">
        <v>0.65500000000000003</v>
      </c>
      <c r="M451" s="3">
        <v>0.94</v>
      </c>
      <c r="N451" s="3">
        <v>11</v>
      </c>
      <c r="O451" s="8">
        <v>-5672</v>
      </c>
      <c r="P451" s="3">
        <v>0</v>
      </c>
      <c r="Q451" s="3">
        <v>0.35</v>
      </c>
      <c r="R451" s="3">
        <v>2.8799999999999999E-2</v>
      </c>
      <c r="S451" s="3">
        <v>1.7E-5</v>
      </c>
      <c r="T451" s="3">
        <v>0.129</v>
      </c>
      <c r="U451" s="3">
        <v>0.59399999999999997</v>
      </c>
      <c r="V451" s="8">
        <v>127.98</v>
      </c>
      <c r="W451" s="3">
        <v>4</v>
      </c>
      <c r="X451" s="3" t="str">
        <f t="shared" ref="X451:X514" si="32">IF(OR(U451&lt;0.301, AND(U451&lt;0.4, P451=0)), "-SADNE-", "-HAPPY-")</f>
        <v>-HAPPY-</v>
      </c>
      <c r="Y451" s="3" t="str">
        <f t="shared" ref="Y451:Y514" si="33">IF(OR(AND(L451&lt;0.5,M451&lt;0.5),AND(L451&lt;0.45,V451&lt;100),AND(M451&lt;0.45,V451&lt;100),AND(U451&lt;0.39,V451&lt;100)),"-SLOWSS-","-ENERGY-")</f>
        <v>-ENERGY-</v>
      </c>
      <c r="Z451" s="4" t="str">
        <f t="shared" ref="Z451:Z514" si="34">"{"&amp;CHAR(34)&amp;"couname"&amp;CHAR(34)&amp;":"&amp;CHAR(34)&amp;B451&amp;CHAR(34)&amp;","&amp;CHAR(34)&amp;"img"&amp;CHAR(34)&amp;":"&amp;CHAR(34)&amp;AC451&amp;CHAR(34)&amp;","&amp;CHAR(34)&amp;"pty"&amp;CHAR(34)&amp;":"&amp;CHAR(34)&amp;G451&amp;CHAR(34)&amp;","&amp;CHAR(34)&amp;"artist"&amp;CHAR(34)&amp;":"&amp;CHAR(34)&amp;D451&amp;CHAR(34)&amp;","&amp;CHAR(34)&amp;"genres"&amp;CHAR(34)&amp;":"&amp;CHAR(34)&amp;J451&amp;CHAR(34)&amp;","&amp;CHAR(34)&amp;"duration"&amp;CHAR(34)&amp;":"&amp;CHAR(34)&amp;F451&amp;CHAR(34)&amp;","&amp;CHAR(34)&amp;"spotId"&amp;CHAR(34)&amp;":"&amp;CHAR(34)&amp;A451&amp;CHAR(34)&amp;","&amp;CHAR(34)&amp;"Items"&amp;CHAR(34)&amp;":"&amp;AB451&amp;"},"</f>
        <v>{"couname":"House Music","img":"https://i.scdn.co/image/ab67616d0000b27396e3dc54541d55d7bff2144c","pty":"27","artist":"Bob Sinclar, Ron Carroll","genres":"house francés,disco house","duration":"277617","spotId":"1doxuytmXDBTUdYcIT0gCp","Items":["-HAPPY-","-ENERGY-","","","GN_FrenchElectro"]},</v>
      </c>
      <c r="AA451" s="5" t="s">
        <v>6100</v>
      </c>
      <c r="AB451" s="3" t="str">
        <f t="shared" ref="AB451:AB514" si="35" xml:space="preserve"> "[" &amp; _xlfn.TEXTJOIN(",",TRUE,CHAR(34) &amp; X451&amp; CHAR(34), CHAR(34) &amp; Y451 &amp; CHAR(34),  CHAR(34) &amp; AF451 &amp; CHAR(34), CHAR(34) &amp;AG451 &amp; CHAR(34), CHAR(34) &amp; AA451 &amp; CHAR(34)) &amp; "]"</f>
        <v>["-HAPPY-","-ENERGY-","","","GN_FrenchElectro"]</v>
      </c>
      <c r="AC451" s="3" t="str">
        <f>_xlfn.XLOOKUP(A451,Album!A:A,Album!J:J)</f>
        <v>https://i.scdn.co/image/ab67616d0000b27396e3dc54541d55d7bff2144c</v>
      </c>
      <c r="AD451" s="3"/>
      <c r="AE451" s="3"/>
      <c r="AF451" s="3"/>
      <c r="AG451" s="3"/>
      <c r="AH451" s="3"/>
    </row>
    <row r="452" spans="1:34" x14ac:dyDescent="0.3">
      <c r="A452" s="11" t="s">
        <v>485</v>
      </c>
      <c r="B452" s="12" t="s">
        <v>5530</v>
      </c>
      <c r="C452" s="12" t="s">
        <v>483</v>
      </c>
      <c r="D452" s="13" t="s">
        <v>2566</v>
      </c>
      <c r="E452" s="6">
        <v>45520</v>
      </c>
      <c r="F452" s="3">
        <v>167619</v>
      </c>
      <c r="G452" s="3">
        <v>27</v>
      </c>
      <c r="H452" s="3" t="s">
        <v>5531</v>
      </c>
      <c r="I452" s="3" t="s">
        <v>462</v>
      </c>
      <c r="J452" s="3" t="s">
        <v>487</v>
      </c>
      <c r="K452" s="3" t="s">
        <v>469</v>
      </c>
      <c r="L452" s="3">
        <v>0.85799999999999998</v>
      </c>
      <c r="M452" s="3">
        <v>0.90500000000000003</v>
      </c>
      <c r="N452" s="3">
        <v>5</v>
      </c>
      <c r="O452" s="8">
        <v>-5074</v>
      </c>
      <c r="P452" s="3">
        <v>0</v>
      </c>
      <c r="Q452" s="3">
        <v>0.17</v>
      </c>
      <c r="R452" s="3">
        <v>5.1799999999999997E-3</v>
      </c>
      <c r="S452" s="3">
        <v>2.3099999999999999E-2</v>
      </c>
      <c r="T452" s="3">
        <v>0.33</v>
      </c>
      <c r="U452" s="3">
        <v>0.59499999999999997</v>
      </c>
      <c r="V452" s="8">
        <v>126.01</v>
      </c>
      <c r="W452" s="3">
        <v>4</v>
      </c>
      <c r="X452" s="3" t="str">
        <f t="shared" si="32"/>
        <v>-HAPPY-</v>
      </c>
      <c r="Y452" s="3" t="str">
        <f t="shared" si="33"/>
        <v>-ENERGY-</v>
      </c>
      <c r="Z452" s="4" t="str">
        <f t="shared" si="34"/>
        <v>{"couname":"Rock This Party","img":"https://i.scdn.co/image/ab67616d0000b273b711dd7d3f87268a3ddcd121","pty":"27","artist":"Bob Sinclar, Andrea Govoni, DollarMan, Big Ali, Makedah","genres":"house francés,disco house,raï","duration":"167619","spotId":"6rORCm67WgDgaf69uKkaGy","Items":["-HAPPY-","-ENERGY-","","","GN_FrenchElectro"]},</v>
      </c>
      <c r="AA452" s="5" t="s">
        <v>6100</v>
      </c>
      <c r="AB452" s="3" t="str">
        <f t="shared" si="35"/>
        <v>["-HAPPY-","-ENERGY-","","","GN_FrenchElectro"]</v>
      </c>
      <c r="AC452" s="3" t="str">
        <f>_xlfn.XLOOKUP(A452,Album!A:A,Album!J:J)</f>
        <v>https://i.scdn.co/image/ab67616d0000b273b711dd7d3f87268a3ddcd121</v>
      </c>
      <c r="AD452" s="3"/>
      <c r="AE452" s="3"/>
      <c r="AF452" s="3"/>
      <c r="AG452" s="3"/>
      <c r="AH452" s="3"/>
    </row>
    <row r="453" spans="1:34" x14ac:dyDescent="0.3">
      <c r="A453" s="11" t="s">
        <v>535</v>
      </c>
      <c r="B453" s="12" t="s">
        <v>536</v>
      </c>
      <c r="C453" s="12" t="s">
        <v>536</v>
      </c>
      <c r="D453" s="13" t="s">
        <v>2657</v>
      </c>
      <c r="E453" s="6">
        <v>45387</v>
      </c>
      <c r="F453" s="3">
        <v>196080</v>
      </c>
      <c r="G453" s="3">
        <v>27</v>
      </c>
      <c r="H453" s="3" t="s">
        <v>5529</v>
      </c>
      <c r="I453" s="3" t="s">
        <v>462</v>
      </c>
      <c r="J453" s="3" t="s">
        <v>537</v>
      </c>
      <c r="K453" s="3" t="s">
        <v>464</v>
      </c>
      <c r="L453" s="3">
        <v>0.65600000000000003</v>
      </c>
      <c r="M453" s="3">
        <v>0.92800000000000005</v>
      </c>
      <c r="N453" s="3">
        <v>5</v>
      </c>
      <c r="O453" s="8">
        <v>-9343</v>
      </c>
      <c r="P453" s="3">
        <v>1</v>
      </c>
      <c r="Q453" s="3">
        <v>3.8800000000000001E-2</v>
      </c>
      <c r="R453" s="3">
        <v>6.6699999999999995E-4</v>
      </c>
      <c r="S453" s="3">
        <v>0.755</v>
      </c>
      <c r="T453" s="3">
        <v>0.16400000000000001</v>
      </c>
      <c r="U453" s="3">
        <v>7.8200000000000006E-2</v>
      </c>
      <c r="V453" s="8">
        <v>124984</v>
      </c>
      <c r="W453" s="3">
        <v>4</v>
      </c>
      <c r="X453" s="3" t="str">
        <f t="shared" si="32"/>
        <v>-SADNE-</v>
      </c>
      <c r="Y453" s="3" t="str">
        <f t="shared" si="33"/>
        <v>-ENERGY-</v>
      </c>
      <c r="Z453" s="4" t="str">
        <f t="shared" si="34"/>
        <v>{"couname":"Mathar","img":"https://i.scdn.co/image/ab67616d0000b2736de9fce11cb7c733a07141bf","pty":"27","artist":"Africanism, Bob Sinclar","genres":"house francés,tribal house,house latino,afro house,disco house","duration":"196080","spotId":"33RI8pn4JrOLUE70jo2vJb","Items":["-SADNE-","-ENERGY-","","","GN_FrenchElectro"]},</v>
      </c>
      <c r="AA453" s="5" t="s">
        <v>6100</v>
      </c>
      <c r="AB453" s="3" t="str">
        <f t="shared" si="35"/>
        <v>["-SADNE-","-ENERGY-","","","GN_FrenchElectro"]</v>
      </c>
      <c r="AC453" s="3" t="str">
        <f>_xlfn.XLOOKUP(A453,Album!A:A,Album!J:J)</f>
        <v>https://i.scdn.co/image/ab67616d0000b2736de9fce11cb7c733a07141bf</v>
      </c>
      <c r="AD453" s="3"/>
      <c r="AE453" s="3"/>
      <c r="AF453" s="3"/>
      <c r="AG453" s="3"/>
      <c r="AH453" s="3"/>
    </row>
    <row r="454" spans="1:34" x14ac:dyDescent="0.3">
      <c r="A454" s="11" t="s">
        <v>875</v>
      </c>
      <c r="B454" s="12" t="s">
        <v>876</v>
      </c>
      <c r="C454" s="12" t="s">
        <v>841</v>
      </c>
      <c r="D454" s="13" t="s">
        <v>842</v>
      </c>
      <c r="E454" s="6">
        <v>2011</v>
      </c>
      <c r="F454" s="3">
        <v>197693</v>
      </c>
      <c r="G454" s="3">
        <v>27</v>
      </c>
      <c r="H454" s="3" t="s">
        <v>5528</v>
      </c>
      <c r="I454" s="3" t="s">
        <v>843</v>
      </c>
      <c r="J454" s="3" t="s">
        <v>844</v>
      </c>
      <c r="K454" s="3" t="s">
        <v>845</v>
      </c>
      <c r="L454" s="3">
        <v>0.41399999999999998</v>
      </c>
      <c r="M454" s="3">
        <v>0.90300000000000002</v>
      </c>
      <c r="N454" s="3">
        <v>9</v>
      </c>
      <c r="O454" s="8">
        <v>-6823</v>
      </c>
      <c r="P454" s="3">
        <v>1</v>
      </c>
      <c r="Q454" s="3">
        <v>4.58E-2</v>
      </c>
      <c r="R454" s="3">
        <v>4.49E-5</v>
      </c>
      <c r="S454" s="3">
        <v>0.68700000000000006</v>
      </c>
      <c r="T454" s="3">
        <v>0.158</v>
      </c>
      <c r="U454" s="3">
        <v>0.36899999999999999</v>
      </c>
      <c r="V454" s="8">
        <v>147047</v>
      </c>
      <c r="W454" s="3">
        <v>4</v>
      </c>
      <c r="X454" s="3" t="str">
        <f t="shared" si="32"/>
        <v>-HAPPY-</v>
      </c>
      <c r="Y454" s="3" t="str">
        <f t="shared" si="33"/>
        <v>-ENERGY-</v>
      </c>
      <c r="Z454" s="4" t="str">
        <f t="shared" si="34"/>
        <v>{"couname":"Year One, One Ufo","img":"https://i.scdn.co/image/ab67616d0000b273fff2cb485c36a6d8f639bdba","pty":"27","artist":"M83","genres":"indietronica","duration":"197693","spotId":"6QOfkcfdrEZ2nwi5R9KJTK","Items":["-HAPPY-","-ENERGY-","","","GN_FrenchElectro"]},</v>
      </c>
      <c r="AA454" s="5" t="s">
        <v>6100</v>
      </c>
      <c r="AB454" s="3" t="str">
        <f t="shared" si="35"/>
        <v>["-HAPPY-","-ENERGY-","","","GN_FrenchElectro"]</v>
      </c>
      <c r="AC454" s="3" t="str">
        <f>_xlfn.XLOOKUP(A454,Album!A:A,Album!J:J)</f>
        <v>https://i.scdn.co/image/ab67616d0000b273fff2cb485c36a6d8f639bdba</v>
      </c>
      <c r="AD454" s="3"/>
      <c r="AE454" s="3"/>
      <c r="AF454" s="3"/>
      <c r="AG454" s="3"/>
      <c r="AH454" s="3"/>
    </row>
    <row r="455" spans="1:34" x14ac:dyDescent="0.3">
      <c r="A455" s="11" t="s">
        <v>877</v>
      </c>
      <c r="B455" s="12" t="s">
        <v>878</v>
      </c>
      <c r="C455" s="12" t="s">
        <v>841</v>
      </c>
      <c r="D455" s="13" t="s">
        <v>842</v>
      </c>
      <c r="E455" s="6">
        <v>2011</v>
      </c>
      <c r="F455" s="3">
        <v>81640</v>
      </c>
      <c r="G455" s="3">
        <v>27</v>
      </c>
      <c r="H455" s="3" t="s">
        <v>5527</v>
      </c>
      <c r="I455" s="3" t="s">
        <v>843</v>
      </c>
      <c r="J455" s="3" t="s">
        <v>844</v>
      </c>
      <c r="K455" s="3" t="s">
        <v>845</v>
      </c>
      <c r="L455" s="3">
        <v>0.23499999999999999</v>
      </c>
      <c r="M455" s="3">
        <v>0.34</v>
      </c>
      <c r="N455" s="3">
        <v>6</v>
      </c>
      <c r="O455" s="8">
        <v>-12919</v>
      </c>
      <c r="P455" s="3">
        <v>1</v>
      </c>
      <c r="Q455" s="3">
        <v>4.0399999999999998E-2</v>
      </c>
      <c r="R455" s="3">
        <v>0.86</v>
      </c>
      <c r="S455" s="3">
        <v>0.95</v>
      </c>
      <c r="T455" s="3">
        <v>0.154</v>
      </c>
      <c r="U455" s="3">
        <v>6.3600000000000004E-2</v>
      </c>
      <c r="V455" s="8">
        <v>116291</v>
      </c>
      <c r="W455" s="3">
        <v>4</v>
      </c>
      <c r="X455" s="3" t="str">
        <f t="shared" si="32"/>
        <v>-SADNE-</v>
      </c>
      <c r="Y455" s="3" t="str">
        <f t="shared" si="33"/>
        <v>-SLOWSS-</v>
      </c>
      <c r="Z455" s="4" t="str">
        <f t="shared" si="34"/>
        <v>{"couname":"Fountains","img":"https://i.scdn.co/image/ab67616d0000b273fff2cb485c36a6d8f639bdba","pty":"27","artist":"M83","genres":"indietronica","duration":"81640","spotId":"4S1TcxIV42zhABqofPxsvN","Items":["-SADNE-","-SLOWSS-","","","GN_FrenchElectro"]},</v>
      </c>
      <c r="AA455" s="5" t="s">
        <v>6100</v>
      </c>
      <c r="AB455" s="3" t="str">
        <f t="shared" si="35"/>
        <v>["-SADNE-","-SLOWSS-","","","GN_FrenchElectro"]</v>
      </c>
      <c r="AC455" s="3" t="str">
        <f>_xlfn.XLOOKUP(A455,Album!A:A,Album!J:J)</f>
        <v>https://i.scdn.co/image/ab67616d0000b273fff2cb485c36a6d8f639bdba</v>
      </c>
      <c r="AD455" s="3"/>
      <c r="AE455" s="3"/>
      <c r="AF455" s="3"/>
      <c r="AG455" s="3"/>
      <c r="AH455" s="3"/>
    </row>
    <row r="456" spans="1:34" x14ac:dyDescent="0.3">
      <c r="A456" s="11" t="s">
        <v>1001</v>
      </c>
      <c r="B456" s="12" t="s">
        <v>1002</v>
      </c>
      <c r="C456" s="12" t="s">
        <v>931</v>
      </c>
      <c r="D456" s="13" t="s">
        <v>842</v>
      </c>
      <c r="E456" s="6">
        <v>2008</v>
      </c>
      <c r="F456" s="3">
        <v>670493</v>
      </c>
      <c r="G456" s="3">
        <v>27</v>
      </c>
      <c r="H456" s="3" t="s">
        <v>5526</v>
      </c>
      <c r="I456" s="3" t="s">
        <v>889</v>
      </c>
      <c r="J456" s="3" t="s">
        <v>844</v>
      </c>
      <c r="K456" s="3" t="s">
        <v>890</v>
      </c>
      <c r="L456" s="3">
        <v>0.16800000000000001</v>
      </c>
      <c r="M456" s="3">
        <v>3.7400000000000003E-2</v>
      </c>
      <c r="N456" s="3">
        <v>2</v>
      </c>
      <c r="O456" s="8">
        <v>-26454</v>
      </c>
      <c r="P456" s="3">
        <v>1</v>
      </c>
      <c r="Q456" s="3">
        <v>4.58E-2</v>
      </c>
      <c r="R456" s="3">
        <v>0.96599999999999997</v>
      </c>
      <c r="S456" s="3">
        <v>0.748</v>
      </c>
      <c r="T456" s="3">
        <v>0.109</v>
      </c>
      <c r="U456" s="3">
        <v>3.5900000000000001E-2</v>
      </c>
      <c r="V456" s="8">
        <v>66563</v>
      </c>
      <c r="W456" s="3">
        <v>4</v>
      </c>
      <c r="X456" s="3" t="str">
        <f t="shared" si="32"/>
        <v>-SADNE-</v>
      </c>
      <c r="Y456" s="3" t="str">
        <f t="shared" si="33"/>
        <v>-SLOWSS-</v>
      </c>
      <c r="Z456" s="4" t="str">
        <f t="shared" si="34"/>
        <v>{"couname":"Midnight Souls Still Remain","img":"https://i.scdn.co/image/ab67616d0000b273fb1ed9d614dc2fa4d5ead013","pty":"27","artist":"M83","genres":"indietronica","duration":"670493","spotId":"3PB6vtx2qvTAawlPbyYw7v","Items":["-SADNE-","-SLOWSS-","","","GN_FrenchElectro"]},</v>
      </c>
      <c r="AA456" s="5" t="s">
        <v>6100</v>
      </c>
      <c r="AB456" s="3" t="str">
        <f t="shared" si="35"/>
        <v>["-SADNE-","-SLOWSS-","","","GN_FrenchElectro"]</v>
      </c>
      <c r="AC456" s="3" t="str">
        <f>_xlfn.XLOOKUP(A456,Album!A:A,Album!J:J)</f>
        <v>https://i.scdn.co/image/ab67616d0000b273fb1ed9d614dc2fa4d5ead013</v>
      </c>
      <c r="AD456" s="3"/>
      <c r="AE456" s="3"/>
      <c r="AF456" s="3"/>
      <c r="AG456" s="3"/>
      <c r="AH456" s="3"/>
    </row>
    <row r="457" spans="1:34" x14ac:dyDescent="0.3">
      <c r="A457" s="11" t="s">
        <v>1199</v>
      </c>
      <c r="B457" s="12" t="s">
        <v>5524</v>
      </c>
      <c r="C457" s="12" t="s">
        <v>1022</v>
      </c>
      <c r="D457" s="13" t="s">
        <v>3691</v>
      </c>
      <c r="E457" s="6">
        <v>40504</v>
      </c>
      <c r="F457" s="3">
        <v>241053</v>
      </c>
      <c r="G457" s="3">
        <v>27</v>
      </c>
      <c r="H457" s="3" t="s">
        <v>5525</v>
      </c>
      <c r="I457" s="3" t="s">
        <v>1013</v>
      </c>
      <c r="J457" s="3" t="s">
        <v>1019</v>
      </c>
      <c r="K457" s="3" t="s">
        <v>83</v>
      </c>
      <c r="L457" s="3">
        <v>0.67600000000000005</v>
      </c>
      <c r="M457" s="3">
        <v>0.64300000000000002</v>
      </c>
      <c r="N457" s="3">
        <v>0</v>
      </c>
      <c r="O457" s="8">
        <v>-6394</v>
      </c>
      <c r="P457" s="3">
        <v>0</v>
      </c>
      <c r="Q457" s="3">
        <v>5.8000000000000003E-2</v>
      </c>
      <c r="R457" s="3">
        <v>0.151</v>
      </c>
      <c r="S457" s="3">
        <v>0</v>
      </c>
      <c r="T457" s="3">
        <v>0.14000000000000001</v>
      </c>
      <c r="U457" s="3">
        <v>0.371</v>
      </c>
      <c r="V457" s="8">
        <v>125989</v>
      </c>
      <c r="W457" s="3">
        <v>4</v>
      </c>
      <c r="X457" s="3" t="str">
        <f t="shared" si="32"/>
        <v>-SADNE-</v>
      </c>
      <c r="Y457" s="3" t="str">
        <f t="shared" si="33"/>
        <v>-ENERGY-</v>
      </c>
      <c r="Z457" s="4" t="str">
        <f t="shared" si="34"/>
        <v>{"couname":"One Love","img":"https://i.scdn.co/image/ab67616d0000b273f45c50e7cff5f2376c1e36ea","pty":"27","artist":"David Guetta, Estelle","genres":"edm,dance","duration":"241053","spotId":"4tl0gTWQPRjCRrAAdDqyLU","Items":["-SADNE-","-ENERGY-","","","GN_FrenchElectro"]},</v>
      </c>
      <c r="AA457" s="5" t="s">
        <v>6100</v>
      </c>
      <c r="AB457" s="3" t="str">
        <f t="shared" si="35"/>
        <v>["-SADNE-","-ENERGY-","","","GN_FrenchElectro"]</v>
      </c>
      <c r="AC457" s="3" t="str">
        <f>_xlfn.XLOOKUP(A457,Album!A:A,Album!J:J)</f>
        <v>https://i.scdn.co/image/ab67616d0000b273f45c50e7cff5f2376c1e36ea</v>
      </c>
      <c r="AD457" s="3"/>
      <c r="AE457" s="3"/>
      <c r="AF457" s="3"/>
      <c r="AG457" s="3"/>
      <c r="AH457" s="3"/>
    </row>
    <row r="458" spans="1:34" x14ac:dyDescent="0.3">
      <c r="A458" s="11" t="s">
        <v>1295</v>
      </c>
      <c r="B458" s="12" t="s">
        <v>1296</v>
      </c>
      <c r="C458" s="12" t="s">
        <v>1296</v>
      </c>
      <c r="D458" s="13" t="s">
        <v>1206</v>
      </c>
      <c r="E458" s="6">
        <v>41802</v>
      </c>
      <c r="F458" s="3">
        <v>196832</v>
      </c>
      <c r="G458" s="3">
        <v>27</v>
      </c>
      <c r="H458" s="3" t="s">
        <v>5523</v>
      </c>
      <c r="I458" s="3" t="s">
        <v>1207</v>
      </c>
      <c r="J458" s="3" t="s">
        <v>1208</v>
      </c>
      <c r="K458" s="3" t="s">
        <v>1277</v>
      </c>
      <c r="L458" s="3">
        <v>0.60899999999999999</v>
      </c>
      <c r="M458" s="3">
        <v>0.874</v>
      </c>
      <c r="N458" s="3">
        <v>4</v>
      </c>
      <c r="O458" s="8">
        <v>-6417</v>
      </c>
      <c r="P458" s="3">
        <v>0</v>
      </c>
      <c r="Q458" s="3">
        <v>3.44E-2</v>
      </c>
      <c r="R458" s="3">
        <v>5.44E-4</v>
      </c>
      <c r="S458" s="3">
        <v>0.81299999999999994</v>
      </c>
      <c r="T458" s="3">
        <v>0.108</v>
      </c>
      <c r="U458" s="3">
        <v>0.58399999999999996</v>
      </c>
      <c r="V458" s="8">
        <v>125002</v>
      </c>
      <c r="W458" s="3">
        <v>4</v>
      </c>
      <c r="X458" s="3" t="str">
        <f t="shared" si="32"/>
        <v>-HAPPY-</v>
      </c>
      <c r="Y458" s="3" t="str">
        <f t="shared" si="33"/>
        <v>-ENERGY-</v>
      </c>
      <c r="Z458" s="4" t="str">
        <f t="shared" si="34"/>
        <v>{"couname":"For You","img":"https://i.scdn.co/image/ab67616d0000b273072d71551a0758118a348fc6","pty":"27","artist":"Madeon","genres":"edm,house francés","duration":"196832","spotId":"3EfOzBsC8in9ZYuD3NR2v9","Items":["-HAPPY-","-ENERGY-","","","GN_FrenchElectro"]},</v>
      </c>
      <c r="AA458" s="5" t="s">
        <v>6100</v>
      </c>
      <c r="AB458" s="3" t="str">
        <f t="shared" si="35"/>
        <v>["-HAPPY-","-ENERGY-","","","GN_FrenchElectro"]</v>
      </c>
      <c r="AC458" s="3" t="str">
        <f>_xlfn.XLOOKUP(A458,Album!A:A,Album!J:J)</f>
        <v>https://i.scdn.co/image/ab67616d0000b273072d71551a0758118a348fc6</v>
      </c>
      <c r="AD458" s="3"/>
      <c r="AE458" s="3"/>
      <c r="AF458" s="3"/>
      <c r="AG458" s="3"/>
      <c r="AH458" s="3"/>
    </row>
    <row r="459" spans="1:34" x14ac:dyDescent="0.3">
      <c r="A459" s="11" t="s">
        <v>1441</v>
      </c>
      <c r="B459" s="12" t="s">
        <v>1442</v>
      </c>
      <c r="C459" s="12" t="s">
        <v>1367</v>
      </c>
      <c r="D459" s="13" t="s">
        <v>1345</v>
      </c>
      <c r="E459" s="6">
        <v>40091</v>
      </c>
      <c r="F459" s="3">
        <v>251360</v>
      </c>
      <c r="G459" s="3">
        <v>27</v>
      </c>
      <c r="H459" s="3" t="s">
        <v>5522</v>
      </c>
      <c r="I459" s="3" t="s">
        <v>1336</v>
      </c>
      <c r="J459" s="3" t="s">
        <v>1337</v>
      </c>
      <c r="K459" s="3" t="s">
        <v>1341</v>
      </c>
      <c r="L459" s="3">
        <v>0.71799999999999997</v>
      </c>
      <c r="M459" s="3">
        <v>0.46600000000000003</v>
      </c>
      <c r="N459" s="3">
        <v>5</v>
      </c>
      <c r="O459" s="8">
        <v>-10869</v>
      </c>
      <c r="P459" s="3">
        <v>0</v>
      </c>
      <c r="Q459" s="3">
        <v>3.4099999999999998E-2</v>
      </c>
      <c r="R459" s="3">
        <v>0.56000000000000005</v>
      </c>
      <c r="S459" s="3">
        <v>0.92</v>
      </c>
      <c r="T459" s="3">
        <v>6.4199999999999993E-2</v>
      </c>
      <c r="U459" s="3">
        <v>0.27900000000000003</v>
      </c>
      <c r="V459" s="8">
        <v>119983</v>
      </c>
      <c r="W459" s="3">
        <v>4</v>
      </c>
      <c r="X459" s="3" t="str">
        <f t="shared" si="32"/>
        <v>-SADNE-</v>
      </c>
      <c r="Y459" s="3" t="str">
        <f t="shared" si="33"/>
        <v>-ENERGY-</v>
      </c>
      <c r="Z459" s="4" t="str">
        <f t="shared" si="34"/>
        <v>{"couname":"You Can Tell It to Everybody","img":"https://i.scdn.co/image/ab67616d0000b2736b0efd35ef810103180cf54c","pty":"27","artist":"Air","genres":"trip hop,downtempo,house francés","duration":"251360","spotId":"3QZVQXOelrTfabDg4IdRJk","Items":["-SADNE-","-ENERGY-","","","GN_FrenchElectro"]},</v>
      </c>
      <c r="AA459" s="5" t="s">
        <v>6100</v>
      </c>
      <c r="AB459" s="3" t="str">
        <f t="shared" si="35"/>
        <v>["-SADNE-","-ENERGY-","","","GN_FrenchElectro"]</v>
      </c>
      <c r="AC459" s="3" t="str">
        <f>_xlfn.XLOOKUP(A459,Album!A:A,Album!J:J)</f>
        <v>https://i.scdn.co/image/ab67616d0000b2736b0efd35ef810103180cf54c</v>
      </c>
      <c r="AD459" s="3"/>
      <c r="AE459" s="3"/>
      <c r="AF459" s="3"/>
      <c r="AG459" s="3"/>
      <c r="AH459" s="3"/>
    </row>
    <row r="460" spans="1:34" x14ac:dyDescent="0.3">
      <c r="A460" s="11" t="s">
        <v>1631</v>
      </c>
      <c r="B460" s="12" t="s">
        <v>1632</v>
      </c>
      <c r="C460" s="12" t="s">
        <v>1632</v>
      </c>
      <c r="D460" s="13" t="s">
        <v>1633</v>
      </c>
      <c r="E460" s="6">
        <v>45604</v>
      </c>
      <c r="F460" s="3">
        <v>218346</v>
      </c>
      <c r="G460" s="3">
        <v>27</v>
      </c>
      <c r="H460" s="3" t="s">
        <v>5521</v>
      </c>
      <c r="I460" s="3" t="s">
        <v>1463</v>
      </c>
      <c r="J460" s="3"/>
      <c r="K460" s="3" t="s">
        <v>1634</v>
      </c>
      <c r="L460" s="3">
        <v>0.68500000000000005</v>
      </c>
      <c r="M460" s="3">
        <v>0.86799999999999999</v>
      </c>
      <c r="N460" s="3">
        <v>7</v>
      </c>
      <c r="O460" s="8">
        <v>-7415</v>
      </c>
      <c r="P460" s="3">
        <v>1</v>
      </c>
      <c r="Q460" s="3">
        <v>3.9699999999999999E-2</v>
      </c>
      <c r="R460" s="3">
        <v>2.0799999999999999E-2</v>
      </c>
      <c r="S460" s="3">
        <v>1.23E-3</v>
      </c>
      <c r="T460" s="3">
        <v>0.17</v>
      </c>
      <c r="U460" s="3">
        <v>0.89800000000000002</v>
      </c>
      <c r="V460" s="8">
        <v>147031</v>
      </c>
      <c r="W460" s="3">
        <v>4</v>
      </c>
      <c r="X460" s="3" t="str">
        <f t="shared" si="32"/>
        <v>-HAPPY-</v>
      </c>
      <c r="Y460" s="3" t="str">
        <f t="shared" si="33"/>
        <v>-ENERGY-</v>
      </c>
      <c r="Z460" s="4" t="str">
        <f t="shared" si="34"/>
        <v>{"couname":"Finding My Way","img":"https://i.scdn.co/image/ab67616d0000b273c75e08b09b59ab4e524ba1f0","pty":"27","artist":"Shara Rose","genres":"","duration":"218346","spotId":"6GwKMtW7nX6W8i36myS7TY","Items":["-HAPPY-","-ENERGY-","","","GN_FrenchElectro"]},</v>
      </c>
      <c r="AA460" s="5" t="s">
        <v>6100</v>
      </c>
      <c r="AB460" s="3" t="str">
        <f t="shared" si="35"/>
        <v>["-HAPPY-","-ENERGY-","","","GN_FrenchElectro"]</v>
      </c>
      <c r="AC460" s="3" t="str">
        <f>_xlfn.XLOOKUP(A460,Album!A:A,Album!J:J)</f>
        <v>https://i.scdn.co/image/ab67616d0000b273c75e08b09b59ab4e524ba1f0</v>
      </c>
      <c r="AD460" s="3"/>
      <c r="AE460" s="3"/>
      <c r="AF460" s="3"/>
      <c r="AG460" s="3"/>
      <c r="AH460" s="3"/>
    </row>
    <row r="461" spans="1:34" x14ac:dyDescent="0.3">
      <c r="A461" s="11" t="s">
        <v>1667</v>
      </c>
      <c r="B461" s="12" t="s">
        <v>1668</v>
      </c>
      <c r="C461" s="12" t="s">
        <v>1655</v>
      </c>
      <c r="D461" s="13" t="s">
        <v>1649</v>
      </c>
      <c r="E461" s="6">
        <v>41275</v>
      </c>
      <c r="F461" s="3">
        <v>179133</v>
      </c>
      <c r="G461" s="3">
        <v>27</v>
      </c>
      <c r="H461" s="3" t="s">
        <v>5520</v>
      </c>
      <c r="I461" s="3" t="s">
        <v>1650</v>
      </c>
      <c r="J461" s="3" t="s">
        <v>1651</v>
      </c>
      <c r="K461" s="3" t="s">
        <v>1656</v>
      </c>
      <c r="L461" s="3">
        <v>0.59399999999999997</v>
      </c>
      <c r="M461" s="3">
        <v>0.79800000000000004</v>
      </c>
      <c r="N461" s="3">
        <v>9</v>
      </c>
      <c r="O461" s="8">
        <v>-5584</v>
      </c>
      <c r="P461" s="3">
        <v>0</v>
      </c>
      <c r="Q461" s="3">
        <v>3.0499999999999999E-2</v>
      </c>
      <c r="R461" s="3">
        <v>1.3899999999999999E-2</v>
      </c>
      <c r="S461" s="3">
        <v>1.65E-3</v>
      </c>
      <c r="T461" s="3">
        <v>0.35099999999999998</v>
      </c>
      <c r="U461" s="3">
        <v>0.33500000000000002</v>
      </c>
      <c r="V461" s="8">
        <v>117134</v>
      </c>
      <c r="W461" s="3">
        <v>4</v>
      </c>
      <c r="X461" s="3" t="str">
        <f t="shared" si="32"/>
        <v>-SADNE-</v>
      </c>
      <c r="Y461" s="3" t="str">
        <f t="shared" si="33"/>
        <v>-ENERGY-</v>
      </c>
      <c r="Z461" s="4" t="str">
        <f t="shared" si="34"/>
        <v>{"couname":"Endless","img":"https://i.scdn.co/image/ab67616d0000b2731c08bca073e89ae32c68ffaa","pty":"27","artist":"Kavinsky","genres":"synthwave,house francés","duration":"179133","spotId":"1VVxgl7Xr1W7qsMe9yjsWx","Items":["-SADNE-","-ENERGY-","","","GN_FrenchElectro"]},</v>
      </c>
      <c r="AA461" s="5" t="s">
        <v>6100</v>
      </c>
      <c r="AB461" s="3" t="str">
        <f t="shared" si="35"/>
        <v>["-SADNE-","-ENERGY-","","","GN_FrenchElectro"]</v>
      </c>
      <c r="AC461" s="3" t="str">
        <f>_xlfn.XLOOKUP(A461,Album!A:A,Album!J:J)</f>
        <v>https://i.scdn.co/image/ab67616d0000b2731c08bca073e89ae32c68ffaa</v>
      </c>
      <c r="AD461" s="3"/>
      <c r="AE461" s="3"/>
      <c r="AF461" s="3"/>
      <c r="AG461" s="3"/>
      <c r="AH461" s="3"/>
    </row>
    <row r="462" spans="1:34" x14ac:dyDescent="0.3">
      <c r="A462" s="11" t="s">
        <v>2027</v>
      </c>
      <c r="B462" s="12" t="s">
        <v>2028</v>
      </c>
      <c r="C462" s="12" t="s">
        <v>2001</v>
      </c>
      <c r="D462" s="13" t="s">
        <v>1993</v>
      </c>
      <c r="E462" s="6">
        <v>44078</v>
      </c>
      <c r="F462" s="3">
        <v>178317</v>
      </c>
      <c r="G462" s="3">
        <v>27</v>
      </c>
      <c r="H462" s="3" t="s">
        <v>5519</v>
      </c>
      <c r="I462" s="3" t="s">
        <v>1983</v>
      </c>
      <c r="J462" s="3" t="s">
        <v>1994</v>
      </c>
      <c r="K462" s="3" t="s">
        <v>2002</v>
      </c>
      <c r="L462" s="3">
        <v>0.84199999999999997</v>
      </c>
      <c r="M462" s="3">
        <v>0.78600000000000003</v>
      </c>
      <c r="N462" s="3">
        <v>11</v>
      </c>
      <c r="O462" s="8">
        <v>-7018</v>
      </c>
      <c r="P462" s="3">
        <v>0</v>
      </c>
      <c r="Q462" s="3">
        <v>6.6500000000000004E-2</v>
      </c>
      <c r="R462" s="3">
        <v>7.2700000000000001E-2</v>
      </c>
      <c r="S462" s="3">
        <v>1.06E-2</v>
      </c>
      <c r="T462" s="3">
        <v>2.3E-2</v>
      </c>
      <c r="U462" s="3">
        <v>0.89200000000000002</v>
      </c>
      <c r="V462" s="8">
        <v>126027</v>
      </c>
      <c r="W462" s="3">
        <v>4</v>
      </c>
      <c r="X462" s="3" t="str">
        <f t="shared" si="32"/>
        <v>-HAPPY-</v>
      </c>
      <c r="Y462" s="3" t="str">
        <f t="shared" si="33"/>
        <v>-ENERGY-</v>
      </c>
      <c r="Z462" s="4" t="str">
        <f t="shared" si="34"/>
        <v>{"couname":"Karaté","img":"https://i.scdn.co/image/ab67616d0000b273f44093d8178aec0848ab6e5a","pty":"27","artist":"Yelle","genres":"pop francés,house francés,electroclash,electropop","duration":"178317","spotId":"3OQGpcCuGCIJXGHy0NEVPS","Items":["-HAPPY-","-ENERGY-","","","GN_FrenchElectro"]},</v>
      </c>
      <c r="AA462" s="5" t="s">
        <v>6100</v>
      </c>
      <c r="AB462" s="3" t="str">
        <f t="shared" si="35"/>
        <v>["-HAPPY-","-ENERGY-","","","GN_FrenchElectro"]</v>
      </c>
      <c r="AC462" s="3" t="str">
        <f>_xlfn.XLOOKUP(A462,Album!A:A,Album!J:J)</f>
        <v>https://i.scdn.co/image/ab67616d0000b273f44093d8178aec0848ab6e5a</v>
      </c>
      <c r="AD462" s="3"/>
      <c r="AE462" s="3"/>
      <c r="AF462" s="3"/>
      <c r="AG462" s="3"/>
      <c r="AH462" s="3"/>
    </row>
    <row r="463" spans="1:34" x14ac:dyDescent="0.3">
      <c r="A463" s="11" t="s">
        <v>2035</v>
      </c>
      <c r="B463" s="12" t="s">
        <v>2036</v>
      </c>
      <c r="C463" s="12" t="s">
        <v>2036</v>
      </c>
      <c r="D463" s="13" t="s">
        <v>1993</v>
      </c>
      <c r="E463" s="6">
        <v>41908</v>
      </c>
      <c r="F463" s="3">
        <v>230466</v>
      </c>
      <c r="G463" s="3">
        <v>27</v>
      </c>
      <c r="H463" s="3" t="s">
        <v>5518</v>
      </c>
      <c r="I463" s="3" t="s">
        <v>1983</v>
      </c>
      <c r="J463" s="3" t="s">
        <v>1994</v>
      </c>
      <c r="K463" s="3" t="s">
        <v>2037</v>
      </c>
      <c r="L463" s="3">
        <v>0.82299999999999995</v>
      </c>
      <c r="M463" s="3">
        <v>0.50600000000000001</v>
      </c>
      <c r="N463" s="3">
        <v>0</v>
      </c>
      <c r="O463" s="8">
        <v>-5516</v>
      </c>
      <c r="P463" s="3">
        <v>1</v>
      </c>
      <c r="Q463" s="3">
        <v>9.6600000000000005E-2</v>
      </c>
      <c r="R463" s="3">
        <v>9.8599999999999993E-2</v>
      </c>
      <c r="S463" s="3">
        <v>5.0299999999999997E-4</v>
      </c>
      <c r="T463" s="3">
        <v>0.57699999999999996</v>
      </c>
      <c r="U463" s="3">
        <v>0.51200000000000001</v>
      </c>
      <c r="V463" s="8">
        <v>126052</v>
      </c>
      <c r="W463" s="3">
        <v>4</v>
      </c>
      <c r="X463" s="3" t="str">
        <f t="shared" si="32"/>
        <v>-HAPPY-</v>
      </c>
      <c r="Y463" s="3" t="str">
        <f t="shared" si="33"/>
        <v>-ENERGY-</v>
      </c>
      <c r="Z463" s="4" t="str">
        <f t="shared" si="34"/>
        <v>{"couname":"Complètement fou","img":"https://i.scdn.co/image/ab67616d0000b273a84efe4704b8869e487cebff","pty":"27","artist":"Yelle","genres":"pop francés,house francés,electroclash,electropop","duration":"230466","spotId":"3rfTe2727kQq0XgI9Z2W5v","Items":["-HAPPY-","-ENERGY-","","","GN_FrenchElectro"]},</v>
      </c>
      <c r="AA463" s="5" t="s">
        <v>6100</v>
      </c>
      <c r="AB463" s="3" t="str">
        <f t="shared" si="35"/>
        <v>["-HAPPY-","-ENERGY-","","","GN_FrenchElectro"]</v>
      </c>
      <c r="AC463" s="3" t="str">
        <f>_xlfn.XLOOKUP(A463,Album!A:A,Album!J:J)</f>
        <v>https://i.scdn.co/image/ab67616d0000b273a84efe4704b8869e487cebff</v>
      </c>
      <c r="AD463" s="3"/>
      <c r="AE463" s="3"/>
      <c r="AF463" s="3"/>
      <c r="AG463" s="3"/>
      <c r="AH463" s="3"/>
    </row>
    <row r="464" spans="1:34" x14ac:dyDescent="0.3">
      <c r="A464" s="11" t="s">
        <v>153</v>
      </c>
      <c r="B464" s="12" t="s">
        <v>154</v>
      </c>
      <c r="C464" s="12" t="s">
        <v>146</v>
      </c>
      <c r="D464" s="13" t="s">
        <v>18</v>
      </c>
      <c r="E464" s="6">
        <v>42244</v>
      </c>
      <c r="F464" s="3">
        <v>261186</v>
      </c>
      <c r="G464" s="3">
        <v>26</v>
      </c>
      <c r="H464" s="3" t="s">
        <v>5517</v>
      </c>
      <c r="I464" s="3" t="s">
        <v>102</v>
      </c>
      <c r="J464" s="3" t="s">
        <v>103</v>
      </c>
      <c r="K464" s="3" t="s">
        <v>104</v>
      </c>
      <c r="L464" s="3">
        <v>0.63300000000000001</v>
      </c>
      <c r="M464" s="3">
        <v>0.95599999999999996</v>
      </c>
      <c r="N464" s="3">
        <v>4</v>
      </c>
      <c r="O464" s="8">
        <v>-7375</v>
      </c>
      <c r="P464" s="3">
        <v>0</v>
      </c>
      <c r="Q464" s="3">
        <v>5.3999999999999999E-2</v>
      </c>
      <c r="R464" s="3">
        <v>4.9200000000000003E-4</v>
      </c>
      <c r="S464" s="3">
        <v>0.66</v>
      </c>
      <c r="T464" s="3">
        <v>0.435</v>
      </c>
      <c r="U464" s="3">
        <v>0.80300000000000005</v>
      </c>
      <c r="V464" s="8">
        <v>114198</v>
      </c>
      <c r="W464" s="3">
        <v>4</v>
      </c>
      <c r="X464" s="3" t="str">
        <f t="shared" si="32"/>
        <v>-HAPPY-</v>
      </c>
      <c r="Y464" s="3" t="str">
        <f t="shared" si="33"/>
        <v>-ENERGY-</v>
      </c>
      <c r="Z464" s="4" t="str">
        <f t="shared" si="34"/>
        <v>{"couname":"Zoolookologie","img":"https://i.scdn.co/image/ab67616d0000b2731e04e7479f1714b14987e599","pty":"26","artist":"Jean-Michel Jarre","genres":"new age,electrónica,space music","duration":"261186","spotId":"0zGodtZuJZiiGDT2UZKPt9","Items":["-HAPPY-","-ENERGY-","","","GN_FrenchElectro"]},</v>
      </c>
      <c r="AA464" s="5" t="s">
        <v>6100</v>
      </c>
      <c r="AB464" s="3" t="str">
        <f t="shared" si="35"/>
        <v>["-HAPPY-","-ENERGY-","","","GN_FrenchElectro"]</v>
      </c>
      <c r="AC464" s="3" t="str">
        <f>_xlfn.XLOOKUP(A464,Album!A:A,Album!J:J)</f>
        <v>https://i.scdn.co/image/ab67616d0000b2731e04e7479f1714b14987e599</v>
      </c>
      <c r="AD464" s="3"/>
      <c r="AE464" s="3"/>
      <c r="AF464" s="3"/>
      <c r="AG464" s="3"/>
      <c r="AH464" s="3"/>
    </row>
    <row r="465" spans="1:34" x14ac:dyDescent="0.3">
      <c r="A465" s="11" t="s">
        <v>226</v>
      </c>
      <c r="B465" s="12" t="s">
        <v>227</v>
      </c>
      <c r="C465" s="12" t="s">
        <v>221</v>
      </c>
      <c r="D465" s="13" t="s">
        <v>18</v>
      </c>
      <c r="E465" s="6">
        <v>42706</v>
      </c>
      <c r="F465" s="3">
        <v>256426</v>
      </c>
      <c r="G465" s="3">
        <v>26</v>
      </c>
      <c r="H465" s="3" t="s">
        <v>5516</v>
      </c>
      <c r="I465" s="3" t="s">
        <v>102</v>
      </c>
      <c r="J465" s="3" t="s">
        <v>103</v>
      </c>
      <c r="K465" s="3" t="s">
        <v>104</v>
      </c>
      <c r="L465" s="3">
        <v>0.622</v>
      </c>
      <c r="M465" s="3">
        <v>0.85599999999999998</v>
      </c>
      <c r="N465" s="3">
        <v>5</v>
      </c>
      <c r="O465" s="8">
        <v>-7224</v>
      </c>
      <c r="P465" s="3">
        <v>0</v>
      </c>
      <c r="Q465" s="3">
        <v>3.4599999999999999E-2</v>
      </c>
      <c r="R465" s="3">
        <v>2.07E-2</v>
      </c>
      <c r="S465" s="3">
        <v>0.89900000000000002</v>
      </c>
      <c r="T465" s="3">
        <v>0.60199999999999998</v>
      </c>
      <c r="U465" s="3">
        <v>0.17399999999999999</v>
      </c>
      <c r="V465" s="8">
        <v>141034</v>
      </c>
      <c r="W465" s="3">
        <v>4</v>
      </c>
      <c r="X465" s="3" t="str">
        <f t="shared" si="32"/>
        <v>-SADNE-</v>
      </c>
      <c r="Y465" s="3" t="str">
        <f t="shared" si="33"/>
        <v>-ENERGY-</v>
      </c>
      <c r="Z465" s="4" t="str">
        <f t="shared" si="34"/>
        <v>{"couname":"Oxygene, Pt. 10","img":"https://i.scdn.co/image/ab67616d0000b273f0ebde6d9dd82a4f12462245","pty":"26","artist":"Jean-Michel Jarre","genres":"new age,electrónica,space music","duration":"256426","spotId":"0Pj5O8kcB2XHuzqm7AlzNs","Items":["-SADNE-","-ENERGY-","","","GN_FrenchElectro"]},</v>
      </c>
      <c r="AA465" s="5" t="s">
        <v>6100</v>
      </c>
      <c r="AB465" s="3" t="str">
        <f t="shared" si="35"/>
        <v>["-SADNE-","-ENERGY-","","","GN_FrenchElectro"]</v>
      </c>
      <c r="AC465" s="3" t="str">
        <f>_xlfn.XLOOKUP(A465,Album!A:A,Album!J:J)</f>
        <v>https://i.scdn.co/image/ab67616d0000b273f0ebde6d9dd82a4f12462245</v>
      </c>
      <c r="AD465" s="3"/>
      <c r="AE465" s="3"/>
      <c r="AF465" s="3"/>
      <c r="AG465" s="3"/>
      <c r="AH465" s="3"/>
    </row>
    <row r="466" spans="1:34" x14ac:dyDescent="0.3">
      <c r="A466" s="11" t="s">
        <v>243</v>
      </c>
      <c r="B466" s="12" t="s">
        <v>244</v>
      </c>
      <c r="C466" s="12" t="s">
        <v>236</v>
      </c>
      <c r="D466" s="13" t="s">
        <v>2255</v>
      </c>
      <c r="E466" s="6">
        <v>42293</v>
      </c>
      <c r="F466" s="3">
        <v>189320</v>
      </c>
      <c r="G466" s="3">
        <v>26</v>
      </c>
      <c r="H466" s="3" t="s">
        <v>5515</v>
      </c>
      <c r="I466" s="3" t="s">
        <v>102</v>
      </c>
      <c r="J466" s="3" t="s">
        <v>103</v>
      </c>
      <c r="K466" s="3" t="s">
        <v>84</v>
      </c>
      <c r="L466" s="3">
        <v>0.73899999999999999</v>
      </c>
      <c r="M466" s="3">
        <v>0.57599999999999996</v>
      </c>
      <c r="N466" s="3">
        <v>5</v>
      </c>
      <c r="O466" s="8">
        <v>-9317</v>
      </c>
      <c r="P466" s="3">
        <v>1</v>
      </c>
      <c r="Q466" s="3">
        <v>6.9599999999999995E-2</v>
      </c>
      <c r="R466" s="3">
        <v>0.125</v>
      </c>
      <c r="S466" s="3">
        <v>0.88500000000000001</v>
      </c>
      <c r="T466" s="3">
        <v>0.48799999999999999</v>
      </c>
      <c r="U466" s="3">
        <v>0.36299999999999999</v>
      </c>
      <c r="V466" s="8">
        <v>121983</v>
      </c>
      <c r="W466" s="3">
        <v>4</v>
      </c>
      <c r="X466" s="3" t="str">
        <f t="shared" si="32"/>
        <v>-HAPPY-</v>
      </c>
      <c r="Y466" s="3" t="str">
        <f t="shared" si="33"/>
        <v>-ENERGY-</v>
      </c>
      <c r="Z466" s="4" t="str">
        <f t="shared" si="34"/>
        <v>{"couname":"Automatic, Pt. 1","img":"https://i.scdn.co/image/ab67616d0000b27376987a71d6639ea8f44b5c09","pty":"26","artist":"Jean-Michel Jarre, Vincent Clarke","genres":"new age,electrónica,space music","duration":"189320","spotId":"1HwMjMwGaUpC5kWWgfKwul","Items":["-HAPPY-","-ENERGY-","","","GN_FrenchElectro"]},</v>
      </c>
      <c r="AA466" s="5" t="s">
        <v>6100</v>
      </c>
      <c r="AB466" s="3" t="str">
        <f t="shared" si="35"/>
        <v>["-HAPPY-","-ENERGY-","","","GN_FrenchElectro"]</v>
      </c>
      <c r="AC466" s="3" t="str">
        <f>_xlfn.XLOOKUP(A466,Album!A:A,Album!J:J)</f>
        <v>https://i.scdn.co/image/ab67616d0000b27376987a71d6639ea8f44b5c09</v>
      </c>
      <c r="AD466" s="3"/>
      <c r="AE466" s="3"/>
      <c r="AF466" s="3"/>
      <c r="AG466" s="3"/>
      <c r="AH466" s="3"/>
    </row>
    <row r="467" spans="1:34" x14ac:dyDescent="0.3">
      <c r="A467" s="11" t="s">
        <v>319</v>
      </c>
      <c r="B467" s="12" t="s">
        <v>320</v>
      </c>
      <c r="C467" s="12" t="s">
        <v>280</v>
      </c>
      <c r="D467" s="13" t="s">
        <v>2363</v>
      </c>
      <c r="E467" s="6">
        <v>42496</v>
      </c>
      <c r="F467" s="3">
        <v>294000</v>
      </c>
      <c r="G467" s="3">
        <v>26</v>
      </c>
      <c r="H467" s="3" t="s">
        <v>5514</v>
      </c>
      <c r="I467" s="3" t="s">
        <v>102</v>
      </c>
      <c r="J467" s="3" t="s">
        <v>103</v>
      </c>
      <c r="K467" s="3" t="s">
        <v>84</v>
      </c>
      <c r="L467" s="3">
        <v>0.63900000000000001</v>
      </c>
      <c r="M467" s="3">
        <v>0.88900000000000001</v>
      </c>
      <c r="N467" s="3">
        <v>9</v>
      </c>
      <c r="O467" s="8">
        <v>-4396</v>
      </c>
      <c r="P467" s="3">
        <v>0</v>
      </c>
      <c r="Q467" s="3">
        <v>2.87E-2</v>
      </c>
      <c r="R467" s="3">
        <v>2.2100000000000002E-3</v>
      </c>
      <c r="S467" s="3">
        <v>3.4700000000000002E-2</v>
      </c>
      <c r="T467" s="3">
        <v>0.42399999999999999</v>
      </c>
      <c r="U467" s="3">
        <v>0.66300000000000003</v>
      </c>
      <c r="V467" s="8">
        <v>126</v>
      </c>
      <c r="W467" s="3">
        <v>4</v>
      </c>
      <c r="X467" s="3" t="str">
        <f t="shared" si="32"/>
        <v>-HAPPY-</v>
      </c>
      <c r="Y467" s="3" t="str">
        <f t="shared" si="33"/>
        <v>-ENERGY-</v>
      </c>
      <c r="Z467" s="4" t="str">
        <f t="shared" si="34"/>
        <v>{"couname":"Swipe to the Right","img":"https://i.scdn.co/image/ab67616d0000b273359a423dd08ed414400e0cb7","pty":"26","artist":"Jean-Michel Jarre, Cyndi Lauper","genres":"new age,electrónica,space music","duration":"294000","spotId":"2N9Es6fUoyHgyqoOFwj96m","Items":["-HAPPY-","-ENERGY-","","","GN_FrenchElectro"]},</v>
      </c>
      <c r="AA467" s="5" t="s">
        <v>6100</v>
      </c>
      <c r="AB467" s="3" t="str">
        <f t="shared" si="35"/>
        <v>["-HAPPY-","-ENERGY-","","","GN_FrenchElectro"]</v>
      </c>
      <c r="AC467" s="3" t="str">
        <f>_xlfn.XLOOKUP(A467,Album!A:A,Album!J:J)</f>
        <v>https://i.scdn.co/image/ab67616d0000b273359a423dd08ed414400e0cb7</v>
      </c>
      <c r="AD467" s="3"/>
      <c r="AE467" s="3"/>
      <c r="AF467" s="3"/>
      <c r="AG467" s="3"/>
      <c r="AH467" s="3"/>
    </row>
    <row r="468" spans="1:34" x14ac:dyDescent="0.3">
      <c r="A468" s="11" t="s">
        <v>415</v>
      </c>
      <c r="B468" s="12" t="s">
        <v>5512</v>
      </c>
      <c r="C468" s="12" t="s">
        <v>417</v>
      </c>
      <c r="D468" s="13" t="s">
        <v>18</v>
      </c>
      <c r="E468" s="6">
        <v>2018</v>
      </c>
      <c r="F468" s="3">
        <v>177500</v>
      </c>
      <c r="G468" s="3">
        <v>26</v>
      </c>
      <c r="H468" s="3" t="s">
        <v>5513</v>
      </c>
      <c r="I468" s="3" t="s">
        <v>102</v>
      </c>
      <c r="J468" s="3" t="s">
        <v>103</v>
      </c>
      <c r="K468" s="3" t="s">
        <v>87</v>
      </c>
      <c r="L468" s="3">
        <v>0.158</v>
      </c>
      <c r="M468" s="3">
        <v>0.58499999999999996</v>
      </c>
      <c r="N468" s="3">
        <v>5</v>
      </c>
      <c r="O468" s="8">
        <v>-12139</v>
      </c>
      <c r="P468" s="3">
        <v>1</v>
      </c>
      <c r="Q468" s="3">
        <v>3.9E-2</v>
      </c>
      <c r="R468" s="3">
        <v>0.154</v>
      </c>
      <c r="S468" s="3">
        <v>0.78900000000000003</v>
      </c>
      <c r="T468" s="3">
        <v>0.104</v>
      </c>
      <c r="U468" s="3">
        <v>7.8700000000000006E-2</v>
      </c>
      <c r="V468" s="8">
        <v>182849</v>
      </c>
      <c r="W468" s="3">
        <v>4</v>
      </c>
      <c r="X468" s="3" t="str">
        <f t="shared" si="32"/>
        <v>-SADNE-</v>
      </c>
      <c r="Y468" s="3" t="str">
        <f t="shared" si="33"/>
        <v>-ENERGY-</v>
      </c>
      <c r="Z468" s="4" t="str">
        <f t="shared" si="34"/>
        <v>{"couname":"THE WATCHERS","img":"https://i.scdn.co/image/ab67616d0000b273549c7972b8511360e8761adf","pty":"26","artist":"Jean-Michel Jarre","genres":"new age,electrónica,space music","duration":"177500","spotId":"048UDvWoL3ijmqFiGZni6j","Items":["-SADNE-","-ENERGY-","","","GN_FrenchElectro"]},</v>
      </c>
      <c r="AA468" s="5" t="s">
        <v>6100</v>
      </c>
      <c r="AB468" s="3" t="str">
        <f t="shared" si="35"/>
        <v>["-SADNE-","-ENERGY-","","","GN_FrenchElectro"]</v>
      </c>
      <c r="AC468" s="3" t="str">
        <f>_xlfn.XLOOKUP(A468,Album!A:A,Album!J:J)</f>
        <v>https://i.scdn.co/image/ab67616d0000b273549c7972b8511360e8761adf</v>
      </c>
      <c r="AD468" s="3"/>
      <c r="AE468" s="3"/>
      <c r="AF468" s="3"/>
      <c r="AG468" s="3"/>
      <c r="AH468" s="3"/>
    </row>
    <row r="469" spans="1:34" x14ac:dyDescent="0.3">
      <c r="A469" s="11" t="s">
        <v>492</v>
      </c>
      <c r="B469" s="12" t="s">
        <v>5510</v>
      </c>
      <c r="C469" s="12" t="s">
        <v>494</v>
      </c>
      <c r="D469" s="13" t="s">
        <v>2576</v>
      </c>
      <c r="E469" s="6">
        <v>45485</v>
      </c>
      <c r="F469" s="3">
        <v>221743</v>
      </c>
      <c r="G469" s="3">
        <v>26</v>
      </c>
      <c r="H469" s="3" t="s">
        <v>5511</v>
      </c>
      <c r="I469" s="3" t="s">
        <v>462</v>
      </c>
      <c r="J469" s="3" t="s">
        <v>495</v>
      </c>
      <c r="K469" s="3" t="s">
        <v>469</v>
      </c>
      <c r="L469" s="3">
        <v>0.60799999999999998</v>
      </c>
      <c r="M469" s="3">
        <v>0.85899999999999999</v>
      </c>
      <c r="N469" s="3">
        <v>1</v>
      </c>
      <c r="O469" s="8">
        <v>-6.86</v>
      </c>
      <c r="P469" s="3">
        <v>1</v>
      </c>
      <c r="Q469" s="3">
        <v>3.44E-2</v>
      </c>
      <c r="R469" s="3">
        <v>1.0200000000000001E-2</v>
      </c>
      <c r="S469" s="3">
        <v>2.9700000000000001E-4</v>
      </c>
      <c r="T469" s="3">
        <v>7.6399999999999996E-2</v>
      </c>
      <c r="U469" s="3">
        <v>0.47299999999999998</v>
      </c>
      <c r="V469" s="8">
        <v>123966</v>
      </c>
      <c r="W469" s="3">
        <v>4</v>
      </c>
      <c r="X469" s="3" t="str">
        <f t="shared" si="32"/>
        <v>-HAPPY-</v>
      </c>
      <c r="Y469" s="3" t="str">
        <f t="shared" si="33"/>
        <v>-ENERGY-</v>
      </c>
      <c r="Z469" s="4" t="str">
        <f t="shared" si="34"/>
        <v>{"couname":"Love Generation","img":"https://i.scdn.co/image/ab67616d0000b2735c8c53b4753079f6d2cb6fe4","pty":"26","artist":"Bob Sinclar, &amp;friends, Zakes Bantwini, Gary Pine","genres":"house francés,disco house,afro house,house melódico,tribal house,gqom,deep house,amapiano","duration":"221743","spotId":"0XNmVc3Q1wVIgY4hRAYaTv","Items":["-HAPPY-","-ENERGY-","","","GN_FrenchElectro"]},</v>
      </c>
      <c r="AA469" s="5" t="s">
        <v>6100</v>
      </c>
      <c r="AB469" s="3" t="str">
        <f t="shared" si="35"/>
        <v>["-HAPPY-","-ENERGY-","","","GN_FrenchElectro"]</v>
      </c>
      <c r="AC469" s="3" t="str">
        <f>_xlfn.XLOOKUP(A469,Album!A:A,Album!J:J)</f>
        <v>https://i.scdn.co/image/ab67616d0000b2735c8c53b4753079f6d2cb6fe4</v>
      </c>
      <c r="AD469" s="3"/>
      <c r="AE469" s="3"/>
      <c r="AF469" s="3"/>
      <c r="AG469" s="3"/>
      <c r="AH469" s="3"/>
    </row>
    <row r="470" spans="1:34" x14ac:dyDescent="0.3">
      <c r="A470" s="11" t="s">
        <v>525</v>
      </c>
      <c r="B470" s="12" t="s">
        <v>497</v>
      </c>
      <c r="C470" s="12" t="s">
        <v>527</v>
      </c>
      <c r="D470" s="13" t="s">
        <v>6101</v>
      </c>
      <c r="E470" s="6">
        <v>45464</v>
      </c>
      <c r="F470" s="3">
        <v>227462</v>
      </c>
      <c r="G470" s="3">
        <v>26</v>
      </c>
      <c r="H470" s="3" t="s">
        <v>6102</v>
      </c>
      <c r="I470" s="3" t="s">
        <v>462</v>
      </c>
      <c r="J470" s="3" t="s">
        <v>528</v>
      </c>
      <c r="K470" s="3" t="s">
        <v>469</v>
      </c>
      <c r="L470" s="3">
        <v>0.60099999999999998</v>
      </c>
      <c r="M470" s="3">
        <v>0.95599999999999996</v>
      </c>
      <c r="N470" s="3">
        <v>4</v>
      </c>
      <c r="O470" s="8">
        <v>-5313</v>
      </c>
      <c r="P470" s="3">
        <v>0</v>
      </c>
      <c r="Q470" s="3">
        <v>3.5999999999999997E-2</v>
      </c>
      <c r="R470" s="3">
        <v>3.96E-3</v>
      </c>
      <c r="S470" s="3">
        <v>0.873</v>
      </c>
      <c r="T470" s="3">
        <v>9.7299999999999998E-2</v>
      </c>
      <c r="U470" s="3">
        <v>0.159</v>
      </c>
      <c r="V470" s="8">
        <v>121994</v>
      </c>
      <c r="W470" s="3">
        <v>4</v>
      </c>
      <c r="X470" s="3" t="str">
        <f t="shared" si="32"/>
        <v>-SADNE-</v>
      </c>
      <c r="Y470" s="3" t="str">
        <f t="shared" si="33"/>
        <v>-ENERGY-</v>
      </c>
      <c r="Z470" s="4" t="str">
        <f t="shared" si="34"/>
        <v>{"couname":"Digane","img":"https://i.scdn.co/image/ab67616d0000b27389cf71655293a5e6d6e9c998","pty":"26","artist":"Bob Sinclar, Sofiya Nzau, REMIND","genres":"house francés,disco house,afro house,house melódico,techno melódico","duration":"227462","spotId":"5EVquFfVz4vXEqNniCZ4yE","Items":["-SADNE-","-ENERGY-","","","GN_FrenchElectro"]},</v>
      </c>
      <c r="AA470" s="5" t="s">
        <v>6100</v>
      </c>
      <c r="AB470" s="3" t="str">
        <f t="shared" si="35"/>
        <v>["-SADNE-","-ENERGY-","","","GN_FrenchElectro"]</v>
      </c>
      <c r="AC470" s="3" t="str">
        <f>_xlfn.XLOOKUP(A470,Album!A:A,Album!J:J)</f>
        <v>https://i.scdn.co/image/ab67616d0000b27389cf71655293a5e6d6e9c998</v>
      </c>
      <c r="AD470" s="3"/>
      <c r="AE470" s="3"/>
      <c r="AF470" s="3"/>
      <c r="AG470" s="3"/>
      <c r="AH470" s="3"/>
    </row>
    <row r="471" spans="1:34" x14ac:dyDescent="0.3">
      <c r="A471" s="11" t="s">
        <v>671</v>
      </c>
      <c r="B471" s="12" t="s">
        <v>5508</v>
      </c>
      <c r="C471" s="12" t="s">
        <v>673</v>
      </c>
      <c r="D471" s="13" t="s">
        <v>653</v>
      </c>
      <c r="E471" s="6">
        <v>41002</v>
      </c>
      <c r="F471" s="3">
        <v>219818</v>
      </c>
      <c r="G471" s="3">
        <v>26</v>
      </c>
      <c r="H471" s="3" t="s">
        <v>5509</v>
      </c>
      <c r="I471" s="3" t="s">
        <v>639</v>
      </c>
      <c r="J471" s="3" t="s">
        <v>640</v>
      </c>
      <c r="K471" s="3" t="s">
        <v>674</v>
      </c>
      <c r="L471" s="3">
        <v>0.48699999999999999</v>
      </c>
      <c r="M471" s="3">
        <v>0.91700000000000004</v>
      </c>
      <c r="N471" s="3">
        <v>8</v>
      </c>
      <c r="O471" s="8">
        <v>-2.83</v>
      </c>
      <c r="P471" s="3">
        <v>0</v>
      </c>
      <c r="Q471" s="3">
        <v>5.3100000000000001E-2</v>
      </c>
      <c r="R471" s="3">
        <v>6.6E-4</v>
      </c>
      <c r="S471" s="3">
        <v>2.2399999999999998E-3</v>
      </c>
      <c r="T471" s="3">
        <v>0.14299999999999999</v>
      </c>
      <c r="U471" s="3">
        <v>0.33</v>
      </c>
      <c r="V471" s="8">
        <v>128.01</v>
      </c>
      <c r="W471" s="3">
        <v>4</v>
      </c>
      <c r="X471" s="3" t="str">
        <f t="shared" si="32"/>
        <v>-SADNE-</v>
      </c>
      <c r="Y471" s="3" t="str">
        <f t="shared" si="33"/>
        <v>-ENERGY-</v>
      </c>
      <c r="Z471" s="4" t="str">
        <f t="shared" si="34"/>
        <v>{"couname":"The Night Out","img":"https://i.scdn.co/image/ab67616d0000b273af7e594311ca9163d3361853","pty":"26","artist":"Martin Solveig","genres":"house francés","duration":"219818","spotId":"0JUa73C2r5beBMhy9NXX1E","Items":["-SADNE-","-ENERGY-","","","GN_FrenchElectro"]},</v>
      </c>
      <c r="AA471" s="5" t="s">
        <v>6100</v>
      </c>
      <c r="AB471" s="3" t="str">
        <f t="shared" si="35"/>
        <v>["-SADNE-","-ENERGY-","","","GN_FrenchElectro"]</v>
      </c>
      <c r="AC471" s="3" t="str">
        <f>_xlfn.XLOOKUP(A471,Album!A:A,Album!J:J)</f>
        <v>https://i.scdn.co/image/ab67616d0000b273af7e594311ca9163d3361853</v>
      </c>
      <c r="AD471" s="3"/>
      <c r="AE471" s="3"/>
      <c r="AF471" s="3"/>
      <c r="AG471" s="3"/>
      <c r="AH471" s="3"/>
    </row>
    <row r="472" spans="1:34" x14ac:dyDescent="0.3">
      <c r="A472" s="11" t="s">
        <v>732</v>
      </c>
      <c r="B472" s="12" t="s">
        <v>5506</v>
      </c>
      <c r="C472" s="12" t="s">
        <v>734</v>
      </c>
      <c r="D472" s="13" t="s">
        <v>2976</v>
      </c>
      <c r="E472" s="6">
        <v>43707</v>
      </c>
      <c r="F472" s="3">
        <v>203225</v>
      </c>
      <c r="G472" s="3">
        <v>26</v>
      </c>
      <c r="H472" s="3" t="s">
        <v>5507</v>
      </c>
      <c r="I472" s="3" t="s">
        <v>639</v>
      </c>
      <c r="J472" s="3" t="s">
        <v>729</v>
      </c>
      <c r="K472" s="3" t="s">
        <v>83</v>
      </c>
      <c r="L472" s="3">
        <v>0.44</v>
      </c>
      <c r="M472" s="3">
        <v>0.86699999999999999</v>
      </c>
      <c r="N472" s="3">
        <v>2</v>
      </c>
      <c r="O472" s="8">
        <v>-4402</v>
      </c>
      <c r="P472" s="3">
        <v>1</v>
      </c>
      <c r="Q472" s="3">
        <v>6.0999999999999999E-2</v>
      </c>
      <c r="R472" s="3">
        <v>0.55200000000000005</v>
      </c>
      <c r="S472" s="3">
        <v>9.4499999999999993E-6</v>
      </c>
      <c r="T472" s="3">
        <v>0.115</v>
      </c>
      <c r="U472" s="3">
        <v>0.45200000000000001</v>
      </c>
      <c r="V472" s="8">
        <v>123.43</v>
      </c>
      <c r="W472" s="3">
        <v>4</v>
      </c>
      <c r="X472" s="3" t="str">
        <f t="shared" si="32"/>
        <v>-HAPPY-</v>
      </c>
      <c r="Y472" s="3" t="str">
        <f t="shared" si="33"/>
        <v>-ENERGY-</v>
      </c>
      <c r="Z472" s="4" t="str">
        <f t="shared" si="34"/>
        <v>{"couname":"Thing for You","img":"https://i.scdn.co/image/ab67616d0000b27398c0382ea9d8d68582f3c031","pty":"26","artist":"David Guetta, Martin Solveig","genres":"edm,dance,house francés","duration":"203225","spotId":"0LtKw37CYqXqsRF9pyDGGx","Items":["-HAPPY-","-ENERGY-","","","GN_FrenchElectro"]},</v>
      </c>
      <c r="AA472" s="5" t="s">
        <v>6100</v>
      </c>
      <c r="AB472" s="3" t="str">
        <f t="shared" si="35"/>
        <v>["-HAPPY-","-ENERGY-","","","GN_FrenchElectro"]</v>
      </c>
      <c r="AC472" s="3" t="str">
        <f>_xlfn.XLOOKUP(A472,Album!A:A,Album!J:J)</f>
        <v>https://i.scdn.co/image/ab67616d0000b27398c0382ea9d8d68582f3c031</v>
      </c>
      <c r="AD472" s="3"/>
      <c r="AE472" s="3"/>
      <c r="AF472" s="3"/>
      <c r="AG472" s="3"/>
      <c r="AH472" s="3"/>
    </row>
    <row r="473" spans="1:34" x14ac:dyDescent="0.3">
      <c r="A473" s="11" t="s">
        <v>1007</v>
      </c>
      <c r="B473" s="12" t="s">
        <v>1008</v>
      </c>
      <c r="C473" s="12" t="s">
        <v>965</v>
      </c>
      <c r="D473" s="13" t="s">
        <v>842</v>
      </c>
      <c r="E473" s="6">
        <v>39328</v>
      </c>
      <c r="F473" s="3">
        <v>150026</v>
      </c>
      <c r="G473" s="3">
        <v>26</v>
      </c>
      <c r="H473" s="3" t="s">
        <v>5505</v>
      </c>
      <c r="I473" s="3" t="s">
        <v>889</v>
      </c>
      <c r="J473" s="3" t="s">
        <v>844</v>
      </c>
      <c r="K473" s="3" t="s">
        <v>890</v>
      </c>
      <c r="L473" s="3">
        <v>0.17899999999999999</v>
      </c>
      <c r="M473" s="3">
        <v>0.122</v>
      </c>
      <c r="N473" s="3">
        <v>5</v>
      </c>
      <c r="O473" s="8">
        <v>-20879</v>
      </c>
      <c r="P473" s="3">
        <v>1</v>
      </c>
      <c r="Q473" s="3">
        <v>4.8800000000000003E-2</v>
      </c>
      <c r="R473" s="3">
        <v>0.58399999999999996</v>
      </c>
      <c r="S473" s="3">
        <v>0.97</v>
      </c>
      <c r="T473" s="3">
        <v>0.35499999999999998</v>
      </c>
      <c r="U473" s="3">
        <v>3.1699999999999999E-2</v>
      </c>
      <c r="V473" s="8">
        <v>80.11</v>
      </c>
      <c r="W473" s="3">
        <v>4</v>
      </c>
      <c r="X473" s="3" t="str">
        <f t="shared" si="32"/>
        <v>-SADNE-</v>
      </c>
      <c r="Y473" s="3" t="str">
        <f t="shared" si="33"/>
        <v>-SLOWSS-</v>
      </c>
      <c r="Z473" s="4" t="str">
        <f t="shared" si="34"/>
        <v>{"couname":"Waves, Waves, Waves","img":"https://i.scdn.co/image/ab67616d0000b27336dfe773fef33a09f2d91e89","pty":"26","artist":"M83","genres":"indietronica","duration":"150026","spotId":"1575cf1JynRm5cN24JGTbj","Items":["-SADNE-","-SLOWSS-","","","GN_FrenchElectro"]},</v>
      </c>
      <c r="AA473" s="5" t="s">
        <v>6100</v>
      </c>
      <c r="AB473" s="3" t="str">
        <f t="shared" si="35"/>
        <v>["-SADNE-","-SLOWSS-","","","GN_FrenchElectro"]</v>
      </c>
      <c r="AC473" s="3" t="str">
        <f>_xlfn.XLOOKUP(A473,Album!A:A,Album!J:J)</f>
        <v>https://i.scdn.co/image/ab67616d0000b27336dfe773fef33a09f2d91e89</v>
      </c>
      <c r="AD473" s="3"/>
      <c r="AE473" s="3"/>
      <c r="AF473" s="3"/>
      <c r="AG473" s="3"/>
      <c r="AH473" s="3"/>
    </row>
    <row r="474" spans="1:34" x14ac:dyDescent="0.3">
      <c r="A474" s="11" t="s">
        <v>1643</v>
      </c>
      <c r="B474" s="12" t="s">
        <v>1644</v>
      </c>
      <c r="C474" s="12" t="s">
        <v>1644</v>
      </c>
      <c r="D474" s="13" t="s">
        <v>1633</v>
      </c>
      <c r="E474" s="6">
        <v>45072</v>
      </c>
      <c r="F474" s="3">
        <v>191296</v>
      </c>
      <c r="G474" s="3">
        <v>26</v>
      </c>
      <c r="H474" s="3" t="s">
        <v>5504</v>
      </c>
      <c r="I474" s="3" t="s">
        <v>1463</v>
      </c>
      <c r="J474" s="3"/>
      <c r="K474" s="3" t="s">
        <v>1634</v>
      </c>
      <c r="L474" s="3">
        <v>0.67900000000000005</v>
      </c>
      <c r="M474" s="3">
        <v>0.66</v>
      </c>
      <c r="N474" s="3">
        <v>0</v>
      </c>
      <c r="O474" s="8">
        <v>-8155</v>
      </c>
      <c r="P474" s="3">
        <v>1</v>
      </c>
      <c r="Q474" s="3">
        <v>2.81E-2</v>
      </c>
      <c r="R474" s="3">
        <v>0.36199999999999999</v>
      </c>
      <c r="S474" s="3">
        <v>0</v>
      </c>
      <c r="T474" s="3">
        <v>0.313</v>
      </c>
      <c r="U474" s="3">
        <v>0.70799999999999996</v>
      </c>
      <c r="V474" s="8">
        <v>112012</v>
      </c>
      <c r="W474" s="3">
        <v>4</v>
      </c>
      <c r="X474" s="3" t="str">
        <f t="shared" si="32"/>
        <v>-HAPPY-</v>
      </c>
      <c r="Y474" s="3" t="str">
        <f t="shared" si="33"/>
        <v>-ENERGY-</v>
      </c>
      <c r="Z474" s="4" t="str">
        <f t="shared" si="34"/>
        <v>{"couname":"Coming Home","img":"https://i.scdn.co/image/ab67616d0000b273f24b9d302568b12efd0e82c5","pty":"26","artist":"Shara Rose","genres":"","duration":"191296","spotId":"2E9C2eNsb6ynk4FOwsDv2u","Items":["-HAPPY-","-ENERGY-","","","GN_FrenchElectro"]},</v>
      </c>
      <c r="AA474" s="5" t="s">
        <v>6100</v>
      </c>
      <c r="AB474" s="3" t="str">
        <f t="shared" si="35"/>
        <v>["-HAPPY-","-ENERGY-","","","GN_FrenchElectro"]</v>
      </c>
      <c r="AC474" s="3" t="str">
        <f>_xlfn.XLOOKUP(A474,Album!A:A,Album!J:J)</f>
        <v>https://i.scdn.co/image/ab67616d0000b273f24b9d302568b12efd0e82c5</v>
      </c>
      <c r="AD474" s="3"/>
      <c r="AE474" s="3"/>
      <c r="AF474" s="3"/>
      <c r="AG474" s="3"/>
      <c r="AH474" s="3"/>
    </row>
    <row r="475" spans="1:34" x14ac:dyDescent="0.3">
      <c r="A475" s="11" t="s">
        <v>1707</v>
      </c>
      <c r="B475" s="12" t="s">
        <v>1708</v>
      </c>
      <c r="C475" s="12" t="s">
        <v>1709</v>
      </c>
      <c r="D475" s="13" t="s">
        <v>4422</v>
      </c>
      <c r="E475" s="6">
        <v>42608</v>
      </c>
      <c r="F475" s="3">
        <v>305600</v>
      </c>
      <c r="G475" s="3">
        <v>26</v>
      </c>
      <c r="H475" s="3" t="s">
        <v>5503</v>
      </c>
      <c r="I475" s="3" t="s">
        <v>1675</v>
      </c>
      <c r="J475" s="3" t="s">
        <v>1710</v>
      </c>
      <c r="K475" s="3" t="s">
        <v>947</v>
      </c>
      <c r="L475" s="3">
        <v>0.35899999999999999</v>
      </c>
      <c r="M475" s="3">
        <v>0.6</v>
      </c>
      <c r="N475" s="3">
        <v>0</v>
      </c>
      <c r="O475" s="8">
        <v>-5055</v>
      </c>
      <c r="P475" s="3">
        <v>0</v>
      </c>
      <c r="Q475" s="3">
        <v>3.1399999999999997E-2</v>
      </c>
      <c r="R475" s="3">
        <v>0.317</v>
      </c>
      <c r="S475" s="3">
        <v>0</v>
      </c>
      <c r="T475" s="3">
        <v>0.19600000000000001</v>
      </c>
      <c r="U475" s="3">
        <v>7.9000000000000001E-2</v>
      </c>
      <c r="V475" s="8">
        <v>126.94</v>
      </c>
      <c r="W475" s="3">
        <v>4</v>
      </c>
      <c r="X475" s="3" t="str">
        <f t="shared" si="32"/>
        <v>-SADNE-</v>
      </c>
      <c r="Y475" s="3" t="str">
        <f t="shared" si="33"/>
        <v>-ENERGY-</v>
      </c>
      <c r="Z475" s="4" t="str">
        <f t="shared" si="34"/>
        <v>{"couname":"Feel Like Me","img":"https://i.scdn.co/image/ab67616d0000b273580ffe579b32f1e6a93ac225","pty":"26","artist":"Cassius, Cat Power","genres":"house francés,disco house,slowcore,cantautores","duration":"305600","spotId":"1XIq6CyuR7ye5s9Th88QZI","Items":["-SADNE-","-ENERGY-","","","GN_FrenchElectro"]},</v>
      </c>
      <c r="AA475" s="5" t="s">
        <v>6100</v>
      </c>
      <c r="AB475" s="3" t="str">
        <f t="shared" si="35"/>
        <v>["-SADNE-","-ENERGY-","","","GN_FrenchElectro"]</v>
      </c>
      <c r="AC475" s="3" t="str">
        <f>_xlfn.XLOOKUP(A475,Album!A:A,Album!J:J)</f>
        <v>https://i.scdn.co/image/ab67616d0000b273580ffe579b32f1e6a93ac225</v>
      </c>
      <c r="AD475" s="3"/>
      <c r="AE475" s="3"/>
      <c r="AF475" s="3"/>
      <c r="AG475" s="3"/>
      <c r="AH475" s="3"/>
    </row>
    <row r="476" spans="1:34" x14ac:dyDescent="0.3">
      <c r="A476" s="11" t="s">
        <v>2023</v>
      </c>
      <c r="B476" s="12" t="s">
        <v>2025</v>
      </c>
      <c r="C476" s="12" t="s">
        <v>2025</v>
      </c>
      <c r="D476" s="13" t="s">
        <v>4863</v>
      </c>
      <c r="E476" s="6">
        <v>43511</v>
      </c>
      <c r="F476" s="3">
        <v>250866</v>
      </c>
      <c r="G476" s="3">
        <v>26</v>
      </c>
      <c r="H476" s="3" t="s">
        <v>5502</v>
      </c>
      <c r="I476" s="3" t="s">
        <v>1983</v>
      </c>
      <c r="J476" s="3" t="s">
        <v>1994</v>
      </c>
      <c r="K476" s="3" t="s">
        <v>2026</v>
      </c>
      <c r="L476" s="3">
        <v>0.63400000000000001</v>
      </c>
      <c r="M476" s="3">
        <v>0.77400000000000002</v>
      </c>
      <c r="N476" s="3">
        <v>3</v>
      </c>
      <c r="O476" s="8">
        <v>-6.51</v>
      </c>
      <c r="P476" s="3">
        <v>1</v>
      </c>
      <c r="Q476" s="3">
        <v>5.4899999999999997E-2</v>
      </c>
      <c r="R476" s="3">
        <v>0.31900000000000001</v>
      </c>
      <c r="S476" s="3">
        <v>1.2E-2</v>
      </c>
      <c r="T476" s="3">
        <v>0.10299999999999999</v>
      </c>
      <c r="U476" s="3">
        <v>0.83599999999999997</v>
      </c>
      <c r="V476" s="8">
        <v>173964</v>
      </c>
      <c r="W476" s="3">
        <v>4</v>
      </c>
      <c r="X476" s="3" t="str">
        <f t="shared" si="32"/>
        <v>-HAPPY-</v>
      </c>
      <c r="Y476" s="3" t="str">
        <f t="shared" si="33"/>
        <v>-ENERGY-</v>
      </c>
      <c r="Z476" s="4" t="str">
        <f t="shared" si="34"/>
        <v>{"couname":"Les bruits de la ville","img":"https://i.scdn.co/image/ab67616d0000b2736ae3fff7acd73d8a10b294e6","pty":"26","artist":"Voyou, Yelle","genres":"pop francés,house francés,electroclash,electropop","duration":"250866","spotId":"2WW7Arojbo2WaeSwLma08q","Items":["-HAPPY-","-ENERGY-","","","GN_FrenchElectro"]},</v>
      </c>
      <c r="AA476" s="5" t="s">
        <v>6100</v>
      </c>
      <c r="AB476" s="3" t="str">
        <f t="shared" si="35"/>
        <v>["-HAPPY-","-ENERGY-","","","GN_FrenchElectro"]</v>
      </c>
      <c r="AC476" s="3" t="str">
        <f>_xlfn.XLOOKUP(A476,Album!A:A,Album!J:J)</f>
        <v>https://i.scdn.co/image/ab67616d0000b2736ae3fff7acd73d8a10b294e6</v>
      </c>
      <c r="AD476" s="3"/>
      <c r="AE476" s="3"/>
      <c r="AF476" s="3"/>
      <c r="AG476" s="3"/>
      <c r="AH476" s="3"/>
    </row>
    <row r="477" spans="1:34" x14ac:dyDescent="0.3">
      <c r="A477" s="11" t="s">
        <v>149</v>
      </c>
      <c r="B477" s="12" t="s">
        <v>146</v>
      </c>
      <c r="C477" s="12" t="s">
        <v>146</v>
      </c>
      <c r="D477" s="13" t="s">
        <v>18</v>
      </c>
      <c r="E477" s="6">
        <v>42244</v>
      </c>
      <c r="F477" s="3">
        <v>232613</v>
      </c>
      <c r="G477" s="3">
        <v>25</v>
      </c>
      <c r="H477" s="3" t="s">
        <v>5501</v>
      </c>
      <c r="I477" s="3" t="s">
        <v>102</v>
      </c>
      <c r="J477" s="3" t="s">
        <v>103</v>
      </c>
      <c r="K477" s="3" t="s">
        <v>104</v>
      </c>
      <c r="L477" s="3">
        <v>0.748</v>
      </c>
      <c r="M477" s="3">
        <v>0.93700000000000006</v>
      </c>
      <c r="N477" s="3">
        <v>3</v>
      </c>
      <c r="O477" s="8">
        <v>-7509</v>
      </c>
      <c r="P477" s="3">
        <v>0</v>
      </c>
      <c r="Q477" s="3">
        <v>4.2500000000000003E-2</v>
      </c>
      <c r="R477" s="3">
        <v>1.9E-2</v>
      </c>
      <c r="S477" s="3">
        <v>0.32</v>
      </c>
      <c r="T477" s="3">
        <v>5.7799999999999997E-2</v>
      </c>
      <c r="U477" s="3">
        <v>0.86699999999999999</v>
      </c>
      <c r="V477" s="8">
        <v>138354</v>
      </c>
      <c r="W477" s="3">
        <v>4</v>
      </c>
      <c r="X477" s="3" t="str">
        <f t="shared" si="32"/>
        <v>-HAPPY-</v>
      </c>
      <c r="Y477" s="3" t="str">
        <f t="shared" si="33"/>
        <v>-ENERGY-</v>
      </c>
      <c r="Z477" s="4" t="str">
        <f t="shared" si="34"/>
        <v>{"couname":"Zoolook","img":"https://i.scdn.co/image/ab67616d0000b2731e04e7479f1714b14987e599","pty":"25","artist":"Jean-Michel Jarre","genres":"new age,electrónica,space music","duration":"232613","spotId":"0iD4M9Rg3AYH0pC05WYv2d","Items":["-HAPPY-","-ENERGY-","","","GN_FrenchElectro"]},</v>
      </c>
      <c r="AA477" s="5" t="s">
        <v>6100</v>
      </c>
      <c r="AB477" s="3" t="str">
        <f t="shared" si="35"/>
        <v>["-HAPPY-","-ENERGY-","","","GN_FrenchElectro"]</v>
      </c>
      <c r="AC477" s="3" t="str">
        <f>_xlfn.XLOOKUP(A477,Album!A:A,Album!J:J)</f>
        <v>https://i.scdn.co/image/ab67616d0000b2731e04e7479f1714b14987e599</v>
      </c>
      <c r="AD477" s="3"/>
      <c r="AE477" s="3"/>
      <c r="AF477" s="3"/>
      <c r="AG477" s="3"/>
      <c r="AH477" s="3"/>
    </row>
    <row r="478" spans="1:34" x14ac:dyDescent="0.3">
      <c r="A478" s="11" t="s">
        <v>177</v>
      </c>
      <c r="B478" s="12" t="s">
        <v>178</v>
      </c>
      <c r="C478" s="12" t="s">
        <v>174</v>
      </c>
      <c r="D478" s="13" t="s">
        <v>18</v>
      </c>
      <c r="E478" s="6">
        <v>32356</v>
      </c>
      <c r="F478" s="3">
        <v>137173</v>
      </c>
      <c r="G478" s="3">
        <v>25</v>
      </c>
      <c r="H478" s="3" t="s">
        <v>5500</v>
      </c>
      <c r="I478" s="3" t="s">
        <v>102</v>
      </c>
      <c r="J478" s="3" t="s">
        <v>103</v>
      </c>
      <c r="K478" s="3" t="s">
        <v>104</v>
      </c>
      <c r="L478" s="3">
        <v>0.48599999999999999</v>
      </c>
      <c r="M478" s="3">
        <v>0.45800000000000002</v>
      </c>
      <c r="N478" s="3">
        <v>4</v>
      </c>
      <c r="O478" s="8">
        <v>-10362</v>
      </c>
      <c r="P478" s="3">
        <v>0</v>
      </c>
      <c r="Q478" s="3">
        <v>3.27E-2</v>
      </c>
      <c r="R478" s="3">
        <v>6.7500000000000004E-4</v>
      </c>
      <c r="S478" s="3">
        <v>6.0100000000000001E-2</v>
      </c>
      <c r="T478" s="3">
        <v>0.432</v>
      </c>
      <c r="U478" s="3">
        <v>0.152</v>
      </c>
      <c r="V478" s="8">
        <v>140008</v>
      </c>
      <c r="W478" s="3">
        <v>4</v>
      </c>
      <c r="X478" s="3" t="str">
        <f t="shared" si="32"/>
        <v>-SADNE-</v>
      </c>
      <c r="Y478" s="3" t="str">
        <f t="shared" si="33"/>
        <v>-SLOWSS-</v>
      </c>
      <c r="Z478" s="4" t="str">
        <f t="shared" si="34"/>
        <v>{"couname":"Industrial Revolution, Pt. 2","img":"https://i.scdn.co/image/ab67616d0000b273a230a349d6256817ee39c950","pty":"25","artist":"Jean-Michel Jarre","genres":"new age,electrónica,space music","duration":"137173","spotId":"6x6pubKnkkBvtRqml4cL5I","Items":["-SADNE-","-SLOWSS-","","","GN_FrenchElectro"]},</v>
      </c>
      <c r="AA478" s="5" t="s">
        <v>6100</v>
      </c>
      <c r="AB478" s="3" t="str">
        <f t="shared" si="35"/>
        <v>["-SADNE-","-SLOWSS-","","","GN_FrenchElectro"]</v>
      </c>
      <c r="AC478" s="3" t="str">
        <f>_xlfn.XLOOKUP(A478,Album!A:A,Album!J:J)</f>
        <v>https://i.scdn.co/image/ab67616d0000b273a230a349d6256817ee39c950</v>
      </c>
      <c r="AD478" s="3"/>
      <c r="AE478" s="3"/>
      <c r="AF478" s="3"/>
      <c r="AG478" s="3"/>
      <c r="AH478" s="3"/>
    </row>
    <row r="479" spans="1:34" x14ac:dyDescent="0.3">
      <c r="A479" s="11" t="s">
        <v>1447</v>
      </c>
      <c r="B479" s="12" t="s">
        <v>1448</v>
      </c>
      <c r="C479" s="12" t="s">
        <v>1367</v>
      </c>
      <c r="D479" s="13" t="s">
        <v>1345</v>
      </c>
      <c r="E479" s="6">
        <v>40091</v>
      </c>
      <c r="F479" s="3">
        <v>121880</v>
      </c>
      <c r="G479" s="3">
        <v>25</v>
      </c>
      <c r="H479" s="3" t="s">
        <v>5499</v>
      </c>
      <c r="I479" s="3" t="s">
        <v>1336</v>
      </c>
      <c r="J479" s="3" t="s">
        <v>1337</v>
      </c>
      <c r="K479" s="3" t="s">
        <v>1341</v>
      </c>
      <c r="L479" s="3">
        <v>0.45100000000000001</v>
      </c>
      <c r="M479" s="3">
        <v>0.54100000000000004</v>
      </c>
      <c r="N479" s="3">
        <v>7</v>
      </c>
      <c r="O479" s="8">
        <v>-8018</v>
      </c>
      <c r="P479" s="3">
        <v>1</v>
      </c>
      <c r="Q479" s="3">
        <v>2.7099999999999999E-2</v>
      </c>
      <c r="R479" s="3">
        <v>0.71499999999999997</v>
      </c>
      <c r="S479" s="3">
        <v>0.76400000000000001</v>
      </c>
      <c r="T479" s="3">
        <v>0.17199999999999999</v>
      </c>
      <c r="U479" s="3">
        <v>0.23400000000000001</v>
      </c>
      <c r="V479" s="8">
        <v>103123</v>
      </c>
      <c r="W479" s="3">
        <v>3</v>
      </c>
      <c r="X479" s="3" t="str">
        <f t="shared" si="32"/>
        <v>-SADNE-</v>
      </c>
      <c r="Y479" s="3" t="str">
        <f t="shared" si="33"/>
        <v>-ENERGY-</v>
      </c>
      <c r="Z479" s="4" t="str">
        <f t="shared" si="34"/>
        <v>{"couname":"Au fond du rêve doré","img":"https://i.scdn.co/image/ab67616d0000b2736b0efd35ef810103180cf54c","pty":"25","artist":"Air","genres":"trip hop,downtempo,house francés","duration":"121880","spotId":"6dacsOp1V5oI22BQ2wZxfq","Items":["-SADNE-","-ENERGY-","","","GN_FrenchElectro"]},</v>
      </c>
      <c r="AA479" s="5" t="s">
        <v>6100</v>
      </c>
      <c r="AB479" s="3" t="str">
        <f t="shared" si="35"/>
        <v>["-SADNE-","-ENERGY-","","","GN_FrenchElectro"]</v>
      </c>
      <c r="AC479" s="3" t="str">
        <f>_xlfn.XLOOKUP(A479,Album!A:A,Album!J:J)</f>
        <v>https://i.scdn.co/image/ab67616d0000b2736b0efd35ef810103180cf54c</v>
      </c>
      <c r="AD479" s="3"/>
      <c r="AE479" s="3"/>
      <c r="AF479" s="3"/>
      <c r="AG479" s="3"/>
      <c r="AH479" s="3"/>
    </row>
    <row r="480" spans="1:34" x14ac:dyDescent="0.3">
      <c r="A480" s="11" t="s">
        <v>1563</v>
      </c>
      <c r="B480" s="12" t="s">
        <v>1564</v>
      </c>
      <c r="C480" s="12" t="s">
        <v>1564</v>
      </c>
      <c r="D480" s="13" t="s">
        <v>4208</v>
      </c>
      <c r="E480" s="6">
        <v>44400</v>
      </c>
      <c r="F480" s="3">
        <v>215625</v>
      </c>
      <c r="G480" s="3">
        <v>25</v>
      </c>
      <c r="H480" s="3" t="s">
        <v>5498</v>
      </c>
      <c r="I480" s="3" t="s">
        <v>1463</v>
      </c>
      <c r="J480" s="3" t="s">
        <v>1565</v>
      </c>
      <c r="K480" s="3" t="s">
        <v>1476</v>
      </c>
      <c r="L480" s="3">
        <v>0.72199999999999998</v>
      </c>
      <c r="M480" s="3">
        <v>0.93600000000000005</v>
      </c>
      <c r="N480" s="3">
        <v>6</v>
      </c>
      <c r="O480" s="8">
        <v>-4404</v>
      </c>
      <c r="P480" s="3">
        <v>1</v>
      </c>
      <c r="Q480" s="3">
        <v>0.17799999999999999</v>
      </c>
      <c r="R480" s="3">
        <v>1.0399999999999999E-3</v>
      </c>
      <c r="S480" s="3">
        <v>7.6399999999999996E-2</v>
      </c>
      <c r="T480" s="3">
        <v>0.30399999999999999</v>
      </c>
      <c r="U480" s="3">
        <v>0.11799999999999999</v>
      </c>
      <c r="V480" s="8">
        <v>127.95</v>
      </c>
      <c r="W480" s="3">
        <v>4</v>
      </c>
      <c r="X480" s="3" t="str">
        <f t="shared" si="32"/>
        <v>-SADNE-</v>
      </c>
      <c r="Y480" s="3" t="str">
        <f t="shared" si="33"/>
        <v>-ENERGY-</v>
      </c>
      <c r="Z480" s="4" t="str">
        <f t="shared" si="34"/>
        <v>{"couname":"Ring The Alarm","img":"https://i.scdn.co/image/ab67616d0000b273939f04e7e85bd746aabc2542","pty":"25","artist":"DJ Snake, Malaa","genres":"g-house,bass house,future house","duration":"215625","spotId":"6HeKrqik6GxcbdKsk7FRnt","Items":["-SADNE-","-ENERGY-","","","GN_FrenchElectro"]},</v>
      </c>
      <c r="AA480" s="5" t="s">
        <v>6100</v>
      </c>
      <c r="AB480" s="3" t="str">
        <f t="shared" si="35"/>
        <v>["-SADNE-","-ENERGY-","","","GN_FrenchElectro"]</v>
      </c>
      <c r="AC480" s="3" t="str">
        <f>_xlfn.XLOOKUP(A480,Album!A:A,Album!J:J)</f>
        <v>https://i.scdn.co/image/ab67616d0000b273939f04e7e85bd746aabc2542</v>
      </c>
      <c r="AD480" s="3"/>
      <c r="AE480" s="3"/>
      <c r="AF480" s="3"/>
      <c r="AG480" s="3"/>
      <c r="AH480" s="3"/>
    </row>
    <row r="481" spans="1:34" x14ac:dyDescent="0.3">
      <c r="A481" s="11" t="s">
        <v>1584</v>
      </c>
      <c r="B481" s="12" t="s">
        <v>1585</v>
      </c>
      <c r="C481" s="12" t="s">
        <v>1585</v>
      </c>
      <c r="D481" s="13" t="s">
        <v>4208</v>
      </c>
      <c r="E481" s="6">
        <v>44470</v>
      </c>
      <c r="F481" s="3">
        <v>202380</v>
      </c>
      <c r="G481" s="3">
        <v>25</v>
      </c>
      <c r="H481" s="3" t="s">
        <v>5497</v>
      </c>
      <c r="I481" s="3" t="s">
        <v>1463</v>
      </c>
      <c r="J481" s="3" t="s">
        <v>1565</v>
      </c>
      <c r="K481" s="3" t="s">
        <v>1476</v>
      </c>
      <c r="L481" s="3">
        <v>0.749</v>
      </c>
      <c r="M481" s="3">
        <v>0.874</v>
      </c>
      <c r="N481" s="3">
        <v>9</v>
      </c>
      <c r="O481" s="8">
        <v>-6019</v>
      </c>
      <c r="P481" s="3">
        <v>1</v>
      </c>
      <c r="Q481" s="3">
        <v>0.111</v>
      </c>
      <c r="R481" s="3">
        <v>4.6299999999999996E-3</v>
      </c>
      <c r="S481" s="3">
        <v>0.746</v>
      </c>
      <c r="T481" s="3">
        <v>0.22700000000000001</v>
      </c>
      <c r="U481" s="3">
        <v>0.83399999999999996</v>
      </c>
      <c r="V481" s="8">
        <v>125.98</v>
      </c>
      <c r="W481" s="3">
        <v>4</v>
      </c>
      <c r="X481" s="3" t="str">
        <f t="shared" si="32"/>
        <v>-HAPPY-</v>
      </c>
      <c r="Y481" s="3" t="str">
        <f t="shared" si="33"/>
        <v>-ENERGY-</v>
      </c>
      <c r="Z481" s="4" t="str">
        <f t="shared" si="34"/>
        <v>{"couname":"Pondicherry","img":"https://i.scdn.co/image/ab67616d0000b2739bb677bf08da7735b60a0bd6","pty":"25","artist":"DJ Snake, Malaa","genres":"g-house,bass house,future house","duration":"202380","spotId":"0IoJNiqfeORsU6nMY9zC85","Items":["-HAPPY-","-ENERGY-","","","GN_FrenchElectro"]},</v>
      </c>
      <c r="AA481" s="5" t="s">
        <v>6100</v>
      </c>
      <c r="AB481" s="3" t="str">
        <f t="shared" si="35"/>
        <v>["-HAPPY-","-ENERGY-","","","GN_FrenchElectro"]</v>
      </c>
      <c r="AC481" s="3" t="str">
        <f>_xlfn.XLOOKUP(A481,Album!A:A,Album!J:J)</f>
        <v>https://i.scdn.co/image/ab67616d0000b2739bb677bf08da7735b60a0bd6</v>
      </c>
      <c r="AD481" s="3"/>
      <c r="AE481" s="3"/>
      <c r="AF481" s="3"/>
      <c r="AG481" s="3"/>
      <c r="AH481" s="3"/>
    </row>
    <row r="482" spans="1:34" x14ac:dyDescent="0.3">
      <c r="A482" s="11" t="s">
        <v>1711</v>
      </c>
      <c r="B482" s="12" t="s">
        <v>1712</v>
      </c>
      <c r="C482" s="12" t="s">
        <v>1690</v>
      </c>
      <c r="D482" s="13" t="s">
        <v>1674</v>
      </c>
      <c r="E482" s="6">
        <v>43637</v>
      </c>
      <c r="F482" s="3">
        <v>248013</v>
      </c>
      <c r="G482" s="3">
        <v>25</v>
      </c>
      <c r="H482" s="3" t="s">
        <v>5496</v>
      </c>
      <c r="I482" s="3" t="s">
        <v>1675</v>
      </c>
      <c r="J482" s="3" t="s">
        <v>463</v>
      </c>
      <c r="K482" s="3" t="s">
        <v>1691</v>
      </c>
      <c r="L482" s="3">
        <v>0.65600000000000003</v>
      </c>
      <c r="M482" s="3">
        <v>0.86399999999999999</v>
      </c>
      <c r="N482" s="3">
        <v>4</v>
      </c>
      <c r="O482" s="8">
        <v>-8008</v>
      </c>
      <c r="P482" s="3">
        <v>0</v>
      </c>
      <c r="Q482" s="3">
        <v>3.8100000000000002E-2</v>
      </c>
      <c r="R482" s="3">
        <v>9.2600000000000002E-2</v>
      </c>
      <c r="S482" s="3">
        <v>0.72199999999999998</v>
      </c>
      <c r="T482" s="3">
        <v>0.11799999999999999</v>
      </c>
      <c r="U482" s="3">
        <v>0.53</v>
      </c>
      <c r="V482" s="8">
        <v>120002</v>
      </c>
      <c r="W482" s="3">
        <v>4</v>
      </c>
      <c r="X482" s="3" t="str">
        <f t="shared" si="32"/>
        <v>-HAPPY-</v>
      </c>
      <c r="Y482" s="3" t="str">
        <f t="shared" si="33"/>
        <v>-ENERGY-</v>
      </c>
      <c r="Z482" s="4" t="str">
        <f t="shared" si="34"/>
        <v>{"couname":"Fame","img":"https://i.scdn.co/image/ab67616d0000b2730bb9eff4be678363242f0b6e","pty":"25","artist":"Cassius","genres":"house francés,disco house","duration":"248013","spotId":"3xhvwPraj72arwAKX7SOPg","Items":["-HAPPY-","-ENERGY-","","","GN_FrenchElectro"]},</v>
      </c>
      <c r="AA482" s="5" t="s">
        <v>6100</v>
      </c>
      <c r="AB482" s="3" t="str">
        <f t="shared" si="35"/>
        <v>["-HAPPY-","-ENERGY-","","","GN_FrenchElectro"]</v>
      </c>
      <c r="AC482" s="3" t="str">
        <f>_xlfn.XLOOKUP(A482,Album!A:A,Album!J:J)</f>
        <v>https://i.scdn.co/image/ab67616d0000b2730bb9eff4be678363242f0b6e</v>
      </c>
      <c r="AD482" s="3"/>
      <c r="AE482" s="3"/>
      <c r="AF482" s="3"/>
      <c r="AG482" s="3"/>
      <c r="AH482" s="3"/>
    </row>
    <row r="483" spans="1:34" x14ac:dyDescent="0.3">
      <c r="A483" s="11" t="s">
        <v>1804</v>
      </c>
      <c r="B483" s="12" t="s">
        <v>1694</v>
      </c>
      <c r="C483" s="12" t="s">
        <v>1709</v>
      </c>
      <c r="D483" s="13" t="s">
        <v>4554</v>
      </c>
      <c r="E483" s="6">
        <v>42608</v>
      </c>
      <c r="F483" s="3">
        <v>332546</v>
      </c>
      <c r="G483" s="3">
        <v>25</v>
      </c>
      <c r="H483" s="3" t="s">
        <v>5495</v>
      </c>
      <c r="I483" s="3" t="s">
        <v>1805</v>
      </c>
      <c r="J483" s="3" t="s">
        <v>1710</v>
      </c>
      <c r="K483" s="3" t="s">
        <v>947</v>
      </c>
      <c r="L483" s="3">
        <v>0.73499999999999999</v>
      </c>
      <c r="M483" s="3">
        <v>0.83699999999999997</v>
      </c>
      <c r="N483" s="3">
        <v>8</v>
      </c>
      <c r="O483" s="8">
        <v>-8232</v>
      </c>
      <c r="P483" s="3">
        <v>1</v>
      </c>
      <c r="Q483" s="3">
        <v>6.6500000000000004E-2</v>
      </c>
      <c r="R483" s="3">
        <v>0.249</v>
      </c>
      <c r="S483" s="3">
        <v>5.1199999999999998E-4</v>
      </c>
      <c r="T483" s="3">
        <v>0.11799999999999999</v>
      </c>
      <c r="U483" s="3">
        <v>0.34499999999999997</v>
      </c>
      <c r="V483" s="8">
        <v>125039</v>
      </c>
      <c r="W483" s="3">
        <v>4</v>
      </c>
      <c r="X483" s="3" t="str">
        <f t="shared" si="32"/>
        <v>-HAPPY-</v>
      </c>
      <c r="Y483" s="3" t="str">
        <f t="shared" si="33"/>
        <v>-ENERGY-</v>
      </c>
      <c r="Z483" s="4" t="str">
        <f t="shared" si="34"/>
        <v>{"couname":"Go Up","img":"https://i.scdn.co/image/ab67616d0000b273580ffe579b32f1e6a93ac225","pty":"25","artist":"Cassius, Cat Power, Pharrell Williams","genres":"house francés,disco house,slowcore,cantautores","duration":"332546","spotId":"76e4nwnkyaFp4y0T2g01dg","Items":["-HAPPY-","-ENERGY-","","","GN_FrenchElectro"]},</v>
      </c>
      <c r="AA483" s="5" t="s">
        <v>6100</v>
      </c>
      <c r="AB483" s="3" t="str">
        <f t="shared" si="35"/>
        <v>["-HAPPY-","-ENERGY-","","","GN_FrenchElectro"]</v>
      </c>
      <c r="AC483" s="3" t="str">
        <f>_xlfn.XLOOKUP(A483,Album!A:A,Album!J:J)</f>
        <v>https://i.scdn.co/image/ab67616d0000b273580ffe579b32f1e6a93ac225</v>
      </c>
      <c r="AD483" s="3"/>
      <c r="AE483" s="3"/>
      <c r="AF483" s="3"/>
      <c r="AG483" s="3"/>
      <c r="AH483" s="3"/>
    </row>
    <row r="484" spans="1:34" x14ac:dyDescent="0.3">
      <c r="A484" s="11" t="s">
        <v>2031</v>
      </c>
      <c r="B484" s="12" t="s">
        <v>2032</v>
      </c>
      <c r="C484" s="12" t="s">
        <v>2033</v>
      </c>
      <c r="D484" s="13" t="s">
        <v>4877</v>
      </c>
      <c r="E484" s="6">
        <v>45051</v>
      </c>
      <c r="F484" s="3">
        <v>167186</v>
      </c>
      <c r="G484" s="3">
        <v>25</v>
      </c>
      <c r="H484" s="3" t="s">
        <v>5494</v>
      </c>
      <c r="I484" s="3" t="s">
        <v>1983</v>
      </c>
      <c r="J484" s="3" t="s">
        <v>1994</v>
      </c>
      <c r="K484" s="3" t="s">
        <v>2034</v>
      </c>
      <c r="L484" s="3">
        <v>0.85</v>
      </c>
      <c r="M484" s="3">
        <v>0.7</v>
      </c>
      <c r="N484" s="3">
        <v>2</v>
      </c>
      <c r="O484" s="8">
        <v>-4343</v>
      </c>
      <c r="P484" s="3">
        <v>1</v>
      </c>
      <c r="Q484" s="3">
        <v>4.2099999999999999E-2</v>
      </c>
      <c r="R484" s="3">
        <v>0.122</v>
      </c>
      <c r="S484" s="3">
        <v>0</v>
      </c>
      <c r="T484" s="3">
        <v>0.124</v>
      </c>
      <c r="U484" s="3">
        <v>0.89600000000000002</v>
      </c>
      <c r="V484" s="8">
        <v>120043</v>
      </c>
      <c r="W484" s="3">
        <v>4</v>
      </c>
      <c r="X484" s="3" t="str">
        <f t="shared" si="32"/>
        <v>-HAPPY-</v>
      </c>
      <c r="Y484" s="3" t="str">
        <f t="shared" si="33"/>
        <v>-ENERGY-</v>
      </c>
      <c r="Z484" s="4" t="str">
        <f t="shared" si="34"/>
        <v>{"couname":"Les glaçons","img":"https://i.scdn.co/image/ab67616d0000b2738c7cdda9819e539679ee40bf","pty":"25","artist":"KALIKA, Yelle","genres":"pop francés,house francés,electroclash,electropop","duration":"167186","spotId":"2c5qBGUZBUm6g369hX6nSz","Items":["-HAPPY-","-ENERGY-","","","GN_FrenchElectro"]},</v>
      </c>
      <c r="AA484" s="5" t="s">
        <v>6100</v>
      </c>
      <c r="AB484" s="3" t="str">
        <f t="shared" si="35"/>
        <v>["-HAPPY-","-ENERGY-","","","GN_FrenchElectro"]</v>
      </c>
      <c r="AC484" s="3" t="str">
        <f>_xlfn.XLOOKUP(A484,Album!A:A,Album!J:J)</f>
        <v>https://i.scdn.co/image/ab67616d0000b2738c7cdda9819e539679ee40bf</v>
      </c>
      <c r="AD484" s="3"/>
      <c r="AE484" s="3"/>
      <c r="AF484" s="3"/>
      <c r="AG484" s="3"/>
      <c r="AH484" s="3"/>
    </row>
    <row r="485" spans="1:34" x14ac:dyDescent="0.3">
      <c r="A485" s="11" t="s">
        <v>2047</v>
      </c>
      <c r="B485" s="12" t="s">
        <v>2048</v>
      </c>
      <c r="C485" s="12" t="s">
        <v>2036</v>
      </c>
      <c r="D485" s="13" t="s">
        <v>1993</v>
      </c>
      <c r="E485" s="6">
        <v>41908</v>
      </c>
      <c r="F485" s="3">
        <v>179373</v>
      </c>
      <c r="G485" s="3">
        <v>25</v>
      </c>
      <c r="H485" s="3" t="s">
        <v>5493</v>
      </c>
      <c r="I485" s="3" t="s">
        <v>1983</v>
      </c>
      <c r="J485" s="3" t="s">
        <v>1994</v>
      </c>
      <c r="K485" s="3" t="s">
        <v>2037</v>
      </c>
      <c r="L485" s="3">
        <v>0.80200000000000005</v>
      </c>
      <c r="M485" s="3">
        <v>0.73099999999999998</v>
      </c>
      <c r="N485" s="3">
        <v>4</v>
      </c>
      <c r="O485" s="8">
        <v>-4239</v>
      </c>
      <c r="P485" s="3">
        <v>0</v>
      </c>
      <c r="Q485" s="3">
        <v>3.8699999999999998E-2</v>
      </c>
      <c r="R485" s="3">
        <v>1.3899999999999999E-2</v>
      </c>
      <c r="S485" s="3">
        <v>0.184</v>
      </c>
      <c r="T485" s="3">
        <v>6.4399999999999999E-2</v>
      </c>
      <c r="U485" s="3">
        <v>0.65900000000000003</v>
      </c>
      <c r="V485" s="8">
        <v>124608</v>
      </c>
      <c r="W485" s="3">
        <v>4</v>
      </c>
      <c r="X485" s="3" t="str">
        <f t="shared" si="32"/>
        <v>-HAPPY-</v>
      </c>
      <c r="Y485" s="3" t="str">
        <f t="shared" si="33"/>
        <v>-ENERGY-</v>
      </c>
      <c r="Z485" s="4" t="str">
        <f t="shared" si="34"/>
        <v>{"couname":"Ba$$in","img":"https://i.scdn.co/image/ab67616d0000b273a84efe4704b8869e487cebff","pty":"25","artist":"Yelle","genres":"pop francés,house francés,electroclash,electropop","duration":"179373","spotId":"2Ab2xJJw3hcXBi7LZM3PC5","Items":["-HAPPY-","-ENERGY-","","","GN_FrenchElectro"]},</v>
      </c>
      <c r="AA485" s="5" t="s">
        <v>6100</v>
      </c>
      <c r="AB485" s="3" t="str">
        <f t="shared" si="35"/>
        <v>["-HAPPY-","-ENERGY-","","","GN_FrenchElectro"]</v>
      </c>
      <c r="AC485" s="3" t="str">
        <f>_xlfn.XLOOKUP(A485,Album!A:A,Album!J:J)</f>
        <v>https://i.scdn.co/image/ab67616d0000b273a84efe4704b8869e487cebff</v>
      </c>
      <c r="AD485" s="3"/>
      <c r="AE485" s="3"/>
      <c r="AF485" s="3"/>
      <c r="AG485" s="3"/>
      <c r="AH485" s="3"/>
    </row>
    <row r="486" spans="1:34" x14ac:dyDescent="0.3">
      <c r="A486" s="11" t="s">
        <v>2049</v>
      </c>
      <c r="B486" s="12" t="s">
        <v>2050</v>
      </c>
      <c r="C486" s="12" t="s">
        <v>2001</v>
      </c>
      <c r="D486" s="13" t="s">
        <v>1993</v>
      </c>
      <c r="E486" s="6">
        <v>44078</v>
      </c>
      <c r="F486" s="3">
        <v>192418</v>
      </c>
      <c r="G486" s="3">
        <v>25</v>
      </c>
      <c r="H486" s="3" t="s">
        <v>5492</v>
      </c>
      <c r="I486" s="3" t="s">
        <v>1983</v>
      </c>
      <c r="J486" s="3" t="s">
        <v>1994</v>
      </c>
      <c r="K486" s="3" t="s">
        <v>2002</v>
      </c>
      <c r="L486" s="3">
        <v>0.88</v>
      </c>
      <c r="M486" s="3">
        <v>0.57399999999999995</v>
      </c>
      <c r="N486" s="3">
        <v>10</v>
      </c>
      <c r="O486" s="8">
        <v>-6936</v>
      </c>
      <c r="P486" s="3">
        <v>0</v>
      </c>
      <c r="Q486" s="3">
        <v>5.0299999999999997E-2</v>
      </c>
      <c r="R486" s="3">
        <v>1.12E-2</v>
      </c>
      <c r="S486" s="3">
        <v>2.7700000000000002E-6</v>
      </c>
      <c r="T486" s="3">
        <v>9.2200000000000004E-2</v>
      </c>
      <c r="U486" s="3">
        <v>0.88300000000000001</v>
      </c>
      <c r="V486" s="8">
        <v>121018</v>
      </c>
      <c r="W486" s="3">
        <v>4</v>
      </c>
      <c r="X486" s="3" t="str">
        <f t="shared" si="32"/>
        <v>-HAPPY-</v>
      </c>
      <c r="Y486" s="3" t="str">
        <f t="shared" si="33"/>
        <v>-ENERGY-</v>
      </c>
      <c r="Z486" s="4" t="str">
        <f t="shared" si="34"/>
        <v>{"couname":"Noir","img":"https://i.scdn.co/image/ab67616d0000b273f44093d8178aec0848ab6e5a","pty":"25","artist":"Yelle","genres":"pop francés,house francés,electroclash,electropop","duration":"192418","spotId":"6lqFOh4asrkApenj6JBnDG","Items":["-HAPPY-","-ENERGY-","","","GN_FrenchElectro"]},</v>
      </c>
      <c r="AA486" s="5" t="s">
        <v>6100</v>
      </c>
      <c r="AB486" s="3" t="str">
        <f t="shared" si="35"/>
        <v>["-HAPPY-","-ENERGY-","","","GN_FrenchElectro"]</v>
      </c>
      <c r="AC486" s="3" t="str">
        <f>_xlfn.XLOOKUP(A486,Album!A:A,Album!J:J)</f>
        <v>https://i.scdn.co/image/ab67616d0000b273f44093d8178aec0848ab6e5a</v>
      </c>
      <c r="AD486" s="3"/>
      <c r="AE486" s="3"/>
      <c r="AF486" s="3"/>
      <c r="AG486" s="3"/>
      <c r="AH486" s="3"/>
    </row>
    <row r="487" spans="1:34" x14ac:dyDescent="0.3">
      <c r="A487" s="11" t="s">
        <v>2067</v>
      </c>
      <c r="B487" s="12" t="s">
        <v>5490</v>
      </c>
      <c r="C487" s="12" t="s">
        <v>2069</v>
      </c>
      <c r="D487" s="13" t="s">
        <v>1993</v>
      </c>
      <c r="E487" s="6">
        <v>42209</v>
      </c>
      <c r="F487" s="3">
        <v>178058</v>
      </c>
      <c r="G487" s="3">
        <v>25</v>
      </c>
      <c r="H487" s="3" t="s">
        <v>5491</v>
      </c>
      <c r="I487" s="3" t="s">
        <v>1983</v>
      </c>
      <c r="J487" s="3" t="s">
        <v>1994</v>
      </c>
      <c r="K487" s="3" t="s">
        <v>2037</v>
      </c>
      <c r="L487" s="3">
        <v>0.88400000000000001</v>
      </c>
      <c r="M487" s="3">
        <v>0.57199999999999995</v>
      </c>
      <c r="N487" s="3">
        <v>6</v>
      </c>
      <c r="O487" s="8">
        <v>-6705</v>
      </c>
      <c r="P487" s="3">
        <v>1</v>
      </c>
      <c r="Q487" s="3">
        <v>0.13600000000000001</v>
      </c>
      <c r="R487" s="3">
        <v>2.2599999999999999E-2</v>
      </c>
      <c r="S487" s="3">
        <v>0.35399999999999998</v>
      </c>
      <c r="T487" s="3">
        <v>0.31900000000000001</v>
      </c>
      <c r="U487" s="3">
        <v>0.79100000000000004</v>
      </c>
      <c r="V487" s="8">
        <v>137018</v>
      </c>
      <c r="W487" s="3">
        <v>4</v>
      </c>
      <c r="X487" s="3" t="str">
        <f t="shared" si="32"/>
        <v>-HAPPY-</v>
      </c>
      <c r="Y487" s="3" t="str">
        <f t="shared" si="33"/>
        <v>-ENERGY-</v>
      </c>
      <c r="Z487" s="4" t="str">
        <f t="shared" si="34"/>
        <v>{"couname":"Moteur Action","img":"https://i.scdn.co/image/ab67616d0000b27355148cc3b07998f2c1b42616","pty":"25","artist":"Yelle","genres":"pop francés,house francés,electroclash,electropop","duration":"178058","spotId":"5alNDd1XkheweO5fUygqDO","Items":["-HAPPY-","-ENERGY-","","","GN_FrenchElectro"]},</v>
      </c>
      <c r="AA487" s="5" t="s">
        <v>6100</v>
      </c>
      <c r="AB487" s="3" t="str">
        <f t="shared" si="35"/>
        <v>["-HAPPY-","-ENERGY-","","","GN_FrenchElectro"]</v>
      </c>
      <c r="AC487" s="3" t="str">
        <f>_xlfn.XLOOKUP(A487,Album!A:A,Album!J:J)</f>
        <v>https://i.scdn.co/image/ab67616d0000b27355148cc3b07998f2c1b42616</v>
      </c>
      <c r="AD487" s="3"/>
      <c r="AE487" s="3"/>
      <c r="AF487" s="3"/>
      <c r="AG487" s="3"/>
      <c r="AH487" s="3"/>
    </row>
    <row r="488" spans="1:34" x14ac:dyDescent="0.3">
      <c r="A488" s="11" t="s">
        <v>2075</v>
      </c>
      <c r="B488" s="12" t="s">
        <v>2076</v>
      </c>
      <c r="C488" s="12" t="s">
        <v>1992</v>
      </c>
      <c r="D488" s="13" t="s">
        <v>1993</v>
      </c>
      <c r="E488" s="6">
        <v>39325</v>
      </c>
      <c r="F488" s="3">
        <v>347280</v>
      </c>
      <c r="G488" s="3">
        <v>25</v>
      </c>
      <c r="H488" s="3" t="s">
        <v>5489</v>
      </c>
      <c r="I488" s="3" t="s">
        <v>1983</v>
      </c>
      <c r="J488" s="3" t="s">
        <v>1994</v>
      </c>
      <c r="K488" s="3" t="s">
        <v>83</v>
      </c>
      <c r="L488" s="3">
        <v>0.93300000000000005</v>
      </c>
      <c r="M488" s="3">
        <v>0.76900000000000002</v>
      </c>
      <c r="N488" s="3">
        <v>2</v>
      </c>
      <c r="O488" s="8">
        <v>-6944</v>
      </c>
      <c r="P488" s="3">
        <v>1</v>
      </c>
      <c r="Q488" s="3">
        <v>4.0099999999999997E-2</v>
      </c>
      <c r="R488" s="3">
        <v>0.28199999999999997</v>
      </c>
      <c r="S488" s="3">
        <v>9.2100000000000003E-5</v>
      </c>
      <c r="T488" s="3">
        <v>3.44E-2</v>
      </c>
      <c r="U488" s="3">
        <v>0.86199999999999999</v>
      </c>
      <c r="V488" s="8">
        <v>108196</v>
      </c>
      <c r="W488" s="3">
        <v>4</v>
      </c>
      <c r="X488" s="3" t="str">
        <f t="shared" si="32"/>
        <v>-HAPPY-</v>
      </c>
      <c r="Y488" s="3" t="str">
        <f t="shared" si="33"/>
        <v>-ENERGY-</v>
      </c>
      <c r="Z488" s="4" t="str">
        <f t="shared" si="34"/>
        <v>{"couname":"Tu es beau","img":"https://i.scdn.co/image/ab67616d0000b2735da1104c8104431eb16f831c","pty":"25","artist":"Yelle","genres":"pop francés,house francés,electroclash,electropop","duration":"347280","spotId":"3Q434tG4MdftCIgsYP0xQa","Items":["-HAPPY-","-ENERGY-","","","GN_FrenchElectro"]},</v>
      </c>
      <c r="AA488" s="5" t="s">
        <v>6100</v>
      </c>
      <c r="AB488" s="3" t="str">
        <f t="shared" si="35"/>
        <v>["-HAPPY-","-ENERGY-","","","GN_FrenchElectro"]</v>
      </c>
      <c r="AC488" s="3" t="str">
        <f>_xlfn.XLOOKUP(A488,Album!A:A,Album!J:J)</f>
        <v>https://i.scdn.co/image/ab67616d0000b2735da1104c8104431eb16f831c</v>
      </c>
      <c r="AD488" s="3"/>
      <c r="AE488" s="3"/>
      <c r="AF488" s="3"/>
      <c r="AG488" s="3"/>
      <c r="AH488" s="3"/>
    </row>
    <row r="489" spans="1:34" x14ac:dyDescent="0.3">
      <c r="A489" s="11" t="s">
        <v>234</v>
      </c>
      <c r="B489" s="12" t="s">
        <v>235</v>
      </c>
      <c r="C489" s="12" t="s">
        <v>236</v>
      </c>
      <c r="D489" s="13" t="s">
        <v>2241</v>
      </c>
      <c r="E489" s="6">
        <v>42293</v>
      </c>
      <c r="F489" s="3">
        <v>232306</v>
      </c>
      <c r="G489" s="3">
        <v>24</v>
      </c>
      <c r="H489" s="3" t="s">
        <v>5488</v>
      </c>
      <c r="I489" s="3" t="s">
        <v>102</v>
      </c>
      <c r="J489" s="3" t="s">
        <v>237</v>
      </c>
      <c r="K489" s="3" t="s">
        <v>84</v>
      </c>
      <c r="L489" s="3">
        <v>0.61199999999999999</v>
      </c>
      <c r="M489" s="3">
        <v>0.58199999999999996</v>
      </c>
      <c r="N489" s="3">
        <v>5</v>
      </c>
      <c r="O489" s="8">
        <v>-7.72</v>
      </c>
      <c r="P489" s="3">
        <v>0</v>
      </c>
      <c r="Q489" s="3">
        <v>2.9899999999999999E-2</v>
      </c>
      <c r="R489" s="3">
        <v>3.9100000000000003E-2</v>
      </c>
      <c r="S489" s="3">
        <v>2.4400000000000002E-2</v>
      </c>
      <c r="T489" s="3">
        <v>6.2600000000000003E-2</v>
      </c>
      <c r="U489" s="3">
        <v>0.21099999999999999</v>
      </c>
      <c r="V489" s="8">
        <v>122051</v>
      </c>
      <c r="W489" s="3">
        <v>4</v>
      </c>
      <c r="X489" s="3" t="str">
        <f t="shared" si="32"/>
        <v>-SADNE-</v>
      </c>
      <c r="Y489" s="3" t="str">
        <f t="shared" si="33"/>
        <v>-ENERGY-</v>
      </c>
      <c r="Z489" s="4" t="str">
        <f t="shared" si="34"/>
        <v>{"couname":"The Time Machine","img":"https://i.scdn.co/image/ab67616d0000b27376987a71d6639ea8f44b5c09","pty":"24","artist":"Jean-Michel Jarre, Boys Noize","genres":"new age,electrónica,space music,electro house","duration":"232306","spotId":"6bs3jM42PGtnVZEhH6JYk8","Items":["-SADNE-","-ENERGY-","","","GN_FrenchElectro"]},</v>
      </c>
      <c r="AA489" s="5" t="s">
        <v>6100</v>
      </c>
      <c r="AB489" s="3" t="str">
        <f t="shared" si="35"/>
        <v>["-SADNE-","-ENERGY-","","","GN_FrenchElectro"]</v>
      </c>
      <c r="AC489" s="3" t="str">
        <f>_xlfn.XLOOKUP(A489,Album!A:A,Album!J:J)</f>
        <v>https://i.scdn.co/image/ab67616d0000b27376987a71d6639ea8f44b5c09</v>
      </c>
      <c r="AD489" s="3"/>
      <c r="AE489" s="3"/>
      <c r="AF489" s="3"/>
      <c r="AG489" s="3"/>
      <c r="AH489" s="3"/>
    </row>
    <row r="490" spans="1:34" x14ac:dyDescent="0.3">
      <c r="A490" s="11" t="s">
        <v>250</v>
      </c>
      <c r="B490" s="12" t="s">
        <v>251</v>
      </c>
      <c r="C490" s="12" t="s">
        <v>236</v>
      </c>
      <c r="D490" s="13" t="s">
        <v>2265</v>
      </c>
      <c r="E490" s="6">
        <v>42293</v>
      </c>
      <c r="F490" s="3">
        <v>270053</v>
      </c>
      <c r="G490" s="3">
        <v>24</v>
      </c>
      <c r="H490" s="3" t="s">
        <v>5487</v>
      </c>
      <c r="I490" s="3" t="s">
        <v>102</v>
      </c>
      <c r="J490" s="3" t="s">
        <v>252</v>
      </c>
      <c r="K490" s="3" t="s">
        <v>84</v>
      </c>
      <c r="L490" s="3">
        <v>0.49099999999999999</v>
      </c>
      <c r="M490" s="3">
        <v>0.74199999999999999</v>
      </c>
      <c r="N490" s="3">
        <v>7</v>
      </c>
      <c r="O490" s="8">
        <v>-6221</v>
      </c>
      <c r="P490" s="3">
        <v>0</v>
      </c>
      <c r="Q490" s="3">
        <v>2.7699999999999999E-2</v>
      </c>
      <c r="R490" s="3">
        <v>7.5100000000000002E-3</v>
      </c>
      <c r="S490" s="3">
        <v>0.93400000000000005</v>
      </c>
      <c r="T490" s="3">
        <v>0.114</v>
      </c>
      <c r="U490" s="3">
        <v>3.7900000000000003E-2</v>
      </c>
      <c r="V490" s="8">
        <v>144036</v>
      </c>
      <c r="W490" s="3">
        <v>4</v>
      </c>
      <c r="X490" s="3" t="str">
        <f t="shared" si="32"/>
        <v>-SADNE-</v>
      </c>
      <c r="Y490" s="3" t="str">
        <f t="shared" si="33"/>
        <v>-ENERGY-</v>
      </c>
      <c r="Z490" s="4" t="str">
        <f t="shared" si="34"/>
        <v>{"couname":"Immortals","img":"https://i.scdn.co/image/ab67616d0000b27376987a71d6639ea8f44b5c09","pty":"24","artist":"Jean-Michel Jarre, Fuck Buttons","genres":"new age,electrónica,space music,idm,post-rock","duration":"270053","spotId":"6FuGdbjGbdd6dRdDytiTdP","Items":["-SADNE-","-ENERGY-","","","GN_FrenchElectro"]},</v>
      </c>
      <c r="AA490" s="5" t="s">
        <v>6100</v>
      </c>
      <c r="AB490" s="3" t="str">
        <f t="shared" si="35"/>
        <v>["-SADNE-","-ENERGY-","","","GN_FrenchElectro"]</v>
      </c>
      <c r="AC490" s="3" t="str">
        <f>_xlfn.XLOOKUP(A490,Album!A:A,Album!J:J)</f>
        <v>https://i.scdn.co/image/ab67616d0000b27376987a71d6639ea8f44b5c09</v>
      </c>
      <c r="AD490" s="3"/>
      <c r="AE490" s="3"/>
      <c r="AF490" s="3"/>
      <c r="AG490" s="3"/>
      <c r="AH490" s="3"/>
    </row>
    <row r="491" spans="1:34" x14ac:dyDescent="0.3">
      <c r="A491" s="11" t="s">
        <v>428</v>
      </c>
      <c r="B491" s="12" t="s">
        <v>5485</v>
      </c>
      <c r="C491" s="12" t="s">
        <v>417</v>
      </c>
      <c r="D491" s="13" t="s">
        <v>18</v>
      </c>
      <c r="E491" s="6">
        <v>2018</v>
      </c>
      <c r="F491" s="3">
        <v>127230</v>
      </c>
      <c r="G491" s="3">
        <v>24</v>
      </c>
      <c r="H491" s="3" t="s">
        <v>5486</v>
      </c>
      <c r="I491" s="3" t="s">
        <v>102</v>
      </c>
      <c r="J491" s="3" t="s">
        <v>103</v>
      </c>
      <c r="K491" s="3" t="s">
        <v>87</v>
      </c>
      <c r="L491" s="3">
        <v>0.43099999999999999</v>
      </c>
      <c r="M491" s="3">
        <v>0.68700000000000006</v>
      </c>
      <c r="N491" s="3">
        <v>2</v>
      </c>
      <c r="O491" s="8">
        <v>-10035</v>
      </c>
      <c r="P491" s="3">
        <v>1</v>
      </c>
      <c r="Q491" s="3">
        <v>5.33E-2</v>
      </c>
      <c r="R491" s="3">
        <v>0.52600000000000002</v>
      </c>
      <c r="S491" s="3">
        <v>0.879</v>
      </c>
      <c r="T491" s="3">
        <v>0.223</v>
      </c>
      <c r="U491" s="3">
        <v>0.878</v>
      </c>
      <c r="V491" s="8">
        <v>194.99</v>
      </c>
      <c r="W491" s="3">
        <v>4</v>
      </c>
      <c r="X491" s="3" t="str">
        <f t="shared" si="32"/>
        <v>-HAPPY-</v>
      </c>
      <c r="Y491" s="3" t="str">
        <f t="shared" si="33"/>
        <v>-ENERGY-</v>
      </c>
      <c r="Z491" s="4" t="str">
        <f t="shared" si="34"/>
        <v>{"couname":"MACHINES ARE LEARNING","img":"https://i.scdn.co/image/ab67616d0000b273549c7972b8511360e8761adf","pty":"24","artist":"Jean-Michel Jarre","genres":"new age,electrónica,space music","duration":"127230","spotId":"0kgB70BEoFU5CIddZLU6qD","Items":["-HAPPY-","-ENERGY-","","","GN_FrenchElectro"]},</v>
      </c>
      <c r="AA491" s="5" t="s">
        <v>6100</v>
      </c>
      <c r="AB491" s="3" t="str">
        <f t="shared" si="35"/>
        <v>["-HAPPY-","-ENERGY-","","","GN_FrenchElectro"]</v>
      </c>
      <c r="AC491" s="3" t="str">
        <f>_xlfn.XLOOKUP(A491,Album!A:A,Album!J:J)</f>
        <v>https://i.scdn.co/image/ab67616d0000b273549c7972b8511360e8761adf</v>
      </c>
      <c r="AD491" s="3"/>
      <c r="AE491" s="3"/>
      <c r="AF491" s="3"/>
      <c r="AG491" s="3"/>
      <c r="AH491" s="3"/>
    </row>
    <row r="492" spans="1:34" x14ac:dyDescent="0.3">
      <c r="A492" s="11" t="s">
        <v>488</v>
      </c>
      <c r="B492" s="12" t="s">
        <v>497</v>
      </c>
      <c r="C492" s="12" t="s">
        <v>490</v>
      </c>
      <c r="D492" s="13" t="s">
        <v>2570</v>
      </c>
      <c r="E492" s="6">
        <v>45499</v>
      </c>
      <c r="F492" s="3">
        <v>185298</v>
      </c>
      <c r="G492" s="3">
        <v>24</v>
      </c>
      <c r="H492" s="3" t="s">
        <v>5484</v>
      </c>
      <c r="I492" s="3" t="s">
        <v>462</v>
      </c>
      <c r="J492" s="3" t="s">
        <v>491</v>
      </c>
      <c r="K492" s="3" t="s">
        <v>469</v>
      </c>
      <c r="L492" s="3">
        <v>0.71399999999999997</v>
      </c>
      <c r="M492" s="3">
        <v>0.93500000000000005</v>
      </c>
      <c r="N492" s="3">
        <v>2</v>
      </c>
      <c r="O492" s="8">
        <v>-5053</v>
      </c>
      <c r="P492" s="3">
        <v>1</v>
      </c>
      <c r="Q492" s="3">
        <v>3.7199999999999997E-2</v>
      </c>
      <c r="R492" s="3">
        <v>3.9600000000000003E-2</v>
      </c>
      <c r="S492" s="3">
        <v>7.3700000000000002E-2</v>
      </c>
      <c r="T492" s="3">
        <v>0.10199999999999999</v>
      </c>
      <c r="U492" s="3">
        <v>0.56899999999999995</v>
      </c>
      <c r="V492" s="8">
        <v>123998</v>
      </c>
      <c r="W492" s="3">
        <v>4</v>
      </c>
      <c r="X492" s="3" t="str">
        <f t="shared" si="32"/>
        <v>-HAPPY-</v>
      </c>
      <c r="Y492" s="3" t="str">
        <f t="shared" si="33"/>
        <v>-ENERGY-</v>
      </c>
      <c r="Z492" s="4" t="str">
        <f t="shared" si="34"/>
        <v>{"couname":"Digane","img":"https://i.scdn.co/image/ab67616d0000b273ab6fb10c783ea52b68735fb4","pty":"24","artist":"Bob Sinclar, Sofiya Nzau, Raphael","genres":"house francés,disco house,afro house","duration":"185298","spotId":"2toSZyPADIFdkZArAUKUXf","Items":["-HAPPY-","-ENERGY-","","","GN_FrenchElectro"]},</v>
      </c>
      <c r="AA492" s="5" t="s">
        <v>6100</v>
      </c>
      <c r="AB492" s="3" t="str">
        <f t="shared" si="35"/>
        <v>["-HAPPY-","-ENERGY-","","","GN_FrenchElectro"]</v>
      </c>
      <c r="AC492" s="3" t="str">
        <f>_xlfn.XLOOKUP(A492,Album!A:A,Album!J:J)</f>
        <v>https://i.scdn.co/image/ab67616d0000b273ab6fb10c783ea52b68735fb4</v>
      </c>
      <c r="AD492" s="3"/>
      <c r="AE492" s="3"/>
      <c r="AF492" s="3"/>
      <c r="AG492" s="3"/>
      <c r="AH492" s="3"/>
    </row>
    <row r="493" spans="1:34" x14ac:dyDescent="0.3">
      <c r="A493" s="11" t="s">
        <v>1326</v>
      </c>
      <c r="B493" s="12" t="s">
        <v>1244</v>
      </c>
      <c r="C493" s="12" t="s">
        <v>1244</v>
      </c>
      <c r="D493" s="13" t="s">
        <v>1206</v>
      </c>
      <c r="E493" s="6">
        <v>43656</v>
      </c>
      <c r="F493" s="3">
        <v>234933</v>
      </c>
      <c r="G493" s="3">
        <v>24</v>
      </c>
      <c r="H493" s="3" t="s">
        <v>5483</v>
      </c>
      <c r="I493" s="3" t="s">
        <v>1207</v>
      </c>
      <c r="J493" s="3" t="s">
        <v>1208</v>
      </c>
      <c r="K493" s="3" t="s">
        <v>84</v>
      </c>
      <c r="L493" s="3">
        <v>0.372</v>
      </c>
      <c r="M493" s="3">
        <v>0.55500000000000005</v>
      </c>
      <c r="N493" s="3">
        <v>4</v>
      </c>
      <c r="O493" s="8">
        <v>-6509</v>
      </c>
      <c r="P493" s="3">
        <v>1</v>
      </c>
      <c r="Q493" s="3">
        <v>3.32E-2</v>
      </c>
      <c r="R493" s="3">
        <v>0.13</v>
      </c>
      <c r="S493" s="3">
        <v>1.26E-6</v>
      </c>
      <c r="T493" s="3">
        <v>0.18099999999999999</v>
      </c>
      <c r="U493" s="3">
        <v>0.192</v>
      </c>
      <c r="V493" s="8">
        <v>64913</v>
      </c>
      <c r="W493" s="3">
        <v>4</v>
      </c>
      <c r="X493" s="3" t="str">
        <f t="shared" si="32"/>
        <v>-SADNE-</v>
      </c>
      <c r="Y493" s="3" t="str">
        <f t="shared" si="33"/>
        <v>-ENERGY-</v>
      </c>
      <c r="Z493" s="4" t="str">
        <f t="shared" si="34"/>
        <v>{"couname":"Dream Dream Dream","img":"https://i.scdn.co/image/ab67616d0000b27348eb0694ad3980c72017f284","pty":"24","artist":"Madeon","genres":"edm,house francés","duration":"234933","spotId":"1oUbYmF4SYYHorKY1wKo0K","Items":["-SADNE-","-ENERGY-","","","GN_FrenchElectro"]},</v>
      </c>
      <c r="AA493" s="5" t="s">
        <v>6100</v>
      </c>
      <c r="AB493" s="3" t="str">
        <f t="shared" si="35"/>
        <v>["-SADNE-","-ENERGY-","","","GN_FrenchElectro"]</v>
      </c>
      <c r="AC493" s="3" t="str">
        <f>_xlfn.XLOOKUP(A493,Album!A:A,Album!J:J)</f>
        <v>https://i.scdn.co/image/ab67616d0000b27348eb0694ad3980c72017f284</v>
      </c>
      <c r="AD493" s="3"/>
      <c r="AE493" s="3"/>
      <c r="AF493" s="3"/>
      <c r="AG493" s="3"/>
      <c r="AH493" s="3"/>
    </row>
    <row r="494" spans="1:34" x14ac:dyDescent="0.3">
      <c r="A494" s="11" t="s">
        <v>1327</v>
      </c>
      <c r="B494" s="12" t="s">
        <v>1249</v>
      </c>
      <c r="C494" s="12" t="s">
        <v>1249</v>
      </c>
      <c r="D494" s="13" t="s">
        <v>1206</v>
      </c>
      <c r="E494" s="6">
        <v>43754</v>
      </c>
      <c r="F494" s="3">
        <v>208093</v>
      </c>
      <c r="G494" s="3">
        <v>24</v>
      </c>
      <c r="H494" s="3" t="s">
        <v>5482</v>
      </c>
      <c r="I494" s="3" t="s">
        <v>1207</v>
      </c>
      <c r="J494" s="3" t="s">
        <v>1208</v>
      </c>
      <c r="K494" s="3" t="s">
        <v>84</v>
      </c>
      <c r="L494" s="3">
        <v>0.54600000000000004</v>
      </c>
      <c r="M494" s="3">
        <v>0.83799999999999997</v>
      </c>
      <c r="N494" s="3">
        <v>8</v>
      </c>
      <c r="O494" s="8">
        <v>-5546</v>
      </c>
      <c r="P494" s="3">
        <v>1</v>
      </c>
      <c r="Q494" s="3">
        <v>4.4900000000000002E-2</v>
      </c>
      <c r="R494" s="3">
        <v>5.4400000000000004E-3</v>
      </c>
      <c r="S494" s="3">
        <v>5.8700000000000002E-3</v>
      </c>
      <c r="T494" s="3">
        <v>0.27500000000000002</v>
      </c>
      <c r="U494" s="3">
        <v>0.45100000000000001</v>
      </c>
      <c r="V494" s="8">
        <v>93988</v>
      </c>
      <c r="W494" s="3">
        <v>4</v>
      </c>
      <c r="X494" s="3" t="str">
        <f t="shared" si="32"/>
        <v>-HAPPY-</v>
      </c>
      <c r="Y494" s="3" t="str">
        <f t="shared" si="33"/>
        <v>-ENERGY-</v>
      </c>
      <c r="Z494" s="4" t="str">
        <f t="shared" si="34"/>
        <v>{"couname":"Be Fine","img":"https://i.scdn.co/image/ab67616d0000b27372df59e31bee253469e888ad","pty":"24","artist":"Madeon","genres":"edm,house francés","duration":"208093","spotId":"3Yrp5kBXOp0Nbb09AmkD58","Items":["-HAPPY-","-ENERGY-","","","GN_FrenchElectro"]},</v>
      </c>
      <c r="AA494" s="5" t="s">
        <v>6100</v>
      </c>
      <c r="AB494" s="3" t="str">
        <f t="shared" si="35"/>
        <v>["-HAPPY-","-ENERGY-","","","GN_FrenchElectro"]</v>
      </c>
      <c r="AC494" s="3" t="str">
        <f>_xlfn.XLOOKUP(A494,Album!A:A,Album!J:J)</f>
        <v>https://i.scdn.co/image/ab67616d0000b27372df59e31bee253469e888ad</v>
      </c>
      <c r="AD494" s="3"/>
      <c r="AE494" s="3"/>
      <c r="AF494" s="3"/>
      <c r="AG494" s="3"/>
      <c r="AH494" s="3"/>
    </row>
    <row r="495" spans="1:34" x14ac:dyDescent="0.3">
      <c r="A495" s="11" t="s">
        <v>1621</v>
      </c>
      <c r="B495" s="12" t="s">
        <v>5480</v>
      </c>
      <c r="C495" s="12" t="s">
        <v>1623</v>
      </c>
      <c r="D495" s="13" t="s">
        <v>4308</v>
      </c>
      <c r="E495" s="6">
        <v>44659</v>
      </c>
      <c r="F495" s="3">
        <v>156800</v>
      </c>
      <c r="G495" s="3">
        <v>24</v>
      </c>
      <c r="H495" s="3" t="s">
        <v>5481</v>
      </c>
      <c r="I495" s="3" t="s">
        <v>1463</v>
      </c>
      <c r="J495" s="3" t="s">
        <v>1624</v>
      </c>
      <c r="K495" s="3" t="s">
        <v>1625</v>
      </c>
      <c r="L495" s="3">
        <v>0.72899999999999998</v>
      </c>
      <c r="M495" s="3">
        <v>0.88600000000000001</v>
      </c>
      <c r="N495" s="3">
        <v>1</v>
      </c>
      <c r="O495" s="8">
        <v>-5638</v>
      </c>
      <c r="P495" s="3">
        <v>1</v>
      </c>
      <c r="Q495" s="3">
        <v>0.10100000000000001</v>
      </c>
      <c r="R495" s="3">
        <v>3.5799999999999998E-2</v>
      </c>
      <c r="S495" s="3">
        <v>0.34100000000000003</v>
      </c>
      <c r="T495" s="3">
        <v>7.2599999999999998E-2</v>
      </c>
      <c r="U495" s="3">
        <v>0.42899999999999999</v>
      </c>
      <c r="V495" s="8">
        <v>149987</v>
      </c>
      <c r="W495" s="3">
        <v>4</v>
      </c>
      <c r="X495" s="3" t="str">
        <f t="shared" si="32"/>
        <v>-HAPPY-</v>
      </c>
      <c r="Y495" s="3" t="str">
        <f t="shared" si="33"/>
        <v>-ENERGY-</v>
      </c>
      <c r="Z495" s="4" t="str">
        <f t="shared" si="34"/>
        <v>{"couname":"Dog Eat Dog","img":"https://i.scdn.co/image/ab67616d0000b2737358052d5f99d43a5f59e317","pty":"24","artist":"YehMe2, Duke Deuce, DJ Snake","genres":"rap de memphis","duration":"156800","spotId":"49uT6cp7GWk8GKnGOdPA1Q","Items":["-HAPPY-","-ENERGY-","","","GN_FrenchElectro"]},</v>
      </c>
      <c r="AA495" s="5" t="s">
        <v>6100</v>
      </c>
      <c r="AB495" s="3" t="str">
        <f t="shared" si="35"/>
        <v>["-HAPPY-","-ENERGY-","","","GN_FrenchElectro"]</v>
      </c>
      <c r="AC495" s="3" t="str">
        <f>_xlfn.XLOOKUP(A495,Album!A:A,Album!J:J)</f>
        <v>https://i.scdn.co/image/ab67616d0000b2737358052d5f99d43a5f59e317</v>
      </c>
      <c r="AD495" s="3"/>
      <c r="AE495" s="3"/>
      <c r="AF495" s="3"/>
      <c r="AG495" s="3"/>
      <c r="AH495" s="3"/>
    </row>
    <row r="496" spans="1:34" x14ac:dyDescent="0.3">
      <c r="A496" s="11" t="s">
        <v>1639</v>
      </c>
      <c r="B496" s="12" t="s">
        <v>1640</v>
      </c>
      <c r="C496" s="12" t="s">
        <v>1640</v>
      </c>
      <c r="D496" s="13" t="s">
        <v>1633</v>
      </c>
      <c r="E496" s="6">
        <v>45394</v>
      </c>
      <c r="F496" s="3">
        <v>254720</v>
      </c>
      <c r="G496" s="3">
        <v>24</v>
      </c>
      <c r="H496" s="3" t="s">
        <v>5479</v>
      </c>
      <c r="I496" s="3" t="s">
        <v>1463</v>
      </c>
      <c r="J496" s="3"/>
      <c r="K496" s="3" t="s">
        <v>1634</v>
      </c>
      <c r="L496" s="3">
        <v>0.504</v>
      </c>
      <c r="M496" s="3">
        <v>0.58799999999999997</v>
      </c>
      <c r="N496" s="3">
        <v>11</v>
      </c>
      <c r="O496" s="8">
        <v>-7.06</v>
      </c>
      <c r="P496" s="3">
        <v>1</v>
      </c>
      <c r="Q496" s="3">
        <v>0.03</v>
      </c>
      <c r="R496" s="3">
        <v>0.38400000000000001</v>
      </c>
      <c r="S496" s="3">
        <v>0</v>
      </c>
      <c r="T496" s="3">
        <v>0.10299999999999999</v>
      </c>
      <c r="U496" s="3">
        <v>0.46899999999999997</v>
      </c>
      <c r="V496" s="8">
        <v>152106</v>
      </c>
      <c r="W496" s="3">
        <v>4</v>
      </c>
      <c r="X496" s="3" t="str">
        <f t="shared" si="32"/>
        <v>-HAPPY-</v>
      </c>
      <c r="Y496" s="3" t="str">
        <f t="shared" si="33"/>
        <v>-ENERGY-</v>
      </c>
      <c r="Z496" s="4" t="str">
        <f t="shared" si="34"/>
        <v>{"couname":"Heart on Her Sleeve","img":"https://i.scdn.co/image/ab67616d0000b2739ccf9025a690e360d480821a","pty":"24","artist":"Shara Rose","genres":"","duration":"254720","spotId":"66mEgt9NFTsK2AVI1MnOHt","Items":["-HAPPY-","-ENERGY-","","","GN_FrenchElectro"]},</v>
      </c>
      <c r="AA496" s="5" t="s">
        <v>6100</v>
      </c>
      <c r="AB496" s="3" t="str">
        <f t="shared" si="35"/>
        <v>["-HAPPY-","-ENERGY-","","","GN_FrenchElectro"]</v>
      </c>
      <c r="AC496" s="3" t="str">
        <f>_xlfn.XLOOKUP(A496,Album!A:A,Album!J:J)</f>
        <v>https://i.scdn.co/image/ab67616d0000b2739ccf9025a690e360d480821a</v>
      </c>
      <c r="AD496" s="3"/>
      <c r="AE496" s="3"/>
      <c r="AF496" s="3"/>
      <c r="AG496" s="3"/>
      <c r="AH496" s="3"/>
    </row>
    <row r="497" spans="1:34" x14ac:dyDescent="0.3">
      <c r="A497" s="11" t="s">
        <v>1713</v>
      </c>
      <c r="B497" s="12" t="s">
        <v>1714</v>
      </c>
      <c r="C497" s="12" t="s">
        <v>1673</v>
      </c>
      <c r="D497" s="13" t="s">
        <v>1674</v>
      </c>
      <c r="E497" s="6">
        <v>40707</v>
      </c>
      <c r="F497" s="3">
        <v>243442</v>
      </c>
      <c r="G497" s="3">
        <v>24</v>
      </c>
      <c r="H497" s="3" t="s">
        <v>5478</v>
      </c>
      <c r="I497" s="3" t="s">
        <v>1675</v>
      </c>
      <c r="J497" s="3" t="s">
        <v>463</v>
      </c>
      <c r="K497" s="3" t="s">
        <v>1676</v>
      </c>
      <c r="L497" s="3">
        <v>0.69499999999999995</v>
      </c>
      <c r="M497" s="3">
        <v>0.65100000000000002</v>
      </c>
      <c r="N497" s="3">
        <v>11</v>
      </c>
      <c r="O497" s="8">
        <v>-7805</v>
      </c>
      <c r="P497" s="3">
        <v>0</v>
      </c>
      <c r="Q497" s="3">
        <v>4.1300000000000003E-2</v>
      </c>
      <c r="R497" s="3">
        <v>9.7999999999999997E-3</v>
      </c>
      <c r="S497" s="3">
        <v>0.23699999999999999</v>
      </c>
      <c r="T497" s="3">
        <v>0.186</v>
      </c>
      <c r="U497" s="3">
        <v>0.499</v>
      </c>
      <c r="V497" s="8">
        <v>106908</v>
      </c>
      <c r="W497" s="3">
        <v>4</v>
      </c>
      <c r="X497" s="3" t="str">
        <f t="shared" si="32"/>
        <v>-HAPPY-</v>
      </c>
      <c r="Y497" s="3" t="str">
        <f t="shared" si="33"/>
        <v>-ENERGY-</v>
      </c>
      <c r="Z497" s="4" t="str">
        <f t="shared" si="34"/>
        <v>{"couname":"Brotherhood","img":"https://i.scdn.co/image/ab67616d0000b2734f3d682578d8bd0fc547bec5","pty":"24","artist":"Cassius","genres":"house francés,disco house","duration":"243442","spotId":"2Z30URGywcgNw8P8Vx0sHe","Items":["-HAPPY-","-ENERGY-","","","GN_FrenchElectro"]},</v>
      </c>
      <c r="AA497" s="5" t="s">
        <v>6100</v>
      </c>
      <c r="AB497" s="3" t="str">
        <f t="shared" si="35"/>
        <v>["-HAPPY-","-ENERGY-","","","GN_FrenchElectro"]</v>
      </c>
      <c r="AC497" s="3" t="str">
        <f>_xlfn.XLOOKUP(A497,Album!A:A,Album!J:J)</f>
        <v>https://i.scdn.co/image/ab67616d0000b2734f3d682578d8bd0fc547bec5</v>
      </c>
      <c r="AD497" s="3"/>
      <c r="AE497" s="3"/>
      <c r="AF497" s="3"/>
      <c r="AG497" s="3"/>
      <c r="AH497" s="3"/>
    </row>
    <row r="498" spans="1:34" x14ac:dyDescent="0.3">
      <c r="A498" s="11" t="s">
        <v>2038</v>
      </c>
      <c r="B498" s="12" t="s">
        <v>2039</v>
      </c>
      <c r="C498" s="12" t="s">
        <v>2001</v>
      </c>
      <c r="D498" s="13" t="s">
        <v>1993</v>
      </c>
      <c r="E498" s="6">
        <v>44078</v>
      </c>
      <c r="F498" s="3">
        <v>195104</v>
      </c>
      <c r="G498" s="3">
        <v>24</v>
      </c>
      <c r="H498" s="3" t="s">
        <v>5477</v>
      </c>
      <c r="I498" s="3" t="s">
        <v>1983</v>
      </c>
      <c r="J498" s="3" t="s">
        <v>1994</v>
      </c>
      <c r="K498" s="3" t="s">
        <v>2002</v>
      </c>
      <c r="L498" s="3">
        <v>0.53800000000000003</v>
      </c>
      <c r="M498" s="3">
        <v>0.82599999999999996</v>
      </c>
      <c r="N498" s="3">
        <v>5</v>
      </c>
      <c r="O498" s="8">
        <v>-6054</v>
      </c>
      <c r="P498" s="3">
        <v>1</v>
      </c>
      <c r="Q498" s="3">
        <v>5.3699999999999998E-2</v>
      </c>
      <c r="R498" s="3">
        <v>8.3400000000000002E-2</v>
      </c>
      <c r="S498" s="3">
        <v>0.2</v>
      </c>
      <c r="T498" s="3">
        <v>0.12</v>
      </c>
      <c r="U498" s="3">
        <v>0.47499999999999998</v>
      </c>
      <c r="V498" s="8">
        <v>116003</v>
      </c>
      <c r="W498" s="3">
        <v>4</v>
      </c>
      <c r="X498" s="3" t="str">
        <f t="shared" si="32"/>
        <v>-HAPPY-</v>
      </c>
      <c r="Y498" s="3" t="str">
        <f t="shared" si="33"/>
        <v>-ENERGY-</v>
      </c>
      <c r="Z498" s="4" t="str">
        <f t="shared" si="34"/>
        <v>{"couname":"J'veux un chien","img":"https://i.scdn.co/image/ab67616d0000b273f44093d8178aec0848ab6e5a","pty":"24","artist":"Yelle","genres":"pop francés,house francés,electroclash,electropop","duration":"195104","spotId":"20LrIavRVjwwj3vo4E0clF","Items":["-HAPPY-","-ENERGY-","","","GN_FrenchElectro"]},</v>
      </c>
      <c r="AA498" s="5" t="s">
        <v>6100</v>
      </c>
      <c r="AB498" s="3" t="str">
        <f t="shared" si="35"/>
        <v>["-HAPPY-","-ENERGY-","","","GN_FrenchElectro"]</v>
      </c>
      <c r="AC498" s="3" t="str">
        <f>_xlfn.XLOOKUP(A498,Album!A:A,Album!J:J)</f>
        <v>https://i.scdn.co/image/ab67616d0000b273f44093d8178aec0848ab6e5a</v>
      </c>
      <c r="AD498" s="3"/>
      <c r="AE498" s="3"/>
      <c r="AF498" s="3"/>
      <c r="AG498" s="3"/>
      <c r="AH498" s="3"/>
    </row>
    <row r="499" spans="1:34" x14ac:dyDescent="0.3">
      <c r="A499" s="11" t="s">
        <v>2043</v>
      </c>
      <c r="B499" s="12" t="s">
        <v>2044</v>
      </c>
      <c r="C499" s="12" t="s">
        <v>2045</v>
      </c>
      <c r="D499" s="13" t="s">
        <v>4901</v>
      </c>
      <c r="E499" s="6">
        <v>43535</v>
      </c>
      <c r="F499" s="3">
        <v>150478</v>
      </c>
      <c r="G499" s="3">
        <v>24</v>
      </c>
      <c r="H499" s="3" t="s">
        <v>5476</v>
      </c>
      <c r="I499" s="3" t="s">
        <v>1983</v>
      </c>
      <c r="J499" s="3" t="s">
        <v>1994</v>
      </c>
      <c r="K499" s="3" t="s">
        <v>2046</v>
      </c>
      <c r="L499" s="3">
        <v>0.75600000000000001</v>
      </c>
      <c r="M499" s="3">
        <v>0.57799999999999996</v>
      </c>
      <c r="N499" s="3">
        <v>7</v>
      </c>
      <c r="O499" s="8">
        <v>-7143</v>
      </c>
      <c r="P499" s="3">
        <v>1</v>
      </c>
      <c r="Q499" s="3">
        <v>3.6299999999999999E-2</v>
      </c>
      <c r="R499" s="3">
        <v>4.1300000000000003E-2</v>
      </c>
      <c r="S499" s="3">
        <v>0</v>
      </c>
      <c r="T499" s="3">
        <v>0.11899999999999999</v>
      </c>
      <c r="U499" s="3">
        <v>0.88900000000000001</v>
      </c>
      <c r="V499" s="8">
        <v>109952</v>
      </c>
      <c r="W499" s="3">
        <v>4</v>
      </c>
      <c r="X499" s="3" t="str">
        <f t="shared" si="32"/>
        <v>-HAPPY-</v>
      </c>
      <c r="Y499" s="3" t="str">
        <f t="shared" si="33"/>
        <v>-ENERGY-</v>
      </c>
      <c r="Z499" s="4" t="str">
        <f t="shared" si="34"/>
        <v>{"couname":"Diane","img":"https://i.scdn.co/image/ab67616d0000b27372545fcac46d50c9a94ae686","pty":"24","artist":"Dad Feels, Yelle","genres":"pop francés,house francés,electroclash,electropop","duration":"150478","spotId":"539ckdvQ87wGhh80AvvTka","Items":["-HAPPY-","-ENERGY-","","","GN_FrenchElectro"]},</v>
      </c>
      <c r="AA499" s="5" t="s">
        <v>6100</v>
      </c>
      <c r="AB499" s="3" t="str">
        <f t="shared" si="35"/>
        <v>["-HAPPY-","-ENERGY-","","","GN_FrenchElectro"]</v>
      </c>
      <c r="AC499" s="3" t="str">
        <f>_xlfn.XLOOKUP(A499,Album!A:A,Album!J:J)</f>
        <v>https://i.scdn.co/image/ab67616d0000b27372545fcac46d50c9a94ae686</v>
      </c>
      <c r="AD499" s="3"/>
      <c r="AE499" s="3"/>
      <c r="AF499" s="3"/>
      <c r="AG499" s="3"/>
      <c r="AH499" s="3"/>
    </row>
    <row r="500" spans="1:34" x14ac:dyDescent="0.3">
      <c r="A500" s="11" t="s">
        <v>2053</v>
      </c>
      <c r="B500" s="12" t="s">
        <v>2054</v>
      </c>
      <c r="C500" s="12" t="s">
        <v>2055</v>
      </c>
      <c r="D500" s="13" t="s">
        <v>4916</v>
      </c>
      <c r="E500" s="6">
        <v>40294</v>
      </c>
      <c r="F500" s="3">
        <v>282080</v>
      </c>
      <c r="G500" s="3">
        <v>24</v>
      </c>
      <c r="H500" s="3" t="s">
        <v>5475</v>
      </c>
      <c r="I500" s="3" t="s">
        <v>1983</v>
      </c>
      <c r="J500" s="3" t="s">
        <v>1994</v>
      </c>
      <c r="K500" s="3" t="s">
        <v>2022</v>
      </c>
      <c r="L500" s="3">
        <v>0.67100000000000004</v>
      </c>
      <c r="M500" s="3">
        <v>0.67200000000000004</v>
      </c>
      <c r="N500" s="3">
        <v>6</v>
      </c>
      <c r="O500" s="8">
        <v>-5522</v>
      </c>
      <c r="P500" s="3">
        <v>0</v>
      </c>
      <c r="Q500" s="3">
        <v>0.19600000000000001</v>
      </c>
      <c r="R500" s="3">
        <v>0.13200000000000001</v>
      </c>
      <c r="S500" s="3">
        <v>4.2700000000000004E-3</v>
      </c>
      <c r="T500" s="3">
        <v>0.16700000000000001</v>
      </c>
      <c r="U500" s="3">
        <v>0.41599999999999998</v>
      </c>
      <c r="V500" s="8">
        <v>190338</v>
      </c>
      <c r="W500" s="3">
        <v>4</v>
      </c>
      <c r="X500" s="3" t="str">
        <f t="shared" si="32"/>
        <v>-HAPPY-</v>
      </c>
      <c r="Y500" s="3" t="str">
        <f t="shared" si="33"/>
        <v>-ENERGY-</v>
      </c>
      <c r="Z500" s="4" t="str">
        <f t="shared" si="34"/>
        <v>{"couname":"Cooler Couleur","img":"https://i.scdn.co/image/ab67616d0000b2737a80e6e57a2e11a782ce2009","pty":"24","artist":"Crookers, Yelle","genres":"pop francés,house francés,electroclash,electropop","duration":"282080","spotId":"0GilgfvWdDZDG6BtdtORLF","Items":["-HAPPY-","-ENERGY-","","","GN_FrenchElectro"]},</v>
      </c>
      <c r="AA500" s="5" t="s">
        <v>6100</v>
      </c>
      <c r="AB500" s="3" t="str">
        <f t="shared" si="35"/>
        <v>["-HAPPY-","-ENERGY-","","","GN_FrenchElectro"]</v>
      </c>
      <c r="AC500" s="3" t="str">
        <f>_xlfn.XLOOKUP(A500,Album!A:A,Album!J:J)</f>
        <v>https://i.scdn.co/image/ab67616d0000b2737a80e6e57a2e11a782ce2009</v>
      </c>
      <c r="AD500" s="3"/>
      <c r="AE500" s="3"/>
      <c r="AF500" s="3"/>
      <c r="AG500" s="3"/>
      <c r="AH500" s="3"/>
    </row>
    <row r="501" spans="1:34" x14ac:dyDescent="0.3">
      <c r="A501" s="11" t="s">
        <v>193</v>
      </c>
      <c r="B501" s="12" t="s">
        <v>5473</v>
      </c>
      <c r="C501" s="12" t="s">
        <v>195</v>
      </c>
      <c r="D501" s="13" t="s">
        <v>18</v>
      </c>
      <c r="E501" s="6">
        <v>42244</v>
      </c>
      <c r="F501" s="3">
        <v>502533</v>
      </c>
      <c r="G501" s="3">
        <v>23</v>
      </c>
      <c r="H501" s="3" t="s">
        <v>5474</v>
      </c>
      <c r="I501" s="3" t="s">
        <v>102</v>
      </c>
      <c r="J501" s="3" t="s">
        <v>103</v>
      </c>
      <c r="K501" s="3" t="s">
        <v>104</v>
      </c>
      <c r="L501" s="3">
        <v>0.60499999999999998</v>
      </c>
      <c r="M501" s="3">
        <v>0.96499999999999997</v>
      </c>
      <c r="N501" s="3">
        <v>0</v>
      </c>
      <c r="O501" s="8">
        <v>-7125</v>
      </c>
      <c r="P501" s="3">
        <v>1</v>
      </c>
      <c r="Q501" s="3">
        <v>4.7500000000000001E-2</v>
      </c>
      <c r="R501" s="3">
        <v>4.32E-5</v>
      </c>
      <c r="S501" s="3">
        <v>0.86599999999999999</v>
      </c>
      <c r="T501" s="3">
        <v>0.157</v>
      </c>
      <c r="U501" s="3">
        <v>0.67100000000000004</v>
      </c>
      <c r="V501" s="8">
        <v>132155</v>
      </c>
      <c r="W501" s="3">
        <v>4</v>
      </c>
      <c r="X501" s="3" t="str">
        <f t="shared" si="32"/>
        <v>-HAPPY-</v>
      </c>
      <c r="Y501" s="3" t="str">
        <f t="shared" si="33"/>
        <v>-ENERGY-</v>
      </c>
      <c r="Z501" s="4" t="str">
        <f t="shared" si="34"/>
        <v>{"couname":"Calypso","img":"https://i.scdn.co/image/ab67616d0000b273fccf49c7f9a31f591e72d8a0","pty":"23","artist":"Jean-Michel Jarre","genres":"new age,electrónica,space music","duration":"502533","spotId":"509Buxe6Y3nTrlX73th4LL","Items":["-HAPPY-","-ENERGY-","","","GN_FrenchElectro"]},</v>
      </c>
      <c r="AA501" s="5" t="s">
        <v>6100</v>
      </c>
      <c r="AB501" s="3" t="str">
        <f t="shared" si="35"/>
        <v>["-HAPPY-","-ENERGY-","","","GN_FrenchElectro"]</v>
      </c>
      <c r="AC501" s="3" t="str">
        <f>_xlfn.XLOOKUP(A501,Album!A:A,Album!J:J)</f>
        <v>https://i.scdn.co/image/ab67616d0000b273fccf49c7f9a31f591e72d8a0</v>
      </c>
      <c r="AD501" s="3"/>
      <c r="AE501" s="3"/>
      <c r="AF501" s="3"/>
      <c r="AG501" s="3"/>
      <c r="AH501" s="3"/>
    </row>
    <row r="502" spans="1:34" x14ac:dyDescent="0.3">
      <c r="A502" s="11" t="s">
        <v>253</v>
      </c>
      <c r="B502" s="12" t="s">
        <v>254</v>
      </c>
      <c r="C502" s="12" t="s">
        <v>236</v>
      </c>
      <c r="D502" s="13" t="s">
        <v>2269</v>
      </c>
      <c r="E502" s="6">
        <v>42293</v>
      </c>
      <c r="F502" s="3">
        <v>346986</v>
      </c>
      <c r="G502" s="3">
        <v>23</v>
      </c>
      <c r="H502" s="3" t="s">
        <v>5472</v>
      </c>
      <c r="I502" s="3" t="s">
        <v>102</v>
      </c>
      <c r="J502" s="3" t="s">
        <v>255</v>
      </c>
      <c r="K502" s="3" t="s">
        <v>84</v>
      </c>
      <c r="L502" s="3">
        <v>0.53900000000000003</v>
      </c>
      <c r="M502" s="3">
        <v>0.83699999999999997</v>
      </c>
      <c r="N502" s="3">
        <v>2</v>
      </c>
      <c r="O502" s="8">
        <v>-7494</v>
      </c>
      <c r="P502" s="3">
        <v>0</v>
      </c>
      <c r="Q502" s="3">
        <v>3.6900000000000002E-2</v>
      </c>
      <c r="R502" s="3">
        <v>0.43099999999999999</v>
      </c>
      <c r="S502" s="3">
        <v>0.72599999999999998</v>
      </c>
      <c r="T502" s="3">
        <v>8.8499999999999995E-2</v>
      </c>
      <c r="U502" s="3">
        <v>6.9699999999999998E-2</v>
      </c>
      <c r="V502" s="8">
        <v>119993</v>
      </c>
      <c r="W502" s="3">
        <v>4</v>
      </c>
      <c r="X502" s="3" t="str">
        <f t="shared" si="32"/>
        <v>-SADNE-</v>
      </c>
      <c r="Y502" s="3" t="str">
        <f t="shared" si="33"/>
        <v>-ENERGY-</v>
      </c>
      <c r="Z502" s="4" t="str">
        <f t="shared" si="34"/>
        <v>{"couname":"Suns Have Gone","img":"https://i.scdn.co/image/ab67616d0000b27376987a71d6639ea8f44b5c09","pty":"23","artist":"Jean-Michel Jarre, Moby","genres":"new age,electrónica,space music,downtempo,trip hop","duration":"346986","spotId":"5HUF4klgbWeh243kiO5pIa","Items":["-SADNE-","-ENERGY-","","","GN_FrenchElectro"]},</v>
      </c>
      <c r="AA502" s="5" t="s">
        <v>6100</v>
      </c>
      <c r="AB502" s="3" t="str">
        <f t="shared" si="35"/>
        <v>["-SADNE-","-ENERGY-","","","GN_FrenchElectro"]</v>
      </c>
      <c r="AC502" s="3" t="str">
        <f>_xlfn.XLOOKUP(A502,Album!A:A,Album!J:J)</f>
        <v>https://i.scdn.co/image/ab67616d0000b27376987a71d6639ea8f44b5c09</v>
      </c>
      <c r="AD502" s="3"/>
      <c r="AE502" s="3"/>
      <c r="AF502" s="3"/>
      <c r="AG502" s="3"/>
      <c r="AH502" s="3"/>
    </row>
    <row r="503" spans="1:34" x14ac:dyDescent="0.3">
      <c r="A503" s="11" t="s">
        <v>633</v>
      </c>
      <c r="B503" s="12" t="s">
        <v>634</v>
      </c>
      <c r="C503" s="12" t="s">
        <v>635</v>
      </c>
      <c r="D503" s="13" t="s">
        <v>501</v>
      </c>
      <c r="E503" s="6">
        <v>38718</v>
      </c>
      <c r="F503" s="3">
        <v>282453</v>
      </c>
      <c r="G503" s="3">
        <v>23</v>
      </c>
      <c r="H503" s="3" t="s">
        <v>5471</v>
      </c>
      <c r="I503" s="3" t="s">
        <v>462</v>
      </c>
      <c r="J503" s="3" t="s">
        <v>463</v>
      </c>
      <c r="K503" s="3" t="s">
        <v>469</v>
      </c>
      <c r="L503" s="3">
        <v>0.69599999999999995</v>
      </c>
      <c r="M503" s="3">
        <v>0.33600000000000002</v>
      </c>
      <c r="N503" s="3">
        <v>0</v>
      </c>
      <c r="O503" s="8">
        <v>-7174</v>
      </c>
      <c r="P503" s="3">
        <v>1</v>
      </c>
      <c r="Q503" s="3">
        <v>2.9399999999999999E-2</v>
      </c>
      <c r="R503" s="3">
        <v>0.53</v>
      </c>
      <c r="S503" s="3">
        <v>5.7200000000000001E-5</v>
      </c>
      <c r="T503" s="3">
        <v>8.2699999999999996E-2</v>
      </c>
      <c r="U503" s="3">
        <v>0.222</v>
      </c>
      <c r="V503" s="8">
        <v>111.94</v>
      </c>
      <c r="W503" s="3">
        <v>4</v>
      </c>
      <c r="X503" s="3" t="str">
        <f t="shared" si="32"/>
        <v>-SADNE-</v>
      </c>
      <c r="Y503" s="3" t="str">
        <f t="shared" si="33"/>
        <v>-ENERGY-</v>
      </c>
      <c r="Z503" s="4" t="str">
        <f t="shared" si="34"/>
        <v>{"couname":"Give a Lil' Love","img":"https://i.scdn.co/image/ab67616d0000b273b6515dd60db533a38b4ddac5","pty":"23","artist":"Bob Sinclar","genres":"house francés,disco house","duration":"282453","spotId":"0OxSxzKSExGSjbnsth0dm4","Items":["-SADNE-","-ENERGY-","","","GN_FrenchElectro"]},</v>
      </c>
      <c r="AA503" s="5" t="s">
        <v>6100</v>
      </c>
      <c r="AB503" s="3" t="str">
        <f t="shared" si="35"/>
        <v>["-SADNE-","-ENERGY-","","","GN_FrenchElectro"]</v>
      </c>
      <c r="AC503" s="3" t="str">
        <f>_xlfn.XLOOKUP(A503,Album!A:A,Album!J:J)</f>
        <v>https://i.scdn.co/image/ab67616d0000b273b6515dd60db533a38b4ddac5</v>
      </c>
      <c r="AD503" s="3"/>
      <c r="AE503" s="3"/>
      <c r="AF503" s="3"/>
      <c r="AG503" s="3"/>
      <c r="AH503" s="3"/>
    </row>
    <row r="504" spans="1:34" x14ac:dyDescent="0.3">
      <c r="A504" s="11" t="s">
        <v>1288</v>
      </c>
      <c r="B504" s="12" t="s">
        <v>1281</v>
      </c>
      <c r="C504" s="12" t="s">
        <v>1236</v>
      </c>
      <c r="D504" s="13" t="s">
        <v>3812</v>
      </c>
      <c r="E504" s="6">
        <v>41190</v>
      </c>
      <c r="F504" s="3">
        <v>295520</v>
      </c>
      <c r="G504" s="3">
        <v>23</v>
      </c>
      <c r="H504" s="3" t="s">
        <v>5470</v>
      </c>
      <c r="I504" s="3" t="s">
        <v>1207</v>
      </c>
      <c r="J504" s="3" t="s">
        <v>1208</v>
      </c>
      <c r="K504" s="3" t="s">
        <v>1277</v>
      </c>
      <c r="L504" s="3">
        <v>0.38400000000000001</v>
      </c>
      <c r="M504" s="3">
        <v>0.7</v>
      </c>
      <c r="N504" s="3">
        <v>1</v>
      </c>
      <c r="O504" s="8">
        <v>-2676</v>
      </c>
      <c r="P504" s="3">
        <v>1</v>
      </c>
      <c r="Q504" s="3">
        <v>3.8600000000000002E-2</v>
      </c>
      <c r="R504" s="3">
        <v>0.17499999999999999</v>
      </c>
      <c r="S504" s="3">
        <v>0</v>
      </c>
      <c r="T504" s="3">
        <v>0.16200000000000001</v>
      </c>
      <c r="U504" s="3">
        <v>0.182</v>
      </c>
      <c r="V504" s="8">
        <v>86523</v>
      </c>
      <c r="W504" s="3">
        <v>4</v>
      </c>
      <c r="X504" s="3" t="str">
        <f t="shared" si="32"/>
        <v>-SADNE-</v>
      </c>
      <c r="Y504" s="3" t="str">
        <f t="shared" si="33"/>
        <v>-ENERGY-</v>
      </c>
      <c r="Z504" s="4" t="str">
        <f t="shared" si="34"/>
        <v>{"couname":"Finale","img":"https://i.scdn.co/image/ab67616d0000b27398528dc300fb2066ca913ebd","pty":"23","artist":"Madeon, Nicholas Petricca, Boris Daenen","genres":"edm,house francés","duration":"295520","spotId":"048AbE9LVZn2qc4mKxoEO9","Items":["-SADNE-","-ENERGY-","","","GN_FrenchElectro"]},</v>
      </c>
      <c r="AA504" s="5" t="s">
        <v>6100</v>
      </c>
      <c r="AB504" s="3" t="str">
        <f t="shared" si="35"/>
        <v>["-SADNE-","-ENERGY-","","","GN_FrenchElectro"]</v>
      </c>
      <c r="AC504" s="3" t="str">
        <f>_xlfn.XLOOKUP(A504,Album!A:A,Album!J:J)</f>
        <v>https://i.scdn.co/image/ab67616d0000b27398528dc300fb2066ca913ebd</v>
      </c>
      <c r="AD504" s="3"/>
      <c r="AE504" s="3"/>
      <c r="AF504" s="3"/>
      <c r="AG504" s="3"/>
      <c r="AH504" s="3"/>
    </row>
    <row r="505" spans="1:34" x14ac:dyDescent="0.3">
      <c r="A505" s="11" t="s">
        <v>1310</v>
      </c>
      <c r="B505" s="12" t="s">
        <v>5308</v>
      </c>
      <c r="C505" s="12" t="s">
        <v>1312</v>
      </c>
      <c r="D505" s="13" t="s">
        <v>3852</v>
      </c>
      <c r="E505" s="6">
        <v>42244</v>
      </c>
      <c r="F505" s="3">
        <v>228893</v>
      </c>
      <c r="G505" s="3">
        <v>23</v>
      </c>
      <c r="H505" s="3" t="s">
        <v>5469</v>
      </c>
      <c r="I505" s="3" t="s">
        <v>1207</v>
      </c>
      <c r="J505" s="3" t="s">
        <v>1217</v>
      </c>
      <c r="K505" s="3" t="s">
        <v>84</v>
      </c>
      <c r="L505" s="3">
        <v>0.80100000000000005</v>
      </c>
      <c r="M505" s="3">
        <v>0.85399999999999998</v>
      </c>
      <c r="N505" s="3">
        <v>1</v>
      </c>
      <c r="O505" s="8">
        <v>-4585</v>
      </c>
      <c r="P505" s="3">
        <v>1</v>
      </c>
      <c r="Q505" s="3">
        <v>5.2400000000000002E-2</v>
      </c>
      <c r="R505" s="3">
        <v>0.14799999999999999</v>
      </c>
      <c r="S505" s="3">
        <v>1.31E-6</v>
      </c>
      <c r="T505" s="3">
        <v>0.29699999999999999</v>
      </c>
      <c r="U505" s="3">
        <v>0.63</v>
      </c>
      <c r="V505" s="8">
        <v>112004</v>
      </c>
      <c r="W505" s="3">
        <v>4</v>
      </c>
      <c r="X505" s="3" t="str">
        <f t="shared" si="32"/>
        <v>-HAPPY-</v>
      </c>
      <c r="Y505" s="3" t="str">
        <f t="shared" si="33"/>
        <v>-ENERGY-</v>
      </c>
      <c r="Z505" s="4" t="str">
        <f t="shared" si="34"/>
        <v>{"couname":"Pay No Mind","img":"https://i.scdn.co/image/ab67616d0000b273181be4c9ff596666b8266273","pty":"23","artist":"Madeon, Passion Pit, Ulrik Denizou Lund, Kjetil Jansen","genres":"edm,house francés,indietronica,indie","duration":"228893","spotId":"1l0xt0rcF2n1263yMGfYD3","Items":["-HAPPY-","-ENERGY-","","","GN_FrenchElectro"]},</v>
      </c>
      <c r="AA505" s="5" t="s">
        <v>6100</v>
      </c>
      <c r="AB505" s="3" t="str">
        <f t="shared" si="35"/>
        <v>["-HAPPY-","-ENERGY-","","","GN_FrenchElectro"]</v>
      </c>
      <c r="AC505" s="3" t="str">
        <f>_xlfn.XLOOKUP(A505,Album!A:A,Album!J:J)</f>
        <v>https://i.scdn.co/image/ab67616d0000b273181be4c9ff596666b8266273</v>
      </c>
      <c r="AD505" s="3"/>
      <c r="AE505" s="3"/>
      <c r="AF505" s="3"/>
      <c r="AG505" s="3"/>
      <c r="AH505" s="3"/>
    </row>
    <row r="506" spans="1:34" x14ac:dyDescent="0.3">
      <c r="A506" s="11" t="s">
        <v>2029</v>
      </c>
      <c r="B506" s="12" t="s">
        <v>2030</v>
      </c>
      <c r="C506" s="12" t="s">
        <v>2009</v>
      </c>
      <c r="D506" s="13" t="s">
        <v>4834</v>
      </c>
      <c r="E506" s="6">
        <v>45625</v>
      </c>
      <c r="F506" s="3">
        <v>192813</v>
      </c>
      <c r="G506" s="3">
        <v>23</v>
      </c>
      <c r="H506" s="3" t="s">
        <v>5468</v>
      </c>
      <c r="I506" s="3" t="s">
        <v>1983</v>
      </c>
      <c r="J506" s="3" t="s">
        <v>1994</v>
      </c>
      <c r="K506" s="3" t="s">
        <v>2010</v>
      </c>
      <c r="L506" s="3">
        <v>0.65500000000000003</v>
      </c>
      <c r="M506" s="3">
        <v>0.55800000000000005</v>
      </c>
      <c r="N506" s="3">
        <v>5</v>
      </c>
      <c r="O506" s="8">
        <v>-7197</v>
      </c>
      <c r="P506" s="3">
        <v>0</v>
      </c>
      <c r="Q506" s="3">
        <v>4.07E-2</v>
      </c>
      <c r="R506" s="3">
        <v>1.5100000000000001E-2</v>
      </c>
      <c r="S506" s="3">
        <v>0</v>
      </c>
      <c r="T506" s="3">
        <v>0.128</v>
      </c>
      <c r="U506" s="3">
        <v>0.30199999999999999</v>
      </c>
      <c r="V506" s="8">
        <v>139987</v>
      </c>
      <c r="W506" s="3">
        <v>4</v>
      </c>
      <c r="X506" s="3" t="str">
        <f t="shared" si="32"/>
        <v>-SADNE-</v>
      </c>
      <c r="Y506" s="3" t="str">
        <f t="shared" si="33"/>
        <v>-ENERGY-</v>
      </c>
      <c r="Z506" s="4" t="str">
        <f t="shared" si="34"/>
        <v>{"couname":"Tu peux toucher","img":"https://i.scdn.co/image/ab67616d0000b2732752c4b1b5775dcdd81f47df","pty":"23","artist":"Ambriel, Yelle","genres":"pop francés,house francés,electroclash,electropop","duration":"192813","spotId":"53PRjczQXUh21lIxNwk3yL","Items":["-SADNE-","-ENERGY-","","","GN_FrenchElectro"]},</v>
      </c>
      <c r="AA506" s="5" t="s">
        <v>6100</v>
      </c>
      <c r="AB506" s="3" t="str">
        <f t="shared" si="35"/>
        <v>["-SADNE-","-ENERGY-","","","GN_FrenchElectro"]</v>
      </c>
      <c r="AC506" s="3" t="str">
        <f>_xlfn.XLOOKUP(A506,Album!A:A,Album!J:J)</f>
        <v>https://i.scdn.co/image/ab67616d0000b2732752c4b1b5775dcdd81f47df</v>
      </c>
      <c r="AD506" s="3"/>
      <c r="AE506" s="3"/>
      <c r="AF506" s="3"/>
      <c r="AG506" s="3"/>
      <c r="AH506" s="3"/>
    </row>
    <row r="507" spans="1:34" x14ac:dyDescent="0.3">
      <c r="A507" s="11" t="s">
        <v>2056</v>
      </c>
      <c r="B507" s="12" t="s">
        <v>2057</v>
      </c>
      <c r="C507" s="12" t="s">
        <v>2004</v>
      </c>
      <c r="D507" s="13" t="s">
        <v>1993</v>
      </c>
      <c r="E507" s="6">
        <v>40560</v>
      </c>
      <c r="F507" s="3">
        <v>253573</v>
      </c>
      <c r="G507" s="3">
        <v>23</v>
      </c>
      <c r="H507" s="3" t="s">
        <v>5467</v>
      </c>
      <c r="I507" s="3" t="s">
        <v>1983</v>
      </c>
      <c r="J507" s="3" t="s">
        <v>1994</v>
      </c>
      <c r="K507" s="3" t="s">
        <v>2002</v>
      </c>
      <c r="L507" s="3">
        <v>0.72199999999999998</v>
      </c>
      <c r="M507" s="3">
        <v>0.73899999999999999</v>
      </c>
      <c r="N507" s="3">
        <v>4</v>
      </c>
      <c r="O507" s="8">
        <v>-4156</v>
      </c>
      <c r="P507" s="3">
        <v>0</v>
      </c>
      <c r="Q507" s="3">
        <v>4.1200000000000001E-2</v>
      </c>
      <c r="R507" s="3">
        <v>6.1400000000000003E-2</v>
      </c>
      <c r="S507" s="3">
        <v>1.16E-3</v>
      </c>
      <c r="T507" s="3">
        <v>0.129</v>
      </c>
      <c r="U507" s="3">
        <v>0.78100000000000003</v>
      </c>
      <c r="V507" s="8">
        <v>125</v>
      </c>
      <c r="W507" s="3">
        <v>4</v>
      </c>
      <c r="X507" s="3" t="str">
        <f t="shared" si="32"/>
        <v>-HAPPY-</v>
      </c>
      <c r="Y507" s="3" t="str">
        <f t="shared" si="33"/>
        <v>-ENERGY-</v>
      </c>
      <c r="Z507" s="4" t="str">
        <f t="shared" si="34"/>
        <v>{"couname":"Comme un enfant","img":"https://i.scdn.co/image/ab67616d0000b2732a3613ff2c4649ec2a27b0ce","pty":"23","artist":"Yelle","genres":"pop francés,house francés,electroclash,electropop","duration":"253573","spotId":"0Te2a3FekGW0Y8iLmJr5L0","Items":["-HAPPY-","-ENERGY-","","","GN_FrenchElectro"]},</v>
      </c>
      <c r="AA507" s="5" t="s">
        <v>6100</v>
      </c>
      <c r="AB507" s="3" t="str">
        <f t="shared" si="35"/>
        <v>["-HAPPY-","-ENERGY-","","","GN_FrenchElectro"]</v>
      </c>
      <c r="AC507" s="3" t="str">
        <f>_xlfn.XLOOKUP(A507,Album!A:A,Album!J:J)</f>
        <v>https://i.scdn.co/image/ab67616d0000b2732a3613ff2c4649ec2a27b0ce</v>
      </c>
      <c r="AD507" s="3"/>
      <c r="AE507" s="3"/>
      <c r="AF507" s="3"/>
      <c r="AG507" s="3"/>
      <c r="AH507" s="3"/>
    </row>
    <row r="508" spans="1:34" x14ac:dyDescent="0.3">
      <c r="A508" s="11" t="s">
        <v>2058</v>
      </c>
      <c r="B508" s="12" t="s">
        <v>2059</v>
      </c>
      <c r="C508" s="12" t="s">
        <v>2001</v>
      </c>
      <c r="D508" s="13" t="s">
        <v>1993</v>
      </c>
      <c r="E508" s="6">
        <v>44078</v>
      </c>
      <c r="F508" s="3">
        <v>202156</v>
      </c>
      <c r="G508" s="3">
        <v>23</v>
      </c>
      <c r="H508" s="3" t="s">
        <v>5466</v>
      </c>
      <c r="I508" s="3" t="s">
        <v>1983</v>
      </c>
      <c r="J508" s="3" t="s">
        <v>1994</v>
      </c>
      <c r="K508" s="3" t="s">
        <v>2002</v>
      </c>
      <c r="L508" s="3">
        <v>0.78800000000000003</v>
      </c>
      <c r="M508" s="3">
        <v>0.59299999999999997</v>
      </c>
      <c r="N508" s="3">
        <v>6</v>
      </c>
      <c r="O508" s="8">
        <v>-6776</v>
      </c>
      <c r="P508" s="3">
        <v>1</v>
      </c>
      <c r="Q508" s="3">
        <v>4.8500000000000001E-2</v>
      </c>
      <c r="R508" s="3">
        <v>3.4000000000000002E-2</v>
      </c>
      <c r="S508" s="3">
        <v>1.08E-3</v>
      </c>
      <c r="T508" s="3">
        <v>5.2699999999999997E-2</v>
      </c>
      <c r="U508" s="3">
        <v>0.45100000000000001</v>
      </c>
      <c r="V508" s="8">
        <v>123967</v>
      </c>
      <c r="W508" s="3">
        <v>4</v>
      </c>
      <c r="X508" s="3" t="str">
        <f t="shared" si="32"/>
        <v>-HAPPY-</v>
      </c>
      <c r="Y508" s="3" t="str">
        <f t="shared" si="33"/>
        <v>-ENERGY-</v>
      </c>
      <c r="Z508" s="4" t="str">
        <f t="shared" si="34"/>
        <v>{"couname":"Vue d'en face","img":"https://i.scdn.co/image/ab67616d0000b273f44093d8178aec0848ab6e5a","pty":"23","artist":"Yelle","genres":"pop francés,house francés,electroclash,electropop","duration":"202156","spotId":"1HTHa7DI817mV9pZrwG5s7","Items":["-HAPPY-","-ENERGY-","","","GN_FrenchElectro"]},</v>
      </c>
      <c r="AA508" s="5" t="s">
        <v>6100</v>
      </c>
      <c r="AB508" s="3" t="str">
        <f t="shared" si="35"/>
        <v>["-HAPPY-","-ENERGY-","","","GN_FrenchElectro"]</v>
      </c>
      <c r="AC508" s="3" t="str">
        <f>_xlfn.XLOOKUP(A508,Album!A:A,Album!J:J)</f>
        <v>https://i.scdn.co/image/ab67616d0000b273f44093d8178aec0848ab6e5a</v>
      </c>
      <c r="AD508" s="3"/>
      <c r="AE508" s="3"/>
      <c r="AF508" s="3"/>
      <c r="AG508" s="3"/>
      <c r="AH508" s="3"/>
    </row>
    <row r="509" spans="1:34" x14ac:dyDescent="0.3">
      <c r="A509" s="11" t="s">
        <v>2065</v>
      </c>
      <c r="B509" s="12" t="s">
        <v>2066</v>
      </c>
      <c r="C509" s="12" t="s">
        <v>1992</v>
      </c>
      <c r="D509" s="13" t="s">
        <v>1993</v>
      </c>
      <c r="E509" s="6">
        <v>39325</v>
      </c>
      <c r="F509" s="3">
        <v>349120</v>
      </c>
      <c r="G509" s="3">
        <v>23</v>
      </c>
      <c r="H509" s="3" t="s">
        <v>5465</v>
      </c>
      <c r="I509" s="3" t="s">
        <v>1983</v>
      </c>
      <c r="J509" s="3" t="s">
        <v>1994</v>
      </c>
      <c r="K509" s="3" t="s">
        <v>83</v>
      </c>
      <c r="L509" s="3">
        <v>0.92400000000000004</v>
      </c>
      <c r="M509" s="3">
        <v>0.43099999999999999</v>
      </c>
      <c r="N509" s="3">
        <v>1</v>
      </c>
      <c r="O509" s="8">
        <v>-9091</v>
      </c>
      <c r="P509" s="3">
        <v>1</v>
      </c>
      <c r="Q509" s="3">
        <v>0.125</v>
      </c>
      <c r="R509" s="3">
        <v>6.3600000000000002E-3</v>
      </c>
      <c r="S509" s="3">
        <v>3.0800000000000001E-4</v>
      </c>
      <c r="T509" s="3">
        <v>0.29499999999999998</v>
      </c>
      <c r="U509" s="3">
        <v>0.28999999999999998</v>
      </c>
      <c r="V509" s="8">
        <v>116981</v>
      </c>
      <c r="W509" s="3">
        <v>4</v>
      </c>
      <c r="X509" s="3" t="str">
        <f t="shared" si="32"/>
        <v>-SADNE-</v>
      </c>
      <c r="Y509" s="3" t="str">
        <f t="shared" si="33"/>
        <v>-ENERGY-</v>
      </c>
      <c r="Z509" s="4" t="str">
        <f t="shared" si="34"/>
        <v>{"couname":"Tristesse / joie","img":"https://i.scdn.co/image/ab67616d0000b2735da1104c8104431eb16f831c","pty":"23","artist":"Yelle","genres":"pop francés,house francés,electroclash,electropop","duration":"349120","spotId":"782OONM1PMurXVSIyINPvY","Items":["-SADNE-","-ENERGY-","","","GN_FrenchElectro"]},</v>
      </c>
      <c r="AA509" s="5" t="s">
        <v>6100</v>
      </c>
      <c r="AB509" s="3" t="str">
        <f t="shared" si="35"/>
        <v>["-SADNE-","-ENERGY-","","","GN_FrenchElectro"]</v>
      </c>
      <c r="AC509" s="3" t="str">
        <f>_xlfn.XLOOKUP(A509,Album!A:A,Album!J:J)</f>
        <v>https://i.scdn.co/image/ab67616d0000b2735da1104c8104431eb16f831c</v>
      </c>
      <c r="AD509" s="3"/>
      <c r="AE509" s="3"/>
      <c r="AF509" s="3"/>
      <c r="AG509" s="3"/>
      <c r="AH509" s="3"/>
    </row>
    <row r="510" spans="1:34" x14ac:dyDescent="0.3">
      <c r="A510" s="11" t="s">
        <v>183</v>
      </c>
      <c r="B510" s="12" t="s">
        <v>5463</v>
      </c>
      <c r="C510" s="12" t="s">
        <v>174</v>
      </c>
      <c r="D510" s="13" t="s">
        <v>18</v>
      </c>
      <c r="E510" s="6">
        <v>32356</v>
      </c>
      <c r="F510" s="3">
        <v>296040</v>
      </c>
      <c r="G510" s="3">
        <v>22</v>
      </c>
      <c r="H510" s="3" t="s">
        <v>5464</v>
      </c>
      <c r="I510" s="3" t="s">
        <v>102</v>
      </c>
      <c r="J510" s="3" t="s">
        <v>103</v>
      </c>
      <c r="K510" s="3" t="s">
        <v>104</v>
      </c>
      <c r="L510" s="3">
        <v>0.54700000000000004</v>
      </c>
      <c r="M510" s="3">
        <v>0.90700000000000003</v>
      </c>
      <c r="N510" s="3">
        <v>3</v>
      </c>
      <c r="O510" s="8">
        <v>-7739</v>
      </c>
      <c r="P510" s="3">
        <v>1</v>
      </c>
      <c r="Q510" s="3">
        <v>7.1800000000000003E-2</v>
      </c>
      <c r="R510" s="3">
        <v>4.6399999999999997E-2</v>
      </c>
      <c r="S510" s="3">
        <v>0.21299999999999999</v>
      </c>
      <c r="T510" s="3">
        <v>0.26300000000000001</v>
      </c>
      <c r="U510" s="3">
        <v>0.44700000000000001</v>
      </c>
      <c r="V510" s="8">
        <v>129603</v>
      </c>
      <c r="W510" s="3">
        <v>4</v>
      </c>
      <c r="X510" s="3" t="str">
        <f t="shared" si="32"/>
        <v>-HAPPY-</v>
      </c>
      <c r="Y510" s="3" t="str">
        <f t="shared" si="33"/>
        <v>-ENERGY-</v>
      </c>
      <c r="Z510" s="4" t="str">
        <f t="shared" si="34"/>
        <v>{"couname":"Revolution, Revolutions","img":"https://i.scdn.co/image/ab67616d0000b273a230a349d6256817ee39c950","pty":"22","artist":"Jean-Michel Jarre","genres":"new age,electrónica,space music","duration":"296040","spotId":"5GCkIY71A7d1YSwT14mX6C","Items":["-HAPPY-","-ENERGY-","","","GN_FrenchElectro"]},</v>
      </c>
      <c r="AA510" s="5" t="s">
        <v>6100</v>
      </c>
      <c r="AB510" s="3" t="str">
        <f t="shared" si="35"/>
        <v>["-HAPPY-","-ENERGY-","","","GN_FrenchElectro"]</v>
      </c>
      <c r="AC510" s="3" t="str">
        <f>_xlfn.XLOOKUP(A510,Album!A:A,Album!J:J)</f>
        <v>https://i.scdn.co/image/ab67616d0000b273a230a349d6256817ee39c950</v>
      </c>
      <c r="AD510" s="3"/>
      <c r="AE510" s="3"/>
      <c r="AF510" s="3"/>
      <c r="AG510" s="3"/>
      <c r="AH510" s="3"/>
    </row>
    <row r="511" spans="1:34" x14ac:dyDescent="0.3">
      <c r="A511" s="11" t="s">
        <v>205</v>
      </c>
      <c r="B511" s="12" t="s">
        <v>5461</v>
      </c>
      <c r="C511" s="12" t="s">
        <v>204</v>
      </c>
      <c r="D511" s="13" t="s">
        <v>18</v>
      </c>
      <c r="E511" s="6">
        <v>42244</v>
      </c>
      <c r="F511" s="3">
        <v>365413</v>
      </c>
      <c r="G511" s="3">
        <v>22</v>
      </c>
      <c r="H511" s="3" t="s">
        <v>5462</v>
      </c>
      <c r="I511" s="3" t="s">
        <v>102</v>
      </c>
      <c r="J511" s="3" t="s">
        <v>103</v>
      </c>
      <c r="K511" s="3" t="s">
        <v>104</v>
      </c>
      <c r="L511" s="3">
        <v>0.48399999999999999</v>
      </c>
      <c r="M511" s="3">
        <v>0.86699999999999999</v>
      </c>
      <c r="N511" s="3">
        <v>10</v>
      </c>
      <c r="O511" s="8">
        <v>-8721</v>
      </c>
      <c r="P511" s="3">
        <v>0</v>
      </c>
      <c r="Q511" s="3">
        <v>4.1000000000000002E-2</v>
      </c>
      <c r="R511" s="3">
        <v>1.17E-4</v>
      </c>
      <c r="S511" s="3">
        <v>0.629</v>
      </c>
      <c r="T511" s="3">
        <v>0.14299999999999999</v>
      </c>
      <c r="U511" s="3">
        <v>0.218</v>
      </c>
      <c r="V511" s="8">
        <v>162143</v>
      </c>
      <c r="W511" s="3">
        <v>4</v>
      </c>
      <c r="X511" s="3" t="str">
        <f t="shared" si="32"/>
        <v>-SADNE-</v>
      </c>
      <c r="Y511" s="3" t="str">
        <f t="shared" si="33"/>
        <v>-ENERGY-</v>
      </c>
      <c r="Z511" s="4" t="str">
        <f t="shared" si="34"/>
        <v>{"couname":"Chronology, Pt. 2","img":"https://i.scdn.co/image/ab67616d0000b273dae32ab51194394f576a6f3c","pty":"22","artist":"Jean-Michel Jarre","genres":"new age,electrónica,space music","duration":"365413","spotId":"2Y9SDgNMSS7RQUNN50QXyJ","Items":["-SADNE-","-ENERGY-","","","GN_FrenchElectro"]},</v>
      </c>
      <c r="AA511" s="5" t="s">
        <v>6100</v>
      </c>
      <c r="AB511" s="3" t="str">
        <f t="shared" si="35"/>
        <v>["-SADNE-","-ENERGY-","","","GN_FrenchElectro"]</v>
      </c>
      <c r="AC511" s="3" t="str">
        <f>_xlfn.XLOOKUP(A511,Album!A:A,Album!J:J)</f>
        <v>https://i.scdn.co/image/ab67616d0000b273dae32ab51194394f576a6f3c</v>
      </c>
      <c r="AD511" s="3"/>
      <c r="AE511" s="3"/>
      <c r="AF511" s="3"/>
      <c r="AG511" s="3"/>
      <c r="AH511" s="3"/>
    </row>
    <row r="512" spans="1:34" x14ac:dyDescent="0.3">
      <c r="A512" s="11" t="s">
        <v>224</v>
      </c>
      <c r="B512" s="12" t="s">
        <v>225</v>
      </c>
      <c r="C512" s="12" t="s">
        <v>221</v>
      </c>
      <c r="D512" s="13" t="s">
        <v>18</v>
      </c>
      <c r="E512" s="6">
        <v>42706</v>
      </c>
      <c r="F512" s="3">
        <v>373333</v>
      </c>
      <c r="G512" s="3">
        <v>22</v>
      </c>
      <c r="H512" s="3" t="s">
        <v>5460</v>
      </c>
      <c r="I512" s="3" t="s">
        <v>102</v>
      </c>
      <c r="J512" s="3" t="s">
        <v>103</v>
      </c>
      <c r="K512" s="3" t="s">
        <v>104</v>
      </c>
      <c r="L512" s="3">
        <v>0.157</v>
      </c>
      <c r="M512" s="3">
        <v>0.46</v>
      </c>
      <c r="N512" s="3">
        <v>0</v>
      </c>
      <c r="O512" s="8">
        <v>-10.77</v>
      </c>
      <c r="P512" s="3">
        <v>0</v>
      </c>
      <c r="Q512" s="3">
        <v>3.1300000000000001E-2</v>
      </c>
      <c r="R512" s="3">
        <v>0.504</v>
      </c>
      <c r="S512" s="3">
        <v>0.61099999999999999</v>
      </c>
      <c r="T512" s="3">
        <v>0.20699999999999999</v>
      </c>
      <c r="U512" s="3">
        <v>3.4599999999999999E-2</v>
      </c>
      <c r="V512" s="8">
        <v>87184</v>
      </c>
      <c r="W512" s="3">
        <v>3</v>
      </c>
      <c r="X512" s="3" t="str">
        <f t="shared" si="32"/>
        <v>-SADNE-</v>
      </c>
      <c r="Y512" s="3" t="str">
        <f t="shared" si="33"/>
        <v>-SLOWSS-</v>
      </c>
      <c r="Z512" s="4" t="str">
        <f t="shared" si="34"/>
        <v>{"couname":"Oxygene, Pt. 9","img":"https://i.scdn.co/image/ab67616d0000b273f0ebde6d9dd82a4f12462245","pty":"22","artist":"Jean-Michel Jarre","genres":"new age,electrónica,space music","duration":"373333","spotId":"4iyRdqr6dcXuK6Sgdkxsg2","Items":["-SADNE-","-SLOWSS-","","","GN_FrenchElectro"]},</v>
      </c>
      <c r="AA512" s="5" t="s">
        <v>6100</v>
      </c>
      <c r="AB512" s="3" t="str">
        <f t="shared" si="35"/>
        <v>["-SADNE-","-SLOWSS-","","","GN_FrenchElectro"]</v>
      </c>
      <c r="AC512" s="3" t="str">
        <f>_xlfn.XLOOKUP(A512,Album!A:A,Album!J:J)</f>
        <v>https://i.scdn.co/image/ab67616d0000b273f0ebde6d9dd82a4f12462245</v>
      </c>
      <c r="AD512" s="3"/>
      <c r="AE512" s="3"/>
      <c r="AF512" s="3"/>
      <c r="AG512" s="3"/>
      <c r="AH512" s="3"/>
    </row>
    <row r="513" spans="1:34" x14ac:dyDescent="0.3">
      <c r="A513" s="11" t="s">
        <v>238</v>
      </c>
      <c r="B513" s="12" t="s">
        <v>239</v>
      </c>
      <c r="C513" s="12" t="s">
        <v>236</v>
      </c>
      <c r="D513" s="13" t="s">
        <v>2247</v>
      </c>
      <c r="E513" s="6">
        <v>42293</v>
      </c>
      <c r="F513" s="3">
        <v>236360</v>
      </c>
      <c r="G513" s="3">
        <v>22</v>
      </c>
      <c r="H513" s="3" t="s">
        <v>5459</v>
      </c>
      <c r="I513" s="3" t="s">
        <v>102</v>
      </c>
      <c r="J513" s="3" t="s">
        <v>240</v>
      </c>
      <c r="K513" s="3" t="s">
        <v>84</v>
      </c>
      <c r="L513" s="3">
        <v>0.53900000000000003</v>
      </c>
      <c r="M513" s="3">
        <v>0.88400000000000001</v>
      </c>
      <c r="N513" s="3">
        <v>0</v>
      </c>
      <c r="O513" s="8">
        <v>-5311</v>
      </c>
      <c r="P513" s="3">
        <v>1</v>
      </c>
      <c r="Q513" s="3">
        <v>4.3499999999999997E-2</v>
      </c>
      <c r="R513" s="3">
        <v>0.26</v>
      </c>
      <c r="S513" s="3">
        <v>0.57499999999999996</v>
      </c>
      <c r="T513" s="3">
        <v>0.30399999999999999</v>
      </c>
      <c r="U513" s="3">
        <v>0.16800000000000001</v>
      </c>
      <c r="V513" s="8">
        <v>120035</v>
      </c>
      <c r="W513" s="3">
        <v>4</v>
      </c>
      <c r="X513" s="3" t="str">
        <f t="shared" si="32"/>
        <v>-SADNE-</v>
      </c>
      <c r="Y513" s="3" t="str">
        <f t="shared" si="33"/>
        <v>-ENERGY-</v>
      </c>
      <c r="Z513" s="4" t="str">
        <f t="shared" si="34"/>
        <v>{"couname":"Glory","img":"https://i.scdn.co/image/ab67616d0000b27376987a71d6639ea8f44b5c09","pty":"22","artist":"Jean-Michel Jarre, M83","genres":"new age,electrónica,space music,indietronica","duration":"236360","spotId":"5cqVCvkfwsYh88VXdt5HTq","Items":["-SADNE-","-ENERGY-","","","GN_FrenchElectro"]},</v>
      </c>
      <c r="AA513" s="5" t="s">
        <v>6100</v>
      </c>
      <c r="AB513" s="3" t="str">
        <f t="shared" si="35"/>
        <v>["-SADNE-","-ENERGY-","","","GN_FrenchElectro"]</v>
      </c>
      <c r="AC513" s="3" t="str">
        <f>_xlfn.XLOOKUP(A513,Album!A:A,Album!J:J)</f>
        <v>https://i.scdn.co/image/ab67616d0000b27376987a71d6639ea8f44b5c09</v>
      </c>
      <c r="AD513" s="3"/>
      <c r="AE513" s="3"/>
      <c r="AF513" s="3"/>
      <c r="AG513" s="3"/>
      <c r="AH513" s="3"/>
    </row>
    <row r="514" spans="1:34" x14ac:dyDescent="0.3">
      <c r="A514" s="11" t="s">
        <v>434</v>
      </c>
      <c r="B514" s="12" t="s">
        <v>5457</v>
      </c>
      <c r="C514" s="12" t="s">
        <v>417</v>
      </c>
      <c r="D514" s="13" t="s">
        <v>18</v>
      </c>
      <c r="E514" s="6">
        <v>2018</v>
      </c>
      <c r="F514" s="3">
        <v>452854</v>
      </c>
      <c r="G514" s="3">
        <v>22</v>
      </c>
      <c r="H514" s="3" t="s">
        <v>5458</v>
      </c>
      <c r="I514" s="3" t="s">
        <v>102</v>
      </c>
      <c r="J514" s="3" t="s">
        <v>103</v>
      </c>
      <c r="K514" s="3" t="s">
        <v>87</v>
      </c>
      <c r="L514" s="3">
        <v>8.09E-2</v>
      </c>
      <c r="M514" s="3">
        <v>0.35299999999999998</v>
      </c>
      <c r="N514" s="3">
        <v>2</v>
      </c>
      <c r="O514" s="8">
        <v>-14.22</v>
      </c>
      <c r="P514" s="3">
        <v>1</v>
      </c>
      <c r="Q514" s="3">
        <v>3.7600000000000001E-2</v>
      </c>
      <c r="R514" s="3">
        <v>0.90200000000000002</v>
      </c>
      <c r="S514" s="3">
        <v>0.94899999999999995</v>
      </c>
      <c r="T514" s="3">
        <v>9.3700000000000006E-2</v>
      </c>
      <c r="U514" s="3">
        <v>4.2299999999999997E-2</v>
      </c>
      <c r="V514" s="8">
        <v>56.6</v>
      </c>
      <c r="W514" s="3">
        <v>4</v>
      </c>
      <c r="X514" s="3" t="str">
        <f t="shared" si="32"/>
        <v>-SADNE-</v>
      </c>
      <c r="Y514" s="3" t="str">
        <f t="shared" si="33"/>
        <v>-SLOWSS-</v>
      </c>
      <c r="Z514" s="4" t="str">
        <f t="shared" si="34"/>
        <v>{"couname":"EQUINOXE INFINITY","img":"https://i.scdn.co/image/ab67616d0000b273549c7972b8511360e8761adf","pty":"22","artist":"Jean-Michel Jarre","genres":"new age,electrónica,space music","duration":"452854","spotId":"6VVKI8eTwXeu6Clug8A4O0","Items":["-SADNE-","-SLOWSS-","","","GN_FrenchElectro"]},</v>
      </c>
      <c r="AA514" s="5" t="s">
        <v>6100</v>
      </c>
      <c r="AB514" s="3" t="str">
        <f t="shared" si="35"/>
        <v>["-SADNE-","-SLOWSS-","","","GN_FrenchElectro"]</v>
      </c>
      <c r="AC514" s="3" t="str">
        <f>_xlfn.XLOOKUP(A514,Album!A:A,Album!J:J)</f>
        <v>https://i.scdn.co/image/ab67616d0000b273549c7972b8511360e8761adf</v>
      </c>
      <c r="AD514" s="3"/>
      <c r="AE514" s="3"/>
      <c r="AF514" s="3"/>
      <c r="AG514" s="3"/>
      <c r="AH514" s="3"/>
    </row>
    <row r="515" spans="1:34" x14ac:dyDescent="0.3">
      <c r="A515" s="11" t="s">
        <v>515</v>
      </c>
      <c r="B515" s="12" t="s">
        <v>5455</v>
      </c>
      <c r="C515" s="12" t="s">
        <v>517</v>
      </c>
      <c r="D515" s="13" t="s">
        <v>2625</v>
      </c>
      <c r="E515" s="6">
        <v>38504</v>
      </c>
      <c r="F515" s="3">
        <v>192230</v>
      </c>
      <c r="G515" s="3">
        <v>22</v>
      </c>
      <c r="H515" s="3" t="s">
        <v>5456</v>
      </c>
      <c r="I515" s="3" t="s">
        <v>462</v>
      </c>
      <c r="J515" s="3" t="s">
        <v>518</v>
      </c>
      <c r="K515" s="3" t="s">
        <v>469</v>
      </c>
      <c r="L515" s="3">
        <v>0.752</v>
      </c>
      <c r="M515" s="3">
        <v>0.84299999999999997</v>
      </c>
      <c r="N515" s="3">
        <v>8</v>
      </c>
      <c r="O515" s="8">
        <v>-8801</v>
      </c>
      <c r="P515" s="3">
        <v>1</v>
      </c>
      <c r="Q515" s="3">
        <v>4.7E-2</v>
      </c>
      <c r="R515" s="3">
        <v>0.111</v>
      </c>
      <c r="S515" s="3">
        <v>1.46E-2</v>
      </c>
      <c r="T515" s="3">
        <v>5.5100000000000003E-2</v>
      </c>
      <c r="U515" s="3">
        <v>0.69499999999999995</v>
      </c>
      <c r="V515" s="8">
        <v>130043</v>
      </c>
      <c r="W515" s="3">
        <v>4</v>
      </c>
      <c r="X515" s="3" t="str">
        <f t="shared" ref="X515:X578" si="36">IF(OR(U515&lt;0.301, AND(U515&lt;0.4, P515=0)), "-SADNE-", "-HAPPY-")</f>
        <v>-HAPPY-</v>
      </c>
      <c r="Y515" s="3" t="str">
        <f t="shared" ref="Y515:Y578" si="37">IF(OR(AND(L515&lt;0.5,M515&lt;0.5),AND(L515&lt;0.45,V515&lt;100),AND(M515&lt;0.45,V515&lt;100),AND(U515&lt;0.39,V515&lt;100)),"-SLOWSS-","-ENERGY-")</f>
        <v>-ENERGY-</v>
      </c>
      <c r="Z515" s="4" t="str">
        <f t="shared" ref="Z515:Z578" si="38">"{"&amp;CHAR(34)&amp;"couname"&amp;CHAR(34)&amp;":"&amp;CHAR(34)&amp;B515&amp;CHAR(34)&amp;","&amp;CHAR(34)&amp;"img"&amp;CHAR(34)&amp;":"&amp;CHAR(34)&amp;AC515&amp;CHAR(34)&amp;","&amp;CHAR(34)&amp;"pty"&amp;CHAR(34)&amp;":"&amp;CHAR(34)&amp;G515&amp;CHAR(34)&amp;","&amp;CHAR(34)&amp;"artist"&amp;CHAR(34)&amp;":"&amp;CHAR(34)&amp;D515&amp;CHAR(34)&amp;","&amp;CHAR(34)&amp;"genres"&amp;CHAR(34)&amp;":"&amp;CHAR(34)&amp;J515&amp;CHAR(34)&amp;","&amp;CHAR(34)&amp;"duration"&amp;CHAR(34)&amp;":"&amp;CHAR(34)&amp;F515&amp;CHAR(34)&amp;","&amp;CHAR(34)&amp;"spotId"&amp;CHAR(34)&amp;":"&amp;CHAR(34)&amp;A515&amp;CHAR(34)&amp;","&amp;CHAR(34)&amp;"Items"&amp;CHAR(34)&amp;":"&amp;AB515&amp;"},"</f>
        <v>{"couname":"Summer Moon","img":"https://i.scdn.co/image/ab67616d0000b27303d074dc5a376442644a3a0b","pty":"22","artist":"Africanism, Bob Sinclar, David Guetta, Joachim Garraud, Tim Deluxe, Ben Onono","genres":"house francés,tribal house,house latino,afro house,disco house,edm,dance,electro house,funky house","duration":"192230","spotId":"6mXnVOmZxvtvZgyS3h36qe","Items":["-HAPPY-","-ENERGY-","","","GN_FrenchElectro"]},</v>
      </c>
      <c r="AA515" s="5" t="s">
        <v>6100</v>
      </c>
      <c r="AB515" s="3" t="str">
        <f t="shared" ref="AB515:AB578" si="39" xml:space="preserve"> "[" &amp; _xlfn.TEXTJOIN(",",TRUE,CHAR(34) &amp; X515&amp; CHAR(34), CHAR(34) &amp; Y515 &amp; CHAR(34),  CHAR(34) &amp; AF515 &amp; CHAR(34), CHAR(34) &amp;AG515 &amp; CHAR(34), CHAR(34) &amp; AA515 &amp; CHAR(34)) &amp; "]"</f>
        <v>["-HAPPY-","-ENERGY-","","","GN_FrenchElectro"]</v>
      </c>
      <c r="AC515" s="3" t="str">
        <f>_xlfn.XLOOKUP(A515,Album!A:A,Album!J:J)</f>
        <v>https://i.scdn.co/image/ab67616d0000b27303d074dc5a376442644a3a0b</v>
      </c>
      <c r="AD515" s="3"/>
      <c r="AE515" s="3"/>
      <c r="AF515" s="3"/>
      <c r="AG515" s="3"/>
      <c r="AH515" s="3"/>
    </row>
    <row r="516" spans="1:34" x14ac:dyDescent="0.3">
      <c r="A516" s="11" t="s">
        <v>683</v>
      </c>
      <c r="B516" s="12" t="s">
        <v>685</v>
      </c>
      <c r="C516" s="12" t="s">
        <v>685</v>
      </c>
      <c r="D516" s="13" t="s">
        <v>2914</v>
      </c>
      <c r="E516" s="6">
        <v>41275</v>
      </c>
      <c r="F516" s="3">
        <v>171038</v>
      </c>
      <c r="G516" s="3">
        <v>22</v>
      </c>
      <c r="H516" s="3" t="s">
        <v>5454</v>
      </c>
      <c r="I516" s="3" t="s">
        <v>639</v>
      </c>
      <c r="J516" s="3" t="s">
        <v>686</v>
      </c>
      <c r="K516" s="3" t="s">
        <v>687</v>
      </c>
      <c r="L516" s="3">
        <v>0.76600000000000001</v>
      </c>
      <c r="M516" s="3">
        <v>0.92200000000000004</v>
      </c>
      <c r="N516" s="3">
        <v>8</v>
      </c>
      <c r="O516" s="8">
        <v>-2133</v>
      </c>
      <c r="P516" s="3">
        <v>1</v>
      </c>
      <c r="Q516" s="3">
        <v>4.6800000000000001E-2</v>
      </c>
      <c r="R516" s="3">
        <v>2.8199999999999999E-2</v>
      </c>
      <c r="S516" s="3">
        <v>8.7399999999999995E-3</v>
      </c>
      <c r="T516" s="3">
        <v>0.14399999999999999</v>
      </c>
      <c r="U516" s="3">
        <v>0.61699999999999999</v>
      </c>
      <c r="V516" s="8">
        <v>128008</v>
      </c>
      <c r="W516" s="3">
        <v>4</v>
      </c>
      <c r="X516" s="3" t="str">
        <f t="shared" si="36"/>
        <v>-HAPPY-</v>
      </c>
      <c r="Y516" s="3" t="str">
        <f t="shared" si="37"/>
        <v>-ENERGY-</v>
      </c>
      <c r="Z516" s="4" t="str">
        <f t="shared" si="38"/>
        <v>{"couname":"Blow","img":"https://i.scdn.co/image/ab67616d0000b273041d38cdd50a09758ca9d2b5","pty":"22","artist":"Martin Solveig, Laidback Luke","genres":"house francés,big room,electro house","duration":"171038","spotId":"48jF98ZchEUimJtaKJplZk","Items":["-HAPPY-","-ENERGY-","","","GN_FrenchElectro"]},</v>
      </c>
      <c r="AA516" s="5" t="s">
        <v>6100</v>
      </c>
      <c r="AB516" s="3" t="str">
        <f t="shared" si="39"/>
        <v>["-HAPPY-","-ENERGY-","","","GN_FrenchElectro"]</v>
      </c>
      <c r="AC516" s="3" t="str">
        <f>_xlfn.XLOOKUP(A516,Album!A:A,Album!J:J)</f>
        <v>https://i.scdn.co/image/ab67616d0000b273041d38cdd50a09758ca9d2b5</v>
      </c>
      <c r="AD516" s="3"/>
      <c r="AE516" s="3"/>
      <c r="AF516" s="3"/>
      <c r="AG516" s="3"/>
      <c r="AH516" s="3"/>
    </row>
    <row r="517" spans="1:34" x14ac:dyDescent="0.3">
      <c r="A517" s="11" t="s">
        <v>1728</v>
      </c>
      <c r="B517" s="12" t="s">
        <v>1729</v>
      </c>
      <c r="C517" s="12" t="s">
        <v>1683</v>
      </c>
      <c r="D517" s="13" t="s">
        <v>1674</v>
      </c>
      <c r="E517" s="6">
        <v>1999</v>
      </c>
      <c r="F517" s="3">
        <v>367373</v>
      </c>
      <c r="G517" s="3">
        <v>22</v>
      </c>
      <c r="H517" s="3" t="s">
        <v>5453</v>
      </c>
      <c r="I517" s="3" t="s">
        <v>1675</v>
      </c>
      <c r="J517" s="3" t="s">
        <v>463</v>
      </c>
      <c r="K517" s="3" t="s">
        <v>1680</v>
      </c>
      <c r="L517" s="3">
        <v>0.8</v>
      </c>
      <c r="M517" s="3">
        <v>0.69699999999999995</v>
      </c>
      <c r="N517" s="3">
        <v>1</v>
      </c>
      <c r="O517" s="8">
        <v>-10203</v>
      </c>
      <c r="P517" s="3">
        <v>1</v>
      </c>
      <c r="Q517" s="3">
        <v>0.14799999999999999</v>
      </c>
      <c r="R517" s="3">
        <v>2.9300000000000001E-5</v>
      </c>
      <c r="S517" s="3">
        <v>0.88900000000000001</v>
      </c>
      <c r="T517" s="3">
        <v>4.58E-2</v>
      </c>
      <c r="U517" s="3">
        <v>0.54100000000000004</v>
      </c>
      <c r="V517" s="8">
        <v>126492</v>
      </c>
      <c r="W517" s="3">
        <v>4</v>
      </c>
      <c r="X517" s="3" t="str">
        <f t="shared" si="36"/>
        <v>-HAPPY-</v>
      </c>
      <c r="Y517" s="3" t="str">
        <f t="shared" si="37"/>
        <v>-ENERGY-</v>
      </c>
      <c r="Z517" s="4" t="str">
        <f t="shared" si="38"/>
        <v>{"couname":"Foxxy","img":"https://i.scdn.co/image/ab67616d0000b2731d86f0dd2c46c5d75cf07bdd","pty":"22","artist":"Cassius","genres":"house francés,disco house","duration":"367373","spotId":"2fuYIxtQ5RaI2jtk8ZBm8u","Items":["-HAPPY-","-ENERGY-","","","GN_FrenchElectro"]},</v>
      </c>
      <c r="AA517" s="5" t="s">
        <v>6100</v>
      </c>
      <c r="AB517" s="3" t="str">
        <f t="shared" si="39"/>
        <v>["-HAPPY-","-ENERGY-","","","GN_FrenchElectro"]</v>
      </c>
      <c r="AC517" s="3" t="str">
        <f>_xlfn.XLOOKUP(A517,Album!A:A,Album!J:J)</f>
        <v>https://i.scdn.co/image/ab67616d0000b2731d86f0dd2c46c5d75cf07bdd</v>
      </c>
      <c r="AD517" s="3"/>
      <c r="AE517" s="3"/>
      <c r="AF517" s="3"/>
      <c r="AG517" s="3"/>
      <c r="AH517" s="3"/>
    </row>
    <row r="518" spans="1:34" x14ac:dyDescent="0.3">
      <c r="A518" s="11" t="s">
        <v>2051</v>
      </c>
      <c r="B518" s="12" t="s">
        <v>2052</v>
      </c>
      <c r="C518" s="12" t="s">
        <v>2052</v>
      </c>
      <c r="D518" s="13" t="s">
        <v>1993</v>
      </c>
      <c r="E518" s="6">
        <v>43000</v>
      </c>
      <c r="F518" s="3">
        <v>210329</v>
      </c>
      <c r="G518" s="3">
        <v>22</v>
      </c>
      <c r="H518" s="3" t="s">
        <v>5452</v>
      </c>
      <c r="I518" s="3" t="s">
        <v>1983</v>
      </c>
      <c r="J518" s="3" t="s">
        <v>1994</v>
      </c>
      <c r="K518" s="3" t="s">
        <v>2002</v>
      </c>
      <c r="L518" s="3">
        <v>0.47199999999999998</v>
      </c>
      <c r="M518" s="3">
        <v>0.78300000000000003</v>
      </c>
      <c r="N518" s="3">
        <v>5</v>
      </c>
      <c r="O518" s="8">
        <v>-7513</v>
      </c>
      <c r="P518" s="3">
        <v>0</v>
      </c>
      <c r="Q518" s="3">
        <v>4.6399999999999997E-2</v>
      </c>
      <c r="R518" s="3">
        <v>7.6600000000000001E-2</v>
      </c>
      <c r="S518" s="3">
        <v>2.0299999999999999E-2</v>
      </c>
      <c r="T518" s="3">
        <v>0.124</v>
      </c>
      <c r="U518" s="3">
        <v>0.502</v>
      </c>
      <c r="V518" s="8">
        <v>120001</v>
      </c>
      <c r="W518" s="3">
        <v>4</v>
      </c>
      <c r="X518" s="3" t="str">
        <f t="shared" si="36"/>
        <v>-HAPPY-</v>
      </c>
      <c r="Y518" s="3" t="str">
        <f t="shared" si="37"/>
        <v>-ENERGY-</v>
      </c>
      <c r="Z518" s="4" t="str">
        <f t="shared" si="38"/>
        <v>{"couname":"Romeo","img":"https://i.scdn.co/image/ab67616d0000b27365cec576cc177885fc4ed8b9","pty":"22","artist":"Yelle","genres":"pop francés,house francés,electroclash,electropop","duration":"210329","spotId":"2eljp0UvqxmnHoyHyd7x8z","Items":["-HAPPY-","-ENERGY-","","","GN_FrenchElectro"]},</v>
      </c>
      <c r="AA518" s="5" t="s">
        <v>6100</v>
      </c>
      <c r="AB518" s="3" t="str">
        <f t="shared" si="39"/>
        <v>["-HAPPY-","-ENERGY-","","","GN_FrenchElectro"]</v>
      </c>
      <c r="AC518" s="3" t="str">
        <f>_xlfn.XLOOKUP(A518,Album!A:A,Album!J:J)</f>
        <v>https://i.scdn.co/image/ab67616d0000b27365cec576cc177885fc4ed8b9</v>
      </c>
      <c r="AD518" s="3"/>
      <c r="AE518" s="3"/>
      <c r="AF518" s="3"/>
      <c r="AG518" s="3"/>
      <c r="AH518" s="3"/>
    </row>
    <row r="519" spans="1:34" x14ac:dyDescent="0.3">
      <c r="A519" s="11" t="s">
        <v>2070</v>
      </c>
      <c r="B519" s="12" t="s">
        <v>2071</v>
      </c>
      <c r="C519" s="12" t="s">
        <v>2001</v>
      </c>
      <c r="D519" s="13" t="s">
        <v>1993</v>
      </c>
      <c r="E519" s="6">
        <v>44078</v>
      </c>
      <c r="F519" s="3">
        <v>173554</v>
      </c>
      <c r="G519" s="3">
        <v>22</v>
      </c>
      <c r="H519" s="3" t="s">
        <v>5451</v>
      </c>
      <c r="I519" s="3" t="s">
        <v>1983</v>
      </c>
      <c r="J519" s="3" t="s">
        <v>1994</v>
      </c>
      <c r="K519" s="3" t="s">
        <v>2002</v>
      </c>
      <c r="L519" s="3">
        <v>0.74</v>
      </c>
      <c r="M519" s="3">
        <v>0.54900000000000004</v>
      </c>
      <c r="N519" s="3">
        <v>1</v>
      </c>
      <c r="O519" s="8">
        <v>-9.07</v>
      </c>
      <c r="P519" s="3">
        <v>0</v>
      </c>
      <c r="Q519" s="3">
        <v>4.1700000000000001E-2</v>
      </c>
      <c r="R519" s="3">
        <v>8.3600000000000005E-4</v>
      </c>
      <c r="S519" s="3">
        <v>0.79600000000000004</v>
      </c>
      <c r="T519" s="3">
        <v>0.109</v>
      </c>
      <c r="U519" s="3">
        <v>0.70599999999999996</v>
      </c>
      <c r="V519" s="8">
        <v>113009</v>
      </c>
      <c r="W519" s="3">
        <v>4</v>
      </c>
      <c r="X519" s="3" t="str">
        <f t="shared" si="36"/>
        <v>-HAPPY-</v>
      </c>
      <c r="Y519" s="3" t="str">
        <f t="shared" si="37"/>
        <v>-ENERGY-</v>
      </c>
      <c r="Z519" s="4" t="str">
        <f t="shared" si="38"/>
        <v>{"couname":"Emancipense","img":"https://i.scdn.co/image/ab67616d0000b273f44093d8178aec0848ab6e5a","pty":"22","artist":"Yelle","genres":"pop francés,house francés,electroclash,electropop","duration":"173554","spotId":"1KvgSMOsFH2hgGMg2yNSzE","Items":["-HAPPY-","-ENERGY-","","","GN_FrenchElectro"]},</v>
      </c>
      <c r="AA519" s="5" t="s">
        <v>6100</v>
      </c>
      <c r="AB519" s="3" t="str">
        <f t="shared" si="39"/>
        <v>["-HAPPY-","-ENERGY-","","","GN_FrenchElectro"]</v>
      </c>
      <c r="AC519" s="3" t="str">
        <f>_xlfn.XLOOKUP(A519,Album!A:A,Album!J:J)</f>
        <v>https://i.scdn.co/image/ab67616d0000b273f44093d8178aec0848ab6e5a</v>
      </c>
      <c r="AD519" s="3"/>
      <c r="AE519" s="3"/>
      <c r="AF519" s="3"/>
      <c r="AG519" s="3"/>
      <c r="AH519" s="3"/>
    </row>
    <row r="520" spans="1:34" x14ac:dyDescent="0.3">
      <c r="A520" s="11" t="s">
        <v>202</v>
      </c>
      <c r="B520" s="12" t="s">
        <v>5449</v>
      </c>
      <c r="C520" s="12" t="s">
        <v>204</v>
      </c>
      <c r="D520" s="13" t="s">
        <v>18</v>
      </c>
      <c r="E520" s="6">
        <v>42244</v>
      </c>
      <c r="F520" s="3">
        <v>660440</v>
      </c>
      <c r="G520" s="3">
        <v>21</v>
      </c>
      <c r="H520" s="3" t="s">
        <v>5450</v>
      </c>
      <c r="I520" s="3" t="s">
        <v>102</v>
      </c>
      <c r="J520" s="3" t="s">
        <v>103</v>
      </c>
      <c r="K520" s="3" t="s">
        <v>104</v>
      </c>
      <c r="L520" s="3">
        <v>0.159</v>
      </c>
      <c r="M520" s="3">
        <v>0.41199999999999998</v>
      </c>
      <c r="N520" s="3">
        <v>8</v>
      </c>
      <c r="O520" s="8">
        <v>-12502</v>
      </c>
      <c r="P520" s="3">
        <v>1</v>
      </c>
      <c r="Q520" s="3">
        <v>3.4599999999999999E-2</v>
      </c>
      <c r="R520" s="3">
        <v>1.7500000000000002E-2</v>
      </c>
      <c r="S520" s="3">
        <v>0.92300000000000004</v>
      </c>
      <c r="T520" s="3">
        <v>0.109</v>
      </c>
      <c r="U520" s="3">
        <v>3.6299999999999999E-2</v>
      </c>
      <c r="V520" s="8">
        <v>140617</v>
      </c>
      <c r="W520" s="3">
        <v>5</v>
      </c>
      <c r="X520" s="3" t="str">
        <f t="shared" si="36"/>
        <v>-SADNE-</v>
      </c>
      <c r="Y520" s="3" t="str">
        <f t="shared" si="37"/>
        <v>-SLOWSS-</v>
      </c>
      <c r="Z520" s="4" t="str">
        <f t="shared" si="38"/>
        <v>{"couname":"Chronology, Pt. 1","img":"https://i.scdn.co/image/ab67616d0000b273dae32ab51194394f576a6f3c","pty":"21","artist":"Jean-Michel Jarre","genres":"new age,electrónica,space music","duration":"660440","spotId":"1GHtYVZiwvoe4oaGOKy41t","Items":["-SADNE-","-SLOWSS-","","","GN_FrenchElectro"]},</v>
      </c>
      <c r="AA520" s="5" t="s">
        <v>6100</v>
      </c>
      <c r="AB520" s="3" t="str">
        <f t="shared" si="39"/>
        <v>["-SADNE-","-SLOWSS-","","","GN_FrenchElectro"]</v>
      </c>
      <c r="AC520" s="3" t="str">
        <f>_xlfn.XLOOKUP(A520,Album!A:A,Album!J:J)</f>
        <v>https://i.scdn.co/image/ab67616d0000b273dae32ab51194394f576a6f3c</v>
      </c>
      <c r="AD520" s="3"/>
      <c r="AE520" s="3"/>
      <c r="AF520" s="3"/>
      <c r="AG520" s="3"/>
      <c r="AH520" s="3"/>
    </row>
    <row r="521" spans="1:34" x14ac:dyDescent="0.3">
      <c r="A521" s="11" t="s">
        <v>228</v>
      </c>
      <c r="B521" s="12" t="s">
        <v>229</v>
      </c>
      <c r="C521" s="12" t="s">
        <v>221</v>
      </c>
      <c r="D521" s="13" t="s">
        <v>18</v>
      </c>
      <c r="E521" s="6">
        <v>42706</v>
      </c>
      <c r="F521" s="3">
        <v>298053</v>
      </c>
      <c r="G521" s="3">
        <v>21</v>
      </c>
      <c r="H521" s="3" t="s">
        <v>5448</v>
      </c>
      <c r="I521" s="3" t="s">
        <v>102</v>
      </c>
      <c r="J521" s="3" t="s">
        <v>103</v>
      </c>
      <c r="K521" s="3" t="s">
        <v>104</v>
      </c>
      <c r="L521" s="3">
        <v>0.55500000000000005</v>
      </c>
      <c r="M521" s="3">
        <v>0.92400000000000004</v>
      </c>
      <c r="N521" s="3">
        <v>0</v>
      </c>
      <c r="O521" s="8">
        <v>-7294</v>
      </c>
      <c r="P521" s="3">
        <v>1</v>
      </c>
      <c r="Q521" s="3">
        <v>5.0200000000000002E-2</v>
      </c>
      <c r="R521" s="3">
        <v>0.248</v>
      </c>
      <c r="S521" s="3">
        <v>0.91900000000000004</v>
      </c>
      <c r="T521" s="3">
        <v>0.57899999999999996</v>
      </c>
      <c r="U521" s="3">
        <v>0.749</v>
      </c>
      <c r="V521" s="8">
        <v>139992</v>
      </c>
      <c r="W521" s="3">
        <v>4</v>
      </c>
      <c r="X521" s="3" t="str">
        <f t="shared" si="36"/>
        <v>-HAPPY-</v>
      </c>
      <c r="Y521" s="3" t="str">
        <f t="shared" si="37"/>
        <v>-ENERGY-</v>
      </c>
      <c r="Z521" s="4" t="str">
        <f t="shared" si="38"/>
        <v>{"couname":"Oxygene, Pt. 11","img":"https://i.scdn.co/image/ab67616d0000b273f0ebde6d9dd82a4f12462245","pty":"21","artist":"Jean-Michel Jarre","genres":"new age,electrónica,space music","duration":"298053","spotId":"4GthiA5PmK7dVygni8Cypl","Items":["-HAPPY-","-ENERGY-","","","GN_FrenchElectro"]},</v>
      </c>
      <c r="AA521" s="5" t="s">
        <v>6100</v>
      </c>
      <c r="AB521" s="3" t="str">
        <f t="shared" si="39"/>
        <v>["-HAPPY-","-ENERGY-","","","GN_FrenchElectro"]</v>
      </c>
      <c r="AC521" s="3" t="str">
        <f>_xlfn.XLOOKUP(A521,Album!A:A,Album!J:J)</f>
        <v>https://i.scdn.co/image/ab67616d0000b273f0ebde6d9dd82a4f12462245</v>
      </c>
      <c r="AD521" s="3"/>
      <c r="AE521" s="3"/>
      <c r="AF521" s="3"/>
      <c r="AG521" s="3"/>
      <c r="AH521" s="3"/>
    </row>
    <row r="522" spans="1:34" x14ac:dyDescent="0.3">
      <c r="A522" s="11" t="s">
        <v>232</v>
      </c>
      <c r="B522" s="12" t="s">
        <v>233</v>
      </c>
      <c r="C522" s="12" t="s">
        <v>221</v>
      </c>
      <c r="D522" s="13" t="s">
        <v>18</v>
      </c>
      <c r="E522" s="6">
        <v>42706</v>
      </c>
      <c r="F522" s="3">
        <v>265213</v>
      </c>
      <c r="G522" s="3">
        <v>21</v>
      </c>
      <c r="H522" s="3" t="s">
        <v>5447</v>
      </c>
      <c r="I522" s="3" t="s">
        <v>102</v>
      </c>
      <c r="J522" s="3" t="s">
        <v>103</v>
      </c>
      <c r="K522" s="3" t="s">
        <v>104</v>
      </c>
      <c r="L522" s="3">
        <v>0.59399999999999997</v>
      </c>
      <c r="M522" s="3">
        <v>0.91600000000000004</v>
      </c>
      <c r="N522" s="3">
        <v>0</v>
      </c>
      <c r="O522" s="8">
        <v>-7299</v>
      </c>
      <c r="P522" s="3">
        <v>0</v>
      </c>
      <c r="Q522" s="3">
        <v>5.04E-2</v>
      </c>
      <c r="R522" s="3">
        <v>3.6800000000000001E-3</v>
      </c>
      <c r="S522" s="3">
        <v>0.80100000000000005</v>
      </c>
      <c r="T522" s="3">
        <v>0.158</v>
      </c>
      <c r="U522" s="3">
        <v>9.7699999999999995E-2</v>
      </c>
      <c r="V522" s="8">
        <v>136044</v>
      </c>
      <c r="W522" s="3">
        <v>4</v>
      </c>
      <c r="X522" s="3" t="str">
        <f t="shared" si="36"/>
        <v>-SADNE-</v>
      </c>
      <c r="Y522" s="3" t="str">
        <f t="shared" si="37"/>
        <v>-ENERGY-</v>
      </c>
      <c r="Z522" s="4" t="str">
        <f t="shared" si="38"/>
        <v>{"couname":"Oxygene, Pt. 13","img":"https://i.scdn.co/image/ab67616d0000b273f0ebde6d9dd82a4f12462245","pty":"21","artist":"Jean-Michel Jarre","genres":"new age,electrónica,space music","duration":"265213","spotId":"47X9Xi7W0X9S4YQ8UdJrCS","Items":["-SADNE-","-ENERGY-","","","GN_FrenchElectro"]},</v>
      </c>
      <c r="AA522" s="5" t="s">
        <v>6100</v>
      </c>
      <c r="AB522" s="3" t="str">
        <f t="shared" si="39"/>
        <v>["-SADNE-","-ENERGY-","","","GN_FrenchElectro"]</v>
      </c>
      <c r="AC522" s="3" t="str">
        <f>_xlfn.XLOOKUP(A522,Album!A:A,Album!J:J)</f>
        <v>https://i.scdn.co/image/ab67616d0000b273f0ebde6d9dd82a4f12462245</v>
      </c>
      <c r="AD522" s="3"/>
      <c r="AE522" s="3"/>
      <c r="AF522" s="3"/>
      <c r="AG522" s="3"/>
      <c r="AH522" s="3"/>
    </row>
    <row r="523" spans="1:34" x14ac:dyDescent="0.3">
      <c r="A523" s="11" t="s">
        <v>290</v>
      </c>
      <c r="B523" s="12" t="s">
        <v>291</v>
      </c>
      <c r="C523" s="12" t="s">
        <v>280</v>
      </c>
      <c r="D523" s="13" t="s">
        <v>2323</v>
      </c>
      <c r="E523" s="6">
        <v>42496</v>
      </c>
      <c r="F523" s="3">
        <v>238506</v>
      </c>
      <c r="G523" s="3">
        <v>21</v>
      </c>
      <c r="H523" s="3" t="s">
        <v>5446</v>
      </c>
      <c r="I523" s="3" t="s">
        <v>102</v>
      </c>
      <c r="J523" s="3" t="s">
        <v>292</v>
      </c>
      <c r="K523" s="3" t="s">
        <v>84</v>
      </c>
      <c r="L523" s="3">
        <v>0.45300000000000001</v>
      </c>
      <c r="M523" s="3">
        <v>0.89</v>
      </c>
      <c r="N523" s="3">
        <v>0</v>
      </c>
      <c r="O523" s="8">
        <v>-6505</v>
      </c>
      <c r="P523" s="3">
        <v>1</v>
      </c>
      <c r="Q523" s="3">
        <v>3.4799999999999998E-2</v>
      </c>
      <c r="R523" s="3">
        <v>1.21E-4</v>
      </c>
      <c r="S523" s="3">
        <v>0.37</v>
      </c>
      <c r="T523" s="3">
        <v>0.442</v>
      </c>
      <c r="U523" s="3">
        <v>0.14299999999999999</v>
      </c>
      <c r="V523" s="8">
        <v>125972</v>
      </c>
      <c r="W523" s="3">
        <v>4</v>
      </c>
      <c r="X523" s="3" t="str">
        <f t="shared" si="36"/>
        <v>-SADNE-</v>
      </c>
      <c r="Y523" s="3" t="str">
        <f t="shared" si="37"/>
        <v>-ENERGY-</v>
      </c>
      <c r="Z523" s="4" t="str">
        <f t="shared" si="38"/>
        <v>{"couname":"As One","img":"https://i.scdn.co/image/ab67616d0000b273359a423dd08ed414400e0cb7","pty":"21","artist":"Jean-Michel Jarre, Primal Scream","genres":"new age,electrónica,space music,madchester,britpop,dance alternativo","duration":"238506","spotId":"5Bozk731GZkPkaGYP4j32W","Items":["-SADNE-","-ENERGY-","","","GN_FrenchElectro"]},</v>
      </c>
      <c r="AA523" s="5" t="s">
        <v>6100</v>
      </c>
      <c r="AB523" s="3" t="str">
        <f t="shared" si="39"/>
        <v>["-SADNE-","-ENERGY-","","","GN_FrenchElectro"]</v>
      </c>
      <c r="AC523" s="3" t="str">
        <f>_xlfn.XLOOKUP(A523,Album!A:A,Album!J:J)</f>
        <v>https://i.scdn.co/image/ab67616d0000b273359a423dd08ed414400e0cb7</v>
      </c>
      <c r="AD523" s="3"/>
      <c r="AE523" s="3"/>
      <c r="AF523" s="3"/>
      <c r="AG523" s="3"/>
      <c r="AH523" s="3"/>
    </row>
    <row r="524" spans="1:34" x14ac:dyDescent="0.3">
      <c r="A524" s="11" t="s">
        <v>293</v>
      </c>
      <c r="B524" s="12" t="s">
        <v>294</v>
      </c>
      <c r="C524" s="12" t="s">
        <v>280</v>
      </c>
      <c r="D524" s="13" t="s">
        <v>2327</v>
      </c>
      <c r="E524" s="6">
        <v>42496</v>
      </c>
      <c r="F524" s="3">
        <v>239000</v>
      </c>
      <c r="G524" s="3">
        <v>21</v>
      </c>
      <c r="H524" s="3" t="s">
        <v>5445</v>
      </c>
      <c r="I524" s="3" t="s">
        <v>102</v>
      </c>
      <c r="J524" s="3" t="s">
        <v>295</v>
      </c>
      <c r="K524" s="3" t="s">
        <v>84</v>
      </c>
      <c r="L524" s="3">
        <v>0.55800000000000005</v>
      </c>
      <c r="M524" s="3">
        <v>0.752</v>
      </c>
      <c r="N524" s="3">
        <v>9</v>
      </c>
      <c r="O524" s="8">
        <v>-6571</v>
      </c>
      <c r="P524" s="3">
        <v>0</v>
      </c>
      <c r="Q524" s="3">
        <v>2.7199999999999998E-2</v>
      </c>
      <c r="R524" s="3">
        <v>0.16800000000000001</v>
      </c>
      <c r="S524" s="3">
        <v>4.5999999999999999E-3</v>
      </c>
      <c r="T524" s="3">
        <v>0.129</v>
      </c>
      <c r="U524" s="3">
        <v>0.59599999999999997</v>
      </c>
      <c r="V524" s="8">
        <v>108037</v>
      </c>
      <c r="W524" s="3">
        <v>4</v>
      </c>
      <c r="X524" s="3" t="str">
        <f t="shared" si="36"/>
        <v>-HAPPY-</v>
      </c>
      <c r="Y524" s="3" t="str">
        <f t="shared" si="37"/>
        <v>-ENERGY-</v>
      </c>
      <c r="Z524" s="4" t="str">
        <f t="shared" si="38"/>
        <v>{"couname":"Here for You","img":"https://i.scdn.co/image/ab67616d0000b273359a423dd08ed414400e0cb7","pty":"21","artist":"Jean-Michel Jarre, Gary Numan","genres":"new age,electrónica,space music,new wave,synthpop,rock industrial,industrial","duration":"239000","spotId":"5Pk2QcWwb9ejQQRwJ1OA9H","Items":["-HAPPY-","-ENERGY-","","","GN_FrenchElectro"]},</v>
      </c>
      <c r="AA524" s="5" t="s">
        <v>6100</v>
      </c>
      <c r="AB524" s="3" t="str">
        <f t="shared" si="39"/>
        <v>["-HAPPY-","-ENERGY-","","","GN_FrenchElectro"]</v>
      </c>
      <c r="AC524" s="3" t="str">
        <f>_xlfn.XLOOKUP(A524,Album!A:A,Album!J:J)</f>
        <v>https://i.scdn.co/image/ab67616d0000b273359a423dd08ed414400e0cb7</v>
      </c>
      <c r="AD524" s="3"/>
      <c r="AE524" s="3"/>
      <c r="AF524" s="3"/>
      <c r="AG524" s="3"/>
      <c r="AH524" s="3"/>
    </row>
    <row r="525" spans="1:34" x14ac:dyDescent="0.3">
      <c r="A525" s="11" t="s">
        <v>299</v>
      </c>
      <c r="B525" s="12" t="s">
        <v>300</v>
      </c>
      <c r="C525" s="12" t="s">
        <v>280</v>
      </c>
      <c r="D525" s="13" t="s">
        <v>2335</v>
      </c>
      <c r="E525" s="6">
        <v>42496</v>
      </c>
      <c r="F525" s="3">
        <v>379000</v>
      </c>
      <c r="G525" s="3">
        <v>21</v>
      </c>
      <c r="H525" s="3" t="s">
        <v>5444</v>
      </c>
      <c r="I525" s="3" t="s">
        <v>102</v>
      </c>
      <c r="J525" s="3" t="s">
        <v>103</v>
      </c>
      <c r="K525" s="3" t="s">
        <v>84</v>
      </c>
      <c r="L525" s="3">
        <v>0.309</v>
      </c>
      <c r="M525" s="3">
        <v>0.91100000000000003</v>
      </c>
      <c r="N525" s="3">
        <v>7</v>
      </c>
      <c r="O525" s="8">
        <v>-7499</v>
      </c>
      <c r="P525" s="3">
        <v>1</v>
      </c>
      <c r="Q525" s="3">
        <v>6.0600000000000001E-2</v>
      </c>
      <c r="R525" s="3">
        <v>2.5999999999999999E-2</v>
      </c>
      <c r="S525" s="3">
        <v>0.67600000000000005</v>
      </c>
      <c r="T525" s="3">
        <v>0.313</v>
      </c>
      <c r="U525" s="3">
        <v>0.193</v>
      </c>
      <c r="V525" s="8">
        <v>150104</v>
      </c>
      <c r="W525" s="3">
        <v>4</v>
      </c>
      <c r="X525" s="3" t="str">
        <f t="shared" si="36"/>
        <v>-SADNE-</v>
      </c>
      <c r="Y525" s="3" t="str">
        <f t="shared" si="37"/>
        <v>-ENERGY-</v>
      </c>
      <c r="Z525" s="4" t="str">
        <f t="shared" si="38"/>
        <v>{"couname":"Exit","img":"https://i.scdn.co/image/ab67616d0000b273359a423dd08ed414400e0cb7","pty":"21","artist":"Jean-Michel Jarre, Edward Snowden","genres":"new age,electrónica,space music","duration":"379000","spotId":"3Y6eCU8Xm1OmVSw4OfpxE5","Items":["-SADNE-","-ENERGY-","","","GN_FrenchElectro"]},</v>
      </c>
      <c r="AA525" s="5" t="s">
        <v>6100</v>
      </c>
      <c r="AB525" s="3" t="str">
        <f t="shared" si="39"/>
        <v>["-SADNE-","-ENERGY-","","","GN_FrenchElectro"]</v>
      </c>
      <c r="AC525" s="3" t="str">
        <f>_xlfn.XLOOKUP(A525,Album!A:A,Album!J:J)</f>
        <v>https://i.scdn.co/image/ab67616d0000b273359a423dd08ed414400e0cb7</v>
      </c>
      <c r="AD525" s="3"/>
      <c r="AE525" s="3"/>
      <c r="AF525" s="3"/>
      <c r="AG525" s="3"/>
      <c r="AH525" s="3"/>
    </row>
    <row r="526" spans="1:34" x14ac:dyDescent="0.3">
      <c r="A526" s="11" t="s">
        <v>1292</v>
      </c>
      <c r="B526" s="12" t="s">
        <v>1232</v>
      </c>
      <c r="C526" s="12" t="s">
        <v>1236</v>
      </c>
      <c r="D526" s="13" t="s">
        <v>3818</v>
      </c>
      <c r="E526" s="6">
        <v>41190</v>
      </c>
      <c r="F526" s="3">
        <v>310200</v>
      </c>
      <c r="G526" s="3">
        <v>21</v>
      </c>
      <c r="H526" s="3" t="s">
        <v>5443</v>
      </c>
      <c r="I526" s="3" t="s">
        <v>1207</v>
      </c>
      <c r="J526" s="3" t="s">
        <v>1294</v>
      </c>
      <c r="K526" s="3" t="s">
        <v>1277</v>
      </c>
      <c r="L526" s="3">
        <v>0.54400000000000004</v>
      </c>
      <c r="M526" s="3">
        <v>0.91</v>
      </c>
      <c r="N526" s="3">
        <v>6</v>
      </c>
      <c r="O526" s="8">
        <v>-3905</v>
      </c>
      <c r="P526" s="3">
        <v>0</v>
      </c>
      <c r="Q526" s="3">
        <v>6.8000000000000005E-2</v>
      </c>
      <c r="R526" s="3">
        <v>3.4499999999999998E-5</v>
      </c>
      <c r="S526" s="3">
        <v>0.72099999999999997</v>
      </c>
      <c r="T526" s="3">
        <v>7.3200000000000001E-2</v>
      </c>
      <c r="U526" s="3">
        <v>9.1800000000000007E-2</v>
      </c>
      <c r="V526" s="8">
        <v>174043</v>
      </c>
      <c r="W526" s="3">
        <v>4</v>
      </c>
      <c r="X526" s="3" t="str">
        <f t="shared" si="36"/>
        <v>-SADNE-</v>
      </c>
      <c r="Y526" s="3" t="str">
        <f t="shared" si="37"/>
        <v>-ENERGY-</v>
      </c>
      <c r="Z526" s="4" t="str">
        <f t="shared" si="38"/>
        <v>{"couname":"Icarus","img":"https://i.scdn.co/image/ab67616d0000b27398528dc300fb2066ca913ebd","pty":"21","artist":"Madeon, Fred V, Grafix","genres":"edm,house francés,drum and bass,liquid funk","duration":"310200","spotId":"1yjhzuKlLUFR2YDGHZynjs","Items":["-SADNE-","-ENERGY-","","","GN_FrenchElectro"]},</v>
      </c>
      <c r="AA526" s="5" t="s">
        <v>6100</v>
      </c>
      <c r="AB526" s="3" t="str">
        <f t="shared" si="39"/>
        <v>["-SADNE-","-ENERGY-","","","GN_FrenchElectro"]</v>
      </c>
      <c r="AC526" s="3" t="str">
        <f>_xlfn.XLOOKUP(A526,Album!A:A,Album!J:J)</f>
        <v>https://i.scdn.co/image/ab67616d0000b27398528dc300fb2066ca913ebd</v>
      </c>
      <c r="AD526" s="3"/>
      <c r="AE526" s="3"/>
      <c r="AF526" s="3"/>
      <c r="AG526" s="3"/>
      <c r="AH526" s="3"/>
    </row>
    <row r="527" spans="1:34" x14ac:dyDescent="0.3">
      <c r="A527" s="11" t="s">
        <v>1718</v>
      </c>
      <c r="B527" s="12" t="s">
        <v>1672</v>
      </c>
      <c r="C527" s="12" t="s">
        <v>1720</v>
      </c>
      <c r="D527" s="13" t="s">
        <v>4436</v>
      </c>
      <c r="E527" s="6">
        <v>43427</v>
      </c>
      <c r="F527" s="3">
        <v>233643</v>
      </c>
      <c r="G527" s="3">
        <v>21</v>
      </c>
      <c r="H527" s="3" t="s">
        <v>5442</v>
      </c>
      <c r="I527" s="3" t="s">
        <v>1675</v>
      </c>
      <c r="J527" s="3" t="s">
        <v>1721</v>
      </c>
      <c r="K527" s="3" t="s">
        <v>770</v>
      </c>
      <c r="L527" s="3">
        <v>0.40699999999999997</v>
      </c>
      <c r="M527" s="3">
        <v>0.34200000000000003</v>
      </c>
      <c r="N527" s="3">
        <v>9</v>
      </c>
      <c r="O527" s="8">
        <v>-12037</v>
      </c>
      <c r="P527" s="3">
        <v>0</v>
      </c>
      <c r="Q527" s="3">
        <v>3.0599999999999999E-2</v>
      </c>
      <c r="R527" s="3">
        <v>0.75900000000000001</v>
      </c>
      <c r="S527" s="3">
        <v>0.90200000000000002</v>
      </c>
      <c r="T527" s="3">
        <v>0.11799999999999999</v>
      </c>
      <c r="U527" s="3">
        <v>8.1500000000000003E-2</v>
      </c>
      <c r="V527" s="8">
        <v>123995</v>
      </c>
      <c r="W527" s="3">
        <v>4</v>
      </c>
      <c r="X527" s="3" t="str">
        <f t="shared" si="36"/>
        <v>-SADNE-</v>
      </c>
      <c r="Y527" s="3" t="str">
        <f t="shared" si="37"/>
        <v>-SLOWSS-</v>
      </c>
      <c r="Z527" s="4" t="str">
        <f t="shared" si="38"/>
        <v>{"couname":"I &lt;3 U SO","img":"https://i.scdn.co/image/ab67616d0000b273eddba7a2df09b8efd03756da","pty":"21","artist":"Orchestre Lamoureux, Cassius, Thomas Roussel","genres":"clásica,ópera,house francés,disco house","duration":"233643","spotId":"4NxfIPv4ZjTaMzVZtH9oow","Items":["-SADNE-","-SLOWSS-","","","GN_FrenchElectro"]},</v>
      </c>
      <c r="AA527" s="5" t="s">
        <v>6100</v>
      </c>
      <c r="AB527" s="3" t="str">
        <f t="shared" si="39"/>
        <v>["-SADNE-","-SLOWSS-","","","GN_FrenchElectro"]</v>
      </c>
      <c r="AC527" s="3" t="str">
        <f>_xlfn.XLOOKUP(A527,Album!A:A,Album!J:J)</f>
        <v>https://i.scdn.co/image/ab67616d0000b273eddba7a2df09b8efd03756da</v>
      </c>
      <c r="AD527" s="3"/>
      <c r="AE527" s="3"/>
      <c r="AF527" s="3"/>
      <c r="AG527" s="3"/>
      <c r="AH527" s="3"/>
    </row>
    <row r="528" spans="1:34" x14ac:dyDescent="0.3">
      <c r="A528" s="11" t="s">
        <v>1722</v>
      </c>
      <c r="B528" s="12" t="s">
        <v>1723</v>
      </c>
      <c r="C528" s="12" t="s">
        <v>1679</v>
      </c>
      <c r="D528" s="13" t="s">
        <v>1674</v>
      </c>
      <c r="E528" s="6">
        <v>2006</v>
      </c>
      <c r="F528" s="3">
        <v>231746</v>
      </c>
      <c r="G528" s="3">
        <v>21</v>
      </c>
      <c r="H528" s="3" t="s">
        <v>5441</v>
      </c>
      <c r="I528" s="3" t="s">
        <v>1675</v>
      </c>
      <c r="J528" s="3" t="s">
        <v>463</v>
      </c>
      <c r="K528" s="3" t="s">
        <v>1680</v>
      </c>
      <c r="L528" s="3">
        <v>0.81899999999999995</v>
      </c>
      <c r="M528" s="3">
        <v>0.77700000000000002</v>
      </c>
      <c r="N528" s="3">
        <v>8</v>
      </c>
      <c r="O528" s="8">
        <v>-7734</v>
      </c>
      <c r="P528" s="3">
        <v>0</v>
      </c>
      <c r="Q528" s="3">
        <v>6.1400000000000003E-2</v>
      </c>
      <c r="R528" s="3">
        <v>1.7600000000000001E-3</v>
      </c>
      <c r="S528" s="3">
        <v>9.3100000000000002E-2</v>
      </c>
      <c r="T528" s="3">
        <v>6.2700000000000006E-2</v>
      </c>
      <c r="U528" s="3">
        <v>0.76800000000000002</v>
      </c>
      <c r="V528" s="8">
        <v>104651</v>
      </c>
      <c r="W528" s="3">
        <v>4</v>
      </c>
      <c r="X528" s="3" t="str">
        <f t="shared" si="36"/>
        <v>-HAPPY-</v>
      </c>
      <c r="Y528" s="3" t="str">
        <f t="shared" si="37"/>
        <v>-ENERGY-</v>
      </c>
      <c r="Z528" s="4" t="str">
        <f t="shared" si="38"/>
        <v>{"couname":"See Me Now","img":"https://i.scdn.co/image/ab67616d0000b27324ee286d8ebcaf83d4b899ab","pty":"21","artist":"Cassius","genres":"house francés,disco house","duration":"231746","spotId":"4FEmIwaDVpSuuwF3sGpHEr","Items":["-HAPPY-","-ENERGY-","","","GN_FrenchElectro"]},</v>
      </c>
      <c r="AA528" s="5" t="s">
        <v>6100</v>
      </c>
      <c r="AB528" s="3" t="str">
        <f t="shared" si="39"/>
        <v>["-HAPPY-","-ENERGY-","","","GN_FrenchElectro"]</v>
      </c>
      <c r="AC528" s="3" t="str">
        <f>_xlfn.XLOOKUP(A528,Album!A:A,Album!J:J)</f>
        <v>https://i.scdn.co/image/ab67616d0000b27324ee286d8ebcaf83d4b899ab</v>
      </c>
      <c r="AD528" s="3"/>
      <c r="AE528" s="3"/>
      <c r="AF528" s="3"/>
      <c r="AG528" s="3"/>
      <c r="AH528" s="3"/>
    </row>
    <row r="529" spans="1:34" x14ac:dyDescent="0.3">
      <c r="A529" s="11" t="s">
        <v>172</v>
      </c>
      <c r="B529" s="12" t="s">
        <v>5439</v>
      </c>
      <c r="C529" s="12" t="s">
        <v>174</v>
      </c>
      <c r="D529" s="13" t="s">
        <v>18</v>
      </c>
      <c r="E529" s="6">
        <v>32356</v>
      </c>
      <c r="F529" s="3">
        <v>310093</v>
      </c>
      <c r="G529" s="3">
        <v>20</v>
      </c>
      <c r="H529" s="3" t="s">
        <v>5440</v>
      </c>
      <c r="I529" s="3" t="s">
        <v>102</v>
      </c>
      <c r="J529" s="3" t="s">
        <v>103</v>
      </c>
      <c r="K529" s="3" t="s">
        <v>104</v>
      </c>
      <c r="L529" s="3">
        <v>0.38400000000000001</v>
      </c>
      <c r="M529" s="3">
        <v>0.61699999999999999</v>
      </c>
      <c r="N529" s="3">
        <v>1</v>
      </c>
      <c r="O529" s="8">
        <v>-8987</v>
      </c>
      <c r="P529" s="3">
        <v>1</v>
      </c>
      <c r="Q529" s="3">
        <v>3.1199999999999999E-2</v>
      </c>
      <c r="R529" s="3">
        <v>9.9299999999999996E-4</v>
      </c>
      <c r="S529" s="3">
        <v>0.66300000000000003</v>
      </c>
      <c r="T529" s="3">
        <v>7.7799999999999994E-2</v>
      </c>
      <c r="U529" s="3">
        <v>0.21099999999999999</v>
      </c>
      <c r="V529" s="8">
        <v>95552</v>
      </c>
      <c r="W529" s="3">
        <v>4</v>
      </c>
      <c r="X529" s="3" t="str">
        <f t="shared" si="36"/>
        <v>-SADNE-</v>
      </c>
      <c r="Y529" s="3" t="str">
        <f t="shared" si="37"/>
        <v>-ENERGY-</v>
      </c>
      <c r="Z529" s="4" t="str">
        <f t="shared" si="38"/>
        <v>{"couname":"Industrial Revolution: Overture","img":"https://i.scdn.co/image/ab67616d0000b273a230a349d6256817ee39c950","pty":"20","artist":"Jean-Michel Jarre","genres":"new age,electrónica,space music","duration":"310093","spotId":"31y4sv1YGJQXDYj2C7nDKs","Items":["-SADNE-","-ENERGY-","","","GN_FrenchElectro"]},</v>
      </c>
      <c r="AA529" s="5" t="s">
        <v>6100</v>
      </c>
      <c r="AB529" s="3" t="str">
        <f t="shared" si="39"/>
        <v>["-SADNE-","-ENERGY-","","","GN_FrenchElectro"]</v>
      </c>
      <c r="AC529" s="3" t="str">
        <f>_xlfn.XLOOKUP(A529,Album!A:A,Album!J:J)</f>
        <v>https://i.scdn.co/image/ab67616d0000b273a230a349d6256817ee39c950</v>
      </c>
      <c r="AD529" s="3"/>
      <c r="AE529" s="3"/>
      <c r="AF529" s="3"/>
      <c r="AG529" s="3"/>
      <c r="AH529" s="3"/>
    </row>
    <row r="530" spans="1:34" x14ac:dyDescent="0.3">
      <c r="A530" s="11" t="s">
        <v>187</v>
      </c>
      <c r="B530" s="12" t="s">
        <v>5437</v>
      </c>
      <c r="C530" s="12" t="s">
        <v>174</v>
      </c>
      <c r="D530" s="13" t="s">
        <v>18</v>
      </c>
      <c r="E530" s="6">
        <v>32356</v>
      </c>
      <c r="F530" s="3">
        <v>281626</v>
      </c>
      <c r="G530" s="3">
        <v>20</v>
      </c>
      <c r="H530" s="3" t="s">
        <v>5438</v>
      </c>
      <c r="I530" s="3" t="s">
        <v>102</v>
      </c>
      <c r="J530" s="3" t="s">
        <v>103</v>
      </c>
      <c r="K530" s="3" t="s">
        <v>104</v>
      </c>
      <c r="L530" s="3">
        <v>0.55400000000000005</v>
      </c>
      <c r="M530" s="3">
        <v>0.625</v>
      </c>
      <c r="N530" s="3">
        <v>10</v>
      </c>
      <c r="O530" s="8">
        <v>-10817</v>
      </c>
      <c r="P530" s="3">
        <v>1</v>
      </c>
      <c r="Q530" s="3">
        <v>7.5600000000000001E-2</v>
      </c>
      <c r="R530" s="3">
        <v>4.7300000000000002E-2</v>
      </c>
      <c r="S530" s="3">
        <v>0.80300000000000005</v>
      </c>
      <c r="T530" s="3">
        <v>0.26300000000000001</v>
      </c>
      <c r="U530" s="3">
        <v>0.51100000000000001</v>
      </c>
      <c r="V530" s="8">
        <v>196059</v>
      </c>
      <c r="W530" s="3">
        <v>4</v>
      </c>
      <c r="X530" s="3" t="str">
        <f t="shared" si="36"/>
        <v>-HAPPY-</v>
      </c>
      <c r="Y530" s="3" t="str">
        <f t="shared" si="37"/>
        <v>-ENERGY-</v>
      </c>
      <c r="Z530" s="4" t="str">
        <f t="shared" si="38"/>
        <v>{"couname":"Computer Weekend","img":"https://i.scdn.co/image/ab67616d0000b273a230a349d6256817ee39c950","pty":"20","artist":"Jean-Michel Jarre","genres":"new age,electrónica,space music","duration":"281626","spotId":"7sNRvRQ7ZEIqY1jjPxiCTi","Items":["-HAPPY-","-ENERGY-","","","GN_FrenchElectro"]},</v>
      </c>
      <c r="AA530" s="5" t="s">
        <v>6100</v>
      </c>
      <c r="AB530" s="3" t="str">
        <f t="shared" si="39"/>
        <v>["-HAPPY-","-ENERGY-","","","GN_FrenchElectro"]</v>
      </c>
      <c r="AC530" s="3" t="str">
        <f>_xlfn.XLOOKUP(A530,Album!A:A,Album!J:J)</f>
        <v>https://i.scdn.co/image/ab67616d0000b273a230a349d6256817ee39c950</v>
      </c>
      <c r="AD530" s="3"/>
      <c r="AE530" s="3"/>
      <c r="AF530" s="3"/>
      <c r="AG530" s="3"/>
      <c r="AH530" s="3"/>
    </row>
    <row r="531" spans="1:34" x14ac:dyDescent="0.3">
      <c r="A531" s="11" t="s">
        <v>256</v>
      </c>
      <c r="B531" s="12" t="s">
        <v>257</v>
      </c>
      <c r="C531" s="12" t="s">
        <v>236</v>
      </c>
      <c r="D531" s="13" t="s">
        <v>2273</v>
      </c>
      <c r="E531" s="6">
        <v>42293</v>
      </c>
      <c r="F531" s="3">
        <v>186906</v>
      </c>
      <c r="G531" s="3">
        <v>20</v>
      </c>
      <c r="H531" s="3" t="s">
        <v>5436</v>
      </c>
      <c r="I531" s="3" t="s">
        <v>102</v>
      </c>
      <c r="J531" s="3" t="s">
        <v>103</v>
      </c>
      <c r="K531" s="3" t="s">
        <v>84</v>
      </c>
      <c r="L531" s="3">
        <v>0.58699999999999997</v>
      </c>
      <c r="M531" s="3">
        <v>0.93899999999999995</v>
      </c>
      <c r="N531" s="3">
        <v>7</v>
      </c>
      <c r="O531" s="8">
        <v>-5863</v>
      </c>
      <c r="P531" s="3">
        <v>1</v>
      </c>
      <c r="Q531" s="3">
        <v>3.7900000000000003E-2</v>
      </c>
      <c r="R531" s="3">
        <v>0.126</v>
      </c>
      <c r="S531" s="3">
        <v>0.87</v>
      </c>
      <c r="T531" s="3">
        <v>0.11899999999999999</v>
      </c>
      <c r="U531" s="3">
        <v>0.67100000000000004</v>
      </c>
      <c r="V531" s="8">
        <v>160041</v>
      </c>
      <c r="W531" s="3">
        <v>5</v>
      </c>
      <c r="X531" s="3" t="str">
        <f t="shared" si="36"/>
        <v>-HAPPY-</v>
      </c>
      <c r="Y531" s="3" t="str">
        <f t="shared" si="37"/>
        <v>-ENERGY-</v>
      </c>
      <c r="Z531" s="4" t="str">
        <f t="shared" si="38"/>
        <v>{"couname":"Conquistador","img":"https://i.scdn.co/image/ab67616d0000b27376987a71d6639ea8f44b5c09","pty":"20","artist":"Jean-Michel Jarre, Gesaffelstein","genres":"new age,electrónica,space music","duration":"186906","spotId":"2Ak4Lj4PBRbiiiGX9NeUm7","Items":["-HAPPY-","-ENERGY-","","","GN_FrenchElectro"]},</v>
      </c>
      <c r="AA531" s="5" t="s">
        <v>6100</v>
      </c>
      <c r="AB531" s="3" t="str">
        <f t="shared" si="39"/>
        <v>["-HAPPY-","-ENERGY-","","","GN_FrenchElectro"]</v>
      </c>
      <c r="AC531" s="3" t="str">
        <f>_xlfn.XLOOKUP(A531,Album!A:A,Album!J:J)</f>
        <v>https://i.scdn.co/image/ab67616d0000b27376987a71d6639ea8f44b5c09</v>
      </c>
      <c r="AD531" s="3"/>
      <c r="AE531" s="3"/>
      <c r="AF531" s="3"/>
      <c r="AG531" s="3"/>
      <c r="AH531" s="3"/>
    </row>
    <row r="532" spans="1:34" x14ac:dyDescent="0.3">
      <c r="A532" s="11" t="s">
        <v>336</v>
      </c>
      <c r="B532" s="12" t="s">
        <v>337</v>
      </c>
      <c r="C532" s="12" t="s">
        <v>331</v>
      </c>
      <c r="D532" s="13" t="s">
        <v>18</v>
      </c>
      <c r="E532" s="6">
        <v>42706</v>
      </c>
      <c r="F532" s="3">
        <v>260493</v>
      </c>
      <c r="G532" s="3">
        <v>20</v>
      </c>
      <c r="H532" s="3" t="s">
        <v>5435</v>
      </c>
      <c r="I532" s="3" t="s">
        <v>102</v>
      </c>
      <c r="J532" s="3" t="s">
        <v>103</v>
      </c>
      <c r="K532" s="3" t="s">
        <v>104</v>
      </c>
      <c r="L532" s="3">
        <v>0.51400000000000001</v>
      </c>
      <c r="M532" s="3">
        <v>0.92300000000000004</v>
      </c>
      <c r="N532" s="3">
        <v>9</v>
      </c>
      <c r="O532" s="8">
        <v>-6927</v>
      </c>
      <c r="P532" s="3">
        <v>0</v>
      </c>
      <c r="Q532" s="3">
        <v>3.04E-2</v>
      </c>
      <c r="R532" s="3">
        <v>0.2</v>
      </c>
      <c r="S532" s="3">
        <v>0.88300000000000001</v>
      </c>
      <c r="T532" s="3">
        <v>0.34899999999999998</v>
      </c>
      <c r="U532" s="3">
        <v>0.43</v>
      </c>
      <c r="V532" s="8">
        <v>128</v>
      </c>
      <c r="W532" s="3">
        <v>4</v>
      </c>
      <c r="X532" s="3" t="str">
        <f t="shared" si="36"/>
        <v>-HAPPY-</v>
      </c>
      <c r="Y532" s="3" t="str">
        <f t="shared" si="37"/>
        <v>-ENERGY-</v>
      </c>
      <c r="Z532" s="4" t="str">
        <f t="shared" si="38"/>
        <v>{"couname":"Oxygene, Pt. 17","img":"https://i.scdn.co/image/ab67616d0000b2732a85d17ba6acdb1c7ca734cc","pty":"20","artist":"Jean-Michel Jarre","genres":"new age,electrónica,space music","duration":"260493","spotId":"00oC1ZmwLhcATZxHjkgk9X","Items":["-HAPPY-","-ENERGY-","","","GN_FrenchElectro"]},</v>
      </c>
      <c r="AA532" s="5" t="s">
        <v>6100</v>
      </c>
      <c r="AB532" s="3" t="str">
        <f t="shared" si="39"/>
        <v>["-HAPPY-","-ENERGY-","","","GN_FrenchElectro"]</v>
      </c>
      <c r="AC532" s="3" t="str">
        <f>_xlfn.XLOOKUP(A532,Album!A:A,Album!J:J)</f>
        <v>https://i.scdn.co/image/ab67616d0000b2732a85d17ba6acdb1c7ca734cc</v>
      </c>
      <c r="AD532" s="3"/>
      <c r="AE532" s="3"/>
      <c r="AF532" s="3"/>
      <c r="AG532" s="3"/>
      <c r="AH532" s="3"/>
    </row>
    <row r="533" spans="1:34" x14ac:dyDescent="0.3">
      <c r="A533" s="11" t="s">
        <v>426</v>
      </c>
      <c r="B533" s="12" t="s">
        <v>5433</v>
      </c>
      <c r="C533" s="12" t="s">
        <v>417</v>
      </c>
      <c r="D533" s="13" t="s">
        <v>18</v>
      </c>
      <c r="E533" s="6">
        <v>2018</v>
      </c>
      <c r="F533" s="3">
        <v>253789</v>
      </c>
      <c r="G533" s="3">
        <v>20</v>
      </c>
      <c r="H533" s="3" t="s">
        <v>5434</v>
      </c>
      <c r="I533" s="3" t="s">
        <v>102</v>
      </c>
      <c r="J533" s="3" t="s">
        <v>103</v>
      </c>
      <c r="K533" s="3" t="s">
        <v>87</v>
      </c>
      <c r="L533" s="3">
        <v>0.60199999999999998</v>
      </c>
      <c r="M533" s="3">
        <v>0.95299999999999996</v>
      </c>
      <c r="N533" s="3">
        <v>5</v>
      </c>
      <c r="O533" s="8">
        <v>-5629</v>
      </c>
      <c r="P533" s="3">
        <v>1</v>
      </c>
      <c r="Q533" s="3">
        <v>3.6400000000000002E-2</v>
      </c>
      <c r="R533" s="3">
        <v>5.6299999999999996E-3</v>
      </c>
      <c r="S533" s="3">
        <v>0.79500000000000004</v>
      </c>
      <c r="T533" s="3">
        <v>0.38900000000000001</v>
      </c>
      <c r="U533" s="3">
        <v>0.66600000000000004</v>
      </c>
      <c r="V533" s="8">
        <v>99999</v>
      </c>
      <c r="W533" s="3">
        <v>4</v>
      </c>
      <c r="X533" s="3" t="str">
        <f t="shared" si="36"/>
        <v>-HAPPY-</v>
      </c>
      <c r="Y533" s="3" t="str">
        <f t="shared" si="37"/>
        <v>-ENERGY-</v>
      </c>
      <c r="Z533" s="4" t="str">
        <f t="shared" si="38"/>
        <v>{"couname":"INFINITY","img":"https://i.scdn.co/image/ab67616d0000b273549c7972b8511360e8761adf","pty":"20","artist":"Jean-Michel Jarre","genres":"new age,electrónica,space music","duration":"253789","spotId":"4Zzd3w1fGtydVVLkpxRhug","Items":["-HAPPY-","-ENERGY-","","","GN_FrenchElectro"]},</v>
      </c>
      <c r="AA533" s="5" t="s">
        <v>6100</v>
      </c>
      <c r="AB533" s="3" t="str">
        <f t="shared" si="39"/>
        <v>["-HAPPY-","-ENERGY-","","","GN_FrenchElectro"]</v>
      </c>
      <c r="AC533" s="3" t="str">
        <f>_xlfn.XLOOKUP(A533,Album!A:A,Album!J:J)</f>
        <v>https://i.scdn.co/image/ab67616d0000b273549c7972b8511360e8761adf</v>
      </c>
      <c r="AD533" s="3"/>
      <c r="AE533" s="3"/>
      <c r="AF533" s="3"/>
      <c r="AG533" s="3"/>
      <c r="AH533" s="3"/>
    </row>
    <row r="534" spans="1:34" x14ac:dyDescent="0.3">
      <c r="A534" s="11" t="s">
        <v>1282</v>
      </c>
      <c r="B534" s="12" t="s">
        <v>1281</v>
      </c>
      <c r="C534" s="12" t="s">
        <v>1281</v>
      </c>
      <c r="D534" s="13" t="s">
        <v>3738</v>
      </c>
      <c r="E534" s="6">
        <v>41112</v>
      </c>
      <c r="F534" s="3">
        <v>205226</v>
      </c>
      <c r="G534" s="3">
        <v>20</v>
      </c>
      <c r="H534" s="3" t="s">
        <v>5432</v>
      </c>
      <c r="I534" s="3" t="s">
        <v>1207</v>
      </c>
      <c r="J534" s="3" t="s">
        <v>1208</v>
      </c>
      <c r="K534" s="3" t="s">
        <v>1277</v>
      </c>
      <c r="L534" s="3">
        <v>0.51900000000000002</v>
      </c>
      <c r="M534" s="3">
        <v>0.85599999999999998</v>
      </c>
      <c r="N534" s="3">
        <v>7</v>
      </c>
      <c r="O534" s="8">
        <v>-3856</v>
      </c>
      <c r="P534" s="3">
        <v>0</v>
      </c>
      <c r="Q534" s="3">
        <v>4.1300000000000003E-2</v>
      </c>
      <c r="R534" s="3">
        <v>1.09E-3</v>
      </c>
      <c r="S534" s="3">
        <v>7.5399999999999995E-2</v>
      </c>
      <c r="T534" s="3">
        <v>0.14099999999999999</v>
      </c>
      <c r="U534" s="3">
        <v>4.3900000000000002E-2</v>
      </c>
      <c r="V534" s="8">
        <v>92029</v>
      </c>
      <c r="W534" s="3">
        <v>4</v>
      </c>
      <c r="X534" s="3" t="str">
        <f t="shared" si="36"/>
        <v>-SADNE-</v>
      </c>
      <c r="Y534" s="3" t="str">
        <f t="shared" si="37"/>
        <v>-ENERGY-</v>
      </c>
      <c r="Z534" s="4" t="str">
        <f t="shared" si="38"/>
        <v>{"couname":"Finale","img":"https://i.scdn.co/image/ab67616d0000b2738f3ad7298deedea3b125cb47","pty":"20","artist":"Madeon, Nicholas Petricca","genres":"edm,house francés","duration":"205226","spotId":"0TcUVcSUPTnoXwgkpi9C1y","Items":["-SADNE-","-ENERGY-","","","GN_FrenchElectro"]},</v>
      </c>
      <c r="AA534" s="5" t="s">
        <v>6100</v>
      </c>
      <c r="AB534" s="3" t="str">
        <f t="shared" si="39"/>
        <v>["-SADNE-","-ENERGY-","","","GN_FrenchElectro"]</v>
      </c>
      <c r="AC534" s="3" t="str">
        <f>_xlfn.XLOOKUP(A534,Album!A:A,Album!J:J)</f>
        <v>https://i.scdn.co/image/ab67616d0000b2738f3ad7298deedea3b125cb47</v>
      </c>
      <c r="AD534" s="3"/>
      <c r="AE534" s="3"/>
      <c r="AF534" s="3"/>
      <c r="AG534" s="3"/>
      <c r="AH534" s="3"/>
    </row>
    <row r="535" spans="1:34" x14ac:dyDescent="0.3">
      <c r="A535" s="11" t="s">
        <v>1308</v>
      </c>
      <c r="B535" s="12" t="s">
        <v>1230</v>
      </c>
      <c r="C535" s="12" t="s">
        <v>1230</v>
      </c>
      <c r="D535" s="13" t="s">
        <v>1206</v>
      </c>
      <c r="E535" s="6">
        <v>42073</v>
      </c>
      <c r="F535" s="3">
        <v>225346</v>
      </c>
      <c r="G535" s="3">
        <v>20</v>
      </c>
      <c r="H535" s="3" t="s">
        <v>5431</v>
      </c>
      <c r="I535" s="3" t="s">
        <v>1207</v>
      </c>
      <c r="J535" s="3" t="s">
        <v>1208</v>
      </c>
      <c r="K535" s="3" t="s">
        <v>84</v>
      </c>
      <c r="L535" s="3">
        <v>0.374</v>
      </c>
      <c r="M535" s="3">
        <v>0.75800000000000001</v>
      </c>
      <c r="N535" s="3">
        <v>9</v>
      </c>
      <c r="O535" s="8">
        <v>-4212</v>
      </c>
      <c r="P535" s="3">
        <v>1</v>
      </c>
      <c r="Q535" s="3">
        <v>4.3400000000000001E-2</v>
      </c>
      <c r="R535" s="3">
        <v>2.7599999999999999E-3</v>
      </c>
      <c r="S535" s="3">
        <v>6.5499999999999998E-4</v>
      </c>
      <c r="T535" s="3">
        <v>0.104</v>
      </c>
      <c r="U535" s="3">
        <v>0.126</v>
      </c>
      <c r="V535" s="8">
        <v>89993</v>
      </c>
      <c r="W535" s="3">
        <v>4</v>
      </c>
      <c r="X535" s="3" t="str">
        <f t="shared" si="36"/>
        <v>-SADNE-</v>
      </c>
      <c r="Y535" s="3" t="str">
        <f t="shared" si="37"/>
        <v>-ENERGY-</v>
      </c>
      <c r="Z535" s="4" t="str">
        <f t="shared" si="38"/>
        <v>{"couname":"Home","img":"https://i.scdn.co/image/ab67616d0000b27318646ed5414e071ffed27325","pty":"20","artist":"Madeon","genres":"edm,house francés","duration":"225346","spotId":"3o5OyQ2tghLhOFjemvEloF","Items":["-SADNE-","-ENERGY-","","","GN_FrenchElectro"]},</v>
      </c>
      <c r="AA535" s="5" t="s">
        <v>6100</v>
      </c>
      <c r="AB535" s="3" t="str">
        <f t="shared" si="39"/>
        <v>["-SADNE-","-ENERGY-","","","GN_FrenchElectro"]</v>
      </c>
      <c r="AC535" s="3" t="str">
        <f>_xlfn.XLOOKUP(A535,Album!A:A,Album!J:J)</f>
        <v>https://i.scdn.co/image/ab67616d0000b27318646ed5414e071ffed27325</v>
      </c>
      <c r="AD535" s="3"/>
      <c r="AE535" s="3"/>
      <c r="AF535" s="3"/>
      <c r="AG535" s="3"/>
      <c r="AH535" s="3"/>
    </row>
    <row r="536" spans="1:34" x14ac:dyDescent="0.3">
      <c r="A536" s="11" t="s">
        <v>1726</v>
      </c>
      <c r="B536" s="12" t="s">
        <v>1727</v>
      </c>
      <c r="C536" s="12" t="s">
        <v>1727</v>
      </c>
      <c r="D536" s="13" t="s">
        <v>1674</v>
      </c>
      <c r="E536" s="6">
        <v>43269</v>
      </c>
      <c r="F536" s="3">
        <v>238080</v>
      </c>
      <c r="G536" s="3">
        <v>20</v>
      </c>
      <c r="H536" s="3" t="s">
        <v>5430</v>
      </c>
      <c r="I536" s="3" t="s">
        <v>1675</v>
      </c>
      <c r="J536" s="3" t="s">
        <v>463</v>
      </c>
      <c r="K536" s="3" t="s">
        <v>1680</v>
      </c>
      <c r="L536" s="3">
        <v>0.72399999999999998</v>
      </c>
      <c r="M536" s="3">
        <v>0.76200000000000001</v>
      </c>
      <c r="N536" s="3">
        <v>1</v>
      </c>
      <c r="O536" s="8">
        <v>-7.18</v>
      </c>
      <c r="P536" s="3">
        <v>1</v>
      </c>
      <c r="Q536" s="3">
        <v>5.8200000000000002E-2</v>
      </c>
      <c r="R536" s="3">
        <v>1.64E-3</v>
      </c>
      <c r="S536" s="3">
        <v>1.2099999999999999E-3</v>
      </c>
      <c r="T536" s="3">
        <v>0.28100000000000003</v>
      </c>
      <c r="U536" s="3">
        <v>0.53100000000000003</v>
      </c>
      <c r="V536" s="8">
        <v>125003</v>
      </c>
      <c r="W536" s="3">
        <v>4</v>
      </c>
      <c r="X536" s="3" t="str">
        <f t="shared" si="36"/>
        <v>-HAPPY-</v>
      </c>
      <c r="Y536" s="3" t="str">
        <f t="shared" si="37"/>
        <v>-ENERGY-</v>
      </c>
      <c r="Z536" s="4" t="str">
        <f t="shared" si="38"/>
        <v>{"couname":"W18","img":"https://i.scdn.co/image/ab67616d0000b2737f508ea97d075c0ae03a68f9","pty":"20","artist":"Cassius","genres":"house francés,disco house","duration":"238080","spotId":"4egymkz3Sz1R4kPVAaW5on","Items":["-HAPPY-","-ENERGY-","","","GN_FrenchElectro"]},</v>
      </c>
      <c r="AA536" s="5" t="s">
        <v>6100</v>
      </c>
      <c r="AB536" s="3" t="str">
        <f t="shared" si="39"/>
        <v>["-HAPPY-","-ENERGY-","","","GN_FrenchElectro"]</v>
      </c>
      <c r="AC536" s="3" t="str">
        <f>_xlfn.XLOOKUP(A536,Album!A:A,Album!J:J)</f>
        <v>https://i.scdn.co/image/ab67616d0000b2737f508ea97d075c0ae03a68f9</v>
      </c>
      <c r="AD536" s="3"/>
      <c r="AE536" s="3"/>
      <c r="AF536" s="3"/>
      <c r="AG536" s="3"/>
      <c r="AH536" s="3"/>
    </row>
    <row r="537" spans="1:34" x14ac:dyDescent="0.3">
      <c r="A537" s="11" t="s">
        <v>2081</v>
      </c>
      <c r="B537" s="12" t="s">
        <v>2082</v>
      </c>
      <c r="C537" s="12" t="s">
        <v>2004</v>
      </c>
      <c r="D537" s="13" t="s">
        <v>1993</v>
      </c>
      <c r="E537" s="6">
        <v>40560</v>
      </c>
      <c r="F537" s="3">
        <v>218706</v>
      </c>
      <c r="G537" s="3">
        <v>20</v>
      </c>
      <c r="H537" s="3" t="s">
        <v>5429</v>
      </c>
      <c r="I537" s="3" t="s">
        <v>1983</v>
      </c>
      <c r="J537" s="3" t="s">
        <v>1994</v>
      </c>
      <c r="K537" s="3" t="s">
        <v>2002</v>
      </c>
      <c r="L537" s="3">
        <v>0.67100000000000004</v>
      </c>
      <c r="M537" s="3">
        <v>0.86199999999999999</v>
      </c>
      <c r="N537" s="3">
        <v>7</v>
      </c>
      <c r="O537" s="8">
        <v>-5334</v>
      </c>
      <c r="P537" s="3">
        <v>0</v>
      </c>
      <c r="Q537" s="3">
        <v>4.2700000000000002E-2</v>
      </c>
      <c r="R537" s="3">
        <v>9.1399999999999995E-2</v>
      </c>
      <c r="S537" s="3">
        <v>5.7800000000000004E-3</v>
      </c>
      <c r="T537" s="3">
        <v>0.38600000000000001</v>
      </c>
      <c r="U537" s="3">
        <v>0.61299999999999999</v>
      </c>
      <c r="V537" s="8">
        <v>118962</v>
      </c>
      <c r="W537" s="3">
        <v>4</v>
      </c>
      <c r="X537" s="3" t="str">
        <f t="shared" si="36"/>
        <v>-HAPPY-</v>
      </c>
      <c r="Y537" s="3" t="str">
        <f t="shared" si="37"/>
        <v>-ENERGY-</v>
      </c>
      <c r="Z537" s="4" t="str">
        <f t="shared" si="38"/>
        <v>{"couname":"La musique","img":"https://i.scdn.co/image/ab67616d0000b2732a3613ff2c4649ec2a27b0ce","pty":"20","artist":"Yelle","genres":"pop francés,house francés,electroclash,electropop","duration":"218706","spotId":"6yBf1Jw66gvBrqNzIs8Pp0","Items":["-HAPPY-","-ENERGY-","","","GN_FrenchElectro"]},</v>
      </c>
      <c r="AA537" s="5" t="s">
        <v>6100</v>
      </c>
      <c r="AB537" s="3" t="str">
        <f t="shared" si="39"/>
        <v>["-HAPPY-","-ENERGY-","","","GN_FrenchElectro"]</v>
      </c>
      <c r="AC537" s="3" t="str">
        <f>_xlfn.XLOOKUP(A537,Album!A:A,Album!J:J)</f>
        <v>https://i.scdn.co/image/ab67616d0000b2732a3613ff2c4649ec2a27b0ce</v>
      </c>
      <c r="AD537" s="3"/>
      <c r="AE537" s="3"/>
      <c r="AF537" s="3"/>
      <c r="AG537" s="3"/>
      <c r="AH537" s="3"/>
    </row>
    <row r="538" spans="1:34" x14ac:dyDescent="0.3">
      <c r="A538" s="11" t="s">
        <v>147</v>
      </c>
      <c r="B538" s="12" t="s">
        <v>86</v>
      </c>
      <c r="C538" s="12" t="s">
        <v>146</v>
      </c>
      <c r="D538" s="13" t="s">
        <v>18</v>
      </c>
      <c r="E538" s="6">
        <v>42244</v>
      </c>
      <c r="F538" s="3">
        <v>442106</v>
      </c>
      <c r="G538" s="3">
        <v>19</v>
      </c>
      <c r="H538" s="3" t="s">
        <v>5428</v>
      </c>
      <c r="I538" s="3" t="s">
        <v>102</v>
      </c>
      <c r="J538" s="3" t="s">
        <v>103</v>
      </c>
      <c r="K538" s="3" t="s">
        <v>104</v>
      </c>
      <c r="L538" s="3">
        <v>0.63300000000000001</v>
      </c>
      <c r="M538" s="3">
        <v>0.59099999999999997</v>
      </c>
      <c r="N538" s="3">
        <v>8</v>
      </c>
      <c r="O538" s="8">
        <v>-10534</v>
      </c>
      <c r="P538" s="3">
        <v>0</v>
      </c>
      <c r="Q538" s="3">
        <v>6.8599999999999994E-2</v>
      </c>
      <c r="R538" s="3">
        <v>0.156</v>
      </c>
      <c r="S538" s="3">
        <v>0.45100000000000001</v>
      </c>
      <c r="T538" s="3">
        <v>0.28999999999999998</v>
      </c>
      <c r="U538" s="3">
        <v>0.33800000000000002</v>
      </c>
      <c r="V538" s="8">
        <v>73388</v>
      </c>
      <c r="W538" s="3">
        <v>4</v>
      </c>
      <c r="X538" s="3" t="str">
        <f t="shared" si="36"/>
        <v>-SADNE-</v>
      </c>
      <c r="Y538" s="3" t="str">
        <f t="shared" si="37"/>
        <v>-ENERGY-</v>
      </c>
      <c r="Z538" s="4" t="str">
        <f t="shared" si="38"/>
        <v>{"couname":"Diva","img":"https://i.scdn.co/image/ab67616d0000b2731e04e7479f1714b14987e599","pty":"19","artist":"Jean-Michel Jarre","genres":"new age,electrónica,space music","duration":"442106","spotId":"763VwsBCMj3gYxDKgWLTNl","Items":["-SADNE-","-ENERGY-","","","GN_FrenchElectro"]},</v>
      </c>
      <c r="AA538" s="5" t="s">
        <v>6100</v>
      </c>
      <c r="AB538" s="3" t="str">
        <f t="shared" si="39"/>
        <v>["-SADNE-","-ENERGY-","","","GN_FrenchElectro"]</v>
      </c>
      <c r="AC538" s="3" t="str">
        <f>_xlfn.XLOOKUP(A538,Album!A:A,Album!J:J)</f>
        <v>https://i.scdn.co/image/ab67616d0000b2731e04e7479f1714b14987e599</v>
      </c>
      <c r="AD538" s="3"/>
      <c r="AE538" s="3"/>
      <c r="AF538" s="3"/>
      <c r="AG538" s="3"/>
      <c r="AH538" s="3"/>
    </row>
    <row r="539" spans="1:34" x14ac:dyDescent="0.3">
      <c r="A539" s="11" t="s">
        <v>151</v>
      </c>
      <c r="B539" s="12" t="s">
        <v>5426</v>
      </c>
      <c r="C539" s="12" t="s">
        <v>146</v>
      </c>
      <c r="D539" s="13" t="s">
        <v>18</v>
      </c>
      <c r="E539" s="6">
        <v>42244</v>
      </c>
      <c r="F539" s="3">
        <v>198640</v>
      </c>
      <c r="G539" s="3">
        <v>19</v>
      </c>
      <c r="H539" s="3" t="s">
        <v>5427</v>
      </c>
      <c r="I539" s="3" t="s">
        <v>102</v>
      </c>
      <c r="J539" s="3" t="s">
        <v>103</v>
      </c>
      <c r="K539" s="3" t="s">
        <v>104</v>
      </c>
      <c r="L539" s="3">
        <v>0.20399999999999999</v>
      </c>
      <c r="M539" s="3">
        <v>0.55300000000000005</v>
      </c>
      <c r="N539" s="3">
        <v>3</v>
      </c>
      <c r="O539" s="8">
        <v>-11588</v>
      </c>
      <c r="P539" s="3">
        <v>1</v>
      </c>
      <c r="Q539" s="3">
        <v>4.3499999999999997E-2</v>
      </c>
      <c r="R539" s="3">
        <v>0.105</v>
      </c>
      <c r="S539" s="3">
        <v>4.1100000000000003E-5</v>
      </c>
      <c r="T539" s="3">
        <v>6.0900000000000003E-2</v>
      </c>
      <c r="U539" s="3">
        <v>0.217</v>
      </c>
      <c r="V539" s="8">
        <v>145699</v>
      </c>
      <c r="W539" s="3">
        <v>3</v>
      </c>
      <c r="X539" s="3" t="str">
        <f t="shared" si="36"/>
        <v>-SADNE-</v>
      </c>
      <c r="Y539" s="3" t="str">
        <f t="shared" si="37"/>
        <v>-ENERGY-</v>
      </c>
      <c r="Z539" s="4" t="str">
        <f t="shared" si="38"/>
        <v>{"couname":"Wooloomooloo","img":"https://i.scdn.co/image/ab67616d0000b2731e04e7479f1714b14987e599","pty":"19","artist":"Jean-Michel Jarre","genres":"new age,electrónica,space music","duration":"198640","spotId":"7rqPdVmfmIwLrHXGRUnNXz","Items":["-SADNE-","-ENERGY-","","","GN_FrenchElectro"]},</v>
      </c>
      <c r="AA539" s="5" t="s">
        <v>6100</v>
      </c>
      <c r="AB539" s="3" t="str">
        <f t="shared" si="39"/>
        <v>["-SADNE-","-ENERGY-","","","GN_FrenchElectro"]</v>
      </c>
      <c r="AC539" s="3" t="str">
        <f>_xlfn.XLOOKUP(A539,Album!A:A,Album!J:J)</f>
        <v>https://i.scdn.co/image/ab67616d0000b2731e04e7479f1714b14987e599</v>
      </c>
      <c r="AD539" s="3"/>
      <c r="AE539" s="3"/>
      <c r="AF539" s="3"/>
      <c r="AG539" s="3"/>
      <c r="AH539" s="3"/>
    </row>
    <row r="540" spans="1:34" x14ac:dyDescent="0.3">
      <c r="A540" s="11" t="s">
        <v>207</v>
      </c>
      <c r="B540" s="12" t="s">
        <v>5424</v>
      </c>
      <c r="C540" s="12" t="s">
        <v>204</v>
      </c>
      <c r="D540" s="13" t="s">
        <v>18</v>
      </c>
      <c r="E540" s="6">
        <v>42244</v>
      </c>
      <c r="F540" s="3">
        <v>239546</v>
      </c>
      <c r="G540" s="3">
        <v>19</v>
      </c>
      <c r="H540" s="3" t="s">
        <v>5425</v>
      </c>
      <c r="I540" s="3" t="s">
        <v>102</v>
      </c>
      <c r="J540" s="3" t="s">
        <v>103</v>
      </c>
      <c r="K540" s="3" t="s">
        <v>104</v>
      </c>
      <c r="L540" s="3">
        <v>0.112</v>
      </c>
      <c r="M540" s="3">
        <v>0.503</v>
      </c>
      <c r="N540" s="3">
        <v>7</v>
      </c>
      <c r="O540" s="8">
        <v>-11163</v>
      </c>
      <c r="P540" s="3">
        <v>1</v>
      </c>
      <c r="Q540" s="3">
        <v>3.95E-2</v>
      </c>
      <c r="R540" s="3">
        <v>4.4999999999999998E-2</v>
      </c>
      <c r="S540" s="3">
        <v>0.60599999999999998</v>
      </c>
      <c r="T540" s="3">
        <v>0.14499999999999999</v>
      </c>
      <c r="U540" s="3">
        <v>0.159</v>
      </c>
      <c r="V540" s="8">
        <v>61226</v>
      </c>
      <c r="W540" s="3">
        <v>4</v>
      </c>
      <c r="X540" s="3" t="str">
        <f t="shared" si="36"/>
        <v>-SADNE-</v>
      </c>
      <c r="Y540" s="3" t="str">
        <f t="shared" si="37"/>
        <v>-ENERGY-</v>
      </c>
      <c r="Z540" s="4" t="str">
        <f t="shared" si="38"/>
        <v>{"couname":"Chronology, Pt. 3","img":"https://i.scdn.co/image/ab67616d0000b273dae32ab51194394f576a6f3c","pty":"19","artist":"Jean-Michel Jarre","genres":"new age,electrónica,space music","duration":"239546","spotId":"57lNeDaEviGpkmSaLUjNpZ","Items":["-SADNE-","-ENERGY-","","","GN_FrenchElectro"]},</v>
      </c>
      <c r="AA540" s="5" t="s">
        <v>6100</v>
      </c>
      <c r="AB540" s="3" t="str">
        <f t="shared" si="39"/>
        <v>["-SADNE-","-ENERGY-","","","GN_FrenchElectro"]</v>
      </c>
      <c r="AC540" s="3" t="str">
        <f>_xlfn.XLOOKUP(A540,Album!A:A,Album!J:J)</f>
        <v>https://i.scdn.co/image/ab67616d0000b273dae32ab51194394f576a6f3c</v>
      </c>
      <c r="AD540" s="3"/>
      <c r="AE540" s="3"/>
      <c r="AF540" s="3"/>
      <c r="AG540" s="3"/>
      <c r="AH540" s="3"/>
    </row>
    <row r="541" spans="1:34" x14ac:dyDescent="0.3">
      <c r="A541" s="11" t="s">
        <v>287</v>
      </c>
      <c r="B541" s="12" t="s">
        <v>288</v>
      </c>
      <c r="C541" s="12" t="s">
        <v>280</v>
      </c>
      <c r="D541" s="13" t="s">
        <v>2319</v>
      </c>
      <c r="E541" s="6">
        <v>42496</v>
      </c>
      <c r="F541" s="3">
        <v>220506</v>
      </c>
      <c r="G541" s="3">
        <v>19</v>
      </c>
      <c r="H541" s="3" t="s">
        <v>5423</v>
      </c>
      <c r="I541" s="3" t="s">
        <v>102</v>
      </c>
      <c r="J541" s="3" t="s">
        <v>289</v>
      </c>
      <c r="K541" s="3" t="s">
        <v>84</v>
      </c>
      <c r="L541" s="3">
        <v>0.68</v>
      </c>
      <c r="M541" s="3">
        <v>0.48799999999999999</v>
      </c>
      <c r="N541" s="3">
        <v>0</v>
      </c>
      <c r="O541" s="8">
        <v>-10.33</v>
      </c>
      <c r="P541" s="3">
        <v>1</v>
      </c>
      <c r="Q541" s="3">
        <v>5.5399999999999998E-2</v>
      </c>
      <c r="R541" s="3">
        <v>0.94499999999999995</v>
      </c>
      <c r="S541" s="3">
        <v>0.75900000000000001</v>
      </c>
      <c r="T541" s="3">
        <v>9.9900000000000003E-2</v>
      </c>
      <c r="U541" s="3">
        <v>0.315</v>
      </c>
      <c r="V541" s="8">
        <v>103972</v>
      </c>
      <c r="W541" s="3">
        <v>3</v>
      </c>
      <c r="X541" s="3" t="str">
        <f t="shared" si="36"/>
        <v>-HAPPY-</v>
      </c>
      <c r="Y541" s="3" t="str">
        <f t="shared" si="37"/>
        <v>-ENERGY-</v>
      </c>
      <c r="Z541" s="4" t="str">
        <f t="shared" si="38"/>
        <v>{"couname":"These Creatures","img":"https://i.scdn.co/image/ab67616d0000b273359a423dd08ed414400e0cb7","pty":"19","artist":"Jean-Michel Jarre, Julia Holter","genres":"new age,electrónica,space music,art pop,chamber pop,pop barroco","duration":"220506","spotId":"6qIvyUAbZ5xkHEff3qpT3a","Items":["-HAPPY-","-ENERGY-","","","GN_FrenchElectro"]},</v>
      </c>
      <c r="AA541" s="5" t="s">
        <v>6100</v>
      </c>
      <c r="AB541" s="3" t="str">
        <f t="shared" si="39"/>
        <v>["-HAPPY-","-ENERGY-","","","GN_FrenchElectro"]</v>
      </c>
      <c r="AC541" s="3" t="str">
        <f>_xlfn.XLOOKUP(A541,Album!A:A,Album!J:J)</f>
        <v>https://i.scdn.co/image/ab67616d0000b273359a423dd08ed414400e0cb7</v>
      </c>
      <c r="AD541" s="3"/>
      <c r="AE541" s="3"/>
      <c r="AF541" s="3"/>
      <c r="AG541" s="3"/>
      <c r="AH541" s="3"/>
    </row>
    <row r="542" spans="1:34" x14ac:dyDescent="0.3">
      <c r="A542" s="11" t="s">
        <v>310</v>
      </c>
      <c r="B542" s="12" t="s">
        <v>311</v>
      </c>
      <c r="C542" s="12" t="s">
        <v>280</v>
      </c>
      <c r="D542" s="13" t="s">
        <v>2351</v>
      </c>
      <c r="E542" s="6">
        <v>42496</v>
      </c>
      <c r="F542" s="3">
        <v>189013</v>
      </c>
      <c r="G542" s="3">
        <v>19</v>
      </c>
      <c r="H542" s="3" t="s">
        <v>5422</v>
      </c>
      <c r="I542" s="3" t="s">
        <v>102</v>
      </c>
      <c r="J542" s="3" t="s">
        <v>312</v>
      </c>
      <c r="K542" s="3" t="s">
        <v>84</v>
      </c>
      <c r="L542" s="3">
        <v>0.752</v>
      </c>
      <c r="M542" s="3">
        <v>0.75700000000000001</v>
      </c>
      <c r="N542" s="3">
        <v>5</v>
      </c>
      <c r="O542" s="8">
        <v>-5727</v>
      </c>
      <c r="P542" s="3">
        <v>1</v>
      </c>
      <c r="Q542" s="3">
        <v>4.3299999999999998E-2</v>
      </c>
      <c r="R542" s="3">
        <v>0.122</v>
      </c>
      <c r="S542" s="3">
        <v>0.76600000000000001</v>
      </c>
      <c r="T542" s="3">
        <v>9.8400000000000001E-2</v>
      </c>
      <c r="U542" s="3">
        <v>0.36699999999999999</v>
      </c>
      <c r="V542" s="8">
        <v>117026</v>
      </c>
      <c r="W542" s="3">
        <v>4</v>
      </c>
      <c r="X542" s="3" t="str">
        <f t="shared" si="36"/>
        <v>-HAPPY-</v>
      </c>
      <c r="Y542" s="3" t="str">
        <f t="shared" si="37"/>
        <v>-ENERGY-</v>
      </c>
      <c r="Z542" s="4" t="str">
        <f t="shared" si="38"/>
        <v>{"couname":"Circus","img":"https://i.scdn.co/image/ab67616d0000b273359a423dd08ed414400e0cb7","pty":"19","artist":"Jean-Michel Jarre, Siriusmo","genres":"new age,electrónica,space music,house francés,electroclash","duration":"189013","spotId":"0b75URz7q61Tshr9edlaGL","Items":["-HAPPY-","-ENERGY-","","","GN_FrenchElectro"]},</v>
      </c>
      <c r="AA542" s="5" t="s">
        <v>6100</v>
      </c>
      <c r="AB542" s="3" t="str">
        <f t="shared" si="39"/>
        <v>["-HAPPY-","-ENERGY-","","","GN_FrenchElectro"]</v>
      </c>
      <c r="AC542" s="3" t="str">
        <f>_xlfn.XLOOKUP(A542,Album!A:A,Album!J:J)</f>
        <v>https://i.scdn.co/image/ab67616d0000b273359a423dd08ed414400e0cb7</v>
      </c>
      <c r="AD542" s="3"/>
      <c r="AE542" s="3"/>
      <c r="AF542" s="3"/>
      <c r="AG542" s="3"/>
      <c r="AH542" s="3"/>
    </row>
    <row r="543" spans="1:34" x14ac:dyDescent="0.3">
      <c r="A543" s="11" t="s">
        <v>329</v>
      </c>
      <c r="B543" s="12" t="s">
        <v>330</v>
      </c>
      <c r="C543" s="12" t="s">
        <v>331</v>
      </c>
      <c r="D543" s="13" t="s">
        <v>18</v>
      </c>
      <c r="E543" s="6">
        <v>42706</v>
      </c>
      <c r="F543" s="3">
        <v>327813</v>
      </c>
      <c r="G543" s="3">
        <v>19</v>
      </c>
      <c r="H543" s="3" t="s">
        <v>5421</v>
      </c>
      <c r="I543" s="3" t="s">
        <v>102</v>
      </c>
      <c r="J543" s="3" t="s">
        <v>103</v>
      </c>
      <c r="K543" s="3" t="s">
        <v>104</v>
      </c>
      <c r="L543" s="3">
        <v>0.59899999999999998</v>
      </c>
      <c r="M543" s="3">
        <v>0.52300000000000002</v>
      </c>
      <c r="N543" s="3">
        <v>5</v>
      </c>
      <c r="O543" s="8">
        <v>-12.51</v>
      </c>
      <c r="P543" s="3">
        <v>0</v>
      </c>
      <c r="Q543" s="3">
        <v>3.5200000000000002E-2</v>
      </c>
      <c r="R543" s="3">
        <v>0.95899999999999996</v>
      </c>
      <c r="S543" s="3">
        <v>0.91800000000000004</v>
      </c>
      <c r="T543" s="3">
        <v>0.11899999999999999</v>
      </c>
      <c r="U543" s="3">
        <v>0.13</v>
      </c>
      <c r="V543" s="8">
        <v>127999</v>
      </c>
      <c r="W543" s="3">
        <v>4</v>
      </c>
      <c r="X543" s="3" t="str">
        <f t="shared" si="36"/>
        <v>-SADNE-</v>
      </c>
      <c r="Y543" s="3" t="str">
        <f t="shared" si="37"/>
        <v>-ENERGY-</v>
      </c>
      <c r="Z543" s="4" t="str">
        <f t="shared" si="38"/>
        <v>{"couname":"Oxygene, Pt. 14","img":"https://i.scdn.co/image/ab67616d0000b2732a85d17ba6acdb1c7ca734cc","pty":"19","artist":"Jean-Michel Jarre","genres":"new age,electrónica,space music","duration":"327813","spotId":"4FGaQU8rrECcr65tuoasdD","Items":["-SADNE-","-ENERGY-","","","GN_FrenchElectro"]},</v>
      </c>
      <c r="AA543" s="5" t="s">
        <v>6100</v>
      </c>
      <c r="AB543" s="3" t="str">
        <f t="shared" si="39"/>
        <v>["-SADNE-","-ENERGY-","","","GN_FrenchElectro"]</v>
      </c>
      <c r="AC543" s="3" t="str">
        <f>_xlfn.XLOOKUP(A543,Album!A:A,Album!J:J)</f>
        <v>https://i.scdn.co/image/ab67616d0000b2732a85d17ba6acdb1c7ca734cc</v>
      </c>
      <c r="AD543" s="3"/>
      <c r="AE543" s="3"/>
      <c r="AF543" s="3"/>
      <c r="AG543" s="3"/>
      <c r="AH543" s="3"/>
    </row>
    <row r="544" spans="1:34" x14ac:dyDescent="0.3">
      <c r="A544" s="11" t="s">
        <v>441</v>
      </c>
      <c r="B544" s="12" t="s">
        <v>440</v>
      </c>
      <c r="C544" s="12" t="s">
        <v>440</v>
      </c>
      <c r="D544" s="13" t="s">
        <v>18</v>
      </c>
      <c r="E544" s="6">
        <v>44855</v>
      </c>
      <c r="F544" s="3">
        <v>285991</v>
      </c>
      <c r="G544" s="3">
        <v>19</v>
      </c>
      <c r="H544" s="3" t="s">
        <v>5420</v>
      </c>
      <c r="I544" s="3" t="s">
        <v>102</v>
      </c>
      <c r="J544" s="3" t="s">
        <v>103</v>
      </c>
      <c r="K544" s="3" t="s">
        <v>87</v>
      </c>
      <c r="L544" s="3">
        <v>0.59599999999999997</v>
      </c>
      <c r="M544" s="3">
        <v>0.69599999999999995</v>
      </c>
      <c r="N544" s="3">
        <v>8</v>
      </c>
      <c r="O544" s="8">
        <v>-9866</v>
      </c>
      <c r="P544" s="3">
        <v>1</v>
      </c>
      <c r="Q544" s="3">
        <v>4.9799999999999997E-2</v>
      </c>
      <c r="R544" s="3">
        <v>0.113</v>
      </c>
      <c r="S544" s="3">
        <v>0.37</v>
      </c>
      <c r="T544" s="3">
        <v>7.8899999999999998E-2</v>
      </c>
      <c r="U544" s="3">
        <v>0.23200000000000001</v>
      </c>
      <c r="V544" s="8">
        <v>100012</v>
      </c>
      <c r="W544" s="3">
        <v>4</v>
      </c>
      <c r="X544" s="3" t="str">
        <f t="shared" si="36"/>
        <v>-SADNE-</v>
      </c>
      <c r="Y544" s="3" t="str">
        <f t="shared" si="37"/>
        <v>-ENERGY-</v>
      </c>
      <c r="Z544" s="4" t="str">
        <f t="shared" si="38"/>
        <v>{"couname":"OXYMORE","img":"https://i.scdn.co/image/ab67616d0000b273dd2407f614598ef1d6cfa50e","pty":"19","artist":"Jean-Michel Jarre","genres":"new age,electrónica,space music","duration":"285991","spotId":"2D6xpqvtL4KGoHudumtONN","Items":["-SADNE-","-ENERGY-","","","GN_FrenchElectro"]},</v>
      </c>
      <c r="AA544" s="5" t="s">
        <v>6100</v>
      </c>
      <c r="AB544" s="3" t="str">
        <f t="shared" si="39"/>
        <v>["-SADNE-","-ENERGY-","","","GN_FrenchElectro"]</v>
      </c>
      <c r="AC544" s="3" t="str">
        <f>_xlfn.XLOOKUP(A544,Album!A:A,Album!J:J)</f>
        <v>https://i.scdn.co/image/ab67616d0000b273dd2407f614598ef1d6cfa50e</v>
      </c>
      <c r="AD544" s="3"/>
      <c r="AE544" s="3"/>
      <c r="AF544" s="3"/>
      <c r="AG544" s="3"/>
      <c r="AH544" s="3"/>
    </row>
    <row r="545" spans="1:34" x14ac:dyDescent="0.3">
      <c r="A545" s="11" t="s">
        <v>2072</v>
      </c>
      <c r="B545" s="12" t="s">
        <v>5418</v>
      </c>
      <c r="C545" s="12" t="s">
        <v>2074</v>
      </c>
      <c r="D545" s="13" t="s">
        <v>1993</v>
      </c>
      <c r="E545" s="6">
        <v>42769</v>
      </c>
      <c r="F545" s="3">
        <v>230000</v>
      </c>
      <c r="G545" s="3">
        <v>19</v>
      </c>
      <c r="H545" s="3" t="s">
        <v>5419</v>
      </c>
      <c r="I545" s="3" t="s">
        <v>1983</v>
      </c>
      <c r="J545" s="3" t="s">
        <v>1994</v>
      </c>
      <c r="K545" s="3" t="s">
        <v>2002</v>
      </c>
      <c r="L545" s="3">
        <v>0.83599999999999997</v>
      </c>
      <c r="M545" s="3">
        <v>0.67900000000000005</v>
      </c>
      <c r="N545" s="3">
        <v>10</v>
      </c>
      <c r="O545" s="8">
        <v>-6.27</v>
      </c>
      <c r="P545" s="3">
        <v>1</v>
      </c>
      <c r="Q545" s="3">
        <v>3.2800000000000003E-2</v>
      </c>
      <c r="R545" s="3">
        <v>2.5999999999999998E-4</v>
      </c>
      <c r="S545" s="3">
        <v>9.7000000000000003E-3</v>
      </c>
      <c r="T545" s="3">
        <v>0.114</v>
      </c>
      <c r="U545" s="3">
        <v>0.56599999999999995</v>
      </c>
      <c r="V545" s="8">
        <v>120004</v>
      </c>
      <c r="W545" s="3">
        <v>4</v>
      </c>
      <c r="X545" s="3" t="str">
        <f t="shared" si="36"/>
        <v>-HAPPY-</v>
      </c>
      <c r="Y545" s="3" t="str">
        <f t="shared" si="37"/>
        <v>-ENERGY-</v>
      </c>
      <c r="Z545" s="4" t="str">
        <f t="shared" si="38"/>
        <v>{"couname":"Ici &amp; Maintenant","img":"https://i.scdn.co/image/ab67616d0000b273e291fdb28f965c16277bb7cb","pty":"19","artist":"Yelle","genres":"pop francés,house francés,electroclash,electropop","duration":"230000","spotId":"4RGtbLNiQtyRv7ZuLUowJQ","Items":["-HAPPY-","-ENERGY-","","","GN_FrenchElectro"]},</v>
      </c>
      <c r="AA545" s="5" t="s">
        <v>6100</v>
      </c>
      <c r="AB545" s="3" t="str">
        <f t="shared" si="39"/>
        <v>["-HAPPY-","-ENERGY-","","","GN_FrenchElectro"]</v>
      </c>
      <c r="AC545" s="3" t="str">
        <f>_xlfn.XLOOKUP(A545,Album!A:A,Album!J:J)</f>
        <v>https://i.scdn.co/image/ab67616d0000b273e291fdb28f965c16277bb7cb</v>
      </c>
      <c r="AD545" s="3"/>
      <c r="AE545" s="3"/>
      <c r="AF545" s="3"/>
      <c r="AG545" s="3"/>
      <c r="AH545" s="3"/>
    </row>
    <row r="546" spans="1:34" x14ac:dyDescent="0.3">
      <c r="A546" s="11" t="s">
        <v>198</v>
      </c>
      <c r="B546" s="12" t="s">
        <v>5416</v>
      </c>
      <c r="C546" s="12" t="s">
        <v>195</v>
      </c>
      <c r="D546" s="13" t="s">
        <v>18</v>
      </c>
      <c r="E546" s="6">
        <v>42244</v>
      </c>
      <c r="F546" s="3">
        <v>382920</v>
      </c>
      <c r="G546" s="3">
        <v>18</v>
      </c>
      <c r="H546" s="3" t="s">
        <v>5417</v>
      </c>
      <c r="I546" s="3" t="s">
        <v>102</v>
      </c>
      <c r="J546" s="3" t="s">
        <v>103</v>
      </c>
      <c r="K546" s="3" t="s">
        <v>104</v>
      </c>
      <c r="L546" s="3">
        <v>0.35699999999999998</v>
      </c>
      <c r="M546" s="3">
        <v>0.49399999999999999</v>
      </c>
      <c r="N546" s="3">
        <v>10</v>
      </c>
      <c r="O546" s="8">
        <v>-8.9499999999999993</v>
      </c>
      <c r="P546" s="3">
        <v>0</v>
      </c>
      <c r="Q546" s="3">
        <v>3.1399999999999997E-2</v>
      </c>
      <c r="R546" s="3">
        <v>1.8100000000000001E-4</v>
      </c>
      <c r="S546" s="3">
        <v>0.72799999999999998</v>
      </c>
      <c r="T546" s="3">
        <v>9.69E-2</v>
      </c>
      <c r="U546" s="3">
        <v>0.19</v>
      </c>
      <c r="V546" s="8">
        <v>125.45</v>
      </c>
      <c r="W546" s="3">
        <v>4</v>
      </c>
      <c r="X546" s="3" t="str">
        <f t="shared" si="36"/>
        <v>-SADNE-</v>
      </c>
      <c r="Y546" s="3" t="str">
        <f t="shared" si="37"/>
        <v>-SLOWSS-</v>
      </c>
      <c r="Z546" s="4" t="str">
        <f t="shared" si="38"/>
        <v>{"couname":"Calypso, Pt. 3","img":"https://i.scdn.co/image/ab67616d0000b273fccf49c7f9a31f591e72d8a0","pty":"18","artist":"Jean-Michel Jarre","genres":"new age,electrónica,space music","duration":"382920","spotId":"5R367tkJ5I6VjwjH9K0f6a","Items":["-SADNE-","-SLOWSS-","","","GN_FrenchElectro"]},</v>
      </c>
      <c r="AA546" s="5" t="s">
        <v>6100</v>
      </c>
      <c r="AB546" s="3" t="str">
        <f t="shared" si="39"/>
        <v>["-SADNE-","-SLOWSS-","","","GN_FrenchElectro"]</v>
      </c>
      <c r="AC546" s="3" t="str">
        <f>_xlfn.XLOOKUP(A546,Album!A:A,Album!J:J)</f>
        <v>https://i.scdn.co/image/ab67616d0000b273fccf49c7f9a31f591e72d8a0</v>
      </c>
      <c r="AD546" s="3"/>
      <c r="AE546" s="3"/>
      <c r="AF546" s="3"/>
      <c r="AG546" s="3"/>
      <c r="AH546" s="3"/>
    </row>
    <row r="547" spans="1:34" x14ac:dyDescent="0.3">
      <c r="A547" s="11" t="s">
        <v>211</v>
      </c>
      <c r="B547" s="12" t="s">
        <v>5414</v>
      </c>
      <c r="C547" s="12" t="s">
        <v>204</v>
      </c>
      <c r="D547" s="13" t="s">
        <v>18</v>
      </c>
      <c r="E547" s="6">
        <v>42244</v>
      </c>
      <c r="F547" s="3">
        <v>334653</v>
      </c>
      <c r="G547" s="3">
        <v>18</v>
      </c>
      <c r="H547" s="3" t="s">
        <v>5415</v>
      </c>
      <c r="I547" s="3" t="s">
        <v>102</v>
      </c>
      <c r="J547" s="3" t="s">
        <v>103</v>
      </c>
      <c r="K547" s="3" t="s">
        <v>104</v>
      </c>
      <c r="L547" s="3">
        <v>0.59699999999999998</v>
      </c>
      <c r="M547" s="3">
        <v>0.81499999999999995</v>
      </c>
      <c r="N547" s="3">
        <v>11</v>
      </c>
      <c r="O547" s="8">
        <v>-7178</v>
      </c>
      <c r="P547" s="3">
        <v>1</v>
      </c>
      <c r="Q547" s="3">
        <v>6.2600000000000003E-2</v>
      </c>
      <c r="R547" s="3">
        <v>2.2100000000000002E-2</v>
      </c>
      <c r="S547" s="3">
        <v>0.72899999999999998</v>
      </c>
      <c r="T547" s="3">
        <v>0.56100000000000005</v>
      </c>
      <c r="U547" s="3">
        <v>0.115</v>
      </c>
      <c r="V547" s="8">
        <v>119987</v>
      </c>
      <c r="W547" s="3">
        <v>4</v>
      </c>
      <c r="X547" s="3" t="str">
        <f t="shared" si="36"/>
        <v>-SADNE-</v>
      </c>
      <c r="Y547" s="3" t="str">
        <f t="shared" si="37"/>
        <v>-ENERGY-</v>
      </c>
      <c r="Z547" s="4" t="str">
        <f t="shared" si="38"/>
        <v>{"couname":"Chronology, Pt. 5","img":"https://i.scdn.co/image/ab67616d0000b273dae32ab51194394f576a6f3c","pty":"18","artist":"Jean-Michel Jarre","genres":"new age,electrónica,space music","duration":"334653","spotId":"48qo2DeBfn2rU9uCrLIKxp","Items":["-SADNE-","-ENERGY-","","","GN_FrenchElectro"]},</v>
      </c>
      <c r="AA547" s="5" t="s">
        <v>6100</v>
      </c>
      <c r="AB547" s="3" t="str">
        <f t="shared" si="39"/>
        <v>["-SADNE-","-ENERGY-","","","GN_FrenchElectro"]</v>
      </c>
      <c r="AC547" s="3" t="str">
        <f>_xlfn.XLOOKUP(A547,Album!A:A,Album!J:J)</f>
        <v>https://i.scdn.co/image/ab67616d0000b273dae32ab51194394f576a6f3c</v>
      </c>
      <c r="AD547" s="3"/>
      <c r="AE547" s="3"/>
      <c r="AF547" s="3"/>
      <c r="AG547" s="3"/>
      <c r="AH547" s="3"/>
    </row>
    <row r="548" spans="1:34" x14ac:dyDescent="0.3">
      <c r="A548" s="11" t="s">
        <v>217</v>
      </c>
      <c r="B548" s="12" t="s">
        <v>5412</v>
      </c>
      <c r="C548" s="12" t="s">
        <v>204</v>
      </c>
      <c r="D548" s="13" t="s">
        <v>18</v>
      </c>
      <c r="E548" s="6">
        <v>42244</v>
      </c>
      <c r="F548" s="3">
        <v>309933</v>
      </c>
      <c r="G548" s="3">
        <v>18</v>
      </c>
      <c r="H548" s="3" t="s">
        <v>5413</v>
      </c>
      <c r="I548" s="3" t="s">
        <v>102</v>
      </c>
      <c r="J548" s="3" t="s">
        <v>103</v>
      </c>
      <c r="K548" s="3" t="s">
        <v>104</v>
      </c>
      <c r="L548" s="3">
        <v>0.29599999999999999</v>
      </c>
      <c r="M548" s="3">
        <v>0.64400000000000002</v>
      </c>
      <c r="N548" s="3">
        <v>5</v>
      </c>
      <c r="O548" s="8">
        <v>-7691</v>
      </c>
      <c r="P548" s="3">
        <v>1</v>
      </c>
      <c r="Q548" s="3">
        <v>4.1500000000000002E-2</v>
      </c>
      <c r="R548" s="3">
        <v>7.7700000000000005E-5</v>
      </c>
      <c r="S548" s="3">
        <v>0.89</v>
      </c>
      <c r="T548" s="3">
        <v>0.115</v>
      </c>
      <c r="U548" s="3">
        <v>0.19</v>
      </c>
      <c r="V548" s="8">
        <v>187756</v>
      </c>
      <c r="W548" s="3">
        <v>4</v>
      </c>
      <c r="X548" s="3" t="str">
        <f t="shared" si="36"/>
        <v>-SADNE-</v>
      </c>
      <c r="Y548" s="3" t="str">
        <f t="shared" si="37"/>
        <v>-ENERGY-</v>
      </c>
      <c r="Z548" s="4" t="str">
        <f t="shared" si="38"/>
        <v>{"couname":"Chronology, Pt. 8","img":"https://i.scdn.co/image/ab67616d0000b273dae32ab51194394f576a6f3c","pty":"18","artist":"Jean-Michel Jarre","genres":"new age,electrónica,space music","duration":"309933","spotId":"0zskUo87Jk5RDgdGFC6KOK","Items":["-SADNE-","-ENERGY-","","","GN_FrenchElectro"]},</v>
      </c>
      <c r="AA548" s="5" t="s">
        <v>6100</v>
      </c>
      <c r="AB548" s="3" t="str">
        <f t="shared" si="39"/>
        <v>["-SADNE-","-ENERGY-","","","GN_FrenchElectro"]</v>
      </c>
      <c r="AC548" s="3" t="str">
        <f>_xlfn.XLOOKUP(A548,Album!A:A,Album!J:J)</f>
        <v>https://i.scdn.co/image/ab67616d0000b273dae32ab51194394f576a6f3c</v>
      </c>
      <c r="AD548" s="3"/>
      <c r="AE548" s="3"/>
      <c r="AF548" s="3"/>
      <c r="AG548" s="3"/>
      <c r="AH548" s="3"/>
    </row>
    <row r="549" spans="1:34" x14ac:dyDescent="0.3">
      <c r="A549" s="11" t="s">
        <v>271</v>
      </c>
      <c r="B549" s="12" t="s">
        <v>272</v>
      </c>
      <c r="C549" s="12" t="s">
        <v>236</v>
      </c>
      <c r="D549" s="13" t="s">
        <v>2297</v>
      </c>
      <c r="E549" s="6">
        <v>42293</v>
      </c>
      <c r="F549" s="3">
        <v>180066</v>
      </c>
      <c r="G549" s="3">
        <v>18</v>
      </c>
      <c r="H549" s="3" t="s">
        <v>5411</v>
      </c>
      <c r="I549" s="3" t="s">
        <v>102</v>
      </c>
      <c r="J549" s="3" t="s">
        <v>103</v>
      </c>
      <c r="K549" s="3" t="s">
        <v>84</v>
      </c>
      <c r="L549" s="3">
        <v>0.47799999999999998</v>
      </c>
      <c r="M549" s="3">
        <v>0.64700000000000002</v>
      </c>
      <c r="N549" s="3">
        <v>8</v>
      </c>
      <c r="O549" s="8">
        <v>-7.51</v>
      </c>
      <c r="P549" s="3">
        <v>1</v>
      </c>
      <c r="Q549" s="3">
        <v>2.6599999999999999E-2</v>
      </c>
      <c r="R549" s="3">
        <v>0.27400000000000002</v>
      </c>
      <c r="S549" s="3">
        <v>0.70599999999999996</v>
      </c>
      <c r="T549" s="3">
        <v>9.8100000000000007E-2</v>
      </c>
      <c r="U549" s="3">
        <v>7.5600000000000001E-2</v>
      </c>
      <c r="V549" s="8">
        <v>152018</v>
      </c>
      <c r="W549" s="3">
        <v>4</v>
      </c>
      <c r="X549" s="3" t="str">
        <f t="shared" si="36"/>
        <v>-SADNE-</v>
      </c>
      <c r="Y549" s="3" t="str">
        <f t="shared" si="37"/>
        <v>-ENERGY-</v>
      </c>
      <c r="Z549" s="4" t="str">
        <f t="shared" si="38"/>
        <v>{"couname":"A Question of Blood","img":"https://i.scdn.co/image/ab67616d0000b27376987a71d6639ea8f44b5c09","pty":"18","artist":"Jean-Michel Jarre, John Carpenter","genres":"new age,electrónica,space music","duration":"180066","spotId":"37IJhWZb4wCuBZjFo53Xmf","Items":["-SADNE-","-ENERGY-","","","GN_FrenchElectro"]},</v>
      </c>
      <c r="AA549" s="5" t="s">
        <v>6100</v>
      </c>
      <c r="AB549" s="3" t="str">
        <f t="shared" si="39"/>
        <v>["-SADNE-","-ENERGY-","","","GN_FrenchElectro"]</v>
      </c>
      <c r="AC549" s="3" t="str">
        <f>_xlfn.XLOOKUP(A549,Album!A:A,Album!J:J)</f>
        <v>https://i.scdn.co/image/ab67616d0000b27376987a71d6639ea8f44b5c09</v>
      </c>
      <c r="AD549" s="3"/>
      <c r="AE549" s="3"/>
      <c r="AF549" s="3"/>
      <c r="AG549" s="3"/>
      <c r="AH549" s="3"/>
    </row>
    <row r="550" spans="1:34" x14ac:dyDescent="0.3">
      <c r="A550" s="11" t="s">
        <v>304</v>
      </c>
      <c r="B550" s="12" t="s">
        <v>305</v>
      </c>
      <c r="C550" s="12" t="s">
        <v>280</v>
      </c>
      <c r="D550" s="13" t="s">
        <v>5410</v>
      </c>
      <c r="E550" s="6">
        <v>42496</v>
      </c>
      <c r="F550" s="3">
        <v>223506</v>
      </c>
      <c r="G550" s="3">
        <v>18</v>
      </c>
      <c r="H550" s="3" t="s">
        <v>5409</v>
      </c>
      <c r="I550" s="3" t="s">
        <v>102</v>
      </c>
      <c r="J550" s="3" t="s">
        <v>306</v>
      </c>
      <c r="K550" s="3" t="s">
        <v>84</v>
      </c>
      <c r="L550" s="3">
        <v>0.55500000000000005</v>
      </c>
      <c r="M550" s="3">
        <v>0.94699999999999995</v>
      </c>
      <c r="N550" s="3">
        <v>9</v>
      </c>
      <c r="O550" s="8">
        <v>-4488</v>
      </c>
      <c r="P550" s="3">
        <v>0</v>
      </c>
      <c r="Q550" s="3">
        <v>3.4700000000000002E-2</v>
      </c>
      <c r="R550" s="3">
        <v>1.6799999999999999E-2</v>
      </c>
      <c r="S550" s="3">
        <v>0.81899999999999995</v>
      </c>
      <c r="T550" s="3">
        <v>0.123</v>
      </c>
      <c r="U550" s="3">
        <v>0.81499999999999995</v>
      </c>
      <c r="V550" s="8">
        <v>149974</v>
      </c>
      <c r="W550" s="3">
        <v>4</v>
      </c>
      <c r="X550" s="3" t="str">
        <f t="shared" si="36"/>
        <v>-HAPPY-</v>
      </c>
      <c r="Y550" s="3" t="str">
        <f t="shared" si="37"/>
        <v>-ENERGY-</v>
      </c>
      <c r="Z550" s="4" t="str">
        <f t="shared" si="38"/>
        <v>{"couname":"Gisele","img":"https://i.scdn.co/image/ab67616d0000b273359a423dd08ed414400e0cb7","pty":"18","artist":"Jean-Michel Jarre, Sébastien Tellier","genres":"new age,electrónica,space music,house francés,downtempo","duration":"223506","spotId":"3Z6fpDC2cLmgyELDwzF5J8","Items":["-HAPPY-","-ENERGY-","","","GN_FrenchElectro"]},</v>
      </c>
      <c r="AA550" s="5" t="s">
        <v>6100</v>
      </c>
      <c r="AB550" s="3" t="str">
        <f t="shared" si="39"/>
        <v>["-HAPPY-","-ENERGY-","","","GN_FrenchElectro"]</v>
      </c>
      <c r="AC550" s="3" t="str">
        <f>_xlfn.XLOOKUP(A550,Album!A:A,Album!J:J)</f>
        <v>https://i.scdn.co/image/ab67616d0000b273359a423dd08ed414400e0cb7</v>
      </c>
      <c r="AD550" s="3"/>
      <c r="AE550" s="3"/>
      <c r="AF550" s="3"/>
      <c r="AG550" s="3"/>
      <c r="AH550" s="3"/>
    </row>
    <row r="551" spans="1:34" x14ac:dyDescent="0.3">
      <c r="A551" s="11" t="s">
        <v>422</v>
      </c>
      <c r="B551" s="12" t="s">
        <v>5407</v>
      </c>
      <c r="C551" s="12" t="s">
        <v>417</v>
      </c>
      <c r="D551" s="13" t="s">
        <v>18</v>
      </c>
      <c r="E551" s="6">
        <v>2018</v>
      </c>
      <c r="F551" s="3">
        <v>240763</v>
      </c>
      <c r="G551" s="3">
        <v>18</v>
      </c>
      <c r="H551" s="3" t="s">
        <v>5408</v>
      </c>
      <c r="I551" s="3" t="s">
        <v>102</v>
      </c>
      <c r="J551" s="3" t="s">
        <v>103</v>
      </c>
      <c r="K551" s="3" t="s">
        <v>87</v>
      </c>
      <c r="L551" s="3">
        <v>0.26700000000000002</v>
      </c>
      <c r="M551" s="3">
        <v>0.47</v>
      </c>
      <c r="N551" s="3">
        <v>7</v>
      </c>
      <c r="O551" s="8">
        <v>-10287</v>
      </c>
      <c r="P551" s="3">
        <v>0</v>
      </c>
      <c r="Q551" s="3">
        <v>3.56E-2</v>
      </c>
      <c r="R551" s="3">
        <v>0.497</v>
      </c>
      <c r="S551" s="3">
        <v>0.39700000000000002</v>
      </c>
      <c r="T551" s="3">
        <v>0.317</v>
      </c>
      <c r="U551" s="3">
        <v>8.5999999999999993E-2</v>
      </c>
      <c r="V551" s="8">
        <v>120003</v>
      </c>
      <c r="W551" s="3">
        <v>4</v>
      </c>
      <c r="X551" s="3" t="str">
        <f t="shared" si="36"/>
        <v>-SADNE-</v>
      </c>
      <c r="Y551" s="3" t="str">
        <f t="shared" si="37"/>
        <v>-SLOWSS-</v>
      </c>
      <c r="Z551" s="4" t="str">
        <f t="shared" si="38"/>
        <v>{"couname":"ALL THAT YOU LEAVE BEHIND","img":"https://i.scdn.co/image/ab67616d0000b273549c7972b8511360e8761adf","pty":"18","artist":"Jean-Michel Jarre","genres":"new age,electrónica,space music","duration":"240763","spotId":"2OXgn4Yeiwk58MaA46JSSV","Items":["-SADNE-","-SLOWSS-","","","GN_FrenchElectro"]},</v>
      </c>
      <c r="AA551" s="5" t="s">
        <v>6100</v>
      </c>
      <c r="AB551" s="3" t="str">
        <f t="shared" si="39"/>
        <v>["-SADNE-","-SLOWSS-","","","GN_FrenchElectro"]</v>
      </c>
      <c r="AC551" s="3" t="str">
        <f>_xlfn.XLOOKUP(A551,Album!A:A,Album!J:J)</f>
        <v>https://i.scdn.co/image/ab67616d0000b273549c7972b8511360e8761adf</v>
      </c>
      <c r="AD551" s="3"/>
      <c r="AE551" s="3"/>
      <c r="AF551" s="3"/>
      <c r="AG551" s="3"/>
      <c r="AH551" s="3"/>
    </row>
    <row r="552" spans="1:34" x14ac:dyDescent="0.3">
      <c r="A552" s="11" t="s">
        <v>560</v>
      </c>
      <c r="B552" s="12" t="s">
        <v>562</v>
      </c>
      <c r="C552" s="12" t="s">
        <v>562</v>
      </c>
      <c r="D552" s="13" t="s">
        <v>501</v>
      </c>
      <c r="E552" s="6">
        <v>41904</v>
      </c>
      <c r="F552" s="3">
        <v>330243</v>
      </c>
      <c r="G552" s="3">
        <v>18</v>
      </c>
      <c r="H552" s="3" t="s">
        <v>5406</v>
      </c>
      <c r="I552" s="3" t="s">
        <v>462</v>
      </c>
      <c r="J552" s="3" t="s">
        <v>463</v>
      </c>
      <c r="K552" s="3" t="s">
        <v>563</v>
      </c>
      <c r="L552" s="3">
        <v>0.84099999999999997</v>
      </c>
      <c r="M552" s="3">
        <v>0.86</v>
      </c>
      <c r="N552" s="3">
        <v>6</v>
      </c>
      <c r="O552" s="8">
        <v>-5479</v>
      </c>
      <c r="P552" s="3">
        <v>0</v>
      </c>
      <c r="Q552" s="3">
        <v>6.7100000000000007E-2</v>
      </c>
      <c r="R552" s="3">
        <v>0.14599999999999999</v>
      </c>
      <c r="S552" s="3">
        <v>0.80600000000000005</v>
      </c>
      <c r="T552" s="3">
        <v>3.0700000000000002E-2</v>
      </c>
      <c r="U552" s="3">
        <v>0.52300000000000002</v>
      </c>
      <c r="V552" s="8">
        <v>122985</v>
      </c>
      <c r="W552" s="3">
        <v>4</v>
      </c>
      <c r="X552" s="3" t="str">
        <f t="shared" si="36"/>
        <v>-HAPPY-</v>
      </c>
      <c r="Y552" s="3" t="str">
        <f t="shared" si="37"/>
        <v>-ENERGY-</v>
      </c>
      <c r="Z552" s="4" t="str">
        <f t="shared" si="38"/>
        <v>{"couname":"Back Again","img":"https://i.scdn.co/image/ab67616d0000b27314526661a737d36c7f507547","pty":"18","artist":"Bob Sinclar","genres":"house francés,disco house","duration":"330243","spotId":"4ufD4x1aqaOBfr8XwdwYjK","Items":["-HAPPY-","-ENERGY-","","","GN_FrenchElectro"]},</v>
      </c>
      <c r="AA552" s="5" t="s">
        <v>6100</v>
      </c>
      <c r="AB552" s="3" t="str">
        <f t="shared" si="39"/>
        <v>["-HAPPY-","-ENERGY-","","","GN_FrenchElectro"]</v>
      </c>
      <c r="AC552" s="3" t="str">
        <f>_xlfn.XLOOKUP(A552,Album!A:A,Album!J:J)</f>
        <v>https://i.scdn.co/image/ab67616d0000b27314526661a737d36c7f507547</v>
      </c>
      <c r="AD552" s="3"/>
      <c r="AE552" s="3"/>
      <c r="AF552" s="3"/>
      <c r="AG552" s="3"/>
      <c r="AH552" s="3"/>
    </row>
    <row r="553" spans="1:34" x14ac:dyDescent="0.3">
      <c r="A553" s="11" t="s">
        <v>707</v>
      </c>
      <c r="B553" s="12" t="s">
        <v>709</v>
      </c>
      <c r="C553" s="12" t="s">
        <v>709</v>
      </c>
      <c r="D553" s="13" t="s">
        <v>2890</v>
      </c>
      <c r="E553" s="6">
        <v>39814</v>
      </c>
      <c r="F553" s="3">
        <v>224469</v>
      </c>
      <c r="G553" s="3">
        <v>18</v>
      </c>
      <c r="H553" s="3" t="s">
        <v>5405</v>
      </c>
      <c r="I553" s="3" t="s">
        <v>639</v>
      </c>
      <c r="J553" s="3" t="s">
        <v>640</v>
      </c>
      <c r="K553" s="3" t="s">
        <v>687</v>
      </c>
      <c r="L553" s="3">
        <v>0.79500000000000004</v>
      </c>
      <c r="M553" s="3">
        <v>0.63300000000000001</v>
      </c>
      <c r="N553" s="3">
        <v>0</v>
      </c>
      <c r="O553" s="8">
        <v>-2874</v>
      </c>
      <c r="P553" s="3">
        <v>1</v>
      </c>
      <c r="Q553" s="3">
        <v>4.1000000000000002E-2</v>
      </c>
      <c r="R553" s="3">
        <v>5.6600000000000001E-3</v>
      </c>
      <c r="S553" s="3">
        <v>7.8499999999999994E-6</v>
      </c>
      <c r="T553" s="3">
        <v>0.12</v>
      </c>
      <c r="U553" s="3">
        <v>0.90200000000000002</v>
      </c>
      <c r="V553" s="8">
        <v>131009</v>
      </c>
      <c r="W553" s="3">
        <v>4</v>
      </c>
      <c r="X553" s="3" t="str">
        <f t="shared" si="36"/>
        <v>-HAPPY-</v>
      </c>
      <c r="Y553" s="3" t="str">
        <f t="shared" si="37"/>
        <v>-ENERGY-</v>
      </c>
      <c r="Z553" s="4" t="str">
        <f t="shared" si="38"/>
        <v>{"couname":"Boys &amp; Girls","img":"https://i.scdn.co/image/ab67616d0000b27395a74c6f53ffb15870f32d9b","pty":"18","artist":"Martin Solveig, Dragonette","genres":"house francés","duration":"224469","spotId":"7wW3P4NjQqV3IgeZavPImG","Items":["-HAPPY-","-ENERGY-","","","GN_FrenchElectro"]},</v>
      </c>
      <c r="AA553" s="5" t="s">
        <v>6100</v>
      </c>
      <c r="AB553" s="3" t="str">
        <f t="shared" si="39"/>
        <v>["-HAPPY-","-ENERGY-","","","GN_FrenchElectro"]</v>
      </c>
      <c r="AC553" s="3" t="str">
        <f>_xlfn.XLOOKUP(A553,Album!A:A,Album!J:J)</f>
        <v>https://i.scdn.co/image/ab67616d0000b27395a74c6f53ffb15870f32d9b</v>
      </c>
      <c r="AD553" s="3"/>
      <c r="AE553" s="3"/>
      <c r="AF553" s="3"/>
      <c r="AG553" s="3"/>
      <c r="AH553" s="3"/>
    </row>
    <row r="554" spans="1:34" x14ac:dyDescent="0.3">
      <c r="A554" s="11" t="s">
        <v>1302</v>
      </c>
      <c r="B554" s="12" t="s">
        <v>5291</v>
      </c>
      <c r="C554" s="12" t="s">
        <v>1301</v>
      </c>
      <c r="D554" s="13" t="s">
        <v>3838</v>
      </c>
      <c r="E554" s="6">
        <v>42030</v>
      </c>
      <c r="F554" s="3">
        <v>238800</v>
      </c>
      <c r="G554" s="3">
        <v>18</v>
      </c>
      <c r="H554" s="3" t="s">
        <v>5404</v>
      </c>
      <c r="I554" s="3" t="s">
        <v>1207</v>
      </c>
      <c r="J554" s="3" t="s">
        <v>1208</v>
      </c>
      <c r="K554" s="3" t="s">
        <v>84</v>
      </c>
      <c r="L554" s="3">
        <v>0.66200000000000003</v>
      </c>
      <c r="M554" s="3">
        <v>0.77</v>
      </c>
      <c r="N554" s="3">
        <v>10</v>
      </c>
      <c r="O554" s="8">
        <v>-2284</v>
      </c>
      <c r="P554" s="3">
        <v>1</v>
      </c>
      <c r="Q554" s="3">
        <v>4.8099999999999997E-2</v>
      </c>
      <c r="R554" s="3">
        <v>1.04E-2</v>
      </c>
      <c r="S554" s="3">
        <v>5.3100000000000003E-5</v>
      </c>
      <c r="T554" s="3">
        <v>0.151</v>
      </c>
      <c r="U554" s="3">
        <v>0.57899999999999996</v>
      </c>
      <c r="V554" s="8">
        <v>99983</v>
      </c>
      <c r="W554" s="3">
        <v>4</v>
      </c>
      <c r="X554" s="3" t="str">
        <f t="shared" si="36"/>
        <v>-HAPPY-</v>
      </c>
      <c r="Y554" s="3" t="str">
        <f t="shared" si="37"/>
        <v>-ENERGY-</v>
      </c>
      <c r="Z554" s="4" t="str">
        <f t="shared" si="38"/>
        <v>{"couname":"You're On","img":"https://i.scdn.co/image/ab67616d0000b273f734363c71b93265900fdcc4","pty":"18","artist":"Madeon, Kyan, Oliver","genres":"edm,house francés","duration":"238800","spotId":"08mdSJqfbNZ5hvIeCVWB2F","Items":["-HAPPY-","-ENERGY-","","","GN_FrenchElectro"]},</v>
      </c>
      <c r="AA554" s="5" t="s">
        <v>6100</v>
      </c>
      <c r="AB554" s="3" t="str">
        <f t="shared" si="39"/>
        <v>["-HAPPY-","-ENERGY-","","","GN_FrenchElectro"]</v>
      </c>
      <c r="AC554" s="3" t="str">
        <f>_xlfn.XLOOKUP(A554,Album!A:A,Album!J:J)</f>
        <v>https://i.scdn.co/image/ab67616d0000b273f734363c71b93265900fdcc4</v>
      </c>
      <c r="AD554" s="3"/>
      <c r="AE554" s="3"/>
      <c r="AF554" s="3"/>
      <c r="AG554" s="3"/>
      <c r="AH554" s="3"/>
    </row>
    <row r="555" spans="1:34" x14ac:dyDescent="0.3">
      <c r="A555" s="11" t="s">
        <v>1724</v>
      </c>
      <c r="B555" s="12" t="s">
        <v>1725</v>
      </c>
      <c r="C555" s="12" t="s">
        <v>1690</v>
      </c>
      <c r="D555" s="13" t="s">
        <v>1674</v>
      </c>
      <c r="E555" s="6">
        <v>43637</v>
      </c>
      <c r="F555" s="3">
        <v>184986</v>
      </c>
      <c r="G555" s="3">
        <v>18</v>
      </c>
      <c r="H555" s="3" t="s">
        <v>5403</v>
      </c>
      <c r="I555" s="3" t="s">
        <v>1675</v>
      </c>
      <c r="J555" s="3" t="s">
        <v>463</v>
      </c>
      <c r="K555" s="3" t="s">
        <v>1691</v>
      </c>
      <c r="L555" s="3">
        <v>0.58199999999999996</v>
      </c>
      <c r="M555" s="3">
        <v>0.98099999999999998</v>
      </c>
      <c r="N555" s="3">
        <v>4</v>
      </c>
      <c r="O555" s="8">
        <v>-6965</v>
      </c>
      <c r="P555" s="3">
        <v>0</v>
      </c>
      <c r="Q555" s="3">
        <v>7.22E-2</v>
      </c>
      <c r="R555" s="3">
        <v>7.6900000000000004E-4</v>
      </c>
      <c r="S555" s="3">
        <v>0.872</v>
      </c>
      <c r="T555" s="3">
        <v>0.94599999999999995</v>
      </c>
      <c r="U555" s="3">
        <v>0.40300000000000002</v>
      </c>
      <c r="V555" s="8">
        <v>119962</v>
      </c>
      <c r="W555" s="3">
        <v>4</v>
      </c>
      <c r="X555" s="3" t="str">
        <f t="shared" si="36"/>
        <v>-HAPPY-</v>
      </c>
      <c r="Y555" s="3" t="str">
        <f t="shared" si="37"/>
        <v>-ENERGY-</v>
      </c>
      <c r="Z555" s="4" t="str">
        <f t="shared" si="38"/>
        <v>{"couname":"Chuffed","img":"https://i.scdn.co/image/ab67616d0000b2730bb9eff4be678363242f0b6e","pty":"18","artist":"Cassius","genres":"house francés,disco house","duration":"184986","spotId":"61u5gfLBqZLu016cgE2ehk","Items":["-HAPPY-","-ENERGY-","","","GN_FrenchElectro"]},</v>
      </c>
      <c r="AA555" s="5" t="s">
        <v>6100</v>
      </c>
      <c r="AB555" s="3" t="str">
        <f t="shared" si="39"/>
        <v>["-HAPPY-","-ENERGY-","","","GN_FrenchElectro"]</v>
      </c>
      <c r="AC555" s="3" t="str">
        <f>_xlfn.XLOOKUP(A555,Album!A:A,Album!J:J)</f>
        <v>https://i.scdn.co/image/ab67616d0000b2730bb9eff4be678363242f0b6e</v>
      </c>
      <c r="AD555" s="3"/>
      <c r="AE555" s="3"/>
      <c r="AF555" s="3"/>
      <c r="AG555" s="3"/>
      <c r="AH555" s="3"/>
    </row>
    <row r="556" spans="1:34" x14ac:dyDescent="0.3">
      <c r="A556" s="11" t="s">
        <v>1750</v>
      </c>
      <c r="B556" s="12" t="s">
        <v>1751</v>
      </c>
      <c r="C556" s="12" t="s">
        <v>1751</v>
      </c>
      <c r="D556" s="13" t="s">
        <v>4480</v>
      </c>
      <c r="E556" s="6">
        <v>45681</v>
      </c>
      <c r="F556" s="3">
        <v>242546</v>
      </c>
      <c r="G556" s="3">
        <v>18</v>
      </c>
      <c r="H556" s="3" t="s">
        <v>5402</v>
      </c>
      <c r="I556" s="3" t="s">
        <v>1675</v>
      </c>
      <c r="J556" s="3" t="s">
        <v>1752</v>
      </c>
      <c r="K556" s="3" t="s">
        <v>1753</v>
      </c>
      <c r="L556" s="3">
        <v>0.79500000000000004</v>
      </c>
      <c r="M556" s="3">
        <v>0.74199999999999999</v>
      </c>
      <c r="N556" s="3">
        <v>6</v>
      </c>
      <c r="O556" s="8">
        <v>-6835</v>
      </c>
      <c r="P556" s="3">
        <v>1</v>
      </c>
      <c r="Q556" s="3">
        <v>8.9099999999999999E-2</v>
      </c>
      <c r="R556" s="3">
        <v>0.17699999999999999</v>
      </c>
      <c r="S556" s="3">
        <v>7.1400000000000001E-4</v>
      </c>
      <c r="T556" s="3">
        <v>0.50800000000000001</v>
      </c>
      <c r="U556" s="3">
        <v>0.88400000000000001</v>
      </c>
      <c r="V556" s="8">
        <v>96088</v>
      </c>
      <c r="W556" s="3">
        <v>4</v>
      </c>
      <c r="X556" s="3" t="str">
        <f t="shared" si="36"/>
        <v>-HAPPY-</v>
      </c>
      <c r="Y556" s="3" t="str">
        <f t="shared" si="37"/>
        <v>-ENERGY-</v>
      </c>
      <c r="Z556" s="4" t="str">
        <f t="shared" si="38"/>
        <v>{"couname":"Viber","img":"https://i.scdn.co/image/ab67616d0000b273fddd409c9a11ed39007fa0e4","pty":"18","artist":"Christopher Wilde, Maxx, Cheryl Lynn, Cassius","genres":"hard techno,disco,post-disco,house francés,disco house","duration":"242546","spotId":"0iC8WNLQnugOqfYhxz83oo","Items":["-HAPPY-","-ENERGY-","","","GN_FrenchElectro"]},</v>
      </c>
      <c r="AA556" s="5" t="s">
        <v>6100</v>
      </c>
      <c r="AB556" s="3" t="str">
        <f t="shared" si="39"/>
        <v>["-HAPPY-","-ENERGY-","","","GN_FrenchElectro"]</v>
      </c>
      <c r="AC556" s="3" t="str">
        <f>_xlfn.XLOOKUP(A556,Album!A:A,Album!J:J)</f>
        <v>https://i.scdn.co/image/ab67616d0000b273fddd409c9a11ed39007fa0e4</v>
      </c>
      <c r="AD556" s="3"/>
      <c r="AE556" s="3"/>
      <c r="AF556" s="3"/>
      <c r="AG556" s="3"/>
      <c r="AH556" s="3"/>
    </row>
    <row r="557" spans="1:34" x14ac:dyDescent="0.3">
      <c r="A557" s="11" t="s">
        <v>2060</v>
      </c>
      <c r="B557" s="12" t="s">
        <v>2061</v>
      </c>
      <c r="C557" s="12" t="s">
        <v>2062</v>
      </c>
      <c r="D557" s="13" t="s">
        <v>4928</v>
      </c>
      <c r="E557" s="6">
        <v>40544</v>
      </c>
      <c r="F557" s="3">
        <v>208173</v>
      </c>
      <c r="G557" s="3">
        <v>18</v>
      </c>
      <c r="H557" s="3" t="s">
        <v>5401</v>
      </c>
      <c r="I557" s="3" t="s">
        <v>1983</v>
      </c>
      <c r="J557" s="3" t="s">
        <v>2063</v>
      </c>
      <c r="K557" s="3" t="s">
        <v>2064</v>
      </c>
      <c r="L557" s="3">
        <v>0.40899999999999997</v>
      </c>
      <c r="M557" s="3">
        <v>0.28199999999999997</v>
      </c>
      <c r="N557" s="3">
        <v>9</v>
      </c>
      <c r="O557" s="8">
        <v>-11869</v>
      </c>
      <c r="P557" s="3">
        <v>1</v>
      </c>
      <c r="Q557" s="3">
        <v>6.8000000000000005E-2</v>
      </c>
      <c r="R557" s="3">
        <v>0.84</v>
      </c>
      <c r="S557" s="3">
        <v>0</v>
      </c>
      <c r="T557" s="3">
        <v>0.128</v>
      </c>
      <c r="U557" s="3">
        <v>0.13300000000000001</v>
      </c>
      <c r="V557" s="8">
        <v>179657</v>
      </c>
      <c r="W557" s="3">
        <v>4</v>
      </c>
      <c r="X557" s="3" t="str">
        <f t="shared" si="36"/>
        <v>-SADNE-</v>
      </c>
      <c r="Y557" s="3" t="str">
        <f t="shared" si="37"/>
        <v>-SLOWSS-</v>
      </c>
      <c r="Z557" s="4" t="str">
        <f t="shared" si="38"/>
        <v>{"couname":"Ophélie","img":"https://i.scdn.co/image/ab67616d0000b273b58f3486d4cc65315e8f8e4d","pty":"18","artist":"Nouvelle Vague, Yelle","genres":"lounge,pop francés,house francés,electroclash,electropop","duration":"208173","spotId":"5sxKFQFUkAeREUdCAaHS1G","Items":["-SADNE-","-SLOWSS-","","","GN_FrenchElectro"]},</v>
      </c>
      <c r="AA557" s="5" t="s">
        <v>6100</v>
      </c>
      <c r="AB557" s="3" t="str">
        <f t="shared" si="39"/>
        <v>["-SADNE-","-SLOWSS-","","","GN_FrenchElectro"]</v>
      </c>
      <c r="AC557" s="3" t="str">
        <f>_xlfn.XLOOKUP(A557,Album!A:A,Album!J:J)</f>
        <v>https://i.scdn.co/image/ab67616d0000b273b58f3486d4cc65315e8f8e4d</v>
      </c>
      <c r="AD557" s="3"/>
      <c r="AE557" s="3"/>
      <c r="AF557" s="3"/>
      <c r="AG557" s="3"/>
      <c r="AH557" s="3"/>
    </row>
    <row r="558" spans="1:34" x14ac:dyDescent="0.3">
      <c r="A558" s="11" t="s">
        <v>2077</v>
      </c>
      <c r="B558" s="12" t="s">
        <v>2078</v>
      </c>
      <c r="C558" s="12" t="s">
        <v>2036</v>
      </c>
      <c r="D558" s="13" t="s">
        <v>1993</v>
      </c>
      <c r="E558" s="6">
        <v>41908</v>
      </c>
      <c r="F558" s="3">
        <v>135000</v>
      </c>
      <c r="G558" s="3">
        <v>18</v>
      </c>
      <c r="H558" s="3" t="s">
        <v>5400</v>
      </c>
      <c r="I558" s="3" t="s">
        <v>1983</v>
      </c>
      <c r="J558" s="3" t="s">
        <v>1994</v>
      </c>
      <c r="K558" s="3" t="s">
        <v>2037</v>
      </c>
      <c r="L558" s="3">
        <v>0.84199999999999997</v>
      </c>
      <c r="M558" s="3">
        <v>0.313</v>
      </c>
      <c r="N558" s="3">
        <v>0</v>
      </c>
      <c r="O558" s="8">
        <v>-10473</v>
      </c>
      <c r="P558" s="3">
        <v>1</v>
      </c>
      <c r="Q558" s="3">
        <v>5.2400000000000002E-2</v>
      </c>
      <c r="R558" s="3">
        <v>0.182</v>
      </c>
      <c r="S558" s="3">
        <v>0.11799999999999999</v>
      </c>
      <c r="T558" s="3">
        <v>0.12</v>
      </c>
      <c r="U558" s="3">
        <v>0.79100000000000004</v>
      </c>
      <c r="V558" s="8">
        <v>100005</v>
      </c>
      <c r="W558" s="3">
        <v>4</v>
      </c>
      <c r="X558" s="3" t="str">
        <f t="shared" si="36"/>
        <v>-HAPPY-</v>
      </c>
      <c r="Y558" s="3" t="str">
        <f t="shared" si="37"/>
        <v>-ENERGY-</v>
      </c>
      <c r="Z558" s="4" t="str">
        <f t="shared" si="38"/>
        <v>{"couname":"Nuit de baise I","img":"https://i.scdn.co/image/ab67616d0000b273a84efe4704b8869e487cebff","pty":"18","artist":"Yelle","genres":"pop francés,house francés,electroclash,electropop","duration":"135000","spotId":"6c6AgSLuZIDB0cXRtnohnC","Items":["-HAPPY-","-ENERGY-","","","GN_FrenchElectro"]},</v>
      </c>
      <c r="AA558" s="5" t="s">
        <v>6100</v>
      </c>
      <c r="AB558" s="3" t="str">
        <f t="shared" si="39"/>
        <v>["-HAPPY-","-ENERGY-","","","GN_FrenchElectro"]</v>
      </c>
      <c r="AC558" s="3" t="str">
        <f>_xlfn.XLOOKUP(A558,Album!A:A,Album!J:J)</f>
        <v>https://i.scdn.co/image/ab67616d0000b273a84efe4704b8869e487cebff</v>
      </c>
      <c r="AD558" s="3"/>
      <c r="AE558" s="3"/>
      <c r="AF558" s="3"/>
      <c r="AG558" s="3"/>
      <c r="AH558" s="3"/>
    </row>
    <row r="559" spans="1:34" x14ac:dyDescent="0.3">
      <c r="A559" s="11" t="s">
        <v>2079</v>
      </c>
      <c r="B559" s="12" t="s">
        <v>2080</v>
      </c>
      <c r="C559" s="12" t="s">
        <v>2080</v>
      </c>
      <c r="D559" s="13" t="s">
        <v>1993</v>
      </c>
      <c r="E559" s="6">
        <v>44950</v>
      </c>
      <c r="F559" s="3">
        <v>190648</v>
      </c>
      <c r="G559" s="3">
        <v>18</v>
      </c>
      <c r="H559" s="3" t="s">
        <v>5399</v>
      </c>
      <c r="I559" s="3" t="s">
        <v>1983</v>
      </c>
      <c r="J559" s="3" t="s">
        <v>1994</v>
      </c>
      <c r="K559" s="3" t="s">
        <v>2002</v>
      </c>
      <c r="L559" s="3">
        <v>0.81100000000000005</v>
      </c>
      <c r="M559" s="3">
        <v>0.46899999999999997</v>
      </c>
      <c r="N559" s="3">
        <v>7</v>
      </c>
      <c r="O559" s="8">
        <v>-9197</v>
      </c>
      <c r="P559" s="3">
        <v>0</v>
      </c>
      <c r="Q559" s="3">
        <v>5.4800000000000001E-2</v>
      </c>
      <c r="R559" s="3">
        <v>0.35799999999999998</v>
      </c>
      <c r="S559" s="3">
        <v>7.1000000000000002E-4</v>
      </c>
      <c r="T559" s="3">
        <v>9.1399999999999995E-2</v>
      </c>
      <c r="U559" s="3">
        <v>0.373</v>
      </c>
      <c r="V559" s="8">
        <v>120005</v>
      </c>
      <c r="W559" s="3">
        <v>4</v>
      </c>
      <c r="X559" s="3" t="str">
        <f t="shared" si="36"/>
        <v>-SADNE-</v>
      </c>
      <c r="Y559" s="3" t="str">
        <f t="shared" si="37"/>
        <v>-ENERGY-</v>
      </c>
      <c r="Z559" s="4" t="str">
        <f t="shared" si="38"/>
        <v>{"couname":"Top Fan","img":"https://i.scdn.co/image/ab67616d0000b2732cbcd5d4f4b8afd35e992a1f","pty":"18","artist":"Yelle","genres":"pop francés,house francés,electroclash,electropop","duration":"190648","spotId":"4DHT5FB2rVe1PuJMcgZmg2","Items":["-SADNE-","-ENERGY-","","","GN_FrenchElectro"]},</v>
      </c>
      <c r="AA559" s="5" t="s">
        <v>6100</v>
      </c>
      <c r="AB559" s="3" t="str">
        <f t="shared" si="39"/>
        <v>["-SADNE-","-ENERGY-","","","GN_FrenchElectro"]</v>
      </c>
      <c r="AC559" s="3" t="str">
        <f>_xlfn.XLOOKUP(A559,Album!A:A,Album!J:J)</f>
        <v>https://i.scdn.co/image/ab67616d0000b2732cbcd5d4f4b8afd35e992a1f</v>
      </c>
      <c r="AD559" s="3"/>
      <c r="AE559" s="3"/>
      <c r="AF559" s="3"/>
      <c r="AG559" s="3"/>
      <c r="AH559" s="3"/>
    </row>
    <row r="560" spans="1:34" x14ac:dyDescent="0.3">
      <c r="A560" s="11" t="s">
        <v>2083</v>
      </c>
      <c r="B560" s="12" t="s">
        <v>2084</v>
      </c>
      <c r="C560" s="12" t="s">
        <v>1992</v>
      </c>
      <c r="D560" s="13" t="s">
        <v>1993</v>
      </c>
      <c r="E560" s="6">
        <v>39325</v>
      </c>
      <c r="F560" s="3">
        <v>255586</v>
      </c>
      <c r="G560" s="3">
        <v>18</v>
      </c>
      <c r="H560" s="3" t="s">
        <v>5398</v>
      </c>
      <c r="I560" s="3" t="s">
        <v>1983</v>
      </c>
      <c r="J560" s="3" t="s">
        <v>1994</v>
      </c>
      <c r="K560" s="3" t="s">
        <v>83</v>
      </c>
      <c r="L560" s="3">
        <v>0.89800000000000002</v>
      </c>
      <c r="M560" s="3">
        <v>0.51100000000000001</v>
      </c>
      <c r="N560" s="3">
        <v>9</v>
      </c>
      <c r="O560" s="8">
        <v>-6958</v>
      </c>
      <c r="P560" s="3">
        <v>0</v>
      </c>
      <c r="Q560" s="3">
        <v>4.5199999999999997E-2</v>
      </c>
      <c r="R560" s="3">
        <v>1.8100000000000002E-2</v>
      </c>
      <c r="S560" s="3">
        <v>2.6800000000000002E-6</v>
      </c>
      <c r="T560" s="3">
        <v>0.253</v>
      </c>
      <c r="U560" s="3">
        <v>0.54900000000000004</v>
      </c>
      <c r="V560" s="8">
        <v>117</v>
      </c>
      <c r="W560" s="3">
        <v>4</v>
      </c>
      <c r="X560" s="3" t="str">
        <f t="shared" si="36"/>
        <v>-HAPPY-</v>
      </c>
      <c r="Y560" s="3" t="str">
        <f t="shared" si="37"/>
        <v>-ENERGY-</v>
      </c>
      <c r="Z560" s="4" t="str">
        <f t="shared" si="38"/>
        <v>{"couname":"Les femmes","img":"https://i.scdn.co/image/ab67616d0000b2735da1104c8104431eb16f831c","pty":"18","artist":"Yelle","genres":"pop francés,house francés,electroclash,electropop","duration":"255586","spotId":"5TnHQX4kZylRUcL9L6CJ4o","Items":["-HAPPY-","-ENERGY-","","","GN_FrenchElectro"]},</v>
      </c>
      <c r="AA560" s="5" t="s">
        <v>6100</v>
      </c>
      <c r="AB560" s="3" t="str">
        <f t="shared" si="39"/>
        <v>["-HAPPY-","-ENERGY-","","","GN_FrenchElectro"]</v>
      </c>
      <c r="AC560" s="3" t="str">
        <f>_xlfn.XLOOKUP(A560,Album!A:A,Album!J:J)</f>
        <v>https://i.scdn.co/image/ab67616d0000b2735da1104c8104431eb16f831c</v>
      </c>
      <c r="AD560" s="3"/>
      <c r="AE560" s="3"/>
      <c r="AF560" s="3"/>
      <c r="AG560" s="3"/>
      <c r="AH560" s="3"/>
    </row>
    <row r="561" spans="1:34" x14ac:dyDescent="0.3">
      <c r="A561" s="11" t="s">
        <v>2093</v>
      </c>
      <c r="B561" s="12" t="s">
        <v>2094</v>
      </c>
      <c r="C561" s="12" t="s">
        <v>2036</v>
      </c>
      <c r="D561" s="13" t="s">
        <v>1993</v>
      </c>
      <c r="E561" s="6">
        <v>41908</v>
      </c>
      <c r="F561" s="3">
        <v>218146</v>
      </c>
      <c r="G561" s="3">
        <v>18</v>
      </c>
      <c r="H561" s="3" t="s">
        <v>5397</v>
      </c>
      <c r="I561" s="3" t="s">
        <v>1983</v>
      </c>
      <c r="J561" s="3" t="s">
        <v>1994</v>
      </c>
      <c r="K561" s="3" t="s">
        <v>2037</v>
      </c>
      <c r="L561" s="3">
        <v>0.87</v>
      </c>
      <c r="M561" s="3">
        <v>0.68899999999999995</v>
      </c>
      <c r="N561" s="3">
        <v>2</v>
      </c>
      <c r="O561" s="8">
        <v>-5905</v>
      </c>
      <c r="P561" s="3">
        <v>1</v>
      </c>
      <c r="Q561" s="3">
        <v>4.3999999999999997E-2</v>
      </c>
      <c r="R561" s="3">
        <v>2.5600000000000001E-2</v>
      </c>
      <c r="S561" s="3">
        <v>2.6400000000000002E-4</v>
      </c>
      <c r="T561" s="3">
        <v>4.2000000000000003E-2</v>
      </c>
      <c r="U561" s="3">
        <v>0.58699999999999997</v>
      </c>
      <c r="V561" s="8">
        <v>120.01</v>
      </c>
      <c r="W561" s="3">
        <v>4</v>
      </c>
      <c r="X561" s="3" t="str">
        <f t="shared" si="36"/>
        <v>-HAPPY-</v>
      </c>
      <c r="Y561" s="3" t="str">
        <f t="shared" si="37"/>
        <v>-ENERGY-</v>
      </c>
      <c r="Z561" s="4" t="str">
        <f t="shared" si="38"/>
        <v>{"couname":"Coca sans bulles","img":"https://i.scdn.co/image/ab67616d0000b273a84efe4704b8869e487cebff","pty":"18","artist":"Yelle","genres":"pop francés,house francés,electroclash,electropop","duration":"218146","spotId":"6RPZOMgZsnPKa4BQYQLWXL","Items":["-HAPPY-","-ENERGY-","","","GN_FrenchElectro"]},</v>
      </c>
      <c r="AA561" s="5" t="s">
        <v>6100</v>
      </c>
      <c r="AB561" s="3" t="str">
        <f t="shared" si="39"/>
        <v>["-HAPPY-","-ENERGY-","","","GN_FrenchElectro"]</v>
      </c>
      <c r="AC561" s="3" t="str">
        <f>_xlfn.XLOOKUP(A561,Album!A:A,Album!J:J)</f>
        <v>https://i.scdn.co/image/ab67616d0000b273a84efe4704b8869e487cebff</v>
      </c>
      <c r="AD561" s="3"/>
      <c r="AE561" s="3"/>
      <c r="AF561" s="3"/>
      <c r="AG561" s="3"/>
      <c r="AH561" s="3"/>
    </row>
    <row r="562" spans="1:34" x14ac:dyDescent="0.3">
      <c r="A562" s="11" t="s">
        <v>155</v>
      </c>
      <c r="B562" s="12" t="s">
        <v>156</v>
      </c>
      <c r="C562" s="12" t="s">
        <v>146</v>
      </c>
      <c r="D562" s="13" t="s">
        <v>18</v>
      </c>
      <c r="E562" s="6">
        <v>42244</v>
      </c>
      <c r="F562" s="3">
        <v>201106</v>
      </c>
      <c r="G562" s="3">
        <v>17</v>
      </c>
      <c r="H562" s="3" t="s">
        <v>5396</v>
      </c>
      <c r="I562" s="3" t="s">
        <v>102</v>
      </c>
      <c r="J562" s="3" t="s">
        <v>103</v>
      </c>
      <c r="K562" s="3" t="s">
        <v>104</v>
      </c>
      <c r="L562" s="3">
        <v>0.63600000000000001</v>
      </c>
      <c r="M562" s="3">
        <v>0.876</v>
      </c>
      <c r="N562" s="3">
        <v>0</v>
      </c>
      <c r="O562" s="8">
        <v>-6654</v>
      </c>
      <c r="P562" s="3">
        <v>1</v>
      </c>
      <c r="Q562" s="3">
        <v>5.4199999999999998E-2</v>
      </c>
      <c r="R562" s="3">
        <v>2.35E-2</v>
      </c>
      <c r="S562" s="3">
        <v>5.9200000000000002E-5</v>
      </c>
      <c r="T562" s="3">
        <v>0.125</v>
      </c>
      <c r="U562" s="3">
        <v>0.55500000000000005</v>
      </c>
      <c r="V562" s="8">
        <v>100462</v>
      </c>
      <c r="W562" s="3">
        <v>4</v>
      </c>
      <c r="X562" s="3" t="str">
        <f t="shared" si="36"/>
        <v>-HAPPY-</v>
      </c>
      <c r="Y562" s="3" t="str">
        <f t="shared" si="37"/>
        <v>-ENERGY-</v>
      </c>
      <c r="Z562" s="4" t="str">
        <f t="shared" si="38"/>
        <v>{"couname":"Blah Blah Cafe","img":"https://i.scdn.co/image/ab67616d0000b2731e04e7479f1714b14987e599","pty":"17","artist":"Jean-Michel Jarre","genres":"new age,electrónica,space music","duration":"201106","spotId":"77KYpCVUtOhWdOplQkTZcv","Items":["-HAPPY-","-ENERGY-","","","GN_FrenchElectro"]},</v>
      </c>
      <c r="AA562" s="5" t="s">
        <v>6100</v>
      </c>
      <c r="AB562" s="3" t="str">
        <f t="shared" si="39"/>
        <v>["-HAPPY-","-ENERGY-","","","GN_FrenchElectro"]</v>
      </c>
      <c r="AC562" s="3" t="str">
        <f>_xlfn.XLOOKUP(A562,Album!A:A,Album!J:J)</f>
        <v>https://i.scdn.co/image/ab67616d0000b2731e04e7479f1714b14987e599</v>
      </c>
      <c r="AD562" s="3"/>
      <c r="AE562" s="3"/>
      <c r="AF562" s="3"/>
      <c r="AG562" s="3"/>
      <c r="AH562" s="3"/>
    </row>
    <row r="563" spans="1:34" x14ac:dyDescent="0.3">
      <c r="A563" s="11" t="s">
        <v>175</v>
      </c>
      <c r="B563" s="12" t="s">
        <v>5394</v>
      </c>
      <c r="C563" s="12" t="s">
        <v>174</v>
      </c>
      <c r="D563" s="13" t="s">
        <v>18</v>
      </c>
      <c r="E563" s="6">
        <v>32356</v>
      </c>
      <c r="F563" s="3">
        <v>309120</v>
      </c>
      <c r="G563" s="3">
        <v>17</v>
      </c>
      <c r="H563" s="3" t="s">
        <v>5395</v>
      </c>
      <c r="I563" s="3" t="s">
        <v>102</v>
      </c>
      <c r="J563" s="3" t="s">
        <v>103</v>
      </c>
      <c r="K563" s="3" t="s">
        <v>104</v>
      </c>
      <c r="L563" s="3">
        <v>0.40100000000000002</v>
      </c>
      <c r="M563" s="3">
        <v>0.34300000000000003</v>
      </c>
      <c r="N563" s="3">
        <v>9</v>
      </c>
      <c r="O563" s="8">
        <v>-14301</v>
      </c>
      <c r="P563" s="3">
        <v>0</v>
      </c>
      <c r="Q563" s="3">
        <v>3.4500000000000003E-2</v>
      </c>
      <c r="R563" s="3">
        <v>0.224</v>
      </c>
      <c r="S563" s="3">
        <v>0.91100000000000003</v>
      </c>
      <c r="T563" s="3">
        <v>0.14799999999999999</v>
      </c>
      <c r="U563" s="3">
        <v>7.7799999999999994E-2</v>
      </c>
      <c r="V563" s="8">
        <v>140085</v>
      </c>
      <c r="W563" s="3">
        <v>4</v>
      </c>
      <c r="X563" s="3" t="str">
        <f t="shared" si="36"/>
        <v>-SADNE-</v>
      </c>
      <c r="Y563" s="3" t="str">
        <f t="shared" si="37"/>
        <v>-SLOWSS-</v>
      </c>
      <c r="Z563" s="4" t="str">
        <f t="shared" si="38"/>
        <v>{"couname":"Industrial Revolution, Pt. 1","img":"https://i.scdn.co/image/ab67616d0000b273a230a349d6256817ee39c950","pty":"17","artist":"Jean-Michel Jarre","genres":"new age,electrónica,space music","duration":"309120","spotId":"6Ec0hPvNpwpKaiG8rOdkWf","Items":["-SADNE-","-SLOWSS-","","","GN_FrenchElectro"]},</v>
      </c>
      <c r="AA563" s="5" t="s">
        <v>6100</v>
      </c>
      <c r="AB563" s="3" t="str">
        <f t="shared" si="39"/>
        <v>["-SADNE-","-SLOWSS-","","","GN_FrenchElectro"]</v>
      </c>
      <c r="AC563" s="3" t="str">
        <f>_xlfn.XLOOKUP(A563,Album!A:A,Album!J:J)</f>
        <v>https://i.scdn.co/image/ab67616d0000b273a230a349d6256817ee39c950</v>
      </c>
      <c r="AD563" s="3"/>
      <c r="AE563" s="3"/>
      <c r="AF563" s="3"/>
      <c r="AG563" s="3"/>
      <c r="AH563" s="3"/>
    </row>
    <row r="564" spans="1:34" x14ac:dyDescent="0.3">
      <c r="A564" s="11" t="s">
        <v>179</v>
      </c>
      <c r="B564" s="12" t="s">
        <v>5392</v>
      </c>
      <c r="C564" s="12" t="s">
        <v>174</v>
      </c>
      <c r="D564" s="13" t="s">
        <v>18</v>
      </c>
      <c r="E564" s="6">
        <v>32356</v>
      </c>
      <c r="F564" s="3">
        <v>252213</v>
      </c>
      <c r="G564" s="3">
        <v>17</v>
      </c>
      <c r="H564" s="3" t="s">
        <v>5393</v>
      </c>
      <c r="I564" s="3" t="s">
        <v>102</v>
      </c>
      <c r="J564" s="3" t="s">
        <v>103</v>
      </c>
      <c r="K564" s="3" t="s">
        <v>104</v>
      </c>
      <c r="L564" s="3">
        <v>0.27200000000000002</v>
      </c>
      <c r="M564" s="3">
        <v>0.49099999999999999</v>
      </c>
      <c r="N564" s="3">
        <v>4</v>
      </c>
      <c r="O564" s="8">
        <v>-10816</v>
      </c>
      <c r="P564" s="3">
        <v>0</v>
      </c>
      <c r="Q564" s="3">
        <v>3.6400000000000002E-2</v>
      </c>
      <c r="R564" s="3">
        <v>2.24E-2</v>
      </c>
      <c r="S564" s="3">
        <v>0.69699999999999995</v>
      </c>
      <c r="T564" s="3">
        <v>7.51E-2</v>
      </c>
      <c r="U564" s="3">
        <v>0.17499999999999999</v>
      </c>
      <c r="V564" s="8">
        <v>111825</v>
      </c>
      <c r="W564" s="3">
        <v>4</v>
      </c>
      <c r="X564" s="3" t="str">
        <f t="shared" si="36"/>
        <v>-SADNE-</v>
      </c>
      <c r="Y564" s="3" t="str">
        <f t="shared" si="37"/>
        <v>-SLOWSS-</v>
      </c>
      <c r="Z564" s="4" t="str">
        <f t="shared" si="38"/>
        <v>{"couname":"Industrial Revolution, Pt. 3","img":"https://i.scdn.co/image/ab67616d0000b273a230a349d6256817ee39c950","pty":"17","artist":"Jean-Michel Jarre","genres":"new age,electrónica,space music","duration":"252213","spotId":"25UjUgXZtViJjkx4e2NeGt","Items":["-SADNE-","-SLOWSS-","","","GN_FrenchElectro"]},</v>
      </c>
      <c r="AA564" s="5" t="s">
        <v>6100</v>
      </c>
      <c r="AB564" s="3" t="str">
        <f t="shared" si="39"/>
        <v>["-SADNE-","-SLOWSS-","","","GN_FrenchElectro"]</v>
      </c>
      <c r="AC564" s="3" t="str">
        <f>_xlfn.XLOOKUP(A564,Album!A:A,Album!J:J)</f>
        <v>https://i.scdn.co/image/ab67616d0000b273a230a349d6256817ee39c950</v>
      </c>
      <c r="AD564" s="3"/>
      <c r="AE564" s="3"/>
      <c r="AF564" s="3"/>
      <c r="AG564" s="3"/>
      <c r="AH564" s="3"/>
    </row>
    <row r="565" spans="1:34" x14ac:dyDescent="0.3">
      <c r="A565" s="11" t="s">
        <v>196</v>
      </c>
      <c r="B565" s="12" t="s">
        <v>5390</v>
      </c>
      <c r="C565" s="12" t="s">
        <v>195</v>
      </c>
      <c r="D565" s="13" t="s">
        <v>18</v>
      </c>
      <c r="E565" s="6">
        <v>42244</v>
      </c>
      <c r="F565" s="3">
        <v>431413</v>
      </c>
      <c r="G565" s="3">
        <v>17</v>
      </c>
      <c r="H565" s="3" t="s">
        <v>5391</v>
      </c>
      <c r="I565" s="3" t="s">
        <v>102</v>
      </c>
      <c r="J565" s="3" t="s">
        <v>103</v>
      </c>
      <c r="K565" s="3" t="s">
        <v>104</v>
      </c>
      <c r="L565" s="3">
        <v>0.41299999999999998</v>
      </c>
      <c r="M565" s="3">
        <v>0.73499999999999999</v>
      </c>
      <c r="N565" s="3">
        <v>8</v>
      </c>
      <c r="O565" s="8">
        <v>-9327</v>
      </c>
      <c r="P565" s="3">
        <v>1</v>
      </c>
      <c r="Q565" s="3">
        <v>4.2099999999999999E-2</v>
      </c>
      <c r="R565" s="3">
        <v>3.4199999999999999E-3</v>
      </c>
      <c r="S565" s="3">
        <v>0.86499999999999999</v>
      </c>
      <c r="T565" s="3">
        <v>6.13E-2</v>
      </c>
      <c r="U565" s="3">
        <v>0.15</v>
      </c>
      <c r="V565" s="8">
        <v>120044</v>
      </c>
      <c r="W565" s="3">
        <v>4</v>
      </c>
      <c r="X565" s="3" t="str">
        <f t="shared" si="36"/>
        <v>-SADNE-</v>
      </c>
      <c r="Y565" s="3" t="str">
        <f t="shared" si="37"/>
        <v>-ENERGY-</v>
      </c>
      <c r="Z565" s="4" t="str">
        <f t="shared" si="38"/>
        <v>{"couname":"Calypso, Pt. 2","img":"https://i.scdn.co/image/ab67616d0000b273fccf49c7f9a31f591e72d8a0","pty":"17","artist":"Jean-Michel Jarre","genres":"new age,electrónica,space music","duration":"431413","spotId":"5w9xiXCrZ79aEjCgcjg9Pb","Items":["-SADNE-","-ENERGY-","","","GN_FrenchElectro"]},</v>
      </c>
      <c r="AA565" s="5" t="s">
        <v>6100</v>
      </c>
      <c r="AB565" s="3" t="str">
        <f t="shared" si="39"/>
        <v>["-SADNE-","-ENERGY-","","","GN_FrenchElectro"]</v>
      </c>
      <c r="AC565" s="3" t="str">
        <f>_xlfn.XLOOKUP(A565,Album!A:A,Album!J:J)</f>
        <v>https://i.scdn.co/image/ab67616d0000b273fccf49c7f9a31f591e72d8a0</v>
      </c>
      <c r="AD565" s="3"/>
      <c r="AE565" s="3"/>
      <c r="AF565" s="3"/>
      <c r="AG565" s="3"/>
      <c r="AH565" s="3"/>
    </row>
    <row r="566" spans="1:34" x14ac:dyDescent="0.3">
      <c r="A566" s="11" t="s">
        <v>241</v>
      </c>
      <c r="B566" s="12" t="s">
        <v>10</v>
      </c>
      <c r="C566" s="12" t="s">
        <v>236</v>
      </c>
      <c r="D566" s="13" t="s">
        <v>2251</v>
      </c>
      <c r="E566" s="6">
        <v>42293</v>
      </c>
      <c r="F566" s="3">
        <v>384720</v>
      </c>
      <c r="G566" s="3">
        <v>17</v>
      </c>
      <c r="H566" s="3" t="s">
        <v>5389</v>
      </c>
      <c r="I566" s="3" t="s">
        <v>102</v>
      </c>
      <c r="J566" s="3" t="s">
        <v>242</v>
      </c>
      <c r="K566" s="3" t="s">
        <v>84</v>
      </c>
      <c r="L566" s="3">
        <v>0.46500000000000002</v>
      </c>
      <c r="M566" s="3">
        <v>0.74099999999999999</v>
      </c>
      <c r="N566" s="3">
        <v>0</v>
      </c>
      <c r="O566" s="8">
        <v>-8564</v>
      </c>
      <c r="P566" s="3">
        <v>1</v>
      </c>
      <c r="Q566" s="3">
        <v>4.0099999999999997E-2</v>
      </c>
      <c r="R566" s="3">
        <v>2.1000000000000001E-2</v>
      </c>
      <c r="S566" s="3">
        <v>0.75600000000000001</v>
      </c>
      <c r="T566" s="3">
        <v>0.53100000000000003</v>
      </c>
      <c r="U566" s="3">
        <v>4.5499999999999999E-2</v>
      </c>
      <c r="V566" s="8">
        <v>172003</v>
      </c>
      <c r="W566" s="3">
        <v>4</v>
      </c>
      <c r="X566" s="3" t="str">
        <f t="shared" si="36"/>
        <v>-SADNE-</v>
      </c>
      <c r="Y566" s="3" t="str">
        <f t="shared" si="37"/>
        <v>-ENERGY-</v>
      </c>
      <c r="Z566" s="4" t="str">
        <f t="shared" si="38"/>
        <v>{"couname":"Close Your Eyes","img":"https://i.scdn.co/image/ab67616d0000b27376987a71d6639ea8f44b5c09","pty":"17","artist":"Jean-Michel Jarre, Air","genres":"new age,electrónica,space music,trip hop,downtempo,house francés","duration":"384720","spotId":"0SZbhpp6ZxDhsdUoEARngS","Items":["-SADNE-","-ENERGY-","","","GN_FrenchElectro"]},</v>
      </c>
      <c r="AA566" s="5" t="s">
        <v>6100</v>
      </c>
      <c r="AB566" s="3" t="str">
        <f t="shared" si="39"/>
        <v>["-SADNE-","-ENERGY-","","","GN_FrenchElectro"]</v>
      </c>
      <c r="AC566" s="3" t="str">
        <f>_xlfn.XLOOKUP(A566,Album!A:A,Album!J:J)</f>
        <v>https://i.scdn.co/image/ab67616d0000b27376987a71d6639ea8f44b5c09</v>
      </c>
      <c r="AD566" s="3"/>
      <c r="AE566" s="3"/>
      <c r="AF566" s="3"/>
      <c r="AG566" s="3"/>
      <c r="AH566" s="3"/>
    </row>
    <row r="567" spans="1:34" x14ac:dyDescent="0.3">
      <c r="A567" s="11" t="s">
        <v>332</v>
      </c>
      <c r="B567" s="12" t="s">
        <v>333</v>
      </c>
      <c r="C567" s="12" t="s">
        <v>331</v>
      </c>
      <c r="D567" s="13" t="s">
        <v>18</v>
      </c>
      <c r="E567" s="6">
        <v>42706</v>
      </c>
      <c r="F567" s="3">
        <v>400506</v>
      </c>
      <c r="G567" s="3">
        <v>17</v>
      </c>
      <c r="H567" s="3" t="s">
        <v>5388</v>
      </c>
      <c r="I567" s="3" t="s">
        <v>102</v>
      </c>
      <c r="J567" s="3" t="s">
        <v>103</v>
      </c>
      <c r="K567" s="3" t="s">
        <v>104</v>
      </c>
      <c r="L567" s="3">
        <v>0.38500000000000001</v>
      </c>
      <c r="M567" s="3">
        <v>0.56200000000000006</v>
      </c>
      <c r="N567" s="3">
        <v>1</v>
      </c>
      <c r="O567" s="8">
        <v>-12302</v>
      </c>
      <c r="P567" s="3">
        <v>1</v>
      </c>
      <c r="Q567" s="3">
        <v>3.7100000000000001E-2</v>
      </c>
      <c r="R567" s="3">
        <v>0.54900000000000004</v>
      </c>
      <c r="S567" s="3">
        <v>0.66800000000000004</v>
      </c>
      <c r="T567" s="3">
        <v>0.14299999999999999</v>
      </c>
      <c r="U567" s="3">
        <v>0.42</v>
      </c>
      <c r="V567" s="8">
        <v>119924</v>
      </c>
      <c r="W567" s="3">
        <v>4</v>
      </c>
      <c r="X567" s="3" t="str">
        <f t="shared" si="36"/>
        <v>-HAPPY-</v>
      </c>
      <c r="Y567" s="3" t="str">
        <f t="shared" si="37"/>
        <v>-ENERGY-</v>
      </c>
      <c r="Z567" s="4" t="str">
        <f t="shared" si="38"/>
        <v>{"couname":"Oxygene, Pt. 15","img":"https://i.scdn.co/image/ab67616d0000b2732a85d17ba6acdb1c7ca734cc","pty":"17","artist":"Jean-Michel Jarre","genres":"new age,electrónica,space music","duration":"400506","spotId":"5ko4SXKfxH5P5CBFTK3RKn","Items":["-HAPPY-","-ENERGY-","","","GN_FrenchElectro"]},</v>
      </c>
      <c r="AA567" s="5" t="s">
        <v>6100</v>
      </c>
      <c r="AB567" s="3" t="str">
        <f t="shared" si="39"/>
        <v>["-HAPPY-","-ENERGY-","","","GN_FrenchElectro"]</v>
      </c>
      <c r="AC567" s="3" t="str">
        <f>_xlfn.XLOOKUP(A567,Album!A:A,Album!J:J)</f>
        <v>https://i.scdn.co/image/ab67616d0000b2732a85d17ba6acdb1c7ca734cc</v>
      </c>
      <c r="AD567" s="3"/>
      <c r="AE567" s="3"/>
      <c r="AF567" s="3"/>
      <c r="AG567" s="3"/>
      <c r="AH567" s="3"/>
    </row>
    <row r="568" spans="1:34" x14ac:dyDescent="0.3">
      <c r="A568" s="11" t="s">
        <v>340</v>
      </c>
      <c r="B568" s="12" t="s">
        <v>341</v>
      </c>
      <c r="C568" s="12" t="s">
        <v>331</v>
      </c>
      <c r="D568" s="13" t="s">
        <v>18</v>
      </c>
      <c r="E568" s="6">
        <v>42706</v>
      </c>
      <c r="F568" s="3">
        <v>345146</v>
      </c>
      <c r="G568" s="3">
        <v>17</v>
      </c>
      <c r="H568" s="3" t="s">
        <v>5387</v>
      </c>
      <c r="I568" s="3" t="s">
        <v>102</v>
      </c>
      <c r="J568" s="3" t="s">
        <v>103</v>
      </c>
      <c r="K568" s="3" t="s">
        <v>104</v>
      </c>
      <c r="L568" s="3">
        <v>0.314</v>
      </c>
      <c r="M568" s="3">
        <v>0.68700000000000006</v>
      </c>
      <c r="N568" s="3">
        <v>0</v>
      </c>
      <c r="O568" s="8">
        <v>-10125</v>
      </c>
      <c r="P568" s="3">
        <v>0</v>
      </c>
      <c r="Q568" s="3">
        <v>3.6799999999999999E-2</v>
      </c>
      <c r="R568" s="3">
        <v>0.64100000000000001</v>
      </c>
      <c r="S568" s="3">
        <v>0.83599999999999997</v>
      </c>
      <c r="T568" s="3">
        <v>0.123</v>
      </c>
      <c r="U568" s="3">
        <v>5.2600000000000001E-2</v>
      </c>
      <c r="V568" s="8">
        <v>96111</v>
      </c>
      <c r="W568" s="3">
        <v>4</v>
      </c>
      <c r="X568" s="3" t="str">
        <f t="shared" si="36"/>
        <v>-SADNE-</v>
      </c>
      <c r="Y568" s="3" t="str">
        <f t="shared" si="37"/>
        <v>-ENERGY-</v>
      </c>
      <c r="Z568" s="4" t="str">
        <f t="shared" si="38"/>
        <v>{"couname":"Oxygene, Pt. 19","img":"https://i.scdn.co/image/ab67616d0000b2732a85d17ba6acdb1c7ca734cc","pty":"17","artist":"Jean-Michel Jarre","genres":"new age,electrónica,space music","duration":"345146","spotId":"1yyFs2qjhfFwrBMj5a2fzj","Items":["-SADNE-","-ENERGY-","","","GN_FrenchElectro"]},</v>
      </c>
      <c r="AA568" s="5" t="s">
        <v>6100</v>
      </c>
      <c r="AB568" s="3" t="str">
        <f t="shared" si="39"/>
        <v>["-SADNE-","-ENERGY-","","","GN_FrenchElectro"]</v>
      </c>
      <c r="AC568" s="3" t="str">
        <f>_xlfn.XLOOKUP(A568,Album!A:A,Album!J:J)</f>
        <v>https://i.scdn.co/image/ab67616d0000b2732a85d17ba6acdb1c7ca734cc</v>
      </c>
      <c r="AD568" s="3"/>
      <c r="AE568" s="3"/>
      <c r="AF568" s="3"/>
      <c r="AG568" s="3"/>
      <c r="AH568" s="3"/>
    </row>
    <row r="569" spans="1:34" x14ac:dyDescent="0.3">
      <c r="A569" s="11" t="s">
        <v>424</v>
      </c>
      <c r="B569" s="12" t="s">
        <v>5385</v>
      </c>
      <c r="C569" s="12" t="s">
        <v>417</v>
      </c>
      <c r="D569" s="13" t="s">
        <v>18</v>
      </c>
      <c r="E569" s="6">
        <v>2018</v>
      </c>
      <c r="F569" s="3">
        <v>92178</v>
      </c>
      <c r="G569" s="3">
        <v>17</v>
      </c>
      <c r="H569" s="3" t="s">
        <v>5386</v>
      </c>
      <c r="I569" s="3" t="s">
        <v>102</v>
      </c>
      <c r="J569" s="3" t="s">
        <v>103</v>
      </c>
      <c r="K569" s="3" t="s">
        <v>87</v>
      </c>
      <c r="L569" s="3">
        <v>0.502</v>
      </c>
      <c r="M569" s="3">
        <v>0.88400000000000001</v>
      </c>
      <c r="N569" s="3">
        <v>11</v>
      </c>
      <c r="O569" s="8">
        <v>-9561</v>
      </c>
      <c r="P569" s="3">
        <v>0</v>
      </c>
      <c r="Q569" s="3">
        <v>8.72E-2</v>
      </c>
      <c r="R569" s="3">
        <v>0.432</v>
      </c>
      <c r="S569" s="3">
        <v>0.97199999999999998</v>
      </c>
      <c r="T569" s="3">
        <v>0.224</v>
      </c>
      <c r="U569" s="3">
        <v>0.44500000000000001</v>
      </c>
      <c r="V569" s="8">
        <v>80918</v>
      </c>
      <c r="W569" s="3">
        <v>4</v>
      </c>
      <c r="X569" s="3" t="str">
        <f t="shared" si="36"/>
        <v>-HAPPY-</v>
      </c>
      <c r="Y569" s="3" t="str">
        <f t="shared" si="37"/>
        <v>-ENERGY-</v>
      </c>
      <c r="Z569" s="4" t="str">
        <f t="shared" si="38"/>
        <v>{"couname":"IF THE WIND COULD SPEAK","img":"https://i.scdn.co/image/ab67616d0000b273549c7972b8511360e8761adf","pty":"17","artist":"Jean-Michel Jarre","genres":"new age,electrónica,space music","duration":"92178","spotId":"2YLprSud8UIMJTVzW6shba","Items":["-HAPPY-","-ENERGY-","","","GN_FrenchElectro"]},</v>
      </c>
      <c r="AA569" s="5" t="s">
        <v>6100</v>
      </c>
      <c r="AB569" s="3" t="str">
        <f t="shared" si="39"/>
        <v>["-HAPPY-","-ENERGY-","","","GN_FrenchElectro"]</v>
      </c>
      <c r="AC569" s="3" t="str">
        <f>_xlfn.XLOOKUP(A569,Album!A:A,Album!J:J)</f>
        <v>https://i.scdn.co/image/ab67616d0000b273549c7972b8511360e8761adf</v>
      </c>
      <c r="AD569" s="3"/>
      <c r="AE569" s="3"/>
      <c r="AF569" s="3"/>
      <c r="AG569" s="3"/>
      <c r="AH569" s="3"/>
    </row>
    <row r="570" spans="1:34" x14ac:dyDescent="0.3">
      <c r="A570" s="11" t="s">
        <v>545</v>
      </c>
      <c r="B570" s="12" t="s">
        <v>497</v>
      </c>
      <c r="C570" s="12" t="s">
        <v>527</v>
      </c>
      <c r="D570" s="13" t="s">
        <v>2675</v>
      </c>
      <c r="E570" s="6">
        <v>45464</v>
      </c>
      <c r="F570" s="3">
        <v>193548</v>
      </c>
      <c r="G570" s="3">
        <v>17</v>
      </c>
      <c r="H570" s="3" t="s">
        <v>5384</v>
      </c>
      <c r="I570" s="3" t="s">
        <v>462</v>
      </c>
      <c r="J570" s="3" t="s">
        <v>547</v>
      </c>
      <c r="K570" s="3" t="s">
        <v>469</v>
      </c>
      <c r="L570" s="3">
        <v>0.73899999999999999</v>
      </c>
      <c r="M570" s="3">
        <v>0.94699999999999995</v>
      </c>
      <c r="N570" s="3">
        <v>9</v>
      </c>
      <c r="O570" s="8">
        <v>-4255</v>
      </c>
      <c r="P570" s="3">
        <v>0</v>
      </c>
      <c r="Q570" s="3">
        <v>5.2600000000000001E-2</v>
      </c>
      <c r="R570" s="3">
        <v>8.4699999999999998E-2</v>
      </c>
      <c r="S570" s="3">
        <v>0.74099999999999999</v>
      </c>
      <c r="T570" s="3">
        <v>7.17E-2</v>
      </c>
      <c r="U570" s="3">
        <v>0.88200000000000001</v>
      </c>
      <c r="V570" s="8">
        <v>124005</v>
      </c>
      <c r="W570" s="3">
        <v>4</v>
      </c>
      <c r="X570" s="3" t="str">
        <f t="shared" si="36"/>
        <v>-HAPPY-</v>
      </c>
      <c r="Y570" s="3" t="str">
        <f t="shared" si="37"/>
        <v>-ENERGY-</v>
      </c>
      <c r="Z570" s="4" t="str">
        <f t="shared" si="38"/>
        <v>{"couname":"Digane","img":"https://i.scdn.co/image/ab67616d0000b27389cf71655293a5e6d6e9c998","pty":"17","artist":"Bob Sinclar, Sofiya Nzau, Dual Beat","genres":"house francés,disco house,afro house,house latino,tribal house","duration":"193548","spotId":"6cfL3qmvIsS3ZsVQff2nvw","Items":["-HAPPY-","-ENERGY-","","","GN_FrenchElectro"]},</v>
      </c>
      <c r="AA570" s="5" t="s">
        <v>6100</v>
      </c>
      <c r="AB570" s="3" t="str">
        <f t="shared" si="39"/>
        <v>["-HAPPY-","-ENERGY-","","","GN_FrenchElectro"]</v>
      </c>
      <c r="AC570" s="3" t="str">
        <f>_xlfn.XLOOKUP(A570,Album!A:A,Album!J:J)</f>
        <v>https://i.scdn.co/image/ab67616d0000b27389cf71655293a5e6d6e9c998</v>
      </c>
      <c r="AD570" s="3"/>
      <c r="AE570" s="3"/>
      <c r="AF570" s="3"/>
      <c r="AG570" s="3"/>
      <c r="AH570" s="3"/>
    </row>
    <row r="571" spans="1:34" x14ac:dyDescent="0.3">
      <c r="A571" s="11" t="s">
        <v>608</v>
      </c>
      <c r="B571" s="12" t="s">
        <v>5382</v>
      </c>
      <c r="C571" s="12" t="s">
        <v>609</v>
      </c>
      <c r="D571" s="13" t="s">
        <v>2775</v>
      </c>
      <c r="E571" s="6">
        <v>43588</v>
      </c>
      <c r="F571" s="3">
        <v>171560</v>
      </c>
      <c r="G571" s="3">
        <v>17</v>
      </c>
      <c r="H571" s="3" t="s">
        <v>5383</v>
      </c>
      <c r="I571" s="3" t="s">
        <v>462</v>
      </c>
      <c r="J571" s="3" t="s">
        <v>463</v>
      </c>
      <c r="K571" s="3" t="s">
        <v>12</v>
      </c>
      <c r="L571" s="3">
        <v>0.66800000000000004</v>
      </c>
      <c r="M571" s="3">
        <v>0.89900000000000002</v>
      </c>
      <c r="N571" s="3">
        <v>8</v>
      </c>
      <c r="O571" s="8">
        <v>-3386</v>
      </c>
      <c r="P571" s="3">
        <v>0</v>
      </c>
      <c r="Q571" s="3">
        <v>6.0199999999999997E-2</v>
      </c>
      <c r="R571" s="3">
        <v>4.0900000000000002E-4</v>
      </c>
      <c r="S571" s="3">
        <v>4.4299999999999999E-5</v>
      </c>
      <c r="T571" s="3">
        <v>0.28599999999999998</v>
      </c>
      <c r="U571" s="3">
        <v>0.89400000000000002</v>
      </c>
      <c r="V571" s="8">
        <v>121.98</v>
      </c>
      <c r="W571" s="3">
        <v>4</v>
      </c>
      <c r="X571" s="3" t="str">
        <f t="shared" si="36"/>
        <v>-HAPPY-</v>
      </c>
      <c r="Y571" s="3" t="str">
        <f t="shared" si="37"/>
        <v>-ENERGY-</v>
      </c>
      <c r="Z571" s="4" t="str">
        <f t="shared" si="38"/>
        <v>{"couname":"Romantico Starlight","img":"https://i.scdn.co/image/ab67616d0000b2738d01b4a3d27964521094dc0c","pty":"17","artist":"Bob Sinclar, The Supermen Lovers, Robbie Williams","genres":"house francés,disco house","duration":"171560","spotId":"1CldwIerGmuHqAVeEcT5Rx","Items":["-HAPPY-","-ENERGY-","","","GN_FrenchElectro"]},</v>
      </c>
      <c r="AA571" s="5" t="s">
        <v>6100</v>
      </c>
      <c r="AB571" s="3" t="str">
        <f t="shared" si="39"/>
        <v>["-HAPPY-","-ENERGY-","","","GN_FrenchElectro"]</v>
      </c>
      <c r="AC571" s="3" t="str">
        <f>_xlfn.XLOOKUP(A571,Album!A:A,Album!J:J)</f>
        <v>https://i.scdn.co/image/ab67616d0000b2738d01b4a3d27964521094dc0c</v>
      </c>
      <c r="AD571" s="3"/>
      <c r="AE571" s="3"/>
      <c r="AF571" s="3"/>
      <c r="AG571" s="3"/>
      <c r="AH571" s="3"/>
    </row>
    <row r="572" spans="1:34" x14ac:dyDescent="0.3">
      <c r="A572" s="11" t="s">
        <v>645</v>
      </c>
      <c r="B572" s="12" t="s">
        <v>5380</v>
      </c>
      <c r="C572" s="12" t="s">
        <v>647</v>
      </c>
      <c r="D572" s="13" t="s">
        <v>2842</v>
      </c>
      <c r="E572" s="6">
        <v>41425</v>
      </c>
      <c r="F572" s="3">
        <v>187506</v>
      </c>
      <c r="G572" s="3">
        <v>17</v>
      </c>
      <c r="H572" s="3" t="s">
        <v>5381</v>
      </c>
      <c r="I572" s="3" t="s">
        <v>639</v>
      </c>
      <c r="J572" s="3" t="s">
        <v>640</v>
      </c>
      <c r="K572" s="3" t="s">
        <v>648</v>
      </c>
      <c r="L572" s="3">
        <v>0.71199999999999997</v>
      </c>
      <c r="M572" s="3">
        <v>0.95699999999999996</v>
      </c>
      <c r="N572" s="3">
        <v>0</v>
      </c>
      <c r="O572" s="8">
        <v>-1923</v>
      </c>
      <c r="P572" s="3">
        <v>1</v>
      </c>
      <c r="Q572" s="3">
        <v>7.9299999999999995E-2</v>
      </c>
      <c r="R572" s="3">
        <v>5.5199999999999997E-3</v>
      </c>
      <c r="S572" s="3">
        <v>1.77E-6</v>
      </c>
      <c r="T572" s="3">
        <v>0.10299999999999999</v>
      </c>
      <c r="U572" s="3">
        <v>0.70299999999999996</v>
      </c>
      <c r="V572" s="8">
        <v>128039</v>
      </c>
      <c r="W572" s="3">
        <v>4</v>
      </c>
      <c r="X572" s="3" t="str">
        <f t="shared" si="36"/>
        <v>-HAPPY-</v>
      </c>
      <c r="Y572" s="3" t="str">
        <f t="shared" si="37"/>
        <v>-ENERGY-</v>
      </c>
      <c r="Z572" s="4" t="str">
        <f t="shared" si="38"/>
        <v>{"couname":"Hey Now","img":"https://i.scdn.co/image/ab67616d0000b273facae2a987cc89b76f07dcba","pty":"17","artist":"Martin Solveig, The Cataracs, KYLE","genres":"house francés","duration":"187506","spotId":"4jay2G7QI61dlPd8qKy5BP","Items":["-HAPPY-","-ENERGY-","","","GN_FrenchElectro"]},</v>
      </c>
      <c r="AA572" s="5" t="s">
        <v>6100</v>
      </c>
      <c r="AB572" s="3" t="str">
        <f t="shared" si="39"/>
        <v>["-HAPPY-","-ENERGY-","","","GN_FrenchElectro"]</v>
      </c>
      <c r="AC572" s="3" t="str">
        <f>_xlfn.XLOOKUP(A572,Album!A:A,Album!J:J)</f>
        <v>https://i.scdn.co/image/ab67616d0000b273facae2a987cc89b76f07dcba</v>
      </c>
      <c r="AD572" s="3"/>
      <c r="AE572" s="3"/>
      <c r="AF572" s="3"/>
      <c r="AG572" s="3"/>
      <c r="AH572" s="3"/>
    </row>
    <row r="573" spans="1:34" x14ac:dyDescent="0.3">
      <c r="A573" s="11" t="s">
        <v>1318</v>
      </c>
      <c r="B573" s="12" t="s">
        <v>1221</v>
      </c>
      <c r="C573" s="12" t="s">
        <v>1312</v>
      </c>
      <c r="D573" s="13" t="s">
        <v>3864</v>
      </c>
      <c r="E573" s="6">
        <v>42244</v>
      </c>
      <c r="F573" s="3">
        <v>213826</v>
      </c>
      <c r="G573" s="3">
        <v>17</v>
      </c>
      <c r="H573" s="3" t="s">
        <v>5379</v>
      </c>
      <c r="I573" s="3" t="s">
        <v>1207</v>
      </c>
      <c r="J573" s="3" t="s">
        <v>1320</v>
      </c>
      <c r="K573" s="3" t="s">
        <v>84</v>
      </c>
      <c r="L573" s="3">
        <v>0.64700000000000002</v>
      </c>
      <c r="M573" s="3">
        <v>0.86899999999999999</v>
      </c>
      <c r="N573" s="3">
        <v>1</v>
      </c>
      <c r="O573" s="8">
        <v>-4.21</v>
      </c>
      <c r="P573" s="3">
        <v>1</v>
      </c>
      <c r="Q573" s="3">
        <v>4.6100000000000002E-2</v>
      </c>
      <c r="R573" s="3">
        <v>6.9999999999999994E-5</v>
      </c>
      <c r="S573" s="3">
        <v>0.82399999999999995</v>
      </c>
      <c r="T573" s="3">
        <v>0.13800000000000001</v>
      </c>
      <c r="U573" s="3">
        <v>3.9899999999999998E-2</v>
      </c>
      <c r="V573" s="8">
        <v>110</v>
      </c>
      <c r="W573" s="3">
        <v>4</v>
      </c>
      <c r="X573" s="3" t="str">
        <f t="shared" si="36"/>
        <v>-SADNE-</v>
      </c>
      <c r="Y573" s="3" t="str">
        <f t="shared" si="37"/>
        <v>-ENERGY-</v>
      </c>
      <c r="Z573" s="4" t="str">
        <f t="shared" si="38"/>
        <v>{"couname":"Imperium","img":"https://i.scdn.co/image/ab67616d0000b273181be4c9ff596666b8266273","pty":"17","artist":"Madeon, Dillon Francis","genres":"edm,house francés,moombahton,electro house","duration":"213826","spotId":"5sj5gye9fsojnLDx6cskIJ","Items":["-SADNE-","-ENERGY-","","","GN_FrenchElectro"]},</v>
      </c>
      <c r="AA573" s="5" t="s">
        <v>6100</v>
      </c>
      <c r="AB573" s="3" t="str">
        <f t="shared" si="39"/>
        <v>["-SADNE-","-ENERGY-","","","GN_FrenchElectro"]</v>
      </c>
      <c r="AC573" s="3" t="str">
        <f>_xlfn.XLOOKUP(A573,Album!A:A,Album!J:J)</f>
        <v>https://i.scdn.co/image/ab67616d0000b273181be4c9ff596666b8266273</v>
      </c>
      <c r="AD573" s="3"/>
      <c r="AE573" s="3"/>
      <c r="AF573" s="3"/>
      <c r="AG573" s="3"/>
      <c r="AH573" s="3"/>
    </row>
    <row r="574" spans="1:34" x14ac:dyDescent="0.3">
      <c r="A574" s="11" t="s">
        <v>1730</v>
      </c>
      <c r="B574" s="12" t="s">
        <v>1731</v>
      </c>
      <c r="C574" s="12" t="s">
        <v>1709</v>
      </c>
      <c r="D574" s="13" t="s">
        <v>4454</v>
      </c>
      <c r="E574" s="6">
        <v>42608</v>
      </c>
      <c r="F574" s="3">
        <v>534813</v>
      </c>
      <c r="G574" s="3">
        <v>17</v>
      </c>
      <c r="H574" s="3" t="s">
        <v>5378</v>
      </c>
      <c r="I574" s="3" t="s">
        <v>1675</v>
      </c>
      <c r="J574" s="3" t="s">
        <v>1710</v>
      </c>
      <c r="K574" s="3" t="s">
        <v>947</v>
      </c>
      <c r="L574" s="3">
        <v>0.752</v>
      </c>
      <c r="M574" s="3">
        <v>0.95099999999999996</v>
      </c>
      <c r="N574" s="3">
        <v>7</v>
      </c>
      <c r="O574" s="8">
        <v>-5261</v>
      </c>
      <c r="P574" s="3">
        <v>1</v>
      </c>
      <c r="Q574" s="3">
        <v>0.113</v>
      </c>
      <c r="R574" s="3">
        <v>0.39700000000000002</v>
      </c>
      <c r="S574" s="3">
        <v>6.7400000000000003E-3</v>
      </c>
      <c r="T574" s="3">
        <v>0.83599999999999997</v>
      </c>
      <c r="U574" s="3">
        <v>0.56899999999999995</v>
      </c>
      <c r="V574" s="8">
        <v>119984</v>
      </c>
      <c r="W574" s="3">
        <v>4</v>
      </c>
      <c r="X574" s="3" t="str">
        <f t="shared" si="36"/>
        <v>-HAPPY-</v>
      </c>
      <c r="Y574" s="3" t="str">
        <f t="shared" si="37"/>
        <v>-ENERGY-</v>
      </c>
      <c r="Z574" s="4" t="str">
        <f t="shared" si="38"/>
        <v>{"couname":"Action","img":"https://i.scdn.co/image/ab67616d0000b273580ffe579b32f1e6a93ac225","pty":"17","artist":"Cassius, Cat Power, Mike D","genres":"house francés,disco house,slowcore,cantautores","duration":"534813","spotId":"4LpGEnvKB8YMwBopulXG8o","Items":["-HAPPY-","-ENERGY-","","","GN_FrenchElectro"]},</v>
      </c>
      <c r="AA574" s="5" t="s">
        <v>6100</v>
      </c>
      <c r="AB574" s="3" t="str">
        <f t="shared" si="39"/>
        <v>["-HAPPY-","-ENERGY-","","","GN_FrenchElectro"]</v>
      </c>
      <c r="AC574" s="3" t="str">
        <f>_xlfn.XLOOKUP(A574,Album!A:A,Album!J:J)</f>
        <v>https://i.scdn.co/image/ab67616d0000b273580ffe579b32f1e6a93ac225</v>
      </c>
      <c r="AD574" s="3"/>
      <c r="AE574" s="3"/>
      <c r="AF574" s="3"/>
      <c r="AG574" s="3"/>
      <c r="AH574" s="3"/>
    </row>
    <row r="575" spans="1:34" x14ac:dyDescent="0.3">
      <c r="A575" s="11" t="s">
        <v>1732</v>
      </c>
      <c r="B575" s="12" t="s">
        <v>1733</v>
      </c>
      <c r="C575" s="12" t="s">
        <v>1690</v>
      </c>
      <c r="D575" s="13" t="s">
        <v>1674</v>
      </c>
      <c r="E575" s="6">
        <v>43637</v>
      </c>
      <c r="F575" s="3">
        <v>180386</v>
      </c>
      <c r="G575" s="3">
        <v>17</v>
      </c>
      <c r="H575" s="3" t="s">
        <v>5377</v>
      </c>
      <c r="I575" s="3" t="s">
        <v>1675</v>
      </c>
      <c r="J575" s="3" t="s">
        <v>463</v>
      </c>
      <c r="K575" s="3" t="s">
        <v>1691</v>
      </c>
      <c r="L575" s="3">
        <v>0.46400000000000002</v>
      </c>
      <c r="M575" s="3">
        <v>0.40699999999999997</v>
      </c>
      <c r="N575" s="3">
        <v>1</v>
      </c>
      <c r="O575" s="8">
        <v>-11853</v>
      </c>
      <c r="P575" s="3">
        <v>1</v>
      </c>
      <c r="Q575" s="3">
        <v>3.8600000000000002E-2</v>
      </c>
      <c r="R575" s="3">
        <v>0.40100000000000002</v>
      </c>
      <c r="S575" s="3">
        <v>0.86199999999999999</v>
      </c>
      <c r="T575" s="3">
        <v>0.14000000000000001</v>
      </c>
      <c r="U575" s="3">
        <v>0.13400000000000001</v>
      </c>
      <c r="V575" s="8">
        <v>122982</v>
      </c>
      <c r="W575" s="3">
        <v>4</v>
      </c>
      <c r="X575" s="3" t="str">
        <f t="shared" si="36"/>
        <v>-SADNE-</v>
      </c>
      <c r="Y575" s="3" t="str">
        <f t="shared" si="37"/>
        <v>-SLOWSS-</v>
      </c>
      <c r="Z575" s="4" t="str">
        <f t="shared" si="38"/>
        <v>{"couname":"Summer","img":"https://i.scdn.co/image/ab67616d0000b2730bb9eff4be678363242f0b6e","pty":"17","artist":"Cassius","genres":"house francés,disco house","duration":"180386","spotId":"5rA7DqTr9MOmtQkqP8cblf","Items":["-SADNE-","-SLOWSS-","","","GN_FrenchElectro"]},</v>
      </c>
      <c r="AA575" s="5" t="s">
        <v>6100</v>
      </c>
      <c r="AB575" s="3" t="str">
        <f t="shared" si="39"/>
        <v>["-SADNE-","-SLOWSS-","","","GN_FrenchElectro"]</v>
      </c>
      <c r="AC575" s="3" t="str">
        <f>_xlfn.XLOOKUP(A575,Album!A:A,Album!J:J)</f>
        <v>https://i.scdn.co/image/ab67616d0000b2730bb9eff4be678363242f0b6e</v>
      </c>
      <c r="AD575" s="3"/>
      <c r="AE575" s="3"/>
      <c r="AF575" s="3"/>
      <c r="AG575" s="3"/>
      <c r="AH575" s="3"/>
    </row>
    <row r="576" spans="1:34" x14ac:dyDescent="0.3">
      <c r="A576" s="11" t="s">
        <v>1734</v>
      </c>
      <c r="B576" s="12" t="s">
        <v>1735</v>
      </c>
      <c r="C576" s="12" t="s">
        <v>1679</v>
      </c>
      <c r="D576" s="13" t="s">
        <v>1674</v>
      </c>
      <c r="E576" s="6">
        <v>2006</v>
      </c>
      <c r="F576" s="3">
        <v>215733</v>
      </c>
      <c r="G576" s="3">
        <v>17</v>
      </c>
      <c r="H576" s="3" t="s">
        <v>5376</v>
      </c>
      <c r="I576" s="3" t="s">
        <v>1675</v>
      </c>
      <c r="J576" s="3" t="s">
        <v>463</v>
      </c>
      <c r="K576" s="3" t="s">
        <v>1680</v>
      </c>
      <c r="L576" s="3">
        <v>0.61599999999999999</v>
      </c>
      <c r="M576" s="3">
        <v>0.66700000000000004</v>
      </c>
      <c r="N576" s="3">
        <v>4</v>
      </c>
      <c r="O576" s="8">
        <v>-4966</v>
      </c>
      <c r="P576" s="3">
        <v>0</v>
      </c>
      <c r="Q576" s="3">
        <v>0.23499999999999999</v>
      </c>
      <c r="R576" s="3">
        <v>5.8100000000000001E-3</v>
      </c>
      <c r="S576" s="3">
        <v>2.39E-6</v>
      </c>
      <c r="T576" s="3">
        <v>0.156</v>
      </c>
      <c r="U576" s="3">
        <v>0.66</v>
      </c>
      <c r="V576" s="8">
        <v>99095</v>
      </c>
      <c r="W576" s="3">
        <v>4</v>
      </c>
      <c r="X576" s="3" t="str">
        <f t="shared" si="36"/>
        <v>-HAPPY-</v>
      </c>
      <c r="Y576" s="3" t="str">
        <f t="shared" si="37"/>
        <v>-ENERGY-</v>
      </c>
      <c r="Z576" s="4" t="str">
        <f t="shared" si="38"/>
        <v>{"couname":"Rock Number One","img":"https://i.scdn.co/image/ab67616d0000b27324ee286d8ebcaf83d4b899ab","pty":"17","artist":"Cassius","genres":"house francés,disco house","duration":"215733","spotId":"4Cr1sZks5f15M3dtFyOk8U","Items":["-HAPPY-","-ENERGY-","","","GN_FrenchElectro"]},</v>
      </c>
      <c r="AA576" s="5" t="s">
        <v>6100</v>
      </c>
      <c r="AB576" s="3" t="str">
        <f t="shared" si="39"/>
        <v>["-HAPPY-","-ENERGY-","","","GN_FrenchElectro"]</v>
      </c>
      <c r="AC576" s="3" t="str">
        <f>_xlfn.XLOOKUP(A576,Album!A:A,Album!J:J)</f>
        <v>https://i.scdn.co/image/ab67616d0000b27324ee286d8ebcaf83d4b899ab</v>
      </c>
      <c r="AD576" s="3"/>
      <c r="AE576" s="3"/>
      <c r="AF576" s="3"/>
      <c r="AG576" s="3"/>
      <c r="AH576" s="3"/>
    </row>
    <row r="577" spans="1:34" x14ac:dyDescent="0.3">
      <c r="A577" s="11" t="s">
        <v>1736</v>
      </c>
      <c r="B577" s="12" t="s">
        <v>1737</v>
      </c>
      <c r="C577" s="12" t="s">
        <v>1683</v>
      </c>
      <c r="D577" s="13" t="s">
        <v>1674</v>
      </c>
      <c r="E577" s="6">
        <v>1999</v>
      </c>
      <c r="F577" s="3">
        <v>166760</v>
      </c>
      <c r="G577" s="3">
        <v>17</v>
      </c>
      <c r="H577" s="3" t="s">
        <v>5375</v>
      </c>
      <c r="I577" s="3" t="s">
        <v>1675</v>
      </c>
      <c r="J577" s="3" t="s">
        <v>463</v>
      </c>
      <c r="K577" s="3" t="s">
        <v>1680</v>
      </c>
      <c r="L577" s="3">
        <v>0.92700000000000005</v>
      </c>
      <c r="M577" s="3">
        <v>0.63100000000000001</v>
      </c>
      <c r="N577" s="3">
        <v>11</v>
      </c>
      <c r="O577" s="8">
        <v>-9882</v>
      </c>
      <c r="P577" s="3">
        <v>0</v>
      </c>
      <c r="Q577" s="3">
        <v>0.125</v>
      </c>
      <c r="R577" s="3">
        <v>1.08E-3</v>
      </c>
      <c r="S577" s="3">
        <v>0.91700000000000004</v>
      </c>
      <c r="T577" s="3">
        <v>0.254</v>
      </c>
      <c r="U577" s="3">
        <v>0.58599999999999997</v>
      </c>
      <c r="V577" s="8">
        <v>125018</v>
      </c>
      <c r="W577" s="3">
        <v>4</v>
      </c>
      <c r="X577" s="3" t="str">
        <f t="shared" si="36"/>
        <v>-HAPPY-</v>
      </c>
      <c r="Y577" s="3" t="str">
        <f t="shared" si="37"/>
        <v>-ENERGY-</v>
      </c>
      <c r="Z577" s="4" t="str">
        <f t="shared" si="38"/>
        <v>{"couname":"Planetz","img":"https://i.scdn.co/image/ab67616d0000b2731d86f0dd2c46c5d75cf07bdd","pty":"17","artist":"Cassius","genres":"house francés,disco house","duration":"166760","spotId":"6fxvRw4JYk4YsH4ZLXTON1","Items":["-HAPPY-","-ENERGY-","","","GN_FrenchElectro"]},</v>
      </c>
      <c r="AA577" s="5" t="s">
        <v>6100</v>
      </c>
      <c r="AB577" s="3" t="str">
        <f t="shared" si="39"/>
        <v>["-HAPPY-","-ENERGY-","","","GN_FrenchElectro"]</v>
      </c>
      <c r="AC577" s="3" t="str">
        <f>_xlfn.XLOOKUP(A577,Album!A:A,Album!J:J)</f>
        <v>https://i.scdn.co/image/ab67616d0000b2731d86f0dd2c46c5d75cf07bdd</v>
      </c>
      <c r="AD577" s="3"/>
      <c r="AE577" s="3"/>
      <c r="AF577" s="3"/>
      <c r="AG577" s="3"/>
      <c r="AH577" s="3"/>
    </row>
    <row r="578" spans="1:34" x14ac:dyDescent="0.3">
      <c r="A578" s="11" t="s">
        <v>1746</v>
      </c>
      <c r="B578" s="12" t="s">
        <v>1747</v>
      </c>
      <c r="C578" s="12" t="s">
        <v>1686</v>
      </c>
      <c r="D578" s="13" t="s">
        <v>1674</v>
      </c>
      <c r="E578" s="6">
        <v>2002</v>
      </c>
      <c r="F578" s="3">
        <v>314493</v>
      </c>
      <c r="G578" s="3">
        <v>17</v>
      </c>
      <c r="H578" s="3" t="s">
        <v>5374</v>
      </c>
      <c r="I578" s="3" t="s">
        <v>1675</v>
      </c>
      <c r="J578" s="3" t="s">
        <v>463</v>
      </c>
      <c r="K578" s="3" t="s">
        <v>1680</v>
      </c>
      <c r="L578" s="3">
        <v>0.66100000000000003</v>
      </c>
      <c r="M578" s="3">
        <v>0.876</v>
      </c>
      <c r="N578" s="3">
        <v>1</v>
      </c>
      <c r="O578" s="8">
        <v>-6844</v>
      </c>
      <c r="P578" s="3">
        <v>0</v>
      </c>
      <c r="Q578" s="3">
        <v>0.28399999999999997</v>
      </c>
      <c r="R578" s="3">
        <v>8.0800000000000004E-3</v>
      </c>
      <c r="S578" s="3">
        <v>2.5500000000000002E-3</v>
      </c>
      <c r="T578" s="3">
        <v>6.4500000000000002E-2</v>
      </c>
      <c r="U578" s="3">
        <v>0.54300000000000004</v>
      </c>
      <c r="V578" s="8">
        <v>119745</v>
      </c>
      <c r="W578" s="3">
        <v>4</v>
      </c>
      <c r="X578" s="3" t="str">
        <f t="shared" si="36"/>
        <v>-HAPPY-</v>
      </c>
      <c r="Y578" s="3" t="str">
        <f t="shared" si="37"/>
        <v>-ENERGY-</v>
      </c>
      <c r="Z578" s="4" t="str">
        <f t="shared" si="38"/>
        <v>{"couname":"Under Influence","img":"https://i.scdn.co/image/ab67616d0000b273b60e218ff8bb7122b2873eae","pty":"17","artist":"Cassius","genres":"house francés,disco house","duration":"314493","spotId":"43zYkiPqRoZDhBJaVBFbJQ","Items":["-HAPPY-","-ENERGY-","","","GN_FrenchElectro"]},</v>
      </c>
      <c r="AA578" s="5" t="s">
        <v>6100</v>
      </c>
      <c r="AB578" s="3" t="str">
        <f t="shared" si="39"/>
        <v>["-HAPPY-","-ENERGY-","","","GN_FrenchElectro"]</v>
      </c>
      <c r="AC578" s="3" t="str">
        <f>_xlfn.XLOOKUP(A578,Album!A:A,Album!J:J)</f>
        <v>https://i.scdn.co/image/ab67616d0000b273b60e218ff8bb7122b2873eae</v>
      </c>
      <c r="AD578" s="3"/>
      <c r="AE578" s="3"/>
      <c r="AF578" s="3"/>
      <c r="AG578" s="3"/>
      <c r="AH578" s="3"/>
    </row>
    <row r="579" spans="1:34" x14ac:dyDescent="0.3">
      <c r="A579" s="11" t="s">
        <v>2087</v>
      </c>
      <c r="B579" s="12" t="s">
        <v>2088</v>
      </c>
      <c r="C579" s="12" t="s">
        <v>2088</v>
      </c>
      <c r="D579" s="13" t="s">
        <v>1993</v>
      </c>
      <c r="E579" s="6">
        <v>39962</v>
      </c>
      <c r="F579" s="3">
        <v>265500</v>
      </c>
      <c r="G579" s="3">
        <v>17</v>
      </c>
      <c r="H579" s="3" t="s">
        <v>5373</v>
      </c>
      <c r="I579" s="3" t="s">
        <v>1983</v>
      </c>
      <c r="J579" s="3" t="s">
        <v>1994</v>
      </c>
      <c r="K579" s="3" t="s">
        <v>2002</v>
      </c>
      <c r="L579" s="3">
        <v>0.91</v>
      </c>
      <c r="M579" s="3">
        <v>0.307</v>
      </c>
      <c r="N579" s="3">
        <v>2</v>
      </c>
      <c r="O579" s="8">
        <v>-7617</v>
      </c>
      <c r="P579" s="3">
        <v>0</v>
      </c>
      <c r="Q579" s="3">
        <v>5.2299999999999999E-2</v>
      </c>
      <c r="R579" s="3">
        <v>8.0799999999999997E-2</v>
      </c>
      <c r="S579" s="3">
        <v>0.13500000000000001</v>
      </c>
      <c r="T579" s="3">
        <v>6.4799999999999996E-2</v>
      </c>
      <c r="U579" s="3">
        <v>0.72199999999999998</v>
      </c>
      <c r="V579" s="8">
        <v>122999</v>
      </c>
      <c r="W579" s="3">
        <v>4</v>
      </c>
      <c r="X579" s="3" t="str">
        <f t="shared" ref="X579:X642" si="40">IF(OR(U579&lt;0.301, AND(U579&lt;0.4, P579=0)), "-SADNE-", "-HAPPY-")</f>
        <v>-HAPPY-</v>
      </c>
      <c r="Y579" s="3" t="str">
        <f t="shared" ref="Y579:Y642" si="41">IF(OR(AND(L579&lt;0.5,M579&lt;0.5),AND(L579&lt;0.45,V579&lt;100),AND(M579&lt;0.45,V579&lt;100),AND(U579&lt;0.39,V579&lt;100)),"-SLOWSS-","-ENERGY-")</f>
        <v>-ENERGY-</v>
      </c>
      <c r="Z579" s="4" t="str">
        <f t="shared" ref="Z579:Z642" si="42">"{"&amp;CHAR(34)&amp;"couname"&amp;CHAR(34)&amp;":"&amp;CHAR(34)&amp;B579&amp;CHAR(34)&amp;","&amp;CHAR(34)&amp;"img"&amp;CHAR(34)&amp;":"&amp;CHAR(34)&amp;AC579&amp;CHAR(34)&amp;","&amp;CHAR(34)&amp;"pty"&amp;CHAR(34)&amp;":"&amp;CHAR(34)&amp;G579&amp;CHAR(34)&amp;","&amp;CHAR(34)&amp;"artist"&amp;CHAR(34)&amp;":"&amp;CHAR(34)&amp;D579&amp;CHAR(34)&amp;","&amp;CHAR(34)&amp;"genres"&amp;CHAR(34)&amp;":"&amp;CHAR(34)&amp;J579&amp;CHAR(34)&amp;","&amp;CHAR(34)&amp;"duration"&amp;CHAR(34)&amp;":"&amp;CHAR(34)&amp;F579&amp;CHAR(34)&amp;","&amp;CHAR(34)&amp;"spotId"&amp;CHAR(34)&amp;":"&amp;CHAR(34)&amp;A579&amp;CHAR(34)&amp;","&amp;CHAR(34)&amp;"Items"&amp;CHAR(34)&amp;":"&amp;AB579&amp;"},"</f>
        <v>{"couname":"Qui est cette fille ?","img":"https://i.scdn.co/image/ab67616d0000b27301edf78d3ba0076445ea64a3","pty":"17","artist":"Yelle","genres":"pop francés,house francés,electroclash,electropop","duration":"265500","spotId":"2iZnEWmk0bbBZDBPS4TYma","Items":["-HAPPY-","-ENERGY-","","","GN_FrenchElectro"]},</v>
      </c>
      <c r="AA579" s="5" t="s">
        <v>6100</v>
      </c>
      <c r="AB579" s="3" t="str">
        <f t="shared" ref="AB579:AB642" si="43" xml:space="preserve"> "[" &amp; _xlfn.TEXTJOIN(",",TRUE,CHAR(34) &amp; X579&amp; CHAR(34), CHAR(34) &amp; Y579 &amp; CHAR(34),  CHAR(34) &amp; AF579 &amp; CHAR(34), CHAR(34) &amp;AG579 &amp; CHAR(34), CHAR(34) &amp; AA579 &amp; CHAR(34)) &amp; "]"</f>
        <v>["-HAPPY-","-ENERGY-","","","GN_FrenchElectro"]</v>
      </c>
      <c r="AC579" s="3" t="str">
        <f>_xlfn.XLOOKUP(A579,Album!A:A,Album!J:J)</f>
        <v>https://i.scdn.co/image/ab67616d0000b27301edf78d3ba0076445ea64a3</v>
      </c>
      <c r="AD579" s="3"/>
      <c r="AE579" s="3"/>
      <c r="AF579" s="3"/>
      <c r="AG579" s="3"/>
      <c r="AH579" s="3"/>
    </row>
    <row r="580" spans="1:34" x14ac:dyDescent="0.3">
      <c r="A580" s="11" t="s">
        <v>2089</v>
      </c>
      <c r="B580" s="12" t="s">
        <v>2090</v>
      </c>
      <c r="C580" s="12" t="s">
        <v>2004</v>
      </c>
      <c r="D580" s="13" t="s">
        <v>1993</v>
      </c>
      <c r="E580" s="6">
        <v>40560</v>
      </c>
      <c r="F580" s="3">
        <v>234453</v>
      </c>
      <c r="G580" s="3">
        <v>17</v>
      </c>
      <c r="H580" s="3" t="s">
        <v>5372</v>
      </c>
      <c r="I580" s="3" t="s">
        <v>1983</v>
      </c>
      <c r="J580" s="3" t="s">
        <v>1994</v>
      </c>
      <c r="K580" s="3" t="s">
        <v>2002</v>
      </c>
      <c r="L580" s="3">
        <v>0.79500000000000004</v>
      </c>
      <c r="M580" s="3">
        <v>0.753</v>
      </c>
      <c r="N580" s="3">
        <v>2</v>
      </c>
      <c r="O580" s="8">
        <v>-4152</v>
      </c>
      <c r="P580" s="3">
        <v>0</v>
      </c>
      <c r="Q580" s="3">
        <v>3.3099999999999997E-2</v>
      </c>
      <c r="R580" s="3">
        <v>0.16700000000000001</v>
      </c>
      <c r="S580" s="3">
        <v>1.2999999999999999E-2</v>
      </c>
      <c r="T580" s="3">
        <v>0.191</v>
      </c>
      <c r="U580" s="3">
        <v>0.62</v>
      </c>
      <c r="V580" s="8">
        <v>123988</v>
      </c>
      <c r="W580" s="3">
        <v>4</v>
      </c>
      <c r="X580" s="3" t="str">
        <f t="shared" si="40"/>
        <v>-HAPPY-</v>
      </c>
      <c r="Y580" s="3" t="str">
        <f t="shared" si="41"/>
        <v>-ENERGY-</v>
      </c>
      <c r="Z580" s="4" t="str">
        <f t="shared" si="42"/>
        <v>{"couname":"Chimie Physique","img":"https://i.scdn.co/image/ab67616d0000b2732a3613ff2c4649ec2a27b0ce","pty":"17","artist":"Yelle","genres":"pop francés,house francés,electroclash,electropop","duration":"234453","spotId":"1vRVZ16JdxOS8F9onFk3rn","Items":["-HAPPY-","-ENERGY-","","","GN_FrenchElectro"]},</v>
      </c>
      <c r="AA580" s="5" t="s">
        <v>6100</v>
      </c>
      <c r="AB580" s="3" t="str">
        <f t="shared" si="43"/>
        <v>["-HAPPY-","-ENERGY-","","","GN_FrenchElectro"]</v>
      </c>
      <c r="AC580" s="3" t="str">
        <f>_xlfn.XLOOKUP(A580,Album!A:A,Album!J:J)</f>
        <v>https://i.scdn.co/image/ab67616d0000b2732a3613ff2c4649ec2a27b0ce</v>
      </c>
      <c r="AD580" s="3"/>
      <c r="AE580" s="3"/>
      <c r="AF580" s="3"/>
      <c r="AG580" s="3"/>
      <c r="AH580" s="3"/>
    </row>
    <row r="581" spans="1:34" x14ac:dyDescent="0.3">
      <c r="A581" s="11" t="s">
        <v>2097</v>
      </c>
      <c r="B581" s="12" t="s">
        <v>2098</v>
      </c>
      <c r="C581" s="12" t="s">
        <v>2004</v>
      </c>
      <c r="D581" s="13" t="s">
        <v>1993</v>
      </c>
      <c r="E581" s="6">
        <v>40560</v>
      </c>
      <c r="F581" s="3">
        <v>214186</v>
      </c>
      <c r="G581" s="3">
        <v>17</v>
      </c>
      <c r="H581" s="3" t="s">
        <v>5371</v>
      </c>
      <c r="I581" s="3" t="s">
        <v>1983</v>
      </c>
      <c r="J581" s="3" t="s">
        <v>1994</v>
      </c>
      <c r="K581" s="3" t="s">
        <v>2002</v>
      </c>
      <c r="L581" s="3">
        <v>0.86099999999999999</v>
      </c>
      <c r="M581" s="3">
        <v>0.64300000000000002</v>
      </c>
      <c r="N581" s="3">
        <v>0</v>
      </c>
      <c r="O581" s="8">
        <v>-4446</v>
      </c>
      <c r="P581" s="3">
        <v>1</v>
      </c>
      <c r="Q581" s="3">
        <v>7.3899999999999993E-2</v>
      </c>
      <c r="R581" s="3">
        <v>0.13</v>
      </c>
      <c r="S581" s="3">
        <v>1.52E-2</v>
      </c>
      <c r="T581" s="3">
        <v>5.1299999999999998E-2</v>
      </c>
      <c r="U581" s="3">
        <v>0.83099999999999996</v>
      </c>
      <c r="V581" s="8">
        <v>155018</v>
      </c>
      <c r="W581" s="3">
        <v>4</v>
      </c>
      <c r="X581" s="3" t="str">
        <f t="shared" si="40"/>
        <v>-HAPPY-</v>
      </c>
      <c r="Y581" s="3" t="str">
        <f t="shared" si="41"/>
        <v>-ENERGY-</v>
      </c>
      <c r="Z581" s="4" t="str">
        <f t="shared" si="42"/>
        <v>{"couname":"C'est pas une vie","img":"https://i.scdn.co/image/ab67616d0000b2732a3613ff2c4649ec2a27b0ce","pty":"17","artist":"Yelle","genres":"pop francés,house francés,electroclash,electropop","duration":"214186","spotId":"3T1i3LVFwISRrtLP5qSjwH","Items":["-HAPPY-","-ENERGY-","","","GN_FrenchElectro"]},</v>
      </c>
      <c r="AA581" s="5" t="s">
        <v>6100</v>
      </c>
      <c r="AB581" s="3" t="str">
        <f t="shared" si="43"/>
        <v>["-HAPPY-","-ENERGY-","","","GN_FrenchElectro"]</v>
      </c>
      <c r="AC581" s="3" t="str">
        <f>_xlfn.XLOOKUP(A581,Album!A:A,Album!J:J)</f>
        <v>https://i.scdn.co/image/ab67616d0000b2732a3613ff2c4649ec2a27b0ce</v>
      </c>
      <c r="AD581" s="3"/>
      <c r="AE581" s="3"/>
      <c r="AF581" s="3"/>
      <c r="AG581" s="3"/>
      <c r="AH581" s="3"/>
    </row>
    <row r="582" spans="1:34" x14ac:dyDescent="0.3">
      <c r="A582" s="11" t="s">
        <v>157</v>
      </c>
      <c r="B582" s="12" t="s">
        <v>5369</v>
      </c>
      <c r="C582" s="12" t="s">
        <v>146</v>
      </c>
      <c r="D582" s="13" t="s">
        <v>18</v>
      </c>
      <c r="E582" s="6">
        <v>42244</v>
      </c>
      <c r="F582" s="3">
        <v>232826</v>
      </c>
      <c r="G582" s="3">
        <v>16</v>
      </c>
      <c r="H582" s="3" t="s">
        <v>5370</v>
      </c>
      <c r="I582" s="3" t="s">
        <v>102</v>
      </c>
      <c r="J582" s="3" t="s">
        <v>103</v>
      </c>
      <c r="K582" s="3" t="s">
        <v>104</v>
      </c>
      <c r="L582" s="3">
        <v>0.38800000000000001</v>
      </c>
      <c r="M582" s="3">
        <v>0.746</v>
      </c>
      <c r="N582" s="3">
        <v>7</v>
      </c>
      <c r="O582" s="8">
        <v>-12423</v>
      </c>
      <c r="P582" s="3">
        <v>0</v>
      </c>
      <c r="Q582" s="3">
        <v>4.7E-2</v>
      </c>
      <c r="R582" s="3">
        <v>4.5899999999999999E-4</v>
      </c>
      <c r="S582" s="3">
        <v>0.79900000000000004</v>
      </c>
      <c r="T582" s="3">
        <v>0.46400000000000002</v>
      </c>
      <c r="U582" s="3">
        <v>0.67100000000000004</v>
      </c>
      <c r="V582" s="8">
        <v>138095</v>
      </c>
      <c r="W582" s="3">
        <v>3</v>
      </c>
      <c r="X582" s="3" t="str">
        <f t="shared" si="40"/>
        <v>-HAPPY-</v>
      </c>
      <c r="Y582" s="3" t="str">
        <f t="shared" si="41"/>
        <v>-ENERGY-</v>
      </c>
      <c r="Z582" s="4" t="str">
        <f t="shared" si="42"/>
        <v>{"couname":"Ethnicolor II","img":"https://i.scdn.co/image/ab67616d0000b2731e04e7479f1714b14987e599","pty":"16","artist":"Jean-Michel Jarre","genres":"new age,electrónica,space music","duration":"232826","spotId":"2b3o7jn1LjTR7Pe0GgL5ZM","Items":["-HAPPY-","-ENERGY-","","","GN_FrenchElectro"]},</v>
      </c>
      <c r="AA582" s="5" t="s">
        <v>6100</v>
      </c>
      <c r="AB582" s="3" t="str">
        <f t="shared" si="43"/>
        <v>["-HAPPY-","-ENERGY-","","","GN_FrenchElectro"]</v>
      </c>
      <c r="AC582" s="3" t="str">
        <f>_xlfn.XLOOKUP(A582,Album!A:A,Album!J:J)</f>
        <v>https://i.scdn.co/image/ab67616d0000b2731e04e7479f1714b14987e599</v>
      </c>
      <c r="AD582" s="3"/>
      <c r="AE582" s="3"/>
      <c r="AF582" s="3"/>
      <c r="AG582" s="3"/>
      <c r="AH582" s="3"/>
    </row>
    <row r="583" spans="1:34" x14ac:dyDescent="0.3">
      <c r="A583" s="11" t="s">
        <v>215</v>
      </c>
      <c r="B583" s="12" t="s">
        <v>5367</v>
      </c>
      <c r="C583" s="12" t="s">
        <v>204</v>
      </c>
      <c r="D583" s="13" t="s">
        <v>18</v>
      </c>
      <c r="E583" s="6">
        <v>42244</v>
      </c>
      <c r="F583" s="3">
        <v>137533</v>
      </c>
      <c r="G583" s="3">
        <v>16</v>
      </c>
      <c r="H583" s="3" t="s">
        <v>5368</v>
      </c>
      <c r="I583" s="3" t="s">
        <v>102</v>
      </c>
      <c r="J583" s="3" t="s">
        <v>103</v>
      </c>
      <c r="K583" s="3" t="s">
        <v>104</v>
      </c>
      <c r="L583" s="3">
        <v>0.109</v>
      </c>
      <c r="M583" s="3">
        <v>0.32100000000000001</v>
      </c>
      <c r="N583" s="3">
        <v>0</v>
      </c>
      <c r="O583" s="8">
        <v>-16256</v>
      </c>
      <c r="P583" s="3">
        <v>0</v>
      </c>
      <c r="Q583" s="3">
        <v>3.8600000000000002E-2</v>
      </c>
      <c r="R583" s="3">
        <v>0.69099999999999995</v>
      </c>
      <c r="S583" s="3">
        <v>0.98799999999999999</v>
      </c>
      <c r="T583" s="3">
        <v>0.152</v>
      </c>
      <c r="U583" s="3">
        <v>0.12</v>
      </c>
      <c r="V583" s="8">
        <v>81078</v>
      </c>
      <c r="W583" s="3">
        <v>4</v>
      </c>
      <c r="X583" s="3" t="str">
        <f t="shared" si="40"/>
        <v>-SADNE-</v>
      </c>
      <c r="Y583" s="3" t="str">
        <f t="shared" si="41"/>
        <v>-SLOWSS-</v>
      </c>
      <c r="Z583" s="4" t="str">
        <f t="shared" si="42"/>
        <v>{"couname":"Chronology, Pt. 7","img":"https://i.scdn.co/image/ab67616d0000b273dae32ab51194394f576a6f3c","pty":"16","artist":"Jean-Michel Jarre","genres":"new age,electrónica,space music","duration":"137533","spotId":"3InwjuZNOlPYDI2zifQ2AP","Items":["-SADNE-","-SLOWSS-","","","GN_FrenchElectro"]},</v>
      </c>
      <c r="AA583" s="5" t="s">
        <v>6100</v>
      </c>
      <c r="AB583" s="3" t="str">
        <f t="shared" si="43"/>
        <v>["-SADNE-","-SLOWSS-","","","GN_FrenchElectro"]</v>
      </c>
      <c r="AC583" s="3" t="str">
        <f>_xlfn.XLOOKUP(A583,Album!A:A,Album!J:J)</f>
        <v>https://i.scdn.co/image/ab67616d0000b273dae32ab51194394f576a6f3c</v>
      </c>
      <c r="AD583" s="3"/>
      <c r="AE583" s="3"/>
      <c r="AF583" s="3"/>
      <c r="AG583" s="3"/>
      <c r="AH583" s="3"/>
    </row>
    <row r="584" spans="1:34" x14ac:dyDescent="0.3">
      <c r="A584" s="11" t="s">
        <v>261</v>
      </c>
      <c r="B584" s="12" t="s">
        <v>262</v>
      </c>
      <c r="C584" s="12" t="s">
        <v>236</v>
      </c>
      <c r="D584" s="13" t="s">
        <v>2281</v>
      </c>
      <c r="E584" s="6">
        <v>42293</v>
      </c>
      <c r="F584" s="3">
        <v>406400</v>
      </c>
      <c r="G584" s="3">
        <v>16</v>
      </c>
      <c r="H584" s="3" t="s">
        <v>5366</v>
      </c>
      <c r="I584" s="3" t="s">
        <v>102</v>
      </c>
      <c r="J584" s="3" t="s">
        <v>263</v>
      </c>
      <c r="K584" s="3" t="s">
        <v>84</v>
      </c>
      <c r="L584" s="3">
        <v>0.28299999999999997</v>
      </c>
      <c r="M584" s="3">
        <v>0.77</v>
      </c>
      <c r="N584" s="3">
        <v>7</v>
      </c>
      <c r="O584" s="8">
        <v>-8884</v>
      </c>
      <c r="P584" s="3">
        <v>0</v>
      </c>
      <c r="Q584" s="3">
        <v>3.6799999999999999E-2</v>
      </c>
      <c r="R584" s="3">
        <v>0.74399999999999999</v>
      </c>
      <c r="S584" s="3">
        <v>0.88700000000000001</v>
      </c>
      <c r="T584" s="3">
        <v>7.7200000000000005E-2</v>
      </c>
      <c r="U584" s="3">
        <v>7.2300000000000003E-2</v>
      </c>
      <c r="V584" s="8">
        <v>119893</v>
      </c>
      <c r="W584" s="3">
        <v>4</v>
      </c>
      <c r="X584" s="3" t="str">
        <f t="shared" si="40"/>
        <v>-SADNE-</v>
      </c>
      <c r="Y584" s="3" t="str">
        <f t="shared" si="41"/>
        <v>-ENERGY-</v>
      </c>
      <c r="Z584" s="4" t="str">
        <f t="shared" si="42"/>
        <v>{"couname":"Zero Gravity","img":"https://i.scdn.co/image/ab67616d0000b27376987a71d6639ea8f44b5c09","pty":"16","artist":"Jean-Michel Jarre, Tangerine Dream","genres":"new age,electrónica,space music,krautrock,rock espacial,rock progresivo,ambient","duration":"406400","spotId":"45X1Q7TtEPnv4B9jrsT6k3","Items":["-SADNE-","-ENERGY-","","","GN_FrenchElectro"]},</v>
      </c>
      <c r="AA584" s="5" t="s">
        <v>6100</v>
      </c>
      <c r="AB584" s="3" t="str">
        <f t="shared" si="43"/>
        <v>["-SADNE-","-ENERGY-","","","GN_FrenchElectro"]</v>
      </c>
      <c r="AC584" s="3" t="str">
        <f>_xlfn.XLOOKUP(A584,Album!A:A,Album!J:J)</f>
        <v>https://i.scdn.co/image/ab67616d0000b27376987a71d6639ea8f44b5c09</v>
      </c>
      <c r="AD584" s="3"/>
      <c r="AE584" s="3"/>
      <c r="AF584" s="3"/>
      <c r="AG584" s="3"/>
      <c r="AH584" s="3"/>
    </row>
    <row r="585" spans="1:34" x14ac:dyDescent="0.3">
      <c r="A585" s="11" t="s">
        <v>432</v>
      </c>
      <c r="B585" s="12" t="s">
        <v>5364</v>
      </c>
      <c r="C585" s="12" t="s">
        <v>417</v>
      </c>
      <c r="D585" s="13" t="s">
        <v>18</v>
      </c>
      <c r="E585" s="6">
        <v>2018</v>
      </c>
      <c r="F585" s="3">
        <v>215828</v>
      </c>
      <c r="G585" s="3">
        <v>16</v>
      </c>
      <c r="H585" s="3" t="s">
        <v>5365</v>
      </c>
      <c r="I585" s="3" t="s">
        <v>102</v>
      </c>
      <c r="J585" s="3" t="s">
        <v>103</v>
      </c>
      <c r="K585" s="3" t="s">
        <v>87</v>
      </c>
      <c r="L585" s="3">
        <v>0.82299999999999995</v>
      </c>
      <c r="M585" s="3">
        <v>0.39</v>
      </c>
      <c r="N585" s="3">
        <v>0</v>
      </c>
      <c r="O585" s="8">
        <v>-12851</v>
      </c>
      <c r="P585" s="3">
        <v>0</v>
      </c>
      <c r="Q585" s="3">
        <v>4.2200000000000001E-2</v>
      </c>
      <c r="R585" s="3">
        <v>0.94399999999999995</v>
      </c>
      <c r="S585" s="3">
        <v>0.92900000000000005</v>
      </c>
      <c r="T585" s="3">
        <v>9.3200000000000005E-2</v>
      </c>
      <c r="U585" s="3">
        <v>0.45800000000000002</v>
      </c>
      <c r="V585" s="8">
        <v>120013</v>
      </c>
      <c r="W585" s="3">
        <v>3</v>
      </c>
      <c r="X585" s="3" t="str">
        <f t="shared" si="40"/>
        <v>-HAPPY-</v>
      </c>
      <c r="Y585" s="3" t="str">
        <f t="shared" si="41"/>
        <v>-ENERGY-</v>
      </c>
      <c r="Z585" s="4" t="str">
        <f t="shared" si="42"/>
        <v>{"couname":"DON'T LOOK BACK","img":"https://i.scdn.co/image/ab67616d0000b273549c7972b8511360e8761adf","pty":"16","artist":"Jean-Michel Jarre","genres":"new age,electrónica,space music","duration":"215828","spotId":"18adhAArbxmEkdDP3qJOK2","Items":["-HAPPY-","-ENERGY-","","","GN_FrenchElectro"]},</v>
      </c>
      <c r="AA585" s="5" t="s">
        <v>6100</v>
      </c>
      <c r="AB585" s="3" t="str">
        <f t="shared" si="43"/>
        <v>["-HAPPY-","-ENERGY-","","","GN_FrenchElectro"]</v>
      </c>
      <c r="AC585" s="3" t="str">
        <f>_xlfn.XLOOKUP(A585,Album!A:A,Album!J:J)</f>
        <v>https://i.scdn.co/image/ab67616d0000b273549c7972b8511360e8761adf</v>
      </c>
      <c r="AD585" s="3"/>
      <c r="AE585" s="3"/>
      <c r="AF585" s="3"/>
      <c r="AG585" s="3"/>
      <c r="AH585" s="3"/>
    </row>
    <row r="586" spans="1:34" x14ac:dyDescent="0.3">
      <c r="A586" s="11" t="s">
        <v>498</v>
      </c>
      <c r="B586" s="12" t="s">
        <v>499</v>
      </c>
      <c r="C586" s="12" t="s">
        <v>500</v>
      </c>
      <c r="D586" s="13" t="s">
        <v>501</v>
      </c>
      <c r="E586" s="6">
        <v>45492</v>
      </c>
      <c r="F586" s="3">
        <v>228686</v>
      </c>
      <c r="G586" s="3">
        <v>16</v>
      </c>
      <c r="H586" s="3" t="s">
        <v>5363</v>
      </c>
      <c r="I586" s="3" t="s">
        <v>462</v>
      </c>
      <c r="J586" s="3" t="s">
        <v>463</v>
      </c>
      <c r="K586" s="3" t="s">
        <v>469</v>
      </c>
      <c r="L586" s="3">
        <v>0.77900000000000003</v>
      </c>
      <c r="M586" s="3">
        <v>0.76600000000000001</v>
      </c>
      <c r="N586" s="3">
        <v>7</v>
      </c>
      <c r="O586" s="8">
        <v>-4975</v>
      </c>
      <c r="P586" s="3">
        <v>0</v>
      </c>
      <c r="Q586" s="3">
        <v>6.7699999999999996E-2</v>
      </c>
      <c r="R586" s="3">
        <v>3.7799999999999999E-3</v>
      </c>
      <c r="S586" s="3">
        <v>9.3399999999999997E-2</v>
      </c>
      <c r="T586" s="3">
        <v>0.13300000000000001</v>
      </c>
      <c r="U586" s="3">
        <v>0.89200000000000002</v>
      </c>
      <c r="V586" s="8">
        <v>127026</v>
      </c>
      <c r="W586" s="3">
        <v>4</v>
      </c>
      <c r="X586" s="3" t="str">
        <f t="shared" si="40"/>
        <v>-HAPPY-</v>
      </c>
      <c r="Y586" s="3" t="str">
        <f t="shared" si="41"/>
        <v>-ENERGY-</v>
      </c>
      <c r="Z586" s="4" t="str">
        <f t="shared" si="42"/>
        <v>{"couname":"Lonely in LA","img":"https://i.scdn.co/image/ab67616d0000b2738f50746d7a70072c413ec038","pty":"16","artist":"Bob Sinclar","genres":"house francés,disco house","duration":"228686","spotId":"7EWrl2CNImybsSwWAhVhXJ","Items":["-HAPPY-","-ENERGY-","","","GN_FrenchElectro"]},</v>
      </c>
      <c r="AA586" s="5" t="s">
        <v>6100</v>
      </c>
      <c r="AB586" s="3" t="str">
        <f t="shared" si="43"/>
        <v>["-HAPPY-","-ENERGY-","","","GN_FrenchElectro"]</v>
      </c>
      <c r="AC586" s="3" t="str">
        <f>_xlfn.XLOOKUP(A586,Album!A:A,Album!J:J)</f>
        <v>https://i.scdn.co/image/ab67616d0000b2738f50746d7a70072c413ec038</v>
      </c>
      <c r="AD586" s="3"/>
      <c r="AE586" s="3"/>
      <c r="AF586" s="3"/>
      <c r="AG586" s="3"/>
      <c r="AH586" s="3"/>
    </row>
    <row r="587" spans="1:34" x14ac:dyDescent="0.3">
      <c r="A587" s="11" t="s">
        <v>809</v>
      </c>
      <c r="B587" s="12" t="s">
        <v>5361</v>
      </c>
      <c r="C587" s="12" t="s">
        <v>811</v>
      </c>
      <c r="D587" s="13" t="s">
        <v>745</v>
      </c>
      <c r="E587" s="6">
        <v>44722</v>
      </c>
      <c r="F587" s="3">
        <v>246414</v>
      </c>
      <c r="G587" s="3">
        <v>16</v>
      </c>
      <c r="H587" s="3" t="s">
        <v>5362</v>
      </c>
      <c r="I587" s="3" t="s">
        <v>738</v>
      </c>
      <c r="J587" s="3" t="s">
        <v>742</v>
      </c>
      <c r="K587" s="3" t="s">
        <v>770</v>
      </c>
      <c r="L587" s="3">
        <v>0.72299999999999998</v>
      </c>
      <c r="M587" s="3">
        <v>0.89400000000000002</v>
      </c>
      <c r="N587" s="3">
        <v>6</v>
      </c>
      <c r="O587" s="8">
        <v>-8774</v>
      </c>
      <c r="P587" s="3">
        <v>0</v>
      </c>
      <c r="Q587" s="3">
        <v>7.0199999999999999E-2</v>
      </c>
      <c r="R587" s="3">
        <v>0.36799999999999999</v>
      </c>
      <c r="S587" s="3">
        <v>0.80600000000000005</v>
      </c>
      <c r="T587" s="3">
        <v>0.28499999999999998</v>
      </c>
      <c r="U587" s="3">
        <v>0.53200000000000003</v>
      </c>
      <c r="V587" s="8">
        <v>110009</v>
      </c>
      <c r="W587" s="3">
        <v>4</v>
      </c>
      <c r="X587" s="3" t="str">
        <f t="shared" si="40"/>
        <v>-HAPPY-</v>
      </c>
      <c r="Y587" s="3" t="str">
        <f t="shared" si="41"/>
        <v>-ENERGY-</v>
      </c>
      <c r="Z587" s="4" t="str">
        <f t="shared" si="42"/>
        <v>{"couname":"D.A.N.C.E.","img":"https://i.scdn.co/image/ab67616d0000b273631508f0704d9a0fe6c804db","pty":"16","artist":"Justice","genres":"house francés,new rave,rock electrónico","duration":"246414","spotId":"3tSHe7snfqAjavH74QtbQl","Items":["-HAPPY-","-ENERGY-","","","GN_FrenchElectro"]},</v>
      </c>
      <c r="AA587" s="5" t="s">
        <v>6100</v>
      </c>
      <c r="AB587" s="3" t="str">
        <f t="shared" si="43"/>
        <v>["-HAPPY-","-ENERGY-","","","GN_FrenchElectro"]</v>
      </c>
      <c r="AC587" s="3" t="str">
        <f>_xlfn.XLOOKUP(A587,Album!A:A,Album!J:J)</f>
        <v>https://i.scdn.co/image/ab67616d0000b273631508f0704d9a0fe6c804db</v>
      </c>
      <c r="AD587" s="3"/>
      <c r="AE587" s="3"/>
      <c r="AF587" s="3"/>
      <c r="AG587" s="3"/>
      <c r="AH587" s="3"/>
    </row>
    <row r="588" spans="1:34" x14ac:dyDescent="0.3">
      <c r="A588" s="11" t="s">
        <v>1271</v>
      </c>
      <c r="B588" s="12" t="s">
        <v>1272</v>
      </c>
      <c r="C588" s="12" t="s">
        <v>1269</v>
      </c>
      <c r="D588" s="13" t="s">
        <v>1206</v>
      </c>
      <c r="E588" s="6">
        <v>45133</v>
      </c>
      <c r="F588" s="3">
        <v>172319</v>
      </c>
      <c r="G588" s="3">
        <v>16</v>
      </c>
      <c r="H588" s="3" t="s">
        <v>5360</v>
      </c>
      <c r="I588" s="3" t="s">
        <v>1207</v>
      </c>
      <c r="J588" s="3" t="s">
        <v>1208</v>
      </c>
      <c r="K588" s="3" t="s">
        <v>1270</v>
      </c>
      <c r="L588" s="3">
        <v>0.49399999999999999</v>
      </c>
      <c r="M588" s="3">
        <v>0.59599999999999997</v>
      </c>
      <c r="N588" s="3">
        <v>2</v>
      </c>
      <c r="O588" s="8">
        <v>-7181</v>
      </c>
      <c r="P588" s="3">
        <v>1</v>
      </c>
      <c r="Q588" s="3">
        <v>3.2599999999999997E-2</v>
      </c>
      <c r="R588" s="3">
        <v>0.23899999999999999</v>
      </c>
      <c r="S588" s="3">
        <v>4.4600000000000001E-2</v>
      </c>
      <c r="T588" s="3">
        <v>0.129</v>
      </c>
      <c r="U588" s="3">
        <v>0.158</v>
      </c>
      <c r="V588" s="8">
        <v>77983</v>
      </c>
      <c r="W588" s="3">
        <v>4</v>
      </c>
      <c r="X588" s="3" t="str">
        <f t="shared" si="40"/>
        <v>-SADNE-</v>
      </c>
      <c r="Y588" s="3" t="str">
        <f t="shared" si="41"/>
        <v>-ENERGY-</v>
      </c>
      <c r="Z588" s="4" t="str">
        <f t="shared" si="42"/>
        <v>{"couname":"Gonna Be Good","img":"https://i.scdn.co/image/ab67616d0000b2731d4971b0175a27d5df2c057b","pty":"16","artist":"Madeon","genres":"edm,house francés","duration":"172319","spotId":"3QlTYe8r9KVWhG7gAAVAIz","Items":["-SADNE-","-ENERGY-","","","GN_FrenchElectro"]},</v>
      </c>
      <c r="AA588" s="5" t="s">
        <v>6100</v>
      </c>
      <c r="AB588" s="3" t="str">
        <f t="shared" si="43"/>
        <v>["-SADNE-","-ENERGY-","","","GN_FrenchElectro"]</v>
      </c>
      <c r="AC588" s="3" t="str">
        <f>_xlfn.XLOOKUP(A588,Album!A:A,Album!J:J)</f>
        <v>https://i.scdn.co/image/ab67616d0000b2731d4971b0175a27d5df2c057b</v>
      </c>
      <c r="AD588" s="3"/>
      <c r="AE588" s="3"/>
      <c r="AF588" s="3"/>
      <c r="AG588" s="3"/>
      <c r="AH588" s="3"/>
    </row>
    <row r="589" spans="1:34" x14ac:dyDescent="0.3">
      <c r="A589" s="11" t="s">
        <v>1738</v>
      </c>
      <c r="B589" s="12" t="s">
        <v>1739</v>
      </c>
      <c r="C589" s="12" t="s">
        <v>1686</v>
      </c>
      <c r="D589" s="13" t="s">
        <v>1674</v>
      </c>
      <c r="E589" s="6">
        <v>2002</v>
      </c>
      <c r="F589" s="3">
        <v>262973</v>
      </c>
      <c r="G589" s="3">
        <v>16</v>
      </c>
      <c r="H589" s="3" t="s">
        <v>5359</v>
      </c>
      <c r="I589" s="3" t="s">
        <v>1675</v>
      </c>
      <c r="J589" s="3" t="s">
        <v>463</v>
      </c>
      <c r="K589" s="3" t="s">
        <v>1680</v>
      </c>
      <c r="L589" s="3">
        <v>0.67400000000000004</v>
      </c>
      <c r="M589" s="3">
        <v>0.92500000000000004</v>
      </c>
      <c r="N589" s="3">
        <v>0</v>
      </c>
      <c r="O589" s="8">
        <v>-5186</v>
      </c>
      <c r="P589" s="3">
        <v>1</v>
      </c>
      <c r="Q589" s="3">
        <v>0.21199999999999999</v>
      </c>
      <c r="R589" s="3">
        <v>1.35E-2</v>
      </c>
      <c r="S589" s="3">
        <v>1.1900000000000001E-2</v>
      </c>
      <c r="T589" s="3">
        <v>0.19400000000000001</v>
      </c>
      <c r="U589" s="3">
        <v>0.52700000000000002</v>
      </c>
      <c r="V589" s="8">
        <v>128788</v>
      </c>
      <c r="W589" s="3">
        <v>4</v>
      </c>
      <c r="X589" s="3" t="str">
        <f t="shared" si="40"/>
        <v>-HAPPY-</v>
      </c>
      <c r="Y589" s="3" t="str">
        <f t="shared" si="41"/>
        <v>-ENERGY-</v>
      </c>
      <c r="Z589" s="4" t="str">
        <f t="shared" si="42"/>
        <v>{"couname":"I'm a Woman","img":"https://i.scdn.co/image/ab67616d0000b273b60e218ff8bb7122b2873eae","pty":"16","artist":"Cassius","genres":"house francés,disco house","duration":"262973","spotId":"6KUJhb05GZl7RdXzPC5QBM","Items":["-HAPPY-","-ENERGY-","","","GN_FrenchElectro"]},</v>
      </c>
      <c r="AA589" s="5" t="s">
        <v>6100</v>
      </c>
      <c r="AB589" s="3" t="str">
        <f t="shared" si="43"/>
        <v>["-HAPPY-","-ENERGY-","","","GN_FrenchElectro"]</v>
      </c>
      <c r="AC589" s="3" t="str">
        <f>_xlfn.XLOOKUP(A589,Album!A:A,Album!J:J)</f>
        <v>https://i.scdn.co/image/ab67616d0000b273b60e218ff8bb7122b2873eae</v>
      </c>
      <c r="AD589" s="3"/>
      <c r="AE589" s="3"/>
      <c r="AF589" s="3"/>
      <c r="AG589" s="3"/>
      <c r="AH589" s="3"/>
    </row>
    <row r="590" spans="1:34" x14ac:dyDescent="0.3">
      <c r="A590" s="11" t="s">
        <v>1740</v>
      </c>
      <c r="B590" s="12" t="s">
        <v>1741</v>
      </c>
      <c r="C590" s="12" t="s">
        <v>1690</v>
      </c>
      <c r="D590" s="13" t="s">
        <v>1674</v>
      </c>
      <c r="E590" s="6">
        <v>43637</v>
      </c>
      <c r="F590" s="3">
        <v>156733</v>
      </c>
      <c r="G590" s="3">
        <v>16</v>
      </c>
      <c r="H590" s="3" t="s">
        <v>5358</v>
      </c>
      <c r="I590" s="3" t="s">
        <v>1675</v>
      </c>
      <c r="J590" s="3" t="s">
        <v>463</v>
      </c>
      <c r="K590" s="3" t="s">
        <v>1691</v>
      </c>
      <c r="L590" s="3">
        <v>0.748</v>
      </c>
      <c r="M590" s="3">
        <v>0.47299999999999998</v>
      </c>
      <c r="N590" s="3">
        <v>9</v>
      </c>
      <c r="O590" s="8">
        <v>-8931</v>
      </c>
      <c r="P590" s="3">
        <v>0</v>
      </c>
      <c r="Q590" s="3">
        <v>3.6200000000000003E-2</v>
      </c>
      <c r="R590" s="3">
        <v>0.22500000000000001</v>
      </c>
      <c r="S590" s="3">
        <v>0.88800000000000001</v>
      </c>
      <c r="T590" s="3">
        <v>0.60499999999999998</v>
      </c>
      <c r="U590" s="3">
        <v>0.48199999999999998</v>
      </c>
      <c r="V590" s="8">
        <v>105.98</v>
      </c>
      <c r="W590" s="3">
        <v>4</v>
      </c>
      <c r="X590" s="3" t="str">
        <f t="shared" si="40"/>
        <v>-HAPPY-</v>
      </c>
      <c r="Y590" s="3" t="str">
        <f t="shared" si="41"/>
        <v>-ENERGY-</v>
      </c>
      <c r="Z590" s="4" t="str">
        <f t="shared" si="42"/>
        <v>{"couname":"Vedra","img":"https://i.scdn.co/image/ab67616d0000b2730bb9eff4be678363242f0b6e","pty":"16","artist":"Cassius","genres":"house francés,disco house","duration":"156733","spotId":"6aV09cyg1Uc9GCMaYJDsBy","Items":["-HAPPY-","-ENERGY-","","","GN_FrenchElectro"]},</v>
      </c>
      <c r="AA590" s="5" t="s">
        <v>6100</v>
      </c>
      <c r="AB590" s="3" t="str">
        <f t="shared" si="43"/>
        <v>["-HAPPY-","-ENERGY-","","","GN_FrenchElectro"]</v>
      </c>
      <c r="AC590" s="3" t="str">
        <f>_xlfn.XLOOKUP(A590,Album!A:A,Album!J:J)</f>
        <v>https://i.scdn.co/image/ab67616d0000b2730bb9eff4be678363242f0b6e</v>
      </c>
      <c r="AD590" s="3"/>
      <c r="AE590" s="3"/>
      <c r="AF590" s="3"/>
      <c r="AG590" s="3"/>
      <c r="AH590" s="3"/>
    </row>
    <row r="591" spans="1:34" x14ac:dyDescent="0.3">
      <c r="A591" s="11" t="s">
        <v>1744</v>
      </c>
      <c r="B591" s="12" t="s">
        <v>1745</v>
      </c>
      <c r="C591" s="12" t="s">
        <v>1683</v>
      </c>
      <c r="D591" s="13" t="s">
        <v>1674</v>
      </c>
      <c r="E591" s="6">
        <v>1999</v>
      </c>
      <c r="F591" s="3">
        <v>118893</v>
      </c>
      <c r="G591" s="3">
        <v>16</v>
      </c>
      <c r="H591" s="3" t="s">
        <v>5357</v>
      </c>
      <c r="I591" s="3" t="s">
        <v>1675</v>
      </c>
      <c r="J591" s="3" t="s">
        <v>463</v>
      </c>
      <c r="K591" s="3" t="s">
        <v>1680</v>
      </c>
      <c r="L591" s="3">
        <v>0.70899999999999996</v>
      </c>
      <c r="M591" s="3">
        <v>0.34799999999999998</v>
      </c>
      <c r="N591" s="3">
        <v>6</v>
      </c>
      <c r="O591" s="8">
        <v>-18751</v>
      </c>
      <c r="P591" s="3">
        <v>1</v>
      </c>
      <c r="Q591" s="3">
        <v>6.5799999999999997E-2</v>
      </c>
      <c r="R591" s="3">
        <v>1.9000000000000001E-5</v>
      </c>
      <c r="S591" s="3">
        <v>0.93899999999999995</v>
      </c>
      <c r="T591" s="3">
        <v>0.106</v>
      </c>
      <c r="U591" s="3">
        <v>0.36099999999999999</v>
      </c>
      <c r="V591" s="8">
        <v>115.2</v>
      </c>
      <c r="W591" s="3">
        <v>4</v>
      </c>
      <c r="X591" s="3" t="str">
        <f t="shared" si="40"/>
        <v>-HAPPY-</v>
      </c>
      <c r="Y591" s="3" t="str">
        <f t="shared" si="41"/>
        <v>-ENERGY-</v>
      </c>
      <c r="Z591" s="4" t="str">
        <f t="shared" si="42"/>
        <v>{"couname":"Chase","img":"https://i.scdn.co/image/ab67616d0000b2731d86f0dd2c46c5d75cf07bdd","pty":"16","artist":"Cassius","genres":"house francés,disco house","duration":"118893","spotId":"3YcI9SNFwDicWhnO15lJoB","Items":["-HAPPY-","-ENERGY-","","","GN_FrenchElectro"]},</v>
      </c>
      <c r="AA591" s="5" t="s">
        <v>6100</v>
      </c>
      <c r="AB591" s="3" t="str">
        <f t="shared" si="43"/>
        <v>["-HAPPY-","-ENERGY-","","","GN_FrenchElectro"]</v>
      </c>
      <c r="AC591" s="3" t="str">
        <f>_xlfn.XLOOKUP(A591,Album!A:A,Album!J:J)</f>
        <v>https://i.scdn.co/image/ab67616d0000b2731d86f0dd2c46c5d75cf07bdd</v>
      </c>
      <c r="AD591" s="3"/>
      <c r="AE591" s="3"/>
      <c r="AF591" s="3"/>
      <c r="AG591" s="3"/>
      <c r="AH591" s="3"/>
    </row>
    <row r="592" spans="1:34" x14ac:dyDescent="0.3">
      <c r="A592" s="11" t="s">
        <v>1754</v>
      </c>
      <c r="B592" s="12" t="s">
        <v>5355</v>
      </c>
      <c r="C592" s="12" t="s">
        <v>1673</v>
      </c>
      <c r="D592" s="13" t="s">
        <v>4488</v>
      </c>
      <c r="E592" s="6">
        <v>40707</v>
      </c>
      <c r="F592" s="3">
        <v>427935</v>
      </c>
      <c r="G592" s="3">
        <v>16</v>
      </c>
      <c r="H592" s="3" t="s">
        <v>5356</v>
      </c>
      <c r="I592" s="3" t="s">
        <v>1675</v>
      </c>
      <c r="J592" s="3" t="s">
        <v>463</v>
      </c>
      <c r="K592" s="3" t="s">
        <v>1676</v>
      </c>
      <c r="L592" s="3">
        <v>0.68300000000000005</v>
      </c>
      <c r="M592" s="3">
        <v>0.86699999999999999</v>
      </c>
      <c r="N592" s="3">
        <v>10</v>
      </c>
      <c r="O592" s="8">
        <v>-5671</v>
      </c>
      <c r="P592" s="3">
        <v>1</v>
      </c>
      <c r="Q592" s="3">
        <v>5.79E-2</v>
      </c>
      <c r="R592" s="3">
        <v>2.47E-3</v>
      </c>
      <c r="S592" s="3">
        <v>0.91900000000000004</v>
      </c>
      <c r="T592" s="3">
        <v>7.1300000000000002E-2</v>
      </c>
      <c r="U592" s="3">
        <v>0.32500000000000001</v>
      </c>
      <c r="V592" s="8">
        <v>124982</v>
      </c>
      <c r="W592" s="3">
        <v>4</v>
      </c>
      <c r="X592" s="3" t="str">
        <f t="shared" si="40"/>
        <v>-HAPPY-</v>
      </c>
      <c r="Y592" s="3" t="str">
        <f t="shared" si="41"/>
        <v>-ENERGY-</v>
      </c>
      <c r="Z592" s="4" t="str">
        <f t="shared" si="42"/>
        <v>{"couname":"Les Enfants","img":"https://i.scdn.co/image/ab67616d0000b2734f3d682578d8bd0fc547bec5","pty":"16","artist":"Cassius, Gesaffelstein","genres":"house francés,disco house","duration":"427935","spotId":"63y61SPPIwudZf7dWgqZRS","Items":["-HAPPY-","-ENERGY-","","","GN_FrenchElectro"]},</v>
      </c>
      <c r="AA592" s="5" t="s">
        <v>6100</v>
      </c>
      <c r="AB592" s="3" t="str">
        <f t="shared" si="43"/>
        <v>["-HAPPY-","-ENERGY-","","","GN_FrenchElectro"]</v>
      </c>
      <c r="AC592" s="3" t="str">
        <f>_xlfn.XLOOKUP(A592,Album!A:A,Album!J:J)</f>
        <v>https://i.scdn.co/image/ab67616d0000b2734f3d682578d8bd0fc547bec5</v>
      </c>
      <c r="AD592" s="3"/>
      <c r="AE592" s="3"/>
      <c r="AF592" s="3"/>
      <c r="AG592" s="3"/>
      <c r="AH592" s="3"/>
    </row>
    <row r="593" spans="1:34" x14ac:dyDescent="0.3">
      <c r="A593" s="11" t="s">
        <v>2085</v>
      </c>
      <c r="B593" s="12" t="s">
        <v>2086</v>
      </c>
      <c r="C593" s="12" t="s">
        <v>2036</v>
      </c>
      <c r="D593" s="13" t="s">
        <v>1993</v>
      </c>
      <c r="E593" s="6">
        <v>41908</v>
      </c>
      <c r="F593" s="3">
        <v>254093</v>
      </c>
      <c r="G593" s="3">
        <v>16</v>
      </c>
      <c r="H593" s="3" t="s">
        <v>5354</v>
      </c>
      <c r="I593" s="3" t="s">
        <v>1983</v>
      </c>
      <c r="J593" s="3" t="s">
        <v>1994</v>
      </c>
      <c r="K593" s="3" t="s">
        <v>2037</v>
      </c>
      <c r="L593" s="3">
        <v>0.75700000000000001</v>
      </c>
      <c r="M593" s="3">
        <v>0.66400000000000003</v>
      </c>
      <c r="N593" s="3">
        <v>1</v>
      </c>
      <c r="O593" s="8">
        <v>-4641</v>
      </c>
      <c r="P593" s="3">
        <v>0</v>
      </c>
      <c r="Q593" s="3">
        <v>8.2699999999999996E-2</v>
      </c>
      <c r="R593" s="3">
        <v>0.21099999999999999</v>
      </c>
      <c r="S593" s="3">
        <v>0</v>
      </c>
      <c r="T593" s="3">
        <v>6.2199999999999998E-2</v>
      </c>
      <c r="U593" s="3">
        <v>0.85099999999999998</v>
      </c>
      <c r="V593" s="8">
        <v>120993</v>
      </c>
      <c r="W593" s="3">
        <v>4</v>
      </c>
      <c r="X593" s="3" t="str">
        <f t="shared" si="40"/>
        <v>-HAPPY-</v>
      </c>
      <c r="Y593" s="3" t="str">
        <f t="shared" si="41"/>
        <v>-ENERGY-</v>
      </c>
      <c r="Z593" s="4" t="str">
        <f t="shared" si="42"/>
        <v>{"couname":"Bouquet final","img":"https://i.scdn.co/image/ab67616d0000b273a84efe4704b8869e487cebff","pty":"16","artist":"Yelle","genres":"pop francés,house francés,electroclash,electropop","duration":"254093","spotId":"2Ml26UFwFntcVB2vSyWXoX","Items":["-HAPPY-","-ENERGY-","","","GN_FrenchElectro"]},</v>
      </c>
      <c r="AA593" s="5" t="s">
        <v>6100</v>
      </c>
      <c r="AB593" s="3" t="str">
        <f t="shared" si="43"/>
        <v>["-HAPPY-","-ENERGY-","","","GN_FrenchElectro"]</v>
      </c>
      <c r="AC593" s="3" t="str">
        <f>_xlfn.XLOOKUP(A593,Album!A:A,Album!J:J)</f>
        <v>https://i.scdn.co/image/ab67616d0000b273a84efe4704b8869e487cebff</v>
      </c>
      <c r="AD593" s="3"/>
      <c r="AE593" s="3"/>
      <c r="AF593" s="3"/>
      <c r="AG593" s="3"/>
      <c r="AH593" s="3"/>
    </row>
    <row r="594" spans="1:34" x14ac:dyDescent="0.3">
      <c r="A594" s="11" t="s">
        <v>2091</v>
      </c>
      <c r="B594" s="12" t="s">
        <v>2092</v>
      </c>
      <c r="C594" s="12" t="s">
        <v>2092</v>
      </c>
      <c r="D594" s="13" t="s">
        <v>1993</v>
      </c>
      <c r="E594" s="6">
        <v>42832</v>
      </c>
      <c r="F594" s="3">
        <v>188246</v>
      </c>
      <c r="G594" s="3">
        <v>16</v>
      </c>
      <c r="H594" s="3" t="s">
        <v>5353</v>
      </c>
      <c r="I594" s="3" t="s">
        <v>1983</v>
      </c>
      <c r="J594" s="3" t="s">
        <v>1994</v>
      </c>
      <c r="K594" s="3" t="s">
        <v>2002</v>
      </c>
      <c r="L594" s="3">
        <v>0.78800000000000003</v>
      </c>
      <c r="M594" s="3">
        <v>0.71499999999999997</v>
      </c>
      <c r="N594" s="3">
        <v>1</v>
      </c>
      <c r="O594" s="8">
        <v>-8991</v>
      </c>
      <c r="P594" s="3">
        <v>1</v>
      </c>
      <c r="Q594" s="3">
        <v>3.8399999999999997E-2</v>
      </c>
      <c r="R594" s="3">
        <v>9.7500000000000003E-2</v>
      </c>
      <c r="S594" s="3">
        <v>2.8800000000000002E-3</v>
      </c>
      <c r="T594" s="3">
        <v>0.13500000000000001</v>
      </c>
      <c r="U594" s="3">
        <v>0.75900000000000001</v>
      </c>
      <c r="V594" s="8">
        <v>116034</v>
      </c>
      <c r="W594" s="3">
        <v>4</v>
      </c>
      <c r="X594" s="3" t="str">
        <f t="shared" si="40"/>
        <v>-HAPPY-</v>
      </c>
      <c r="Y594" s="3" t="str">
        <f t="shared" si="41"/>
        <v>-ENERGY-</v>
      </c>
      <c r="Z594" s="4" t="str">
        <f t="shared" si="42"/>
        <v>{"couname":"Interpassion","img":"https://i.scdn.co/image/ab67616d0000b273e91098ab8b09096b72aa0cf2","pty":"16","artist":"Yelle","genres":"pop francés,house francés,electroclash,electropop","duration":"188246","spotId":"0lkLFSn0AX6x3MNx6bpG9L","Items":["-HAPPY-","-ENERGY-","","","GN_FrenchElectro"]},</v>
      </c>
      <c r="AA594" s="5" t="s">
        <v>6100</v>
      </c>
      <c r="AB594" s="3" t="str">
        <f t="shared" si="43"/>
        <v>["-HAPPY-","-ENERGY-","","","GN_FrenchElectro"]</v>
      </c>
      <c r="AC594" s="3" t="str">
        <f>_xlfn.XLOOKUP(A594,Album!A:A,Album!J:J)</f>
        <v>https://i.scdn.co/image/ab67616d0000b273e91098ab8b09096b72aa0cf2</v>
      </c>
      <c r="AD594" s="3"/>
      <c r="AE594" s="3"/>
      <c r="AF594" s="3"/>
      <c r="AG594" s="3"/>
      <c r="AH594" s="3"/>
    </row>
    <row r="595" spans="1:34" x14ac:dyDescent="0.3">
      <c r="A595" s="11" t="s">
        <v>185</v>
      </c>
      <c r="B595" s="12" t="s">
        <v>5351</v>
      </c>
      <c r="C595" s="12" t="s">
        <v>174</v>
      </c>
      <c r="D595" s="13" t="s">
        <v>18</v>
      </c>
      <c r="E595" s="6">
        <v>32356</v>
      </c>
      <c r="F595" s="3">
        <v>321586</v>
      </c>
      <c r="G595" s="3">
        <v>15</v>
      </c>
      <c r="H595" s="3" t="s">
        <v>5352</v>
      </c>
      <c r="I595" s="3" t="s">
        <v>102</v>
      </c>
      <c r="J595" s="3" t="s">
        <v>103</v>
      </c>
      <c r="K595" s="3" t="s">
        <v>104</v>
      </c>
      <c r="L595" s="3">
        <v>0.70799999999999996</v>
      </c>
      <c r="M595" s="3">
        <v>0.70699999999999996</v>
      </c>
      <c r="N595" s="3">
        <v>2</v>
      </c>
      <c r="O595" s="8">
        <v>-9663</v>
      </c>
      <c r="P595" s="3">
        <v>1</v>
      </c>
      <c r="Q595" s="3">
        <v>5.2900000000000003E-2</v>
      </c>
      <c r="R595" s="3">
        <v>1.6500000000000001E-2</v>
      </c>
      <c r="S595" s="3">
        <v>0.77400000000000002</v>
      </c>
      <c r="T595" s="3">
        <v>7.0199999999999999E-2</v>
      </c>
      <c r="U595" s="3">
        <v>0.496</v>
      </c>
      <c r="V595" s="8">
        <v>106025</v>
      </c>
      <c r="W595" s="3">
        <v>4</v>
      </c>
      <c r="X595" s="3" t="str">
        <f t="shared" si="40"/>
        <v>-HAPPY-</v>
      </c>
      <c r="Y595" s="3" t="str">
        <f t="shared" si="41"/>
        <v>-ENERGY-</v>
      </c>
      <c r="Z595" s="4" t="str">
        <f t="shared" si="42"/>
        <v>{"couname":"Tokyo Kid","img":"https://i.scdn.co/image/ab67616d0000b273a230a349d6256817ee39c950","pty":"15","artist":"Jean-Michel Jarre","genres":"new age,electrónica,space music","duration":"321586","spotId":"4rykdPTPQrbV7Gr06JlBCS","Items":["-HAPPY-","-ENERGY-","","","GN_FrenchElectro"]},</v>
      </c>
      <c r="AA595" s="5" t="s">
        <v>6100</v>
      </c>
      <c r="AB595" s="3" t="str">
        <f t="shared" si="43"/>
        <v>["-HAPPY-","-ENERGY-","","","GN_FrenchElectro"]</v>
      </c>
      <c r="AC595" s="3" t="str">
        <f>_xlfn.XLOOKUP(A595,Album!A:A,Album!J:J)</f>
        <v>https://i.scdn.co/image/ab67616d0000b273a230a349d6256817ee39c950</v>
      </c>
      <c r="AD595" s="3"/>
      <c r="AE595" s="3"/>
      <c r="AF595" s="3"/>
      <c r="AG595" s="3"/>
      <c r="AH595" s="3"/>
    </row>
    <row r="596" spans="1:34" x14ac:dyDescent="0.3">
      <c r="A596" s="11" t="s">
        <v>191</v>
      </c>
      <c r="B596" s="12" t="s">
        <v>5349</v>
      </c>
      <c r="C596" s="12" t="s">
        <v>174</v>
      </c>
      <c r="D596" s="13" t="s">
        <v>18</v>
      </c>
      <c r="E596" s="6">
        <v>32356</v>
      </c>
      <c r="F596" s="3">
        <v>236293</v>
      </c>
      <c r="G596" s="3">
        <v>15</v>
      </c>
      <c r="H596" s="3" t="s">
        <v>5350</v>
      </c>
      <c r="I596" s="3" t="s">
        <v>102</v>
      </c>
      <c r="J596" s="3" t="s">
        <v>103</v>
      </c>
      <c r="K596" s="3" t="s">
        <v>104</v>
      </c>
      <c r="L596" s="3">
        <v>0.152</v>
      </c>
      <c r="M596" s="3">
        <v>0.438</v>
      </c>
      <c r="N596" s="3">
        <v>8</v>
      </c>
      <c r="O596" s="8">
        <v>-9742</v>
      </c>
      <c r="P596" s="3">
        <v>1</v>
      </c>
      <c r="Q596" s="3">
        <v>3.3399999999999999E-2</v>
      </c>
      <c r="R596" s="3">
        <v>2.1799999999999999E-6</v>
      </c>
      <c r="S596" s="3">
        <v>0.96599999999999997</v>
      </c>
      <c r="T596" s="3">
        <v>0.13</v>
      </c>
      <c r="U596" s="3">
        <v>0.121</v>
      </c>
      <c r="V596" s="8">
        <v>135694</v>
      </c>
      <c r="W596" s="3">
        <v>4</v>
      </c>
      <c r="X596" s="3" t="str">
        <f t="shared" si="40"/>
        <v>-SADNE-</v>
      </c>
      <c r="Y596" s="3" t="str">
        <f t="shared" si="41"/>
        <v>-SLOWSS-</v>
      </c>
      <c r="Z596" s="4" t="str">
        <f t="shared" si="42"/>
        <v>{"couname":"The Emigrant","img":"https://i.scdn.co/image/ab67616d0000b273a230a349d6256817ee39c950","pty":"15","artist":"Jean-Michel Jarre","genres":"new age,electrónica,space music","duration":"236293","spotId":"3S0etOAbLoiroOtNIXcOIy","Items":["-SADNE-","-SLOWSS-","","","GN_FrenchElectro"]},</v>
      </c>
      <c r="AA596" s="5" t="s">
        <v>6100</v>
      </c>
      <c r="AB596" s="3" t="str">
        <f t="shared" si="43"/>
        <v>["-SADNE-","-SLOWSS-","","","GN_FrenchElectro"]</v>
      </c>
      <c r="AC596" s="3" t="str">
        <f>_xlfn.XLOOKUP(A596,Album!A:A,Album!J:J)</f>
        <v>https://i.scdn.co/image/ab67616d0000b273a230a349d6256817ee39c950</v>
      </c>
      <c r="AD596" s="3"/>
      <c r="AE596" s="3"/>
      <c r="AF596" s="3"/>
      <c r="AG596" s="3"/>
      <c r="AH596" s="3"/>
    </row>
    <row r="597" spans="1:34" x14ac:dyDescent="0.3">
      <c r="A597" s="11" t="s">
        <v>247</v>
      </c>
      <c r="B597" s="12" t="s">
        <v>248</v>
      </c>
      <c r="C597" s="12" t="s">
        <v>236</v>
      </c>
      <c r="D597" s="13" t="s">
        <v>2261</v>
      </c>
      <c r="E597" s="6">
        <v>42293</v>
      </c>
      <c r="F597" s="3">
        <v>177453</v>
      </c>
      <c r="G597" s="3">
        <v>15</v>
      </c>
      <c r="H597" s="3" t="s">
        <v>5348</v>
      </c>
      <c r="I597" s="3" t="s">
        <v>102</v>
      </c>
      <c r="J597" s="3" t="s">
        <v>249</v>
      </c>
      <c r="K597" s="3" t="s">
        <v>84</v>
      </c>
      <c r="L597" s="3">
        <v>0.64800000000000002</v>
      </c>
      <c r="M597" s="3">
        <v>0.83299999999999996</v>
      </c>
      <c r="N597" s="3">
        <v>5</v>
      </c>
      <c r="O597" s="8">
        <v>-6431</v>
      </c>
      <c r="P597" s="3">
        <v>1</v>
      </c>
      <c r="Q597" s="3">
        <v>3.15E-2</v>
      </c>
      <c r="R597" s="3">
        <v>0.10299999999999999</v>
      </c>
      <c r="S597" s="3">
        <v>3.8699999999999998E-2</v>
      </c>
      <c r="T597" s="3">
        <v>0.37</v>
      </c>
      <c r="U597" s="3">
        <v>0.45300000000000001</v>
      </c>
      <c r="V597" s="8">
        <v>95026</v>
      </c>
      <c r="W597" s="3">
        <v>4</v>
      </c>
      <c r="X597" s="3" t="str">
        <f t="shared" si="40"/>
        <v>-HAPPY-</v>
      </c>
      <c r="Y597" s="3" t="str">
        <f t="shared" si="41"/>
        <v>-ENERGY-</v>
      </c>
      <c r="Z597" s="4" t="str">
        <f t="shared" si="42"/>
        <v>{"couname":"If..!","img":"https://i.scdn.co/image/ab67616d0000b27376987a71d6639ea8f44b5c09","pty":"15","artist":"Jean-Michel Jarre, Little Boots","genres":"new age,electrónica,space music,electropop","duration":"177453","spotId":"2cssgMF2aD8Y8jZta2Bct3","Items":["-HAPPY-","-ENERGY-","","","GN_FrenchElectro"]},</v>
      </c>
      <c r="AA597" s="5" t="s">
        <v>6100</v>
      </c>
      <c r="AB597" s="3" t="str">
        <f t="shared" si="43"/>
        <v>["-HAPPY-","-ENERGY-","","","GN_FrenchElectro"]</v>
      </c>
      <c r="AC597" s="3" t="str">
        <f>_xlfn.XLOOKUP(A597,Album!A:A,Album!J:J)</f>
        <v>https://i.scdn.co/image/ab67616d0000b27376987a71d6639ea8f44b5c09</v>
      </c>
      <c r="AD597" s="3"/>
      <c r="AE597" s="3"/>
      <c r="AF597" s="3"/>
      <c r="AG597" s="3"/>
      <c r="AH597" s="3"/>
    </row>
    <row r="598" spans="1:34" x14ac:dyDescent="0.3">
      <c r="A598" s="11" t="s">
        <v>301</v>
      </c>
      <c r="B598" s="12" t="s">
        <v>302</v>
      </c>
      <c r="C598" s="12" t="s">
        <v>280</v>
      </c>
      <c r="D598" s="13" t="s">
        <v>2339</v>
      </c>
      <c r="E598" s="6">
        <v>42496</v>
      </c>
      <c r="F598" s="3">
        <v>207013</v>
      </c>
      <c r="G598" s="3">
        <v>15</v>
      </c>
      <c r="H598" s="3" t="s">
        <v>5347</v>
      </c>
      <c r="I598" s="3" t="s">
        <v>102</v>
      </c>
      <c r="J598" s="3" t="s">
        <v>303</v>
      </c>
      <c r="K598" s="3" t="s">
        <v>84</v>
      </c>
      <c r="L598" s="3">
        <v>0.68</v>
      </c>
      <c r="M598" s="3">
        <v>0.75900000000000001</v>
      </c>
      <c r="N598" s="3">
        <v>8</v>
      </c>
      <c r="O598" s="8">
        <v>-5779</v>
      </c>
      <c r="P598" s="3">
        <v>0</v>
      </c>
      <c r="Q598" s="3">
        <v>0.12</v>
      </c>
      <c r="R598" s="3">
        <v>1.8599999999999998E-2</v>
      </c>
      <c r="S598" s="3">
        <v>1.15E-2</v>
      </c>
      <c r="T598" s="3">
        <v>5.45E-2</v>
      </c>
      <c r="U598" s="3">
        <v>0.38100000000000001</v>
      </c>
      <c r="V598" s="8">
        <v>171.92</v>
      </c>
      <c r="W598" s="3">
        <v>4</v>
      </c>
      <c r="X598" s="3" t="str">
        <f t="shared" si="40"/>
        <v>-SADNE-</v>
      </c>
      <c r="Y598" s="3" t="str">
        <f t="shared" si="41"/>
        <v>-ENERGY-</v>
      </c>
      <c r="Z598" s="4" t="str">
        <f t="shared" si="42"/>
        <v>{"couname":"What You Want","img":"https://i.scdn.co/image/ab67616d0000b273359a423dd08ed414400e0cb7","pty":"15","artist":"Jean-Michel Jarre, Peaches","genres":"new age,electrónica,space music,electroclash","duration":"207013","spotId":"5ktmcF720G1gIhCBSVlhnS","Items":["-SADNE-","-ENERGY-","","","GN_FrenchElectro"]},</v>
      </c>
      <c r="AA598" s="5" t="s">
        <v>6100</v>
      </c>
      <c r="AB598" s="3" t="str">
        <f t="shared" si="43"/>
        <v>["-SADNE-","-ENERGY-","","","GN_FrenchElectro"]</v>
      </c>
      <c r="AC598" s="3" t="str">
        <f>_xlfn.XLOOKUP(A598,Album!A:A,Album!J:J)</f>
        <v>https://i.scdn.co/image/ab67616d0000b273359a423dd08ed414400e0cb7</v>
      </c>
      <c r="AD598" s="3"/>
      <c r="AE598" s="3"/>
      <c r="AF598" s="3"/>
      <c r="AG598" s="3"/>
      <c r="AH598" s="3"/>
    </row>
    <row r="599" spans="1:34" x14ac:dyDescent="0.3">
      <c r="A599" s="11" t="s">
        <v>321</v>
      </c>
      <c r="B599" s="12" t="s">
        <v>322</v>
      </c>
      <c r="C599" s="12" t="s">
        <v>280</v>
      </c>
      <c r="D599" s="13" t="s">
        <v>2367</v>
      </c>
      <c r="E599" s="6">
        <v>42496</v>
      </c>
      <c r="F599" s="3">
        <v>292013</v>
      </c>
      <c r="G599" s="3">
        <v>15</v>
      </c>
      <c r="H599" s="3" t="s">
        <v>5346</v>
      </c>
      <c r="I599" s="3" t="s">
        <v>102</v>
      </c>
      <c r="J599" s="3" t="s">
        <v>323</v>
      </c>
      <c r="K599" s="3" t="s">
        <v>84</v>
      </c>
      <c r="L599" s="3">
        <v>0.626</v>
      </c>
      <c r="M599" s="3">
        <v>0.59799999999999998</v>
      </c>
      <c r="N599" s="3">
        <v>5</v>
      </c>
      <c r="O599" s="8">
        <v>-6209</v>
      </c>
      <c r="P599" s="3">
        <v>1</v>
      </c>
      <c r="Q599" s="3">
        <v>2.9700000000000001E-2</v>
      </c>
      <c r="R599" s="3">
        <v>0.25</v>
      </c>
      <c r="S599" s="3">
        <v>0.121</v>
      </c>
      <c r="T599" s="3">
        <v>0.15</v>
      </c>
      <c r="U599" s="3">
        <v>0.128</v>
      </c>
      <c r="V599" s="8">
        <v>120023</v>
      </c>
      <c r="W599" s="3">
        <v>4</v>
      </c>
      <c r="X599" s="3" t="str">
        <f t="shared" si="40"/>
        <v>-SADNE-</v>
      </c>
      <c r="Y599" s="3" t="str">
        <f t="shared" si="41"/>
        <v>-ENERGY-</v>
      </c>
      <c r="Z599" s="4" t="str">
        <f t="shared" si="42"/>
        <v>{"couname":"Walking the Mile","img":"https://i.scdn.co/image/ab67616d0000b273359a423dd08ed414400e0cb7","pty":"15","artist":"Jean-Michel Jarre, Christophe","genres":"new age,electrónica,space music,variété française,chanson,pop francés","duration":"292013","spotId":"6UxQzqbzPMJsyNiWwMXGsI","Items":["-SADNE-","-ENERGY-","","","GN_FrenchElectro"]},</v>
      </c>
      <c r="AA599" s="5" t="s">
        <v>6100</v>
      </c>
      <c r="AB599" s="3" t="str">
        <f t="shared" si="43"/>
        <v>["-SADNE-","-ENERGY-","","","GN_FrenchElectro"]</v>
      </c>
      <c r="AC599" s="3" t="str">
        <f>_xlfn.XLOOKUP(A599,Album!A:A,Album!J:J)</f>
        <v>https://i.scdn.co/image/ab67616d0000b273359a423dd08ed414400e0cb7</v>
      </c>
      <c r="AD599" s="3"/>
      <c r="AE599" s="3"/>
      <c r="AF599" s="3"/>
      <c r="AG599" s="3"/>
      <c r="AH599" s="3"/>
    </row>
    <row r="600" spans="1:34" x14ac:dyDescent="0.3">
      <c r="A600" s="11" t="s">
        <v>324</v>
      </c>
      <c r="B600" s="12" t="s">
        <v>325</v>
      </c>
      <c r="C600" s="12" t="s">
        <v>280</v>
      </c>
      <c r="D600" s="13" t="s">
        <v>18</v>
      </c>
      <c r="E600" s="6">
        <v>42496</v>
      </c>
      <c r="F600" s="3">
        <v>203000</v>
      </c>
      <c r="G600" s="3">
        <v>15</v>
      </c>
      <c r="H600" s="3" t="s">
        <v>5345</v>
      </c>
      <c r="I600" s="3" t="s">
        <v>102</v>
      </c>
      <c r="J600" s="3" t="s">
        <v>103</v>
      </c>
      <c r="K600" s="3" t="s">
        <v>84</v>
      </c>
      <c r="L600" s="3">
        <v>0.57899999999999996</v>
      </c>
      <c r="M600" s="3">
        <v>0.91200000000000003</v>
      </c>
      <c r="N600" s="3">
        <v>2</v>
      </c>
      <c r="O600" s="8">
        <v>-4.17</v>
      </c>
      <c r="P600" s="3">
        <v>1</v>
      </c>
      <c r="Q600" s="3">
        <v>2.92E-2</v>
      </c>
      <c r="R600" s="3">
        <v>7.7100000000000004E-5</v>
      </c>
      <c r="S600" s="3">
        <v>0.74</v>
      </c>
      <c r="T600" s="3">
        <v>0.17299999999999999</v>
      </c>
      <c r="U600" s="3">
        <v>0.29299999999999998</v>
      </c>
      <c r="V600" s="8">
        <v>101989</v>
      </c>
      <c r="W600" s="3">
        <v>4</v>
      </c>
      <c r="X600" s="3" t="str">
        <f t="shared" si="40"/>
        <v>-SADNE-</v>
      </c>
      <c r="Y600" s="3" t="str">
        <f t="shared" si="41"/>
        <v>-ENERGY-</v>
      </c>
      <c r="Z600" s="4" t="str">
        <f t="shared" si="42"/>
        <v>{"couname":"Falling Down","img":"https://i.scdn.co/image/ab67616d0000b273359a423dd08ed414400e0cb7","pty":"15","artist":"Jean-Michel Jarre","genres":"new age,electrónica,space music","duration":"203000","spotId":"5dEgib9DAcIWMRRWWxfNFf","Items":["-SADNE-","-ENERGY-","","","GN_FrenchElectro"]},</v>
      </c>
      <c r="AA600" s="5" t="s">
        <v>6100</v>
      </c>
      <c r="AB600" s="3" t="str">
        <f t="shared" si="43"/>
        <v>["-SADNE-","-ENERGY-","","","GN_FrenchElectro"]</v>
      </c>
      <c r="AC600" s="3" t="str">
        <f>_xlfn.XLOOKUP(A600,Album!A:A,Album!J:J)</f>
        <v>https://i.scdn.co/image/ab67616d0000b273359a423dd08ed414400e0cb7</v>
      </c>
      <c r="AD600" s="3"/>
      <c r="AE600" s="3"/>
      <c r="AF600" s="3"/>
      <c r="AG600" s="3"/>
      <c r="AH600" s="3"/>
    </row>
    <row r="601" spans="1:34" x14ac:dyDescent="0.3">
      <c r="A601" s="11" t="s">
        <v>334</v>
      </c>
      <c r="B601" s="12" t="s">
        <v>335</v>
      </c>
      <c r="C601" s="12" t="s">
        <v>331</v>
      </c>
      <c r="D601" s="13" t="s">
        <v>18</v>
      </c>
      <c r="E601" s="6">
        <v>42706</v>
      </c>
      <c r="F601" s="3">
        <v>410240</v>
      </c>
      <c r="G601" s="3">
        <v>15</v>
      </c>
      <c r="H601" s="3" t="s">
        <v>5344</v>
      </c>
      <c r="I601" s="3" t="s">
        <v>102</v>
      </c>
      <c r="J601" s="3" t="s">
        <v>103</v>
      </c>
      <c r="K601" s="3" t="s">
        <v>104</v>
      </c>
      <c r="L601" s="3">
        <v>0.44400000000000001</v>
      </c>
      <c r="M601" s="3">
        <v>0.86799999999999999</v>
      </c>
      <c r="N601" s="3">
        <v>5</v>
      </c>
      <c r="O601" s="8">
        <v>-8854</v>
      </c>
      <c r="P601" s="3">
        <v>0</v>
      </c>
      <c r="Q601" s="3">
        <v>4.1099999999999998E-2</v>
      </c>
      <c r="R601" s="3">
        <v>0.53200000000000003</v>
      </c>
      <c r="S601" s="3">
        <v>0.92400000000000004</v>
      </c>
      <c r="T601" s="3">
        <v>0.112</v>
      </c>
      <c r="U601" s="3">
        <v>0.309</v>
      </c>
      <c r="V601" s="8">
        <v>119.99</v>
      </c>
      <c r="W601" s="3">
        <v>4</v>
      </c>
      <c r="X601" s="3" t="str">
        <f t="shared" si="40"/>
        <v>-SADNE-</v>
      </c>
      <c r="Y601" s="3" t="str">
        <f t="shared" si="41"/>
        <v>-ENERGY-</v>
      </c>
      <c r="Z601" s="4" t="str">
        <f t="shared" si="42"/>
        <v>{"couname":"Oxygene, Pt. 16","img":"https://i.scdn.co/image/ab67616d0000b2732a85d17ba6acdb1c7ca734cc","pty":"15","artist":"Jean-Michel Jarre","genres":"new age,electrónica,space music","duration":"410240","spotId":"0mrUxeWQYBI506yBPTFc73","Items":["-SADNE-","-ENERGY-","","","GN_FrenchElectro"]},</v>
      </c>
      <c r="AA601" s="5" t="s">
        <v>6100</v>
      </c>
      <c r="AB601" s="3" t="str">
        <f t="shared" si="43"/>
        <v>["-SADNE-","-ENERGY-","","","GN_FrenchElectro"]</v>
      </c>
      <c r="AC601" s="3" t="str">
        <f>_xlfn.XLOOKUP(A601,Album!A:A,Album!J:J)</f>
        <v>https://i.scdn.co/image/ab67616d0000b2732a85d17ba6acdb1c7ca734cc</v>
      </c>
      <c r="AD601" s="3"/>
      <c r="AE601" s="3"/>
      <c r="AF601" s="3"/>
      <c r="AG601" s="3"/>
      <c r="AH601" s="3"/>
    </row>
    <row r="602" spans="1:34" x14ac:dyDescent="0.3">
      <c r="A602" s="11" t="s">
        <v>436</v>
      </c>
      <c r="B602" s="12" t="s">
        <v>437</v>
      </c>
      <c r="C602" s="12" t="s">
        <v>417</v>
      </c>
      <c r="D602" s="13" t="s">
        <v>18</v>
      </c>
      <c r="E602" s="6">
        <v>2018</v>
      </c>
      <c r="F602" s="3">
        <v>2394251</v>
      </c>
      <c r="G602" s="3">
        <v>15</v>
      </c>
      <c r="H602" s="3" t="s">
        <v>5343</v>
      </c>
      <c r="I602" s="3" t="s">
        <v>102</v>
      </c>
      <c r="J602" s="3" t="s">
        <v>103</v>
      </c>
      <c r="K602" s="3" t="s">
        <v>87</v>
      </c>
      <c r="L602" s="3">
        <v>0.34899999999999998</v>
      </c>
      <c r="M602" s="3">
        <v>0.54300000000000004</v>
      </c>
      <c r="N602" s="3">
        <v>7</v>
      </c>
      <c r="O602" s="8">
        <v>-9206</v>
      </c>
      <c r="P602" s="3">
        <v>0</v>
      </c>
      <c r="Q602" s="3">
        <v>3.0099999999999998E-2</v>
      </c>
      <c r="R602" s="3">
        <v>0.33</v>
      </c>
      <c r="S602" s="3">
        <v>0.84299999999999997</v>
      </c>
      <c r="T602" s="3">
        <v>9.3100000000000002E-2</v>
      </c>
      <c r="U602" s="3">
        <v>0.124</v>
      </c>
      <c r="V602" s="8">
        <v>128008</v>
      </c>
      <c r="W602" s="3">
        <v>4</v>
      </c>
      <c r="X602" s="3" t="str">
        <f t="shared" si="40"/>
        <v>-SADNE-</v>
      </c>
      <c r="Y602" s="3" t="str">
        <f t="shared" si="41"/>
        <v>-ENERGY-</v>
      </c>
      <c r="Z602" s="4" t="str">
        <f t="shared" si="42"/>
        <v>{"couname":"Continous Mix","img":"https://i.scdn.co/image/ab67616d0000b273549c7972b8511360e8761adf","pty":"15","artist":"Jean-Michel Jarre","genres":"new age,electrónica,space music","duration":"2394251","spotId":"6AsZMTEqvprlf2fBq5PWr9","Items":["-SADNE-","-ENERGY-","","","GN_FrenchElectro"]},</v>
      </c>
      <c r="AA602" s="5" t="s">
        <v>6100</v>
      </c>
      <c r="AB602" s="3" t="str">
        <f t="shared" si="43"/>
        <v>["-SADNE-","-ENERGY-","","","GN_FrenchElectro"]</v>
      </c>
      <c r="AC602" s="3" t="str">
        <f>_xlfn.XLOOKUP(A602,Album!A:A,Album!J:J)</f>
        <v>https://i.scdn.co/image/ab67616d0000b273549c7972b8511360e8761adf</v>
      </c>
      <c r="AD602" s="3"/>
      <c r="AE602" s="3"/>
      <c r="AF602" s="3"/>
      <c r="AG602" s="3"/>
      <c r="AH602" s="3"/>
    </row>
    <row r="603" spans="1:34" x14ac:dyDescent="0.3">
      <c r="A603" s="11" t="s">
        <v>438</v>
      </c>
      <c r="B603" s="12" t="s">
        <v>439</v>
      </c>
      <c r="C603" s="12" t="s">
        <v>440</v>
      </c>
      <c r="D603" s="13" t="s">
        <v>18</v>
      </c>
      <c r="E603" s="6">
        <v>44855</v>
      </c>
      <c r="F603" s="3">
        <v>93999</v>
      </c>
      <c r="G603" s="3">
        <v>15</v>
      </c>
      <c r="H603" s="3" t="s">
        <v>5342</v>
      </c>
      <c r="I603" s="3" t="s">
        <v>102</v>
      </c>
      <c r="J603" s="3" t="s">
        <v>103</v>
      </c>
      <c r="K603" s="3" t="s">
        <v>87</v>
      </c>
      <c r="L603" s="3">
        <v>0.52100000000000002</v>
      </c>
      <c r="M603" s="3">
        <v>0.66900000000000004</v>
      </c>
      <c r="N603" s="3">
        <v>1</v>
      </c>
      <c r="O603" s="8">
        <v>-18185</v>
      </c>
      <c r="P603" s="3">
        <v>0</v>
      </c>
      <c r="Q603" s="3">
        <v>0.61399999999999999</v>
      </c>
      <c r="R603" s="3">
        <v>0.64500000000000002</v>
      </c>
      <c r="S603" s="3">
        <v>0</v>
      </c>
      <c r="T603" s="3">
        <v>0.27700000000000002</v>
      </c>
      <c r="U603" s="3">
        <v>8.0199999999999994E-2</v>
      </c>
      <c r="V603" s="8">
        <v>56981</v>
      </c>
      <c r="W603" s="3">
        <v>5</v>
      </c>
      <c r="X603" s="3" t="str">
        <f t="shared" si="40"/>
        <v>-SADNE-</v>
      </c>
      <c r="Y603" s="3" t="str">
        <f t="shared" si="41"/>
        <v>-ENERGY-</v>
      </c>
      <c r="Z603" s="4" t="str">
        <f t="shared" si="42"/>
        <v>{"couname":"AGORA","img":"https://i.scdn.co/image/ab67616d0000b273dd2407f614598ef1d6cfa50e","pty":"15","artist":"Jean-Michel Jarre","genres":"new age,electrónica,space music","duration":"93999","spotId":"01zs0b20vuP47FcAemsynb","Items":["-SADNE-","-ENERGY-","","","GN_FrenchElectro"]},</v>
      </c>
      <c r="AA603" s="5" t="s">
        <v>6100</v>
      </c>
      <c r="AB603" s="3" t="str">
        <f t="shared" si="43"/>
        <v>["-SADNE-","-ENERGY-","","","GN_FrenchElectro"]</v>
      </c>
      <c r="AC603" s="3" t="str">
        <f>_xlfn.XLOOKUP(A603,Album!A:A,Album!J:J)</f>
        <v>https://i.scdn.co/image/ab67616d0000b273dd2407f614598ef1d6cfa50e</v>
      </c>
      <c r="AD603" s="3"/>
      <c r="AE603" s="3"/>
      <c r="AF603" s="3"/>
      <c r="AG603" s="3"/>
      <c r="AH603" s="3"/>
    </row>
    <row r="604" spans="1:34" x14ac:dyDescent="0.3">
      <c r="A604" s="11" t="s">
        <v>442</v>
      </c>
      <c r="B604" s="12" t="s">
        <v>443</v>
      </c>
      <c r="C604" s="12" t="s">
        <v>440</v>
      </c>
      <c r="D604" s="13" t="s">
        <v>18</v>
      </c>
      <c r="E604" s="6">
        <v>44855</v>
      </c>
      <c r="F604" s="3">
        <v>267284</v>
      </c>
      <c r="G604" s="3">
        <v>15</v>
      </c>
      <c r="H604" s="3" t="s">
        <v>5341</v>
      </c>
      <c r="I604" s="3" t="s">
        <v>102</v>
      </c>
      <c r="J604" s="3" t="s">
        <v>103</v>
      </c>
      <c r="K604" s="3" t="s">
        <v>87</v>
      </c>
      <c r="L604" s="3">
        <v>0.56799999999999995</v>
      </c>
      <c r="M604" s="3">
        <v>0.86099999999999999</v>
      </c>
      <c r="N604" s="3">
        <v>10</v>
      </c>
      <c r="O604" s="8">
        <v>-10.32</v>
      </c>
      <c r="P604" s="3">
        <v>0</v>
      </c>
      <c r="Q604" s="3">
        <v>4.5699999999999998E-2</v>
      </c>
      <c r="R604" s="3">
        <v>0.13900000000000001</v>
      </c>
      <c r="S604" s="3">
        <v>0.28599999999999998</v>
      </c>
      <c r="T604" s="3">
        <v>0.14599999999999999</v>
      </c>
      <c r="U604" s="3">
        <v>0.34799999999999998</v>
      </c>
      <c r="V604" s="8">
        <v>120012</v>
      </c>
      <c r="W604" s="3">
        <v>4</v>
      </c>
      <c r="X604" s="3" t="str">
        <f t="shared" si="40"/>
        <v>-SADNE-</v>
      </c>
      <c r="Y604" s="3" t="str">
        <f t="shared" si="41"/>
        <v>-ENERGY-</v>
      </c>
      <c r="Z604" s="4" t="str">
        <f t="shared" si="42"/>
        <v>{"couname":"NEON LIPS","img":"https://i.scdn.co/image/ab67616d0000b273dd2407f614598ef1d6cfa50e","pty":"15","artist":"Jean-Michel Jarre","genres":"new age,electrónica,space music","duration":"267284","spotId":"6mbTHElaDmrP7NInQvxxxI","Items":["-SADNE-","-ENERGY-","","","GN_FrenchElectro"]},</v>
      </c>
      <c r="AA604" s="5" t="s">
        <v>6100</v>
      </c>
      <c r="AB604" s="3" t="str">
        <f t="shared" si="43"/>
        <v>["-SADNE-","-ENERGY-","","","GN_FrenchElectro"]</v>
      </c>
      <c r="AC604" s="3" t="str">
        <f>_xlfn.XLOOKUP(A604,Album!A:A,Album!J:J)</f>
        <v>https://i.scdn.co/image/ab67616d0000b273dd2407f614598ef1d6cfa50e</v>
      </c>
      <c r="AD604" s="3"/>
      <c r="AE604" s="3"/>
      <c r="AF604" s="3"/>
      <c r="AG604" s="3"/>
      <c r="AH604" s="3"/>
    </row>
    <row r="605" spans="1:34" x14ac:dyDescent="0.3">
      <c r="A605" s="11" t="s">
        <v>610</v>
      </c>
      <c r="B605" s="12" t="s">
        <v>5339</v>
      </c>
      <c r="C605" s="12" t="s">
        <v>612</v>
      </c>
      <c r="D605" s="13" t="s">
        <v>2783</v>
      </c>
      <c r="E605" s="6">
        <v>45352</v>
      </c>
      <c r="F605" s="3">
        <v>415840</v>
      </c>
      <c r="G605" s="3">
        <v>15</v>
      </c>
      <c r="H605" s="3" t="s">
        <v>5340</v>
      </c>
      <c r="I605" s="3" t="s">
        <v>462</v>
      </c>
      <c r="J605" s="3" t="s">
        <v>463</v>
      </c>
      <c r="K605" s="3" t="s">
        <v>464</v>
      </c>
      <c r="L605" s="3">
        <v>0.82599999999999996</v>
      </c>
      <c r="M605" s="3">
        <v>0.92200000000000004</v>
      </c>
      <c r="N605" s="3">
        <v>8</v>
      </c>
      <c r="O605" s="8">
        <v>-6349</v>
      </c>
      <c r="P605" s="3">
        <v>0</v>
      </c>
      <c r="Q605" s="3">
        <v>7.3599999999999999E-2</v>
      </c>
      <c r="R605" s="3">
        <v>1.17E-4</v>
      </c>
      <c r="S605" s="3">
        <v>2.33E-3</v>
      </c>
      <c r="T605" s="3">
        <v>4.1599999999999998E-2</v>
      </c>
      <c r="U605" s="3">
        <v>0.54600000000000004</v>
      </c>
      <c r="V605" s="8">
        <v>127457</v>
      </c>
      <c r="W605" s="3">
        <v>4</v>
      </c>
      <c r="X605" s="3" t="str">
        <f t="shared" si="40"/>
        <v>-HAPPY-</v>
      </c>
      <c r="Y605" s="3" t="str">
        <f t="shared" si="41"/>
        <v>-ENERGY-</v>
      </c>
      <c r="Z605" s="4" t="str">
        <f t="shared" si="42"/>
        <v>{"couname":"The Ghetto","img":"https://i.scdn.co/image/ab67616d0000b2730e31ff8e8f9dffabe5e59b25","pty":"15","artist":"Bob Sinclar, Ian Pooley","genres":"house francés,disco house","duration":"415840","spotId":"179y9mW20MmpQNc53F60tQ","Items":["-HAPPY-","-ENERGY-","","","GN_FrenchElectro"]},</v>
      </c>
      <c r="AA605" s="5" t="s">
        <v>6100</v>
      </c>
      <c r="AB605" s="3" t="str">
        <f t="shared" si="43"/>
        <v>["-HAPPY-","-ENERGY-","","","GN_FrenchElectro"]</v>
      </c>
      <c r="AC605" s="3" t="str">
        <f>_xlfn.XLOOKUP(A605,Album!A:A,Album!J:J)</f>
        <v>https://i.scdn.co/image/ab67616d0000b2730e31ff8e8f9dffabe5e59b25</v>
      </c>
      <c r="AD605" s="3"/>
      <c r="AE605" s="3"/>
      <c r="AF605" s="3"/>
      <c r="AG605" s="3"/>
      <c r="AH605" s="3"/>
    </row>
    <row r="606" spans="1:34" x14ac:dyDescent="0.3">
      <c r="A606" s="11" t="s">
        <v>1316</v>
      </c>
      <c r="B606" s="12" t="s">
        <v>5308</v>
      </c>
      <c r="C606" s="12" t="s">
        <v>1312</v>
      </c>
      <c r="D606" s="13" t="s">
        <v>3716</v>
      </c>
      <c r="E606" s="6">
        <v>42244</v>
      </c>
      <c r="F606" s="3">
        <v>204080</v>
      </c>
      <c r="G606" s="3">
        <v>15</v>
      </c>
      <c r="H606" s="3" t="s">
        <v>5338</v>
      </c>
      <c r="I606" s="3" t="s">
        <v>1207</v>
      </c>
      <c r="J606" s="3" t="s">
        <v>1217</v>
      </c>
      <c r="K606" s="3" t="s">
        <v>84</v>
      </c>
      <c r="L606" s="3">
        <v>0.53500000000000003</v>
      </c>
      <c r="M606" s="3">
        <v>0.74299999999999999</v>
      </c>
      <c r="N606" s="3">
        <v>10</v>
      </c>
      <c r="O606" s="8">
        <v>-7159</v>
      </c>
      <c r="P606" s="3">
        <v>0</v>
      </c>
      <c r="Q606" s="3">
        <v>4.3999999999999997E-2</v>
      </c>
      <c r="R606" s="3">
        <v>8.3999999999999995E-3</v>
      </c>
      <c r="S606" s="3">
        <v>7.9900000000000004E-5</v>
      </c>
      <c r="T606" s="3">
        <v>0.24399999999999999</v>
      </c>
      <c r="U606" s="3">
        <v>0.56599999999999995</v>
      </c>
      <c r="V606" s="8">
        <v>112024</v>
      </c>
      <c r="W606" s="3">
        <v>4</v>
      </c>
      <c r="X606" s="3" t="str">
        <f t="shared" si="40"/>
        <v>-HAPPY-</v>
      </c>
      <c r="Y606" s="3" t="str">
        <f t="shared" si="41"/>
        <v>-ENERGY-</v>
      </c>
      <c r="Z606" s="4" t="str">
        <f t="shared" si="42"/>
        <v>{"couname":"Pay No Mind","img":"https://i.scdn.co/image/ab67616d0000b273181be4c9ff596666b8266273","pty":"15","artist":"Madeon, Passion Pit","genres":"edm,house francés,indietronica,indie","duration":"204080","spotId":"057gYs1uPBfMKyN7YxQZbc","Items":["-HAPPY-","-ENERGY-","","","GN_FrenchElectro"]},</v>
      </c>
      <c r="AA606" s="5" t="s">
        <v>6100</v>
      </c>
      <c r="AB606" s="3" t="str">
        <f t="shared" si="43"/>
        <v>["-HAPPY-","-ENERGY-","","","GN_FrenchElectro"]</v>
      </c>
      <c r="AC606" s="3" t="str">
        <f>_xlfn.XLOOKUP(A606,Album!A:A,Album!J:J)</f>
        <v>https://i.scdn.co/image/ab67616d0000b273181be4c9ff596666b8266273</v>
      </c>
      <c r="AD606" s="3"/>
      <c r="AE606" s="3"/>
      <c r="AF606" s="3"/>
      <c r="AG606" s="3"/>
      <c r="AH606" s="3"/>
    </row>
    <row r="607" spans="1:34" x14ac:dyDescent="0.3">
      <c r="A607" s="11" t="s">
        <v>1742</v>
      </c>
      <c r="B607" s="12" t="s">
        <v>1743</v>
      </c>
      <c r="C607" s="12" t="s">
        <v>1709</v>
      </c>
      <c r="D607" s="13" t="s">
        <v>4468</v>
      </c>
      <c r="E607" s="6">
        <v>42608</v>
      </c>
      <c r="F607" s="3">
        <v>252373</v>
      </c>
      <c r="G607" s="3">
        <v>15</v>
      </c>
      <c r="H607" s="3" t="s">
        <v>5337</v>
      </c>
      <c r="I607" s="3" t="s">
        <v>1675</v>
      </c>
      <c r="J607" s="3" t="s">
        <v>463</v>
      </c>
      <c r="K607" s="3" t="s">
        <v>947</v>
      </c>
      <c r="L607" s="3">
        <v>0.745</v>
      </c>
      <c r="M607" s="3">
        <v>0.91500000000000004</v>
      </c>
      <c r="N607" s="3">
        <v>10</v>
      </c>
      <c r="O607" s="8">
        <v>-3962</v>
      </c>
      <c r="P607" s="3">
        <v>1</v>
      </c>
      <c r="Q607" s="3">
        <v>5.0999999999999997E-2</v>
      </c>
      <c r="R607" s="3">
        <v>0.29699999999999999</v>
      </c>
      <c r="S607" s="3">
        <v>0</v>
      </c>
      <c r="T607" s="3">
        <v>7.3200000000000001E-2</v>
      </c>
      <c r="U607" s="3">
        <v>0.66</v>
      </c>
      <c r="V607" s="8">
        <v>119929</v>
      </c>
      <c r="W607" s="3">
        <v>4</v>
      </c>
      <c r="X607" s="3" t="str">
        <f t="shared" si="40"/>
        <v>-HAPPY-</v>
      </c>
      <c r="Y607" s="3" t="str">
        <f t="shared" si="41"/>
        <v>-ENERGY-</v>
      </c>
      <c r="Z607" s="4" t="str">
        <f t="shared" si="42"/>
        <v>{"couname":"The Missing","img":"https://i.scdn.co/image/ab67616d0000b273580ffe579b32f1e6a93ac225","pty":"15","artist":"Cassius, Ryan Tedder, JAW","genres":"house francés,disco house","duration":"252373","spotId":"1IHYSptLB6r1j6qdGFTmk6","Items":["-HAPPY-","-ENERGY-","","","GN_FrenchElectro"]},</v>
      </c>
      <c r="AA607" s="5" t="s">
        <v>6100</v>
      </c>
      <c r="AB607" s="3" t="str">
        <f t="shared" si="43"/>
        <v>["-HAPPY-","-ENERGY-","","","GN_FrenchElectro"]</v>
      </c>
      <c r="AC607" s="3" t="str">
        <f>_xlfn.XLOOKUP(A607,Album!A:A,Album!J:J)</f>
        <v>https://i.scdn.co/image/ab67616d0000b273580ffe579b32f1e6a93ac225</v>
      </c>
      <c r="AD607" s="3"/>
      <c r="AE607" s="3"/>
      <c r="AF607" s="3"/>
      <c r="AG607" s="3"/>
      <c r="AH607" s="3"/>
    </row>
    <row r="608" spans="1:34" x14ac:dyDescent="0.3">
      <c r="A608" s="11" t="s">
        <v>1748</v>
      </c>
      <c r="B608" s="12" t="s">
        <v>1749</v>
      </c>
      <c r="C608" s="12" t="s">
        <v>1690</v>
      </c>
      <c r="D608" s="13" t="s">
        <v>4476</v>
      </c>
      <c r="E608" s="6">
        <v>43637</v>
      </c>
      <c r="F608" s="3">
        <v>259386</v>
      </c>
      <c r="G608" s="3">
        <v>15</v>
      </c>
      <c r="H608" s="3" t="s">
        <v>5336</v>
      </c>
      <c r="I608" s="3" t="s">
        <v>1675</v>
      </c>
      <c r="J608" s="3" t="s">
        <v>463</v>
      </c>
      <c r="K608" s="3" t="s">
        <v>1691</v>
      </c>
      <c r="L608" s="3">
        <v>0.57899999999999996</v>
      </c>
      <c r="M608" s="3">
        <v>0.82599999999999996</v>
      </c>
      <c r="N608" s="3">
        <v>6</v>
      </c>
      <c r="O608" s="8">
        <v>-7433</v>
      </c>
      <c r="P608" s="3">
        <v>0</v>
      </c>
      <c r="Q608" s="3">
        <v>5.2299999999999999E-2</v>
      </c>
      <c r="R608" s="3">
        <v>1.9900000000000001E-4</v>
      </c>
      <c r="S608" s="3">
        <v>4.1399999999999996E-3</v>
      </c>
      <c r="T608" s="3">
        <v>0.29699999999999999</v>
      </c>
      <c r="U608" s="3">
        <v>0.57899999999999996</v>
      </c>
      <c r="V608" s="8">
        <v>99998</v>
      </c>
      <c r="W608" s="3">
        <v>4</v>
      </c>
      <c r="X608" s="3" t="str">
        <f t="shared" si="40"/>
        <v>-HAPPY-</v>
      </c>
      <c r="Y608" s="3" t="str">
        <f t="shared" si="41"/>
        <v>-ENERGY-</v>
      </c>
      <c r="Z608" s="4" t="str">
        <f t="shared" si="42"/>
        <v>{"couname":"Nothing About You","img":"https://i.scdn.co/image/ab67616d0000b2730bb9eff4be678363242f0b6e","pty":"15","artist":"Cassius, John Gourley","genres":"house francés,disco house","duration":"259386","spotId":"2iiKsk30JWTLhrzeHtPEoc","Items":["-HAPPY-","-ENERGY-","","","GN_FrenchElectro"]},</v>
      </c>
      <c r="AA608" s="5" t="s">
        <v>6100</v>
      </c>
      <c r="AB608" s="3" t="str">
        <f t="shared" si="43"/>
        <v>["-HAPPY-","-ENERGY-","","","GN_FrenchElectro"]</v>
      </c>
      <c r="AC608" s="3" t="str">
        <f>_xlfn.XLOOKUP(A608,Album!A:A,Album!J:J)</f>
        <v>https://i.scdn.co/image/ab67616d0000b2730bb9eff4be678363242f0b6e</v>
      </c>
      <c r="AD608" s="3"/>
      <c r="AE608" s="3"/>
      <c r="AF608" s="3"/>
      <c r="AG608" s="3"/>
      <c r="AH608" s="3"/>
    </row>
    <row r="609" spans="1:34" x14ac:dyDescent="0.3">
      <c r="A609" s="11" t="s">
        <v>2099</v>
      </c>
      <c r="B609" s="12" t="s">
        <v>2100</v>
      </c>
      <c r="C609" s="12" t="s">
        <v>2100</v>
      </c>
      <c r="D609" s="13" t="s">
        <v>1993</v>
      </c>
      <c r="E609" s="6">
        <v>43333</v>
      </c>
      <c r="F609" s="3">
        <v>188002</v>
      </c>
      <c r="G609" s="3">
        <v>15</v>
      </c>
      <c r="H609" s="3" t="s">
        <v>5335</v>
      </c>
      <c r="I609" s="3" t="s">
        <v>1983</v>
      </c>
      <c r="J609" s="3" t="s">
        <v>1994</v>
      </c>
      <c r="K609" s="3" t="s">
        <v>2002</v>
      </c>
      <c r="L609" s="3">
        <v>0.68300000000000005</v>
      </c>
      <c r="M609" s="3">
        <v>0.67100000000000004</v>
      </c>
      <c r="N609" s="3">
        <v>9</v>
      </c>
      <c r="O609" s="8">
        <v>-5323</v>
      </c>
      <c r="P609" s="3">
        <v>0</v>
      </c>
      <c r="Q609" s="3">
        <v>3.1E-2</v>
      </c>
      <c r="R609" s="3">
        <v>5.0400000000000002E-3</v>
      </c>
      <c r="S609" s="3">
        <v>1.84E-2</v>
      </c>
      <c r="T609" s="3">
        <v>0.108</v>
      </c>
      <c r="U609" s="3">
        <v>0.51800000000000002</v>
      </c>
      <c r="V609" s="8">
        <v>123984</v>
      </c>
      <c r="W609" s="3">
        <v>4</v>
      </c>
      <c r="X609" s="3" t="str">
        <f t="shared" si="40"/>
        <v>-HAPPY-</v>
      </c>
      <c r="Y609" s="3" t="str">
        <f t="shared" si="41"/>
        <v>-ENERGY-</v>
      </c>
      <c r="Z609" s="4" t="str">
        <f t="shared" si="42"/>
        <v>{"couname":"OMG!!!","img":"https://i.scdn.co/image/ab67616d0000b273acd5d51a081e80f305c303bb","pty":"15","artist":"Yelle","genres":"pop francés,house francés,electroclash,electropop","duration":"188002","spotId":"1Xe5FfC6zb0ExE4lBB8OlM","Items":["-HAPPY-","-ENERGY-","","","GN_FrenchElectro"]},</v>
      </c>
      <c r="AA609" s="5" t="s">
        <v>6100</v>
      </c>
      <c r="AB609" s="3" t="str">
        <f t="shared" si="43"/>
        <v>["-HAPPY-","-ENERGY-","","","GN_FrenchElectro"]</v>
      </c>
      <c r="AC609" s="3" t="str">
        <f>_xlfn.XLOOKUP(A609,Album!A:A,Album!J:J)</f>
        <v>https://i.scdn.co/image/ab67616d0000b273acd5d51a081e80f305c303bb</v>
      </c>
      <c r="AD609" s="3"/>
      <c r="AE609" s="3"/>
      <c r="AF609" s="3"/>
      <c r="AG609" s="3"/>
      <c r="AH609" s="3"/>
    </row>
    <row r="610" spans="1:34" x14ac:dyDescent="0.3">
      <c r="A610" s="11" t="s">
        <v>2101</v>
      </c>
      <c r="B610" s="12" t="s">
        <v>2102</v>
      </c>
      <c r="C610" s="12" t="s">
        <v>2036</v>
      </c>
      <c r="D610" s="13" t="s">
        <v>1993</v>
      </c>
      <c r="E610" s="6">
        <v>41908</v>
      </c>
      <c r="F610" s="3">
        <v>79706</v>
      </c>
      <c r="G610" s="3">
        <v>15</v>
      </c>
      <c r="H610" s="3" t="s">
        <v>5334</v>
      </c>
      <c r="I610" s="3" t="s">
        <v>1983</v>
      </c>
      <c r="J610" s="3" t="s">
        <v>1994</v>
      </c>
      <c r="K610" s="3" t="s">
        <v>2037</v>
      </c>
      <c r="L610" s="3">
        <v>0.70599999999999996</v>
      </c>
      <c r="M610" s="3">
        <v>0.78300000000000003</v>
      </c>
      <c r="N610" s="3">
        <v>10</v>
      </c>
      <c r="O610" s="8">
        <v>-6453</v>
      </c>
      <c r="P610" s="3">
        <v>0</v>
      </c>
      <c r="Q610" s="3">
        <v>3.4099999999999998E-2</v>
      </c>
      <c r="R610" s="3">
        <v>2.76E-2</v>
      </c>
      <c r="S610" s="3">
        <v>0.78300000000000003</v>
      </c>
      <c r="T610" s="3">
        <v>0.16700000000000001</v>
      </c>
      <c r="U610" s="3">
        <v>0.89300000000000002</v>
      </c>
      <c r="V610" s="8">
        <v>149978</v>
      </c>
      <c r="W610" s="3">
        <v>4</v>
      </c>
      <c r="X610" s="3" t="str">
        <f t="shared" si="40"/>
        <v>-HAPPY-</v>
      </c>
      <c r="Y610" s="3" t="str">
        <f t="shared" si="41"/>
        <v>-ENERGY-</v>
      </c>
      <c r="Z610" s="4" t="str">
        <f t="shared" si="42"/>
        <v>{"couname":"Nuit de baise II","img":"https://i.scdn.co/image/ab67616d0000b273a84efe4704b8869e487cebff","pty":"15","artist":"Yelle","genres":"pop francés,house francés,electroclash,electropop","duration":"79706","spotId":"4Sltbsa3u76jjUlZeb258y","Items":["-HAPPY-","-ENERGY-","","","GN_FrenchElectro"]},</v>
      </c>
      <c r="AA610" s="5" t="s">
        <v>6100</v>
      </c>
      <c r="AB610" s="3" t="str">
        <f t="shared" si="43"/>
        <v>["-HAPPY-","-ENERGY-","","","GN_FrenchElectro"]</v>
      </c>
      <c r="AC610" s="3" t="str">
        <f>_xlfn.XLOOKUP(A610,Album!A:A,Album!J:J)</f>
        <v>https://i.scdn.co/image/ab67616d0000b273a84efe4704b8869e487cebff</v>
      </c>
      <c r="AD610" s="3"/>
      <c r="AE610" s="3"/>
      <c r="AF610" s="3"/>
      <c r="AG610" s="3"/>
      <c r="AH610" s="3"/>
    </row>
    <row r="611" spans="1:34" x14ac:dyDescent="0.3">
      <c r="A611" s="11" t="s">
        <v>258</v>
      </c>
      <c r="B611" s="12" t="s">
        <v>259</v>
      </c>
      <c r="C611" s="12" t="s">
        <v>236</v>
      </c>
      <c r="D611" s="13" t="s">
        <v>2277</v>
      </c>
      <c r="E611" s="6">
        <v>42293</v>
      </c>
      <c r="F611" s="3">
        <v>186306</v>
      </c>
      <c r="G611" s="3">
        <v>14</v>
      </c>
      <c r="H611" s="3" t="s">
        <v>5333</v>
      </c>
      <c r="I611" s="3" t="s">
        <v>102</v>
      </c>
      <c r="J611" s="3" t="s">
        <v>260</v>
      </c>
      <c r="K611" s="3" t="s">
        <v>84</v>
      </c>
      <c r="L611" s="3">
        <v>0.56899999999999995</v>
      </c>
      <c r="M611" s="3">
        <v>0.90100000000000002</v>
      </c>
      <c r="N611" s="3">
        <v>2</v>
      </c>
      <c r="O611" s="8">
        <v>-5546</v>
      </c>
      <c r="P611" s="3">
        <v>1</v>
      </c>
      <c r="Q611" s="3">
        <v>3.5000000000000003E-2</v>
      </c>
      <c r="R611" s="3">
        <v>3.9199999999999999E-3</v>
      </c>
      <c r="S611" s="3">
        <v>4.9599999999999998E-2</v>
      </c>
      <c r="T611" s="3">
        <v>0.13700000000000001</v>
      </c>
      <c r="U611" s="3">
        <v>0.255</v>
      </c>
      <c r="V611" s="8">
        <v>127997</v>
      </c>
      <c r="W611" s="3">
        <v>4</v>
      </c>
      <c r="X611" s="3" t="str">
        <f t="shared" si="40"/>
        <v>-SADNE-</v>
      </c>
      <c r="Y611" s="3" t="str">
        <f t="shared" si="41"/>
        <v>-ENERGY-</v>
      </c>
      <c r="Z611" s="4" t="str">
        <f t="shared" si="42"/>
        <v>{"couname":"Travelator, Pt. 2","img":"https://i.scdn.co/image/ab67616d0000b27376987a71d6639ea8f44b5c09","pty":"14","artist":"Jean-Michel Jarre, Pete Townshend","genres":"new age,electrónica,space music,art rock","duration":"186306","spotId":"7cKsZ4ISSaBs7iCc2dd6bd","Items":["-SADNE-","-ENERGY-","","","GN_FrenchElectro"]},</v>
      </c>
      <c r="AA611" s="5" t="s">
        <v>6100</v>
      </c>
      <c r="AB611" s="3" t="str">
        <f t="shared" si="43"/>
        <v>["-SADNE-","-ENERGY-","","","GN_FrenchElectro"]</v>
      </c>
      <c r="AC611" s="3" t="str">
        <f>_xlfn.XLOOKUP(A611,Album!A:A,Album!J:J)</f>
        <v>https://i.scdn.co/image/ab67616d0000b27376987a71d6639ea8f44b5c09</v>
      </c>
      <c r="AD611" s="3"/>
      <c r="AE611" s="3"/>
      <c r="AF611" s="3"/>
      <c r="AG611" s="3"/>
      <c r="AH611" s="3"/>
    </row>
    <row r="612" spans="1:34" x14ac:dyDescent="0.3">
      <c r="A612" s="11" t="s">
        <v>264</v>
      </c>
      <c r="B612" s="12" t="s">
        <v>265</v>
      </c>
      <c r="C612" s="12" t="s">
        <v>236</v>
      </c>
      <c r="D612" s="13" t="s">
        <v>2285</v>
      </c>
      <c r="E612" s="6">
        <v>42293</v>
      </c>
      <c r="F612" s="3">
        <v>176640</v>
      </c>
      <c r="G612" s="3">
        <v>14</v>
      </c>
      <c r="H612" s="3" t="s">
        <v>5332</v>
      </c>
      <c r="I612" s="3" t="s">
        <v>102</v>
      </c>
      <c r="J612" s="3" t="s">
        <v>266</v>
      </c>
      <c r="K612" s="3" t="s">
        <v>84</v>
      </c>
      <c r="L612" s="3">
        <v>0.71399999999999997</v>
      </c>
      <c r="M612" s="3">
        <v>0.73299999999999998</v>
      </c>
      <c r="N612" s="3">
        <v>5</v>
      </c>
      <c r="O612" s="8">
        <v>-4464</v>
      </c>
      <c r="P612" s="3">
        <v>1</v>
      </c>
      <c r="Q612" s="3">
        <v>2.8000000000000001E-2</v>
      </c>
      <c r="R612" s="3">
        <v>9.7600000000000006E-2</v>
      </c>
      <c r="S612" s="3">
        <v>4.3099999999999999E-2</v>
      </c>
      <c r="T612" s="3">
        <v>0.33500000000000002</v>
      </c>
      <c r="U612" s="3">
        <v>0.32800000000000001</v>
      </c>
      <c r="V612" s="8">
        <v>102007</v>
      </c>
      <c r="W612" s="3">
        <v>4</v>
      </c>
      <c r="X612" s="3" t="str">
        <f t="shared" si="40"/>
        <v>-HAPPY-</v>
      </c>
      <c r="Y612" s="3" t="str">
        <f t="shared" si="41"/>
        <v>-ENERGY-</v>
      </c>
      <c r="Z612" s="4" t="str">
        <f t="shared" si="42"/>
        <v>{"couname":"Rely on Me","img":"https://i.scdn.co/image/ab67616d0000b27376987a71d6639ea8f44b5c09","pty":"14","artist":"Jean-Michel Jarre, Laurie Anderson","genres":"new age,electrónica,space music,art pop,avant-garde,art rock,spoken word","duration":"176640","spotId":"2vfCY6GFjOdgiljkCklUnE","Items":["-HAPPY-","-ENERGY-","","","GN_FrenchElectro"]},</v>
      </c>
      <c r="AA612" s="5" t="s">
        <v>6100</v>
      </c>
      <c r="AB612" s="3" t="str">
        <f t="shared" si="43"/>
        <v>["-HAPPY-","-ENERGY-","","","GN_FrenchElectro"]</v>
      </c>
      <c r="AC612" s="3" t="str">
        <f>_xlfn.XLOOKUP(A612,Album!A:A,Album!J:J)</f>
        <v>https://i.scdn.co/image/ab67616d0000b27376987a71d6639ea8f44b5c09</v>
      </c>
      <c r="AD612" s="3"/>
      <c r="AE612" s="3"/>
      <c r="AF612" s="3"/>
      <c r="AG612" s="3"/>
      <c r="AH612" s="3"/>
    </row>
    <row r="613" spans="1:34" x14ac:dyDescent="0.3">
      <c r="A613" s="11" t="s">
        <v>307</v>
      </c>
      <c r="B613" s="12" t="s">
        <v>308</v>
      </c>
      <c r="C613" s="12" t="s">
        <v>280</v>
      </c>
      <c r="D613" s="13" t="s">
        <v>2347</v>
      </c>
      <c r="E613" s="6">
        <v>42496</v>
      </c>
      <c r="F613" s="3">
        <v>283000</v>
      </c>
      <c r="G613" s="3">
        <v>14</v>
      </c>
      <c r="H613" s="3" t="s">
        <v>5331</v>
      </c>
      <c r="I613" s="3" t="s">
        <v>102</v>
      </c>
      <c r="J613" s="3" t="s">
        <v>309</v>
      </c>
      <c r="K613" s="3" t="s">
        <v>84</v>
      </c>
      <c r="L613" s="3">
        <v>0.56999999999999995</v>
      </c>
      <c r="M613" s="3">
        <v>0.78500000000000003</v>
      </c>
      <c r="N613" s="3">
        <v>9</v>
      </c>
      <c r="O613" s="8">
        <v>-7922</v>
      </c>
      <c r="P613" s="3">
        <v>0</v>
      </c>
      <c r="Q613" s="3">
        <v>5.9799999999999999E-2</v>
      </c>
      <c r="R613" s="3">
        <v>0.60899999999999999</v>
      </c>
      <c r="S613" s="3">
        <v>0.35799999999999998</v>
      </c>
      <c r="T613" s="3">
        <v>0.38200000000000001</v>
      </c>
      <c r="U613" s="3">
        <v>0.23799999999999999</v>
      </c>
      <c r="V613" s="8">
        <v>119965</v>
      </c>
      <c r="W613" s="3">
        <v>4</v>
      </c>
      <c r="X613" s="3" t="str">
        <f t="shared" si="40"/>
        <v>-SADNE-</v>
      </c>
      <c r="Y613" s="3" t="str">
        <f t="shared" si="41"/>
        <v>-ENERGY-</v>
      </c>
      <c r="Z613" s="4" t="str">
        <f t="shared" si="42"/>
        <v>{"couname":"Switch on Leon","img":"https://i.scdn.co/image/ab67616d0000b273359a423dd08ed414400e0cb7","pty":"14","artist":"Jean-Michel Jarre, The Orb","genres":"new age,electrónica,space music,idm,ambient","duration":"283000","spotId":"5YYjzjQKL32k7pqJmaJRQn","Items":["-SADNE-","-ENERGY-","","","GN_FrenchElectro"]},</v>
      </c>
      <c r="AA613" s="5" t="s">
        <v>6100</v>
      </c>
      <c r="AB613" s="3" t="str">
        <f t="shared" si="43"/>
        <v>["-SADNE-","-ENERGY-","","","GN_FrenchElectro"]</v>
      </c>
      <c r="AC613" s="3" t="str">
        <f>_xlfn.XLOOKUP(A613,Album!A:A,Album!J:J)</f>
        <v>https://i.scdn.co/image/ab67616d0000b273359a423dd08ed414400e0cb7</v>
      </c>
      <c r="AD613" s="3"/>
      <c r="AE613" s="3"/>
      <c r="AF613" s="3"/>
      <c r="AG613" s="3"/>
      <c r="AH613" s="3"/>
    </row>
    <row r="614" spans="1:34" x14ac:dyDescent="0.3">
      <c r="A614" s="11" t="s">
        <v>316</v>
      </c>
      <c r="B614" s="12" t="s">
        <v>317</v>
      </c>
      <c r="C614" s="12" t="s">
        <v>280</v>
      </c>
      <c r="D614" s="13" t="s">
        <v>2359</v>
      </c>
      <c r="E614" s="6">
        <v>42496</v>
      </c>
      <c r="F614" s="3">
        <v>283013</v>
      </c>
      <c r="G614" s="3">
        <v>14</v>
      </c>
      <c r="H614" s="3" t="s">
        <v>5330</v>
      </c>
      <c r="I614" s="3" t="s">
        <v>102</v>
      </c>
      <c r="J614" s="3" t="s">
        <v>318</v>
      </c>
      <c r="K614" s="3" t="s">
        <v>84</v>
      </c>
      <c r="L614" s="3">
        <v>0.32</v>
      </c>
      <c r="M614" s="3">
        <v>0.96899999999999997</v>
      </c>
      <c r="N614" s="3">
        <v>5</v>
      </c>
      <c r="O614" s="8">
        <v>-5341</v>
      </c>
      <c r="P614" s="3">
        <v>0</v>
      </c>
      <c r="Q614" s="3">
        <v>5.0900000000000001E-2</v>
      </c>
      <c r="R614" s="3">
        <v>4.9399999999999999E-3</v>
      </c>
      <c r="S614" s="3">
        <v>0.72799999999999998</v>
      </c>
      <c r="T614" s="3">
        <v>7.6200000000000004E-2</v>
      </c>
      <c r="U614" s="3">
        <v>0.20499999999999999</v>
      </c>
      <c r="V614" s="8">
        <v>124998</v>
      </c>
      <c r="W614" s="3">
        <v>4</v>
      </c>
      <c r="X614" s="3" t="str">
        <f t="shared" si="40"/>
        <v>-SADNE-</v>
      </c>
      <c r="Y614" s="3" t="str">
        <f t="shared" si="41"/>
        <v>-ENERGY-</v>
      </c>
      <c r="Z614" s="4" t="str">
        <f t="shared" si="42"/>
        <v>{"couname":"The Architect","img":"https://i.scdn.co/image/ab67616d0000b273359a423dd08ed414400e0cb7","pty":"14","artist":"Jean-Michel Jarre, Jeff Mills","genres":"new age,electrónica,space music,techno,minimal techno","duration":"283013","spotId":"5Z3U3FbhTtU9nTZddJy2QD","Items":["-SADNE-","-ENERGY-","","","GN_FrenchElectro"]},</v>
      </c>
      <c r="AA614" s="5" t="s">
        <v>6100</v>
      </c>
      <c r="AB614" s="3" t="str">
        <f t="shared" si="43"/>
        <v>["-SADNE-","-ENERGY-","","","GN_FrenchElectro"]</v>
      </c>
      <c r="AC614" s="3" t="str">
        <f>_xlfn.XLOOKUP(A614,Album!A:A,Album!J:J)</f>
        <v>https://i.scdn.co/image/ab67616d0000b273359a423dd08ed414400e0cb7</v>
      </c>
      <c r="AD614" s="3"/>
      <c r="AE614" s="3"/>
      <c r="AF614" s="3"/>
      <c r="AG614" s="3"/>
      <c r="AH614" s="3"/>
    </row>
    <row r="615" spans="1:34" x14ac:dyDescent="0.3">
      <c r="A615" s="11" t="s">
        <v>342</v>
      </c>
      <c r="B615" s="12" t="s">
        <v>343</v>
      </c>
      <c r="C615" s="12" t="s">
        <v>331</v>
      </c>
      <c r="D615" s="13" t="s">
        <v>18</v>
      </c>
      <c r="E615" s="6">
        <v>42706</v>
      </c>
      <c r="F615" s="3">
        <v>479026</v>
      </c>
      <c r="G615" s="3">
        <v>14</v>
      </c>
      <c r="H615" s="3" t="s">
        <v>5329</v>
      </c>
      <c r="I615" s="3" t="s">
        <v>102</v>
      </c>
      <c r="J615" s="3" t="s">
        <v>103</v>
      </c>
      <c r="K615" s="3" t="s">
        <v>104</v>
      </c>
      <c r="L615" s="3">
        <v>0.19600000000000001</v>
      </c>
      <c r="M615" s="3">
        <v>0.49299999999999999</v>
      </c>
      <c r="N615" s="3">
        <v>7</v>
      </c>
      <c r="O615" s="8">
        <v>-12534</v>
      </c>
      <c r="P615" s="3">
        <v>1</v>
      </c>
      <c r="Q615" s="3">
        <v>6.1800000000000001E-2</v>
      </c>
      <c r="R615" s="3">
        <v>0.73199999999999998</v>
      </c>
      <c r="S615" s="3">
        <v>0.90500000000000003</v>
      </c>
      <c r="T615" s="3">
        <v>0.21</v>
      </c>
      <c r="U615" s="3">
        <v>8.5199999999999998E-2</v>
      </c>
      <c r="V615" s="8">
        <v>127301</v>
      </c>
      <c r="W615" s="3">
        <v>4</v>
      </c>
      <c r="X615" s="3" t="str">
        <f t="shared" si="40"/>
        <v>-SADNE-</v>
      </c>
      <c r="Y615" s="3" t="str">
        <f t="shared" si="41"/>
        <v>-SLOWSS-</v>
      </c>
      <c r="Z615" s="4" t="str">
        <f t="shared" si="42"/>
        <v>{"couname":"Oxygene, Pt. 20","img":"https://i.scdn.co/image/ab67616d0000b2732a85d17ba6acdb1c7ca734cc","pty":"14","artist":"Jean-Michel Jarre","genres":"new age,electrónica,space music","duration":"479026","spotId":"1LqUlHY5YWfhTLhcWN0biH","Items":["-SADNE-","-SLOWSS-","","","GN_FrenchElectro"]},</v>
      </c>
      <c r="AA615" s="5" t="s">
        <v>6100</v>
      </c>
      <c r="AB615" s="3" t="str">
        <f t="shared" si="43"/>
        <v>["-SADNE-","-SLOWSS-","","","GN_FrenchElectro"]</v>
      </c>
      <c r="AC615" s="3" t="str">
        <f>_xlfn.XLOOKUP(A615,Album!A:A,Album!J:J)</f>
        <v>https://i.scdn.co/image/ab67616d0000b2732a85d17ba6acdb1c7ca734cc</v>
      </c>
      <c r="AD615" s="3"/>
      <c r="AE615" s="3"/>
      <c r="AF615" s="3"/>
      <c r="AG615" s="3"/>
      <c r="AH615" s="3"/>
    </row>
    <row r="616" spans="1:34" x14ac:dyDescent="0.3">
      <c r="A616" s="11" t="s">
        <v>444</v>
      </c>
      <c r="B616" s="12" t="s">
        <v>445</v>
      </c>
      <c r="C616" s="12" t="s">
        <v>440</v>
      </c>
      <c r="D616" s="13" t="s">
        <v>18</v>
      </c>
      <c r="E616" s="6">
        <v>44855</v>
      </c>
      <c r="F616" s="3">
        <v>361010</v>
      </c>
      <c r="G616" s="3">
        <v>14</v>
      </c>
      <c r="H616" s="3" t="s">
        <v>5328</v>
      </c>
      <c r="I616" s="3" t="s">
        <v>102</v>
      </c>
      <c r="J616" s="3" t="s">
        <v>103</v>
      </c>
      <c r="K616" s="3" t="s">
        <v>87</v>
      </c>
      <c r="L616" s="3">
        <v>0.65400000000000003</v>
      </c>
      <c r="M616" s="3">
        <v>0.752</v>
      </c>
      <c r="N616" s="3">
        <v>10</v>
      </c>
      <c r="O616" s="8">
        <v>-10.8</v>
      </c>
      <c r="P616" s="3">
        <v>0</v>
      </c>
      <c r="Q616" s="3">
        <v>4.3400000000000001E-2</v>
      </c>
      <c r="R616" s="3">
        <v>0.113</v>
      </c>
      <c r="S616" s="3">
        <v>0.85199999999999998</v>
      </c>
      <c r="T616" s="3">
        <v>0.152</v>
      </c>
      <c r="U616" s="3">
        <v>0.112</v>
      </c>
      <c r="V616" s="8">
        <v>119962</v>
      </c>
      <c r="W616" s="3">
        <v>4</v>
      </c>
      <c r="X616" s="3" t="str">
        <f t="shared" si="40"/>
        <v>-SADNE-</v>
      </c>
      <c r="Y616" s="3" t="str">
        <f t="shared" si="41"/>
        <v>-ENERGY-</v>
      </c>
      <c r="Z616" s="4" t="str">
        <f t="shared" si="42"/>
        <v>{"couname":"SONIC LAND","img":"https://i.scdn.co/image/ab67616d0000b273dd2407f614598ef1d6cfa50e","pty":"14","artist":"Jean-Michel Jarre","genres":"new age,electrónica,space music","duration":"361010","spotId":"5A0EFRaKn1wXyoWzOMoQON","Items":["-SADNE-","-ENERGY-","","","GN_FrenchElectro"]},</v>
      </c>
      <c r="AA616" s="5" t="s">
        <v>6100</v>
      </c>
      <c r="AB616" s="3" t="str">
        <f t="shared" si="43"/>
        <v>["-SADNE-","-ENERGY-","","","GN_FrenchElectro"]</v>
      </c>
      <c r="AC616" s="3" t="str">
        <f>_xlfn.XLOOKUP(A616,Album!A:A,Album!J:J)</f>
        <v>https://i.scdn.co/image/ab67616d0000b273dd2407f614598ef1d6cfa50e</v>
      </c>
      <c r="AD616" s="3"/>
      <c r="AE616" s="3"/>
      <c r="AF616" s="3"/>
      <c r="AG616" s="3"/>
      <c r="AH616" s="3"/>
    </row>
    <row r="617" spans="1:34" x14ac:dyDescent="0.3">
      <c r="A617" s="11" t="s">
        <v>448</v>
      </c>
      <c r="B617" s="12" t="s">
        <v>449</v>
      </c>
      <c r="C617" s="12" t="s">
        <v>440</v>
      </c>
      <c r="D617" s="13" t="s">
        <v>18</v>
      </c>
      <c r="E617" s="6">
        <v>44855</v>
      </c>
      <c r="F617" s="3">
        <v>345995</v>
      </c>
      <c r="G617" s="3">
        <v>14</v>
      </c>
      <c r="H617" s="3" t="s">
        <v>5327</v>
      </c>
      <c r="I617" s="3" t="s">
        <v>102</v>
      </c>
      <c r="J617" s="3" t="s">
        <v>103</v>
      </c>
      <c r="K617" s="3" t="s">
        <v>87</v>
      </c>
      <c r="L617" s="3">
        <v>0.51900000000000002</v>
      </c>
      <c r="M617" s="3">
        <v>0.51400000000000001</v>
      </c>
      <c r="N617" s="3">
        <v>5</v>
      </c>
      <c r="O617" s="8">
        <v>-12522</v>
      </c>
      <c r="P617" s="3">
        <v>1</v>
      </c>
      <c r="Q617" s="3">
        <v>4.5600000000000002E-2</v>
      </c>
      <c r="R617" s="3">
        <v>7.1099999999999997E-2</v>
      </c>
      <c r="S617" s="3">
        <v>0.82499999999999996</v>
      </c>
      <c r="T617" s="3">
        <v>0.126</v>
      </c>
      <c r="U617" s="3">
        <v>0.23899999999999999</v>
      </c>
      <c r="V617" s="8">
        <v>75019</v>
      </c>
      <c r="W617" s="3">
        <v>4</v>
      </c>
      <c r="X617" s="3" t="str">
        <f t="shared" si="40"/>
        <v>-SADNE-</v>
      </c>
      <c r="Y617" s="3" t="str">
        <f t="shared" si="41"/>
        <v>-ENERGY-</v>
      </c>
      <c r="Z617" s="4" t="str">
        <f t="shared" si="42"/>
        <v>{"couname":"ANIMAL GENESIS","img":"https://i.scdn.co/image/ab67616d0000b273dd2407f614598ef1d6cfa50e","pty":"14","artist":"Jean-Michel Jarre","genres":"new age,electrónica,space music","duration":"345995","spotId":"4mRTRLnSrB8b73ix5eWViI","Items":["-SADNE-","-ENERGY-","","","GN_FrenchElectro"]},</v>
      </c>
      <c r="AA617" s="5" t="s">
        <v>6100</v>
      </c>
      <c r="AB617" s="3" t="str">
        <f t="shared" si="43"/>
        <v>["-SADNE-","-ENERGY-","","","GN_FrenchElectro"]</v>
      </c>
      <c r="AC617" s="3" t="str">
        <f>_xlfn.XLOOKUP(A617,Album!A:A,Album!J:J)</f>
        <v>https://i.scdn.co/image/ab67616d0000b273dd2407f614598ef1d6cfa50e</v>
      </c>
      <c r="AD617" s="3"/>
      <c r="AE617" s="3"/>
      <c r="AF617" s="3"/>
      <c r="AG617" s="3"/>
      <c r="AH617" s="3"/>
    </row>
    <row r="618" spans="1:34" x14ac:dyDescent="0.3">
      <c r="A618" s="11" t="s">
        <v>456</v>
      </c>
      <c r="B618" s="12" t="s">
        <v>457</v>
      </c>
      <c r="C618" s="12" t="s">
        <v>440</v>
      </c>
      <c r="D618" s="13" t="s">
        <v>18</v>
      </c>
      <c r="E618" s="6">
        <v>44855</v>
      </c>
      <c r="F618" s="3">
        <v>281019</v>
      </c>
      <c r="G618" s="3">
        <v>14</v>
      </c>
      <c r="H618" s="3" t="s">
        <v>5326</v>
      </c>
      <c r="I618" s="3" t="s">
        <v>102</v>
      </c>
      <c r="J618" s="3" t="s">
        <v>103</v>
      </c>
      <c r="K618" s="3" t="s">
        <v>87</v>
      </c>
      <c r="L618" s="3">
        <v>0.64300000000000002</v>
      </c>
      <c r="M618" s="3">
        <v>0.90600000000000003</v>
      </c>
      <c r="N618" s="3">
        <v>0</v>
      </c>
      <c r="O618" s="8">
        <v>-7277</v>
      </c>
      <c r="P618" s="3">
        <v>1</v>
      </c>
      <c r="Q618" s="3">
        <v>0.13100000000000001</v>
      </c>
      <c r="R618" s="3">
        <v>5.11E-2</v>
      </c>
      <c r="S618" s="3">
        <v>0.40100000000000002</v>
      </c>
      <c r="T618" s="3">
        <v>0.35799999999999998</v>
      </c>
      <c r="U618" s="3">
        <v>0.372</v>
      </c>
      <c r="V618" s="8">
        <v>119957</v>
      </c>
      <c r="W618" s="3">
        <v>4</v>
      </c>
      <c r="X618" s="3" t="str">
        <f t="shared" si="40"/>
        <v>-HAPPY-</v>
      </c>
      <c r="Y618" s="3" t="str">
        <f t="shared" si="41"/>
        <v>-ENERGY-</v>
      </c>
      <c r="Z618" s="4" t="str">
        <f t="shared" si="42"/>
        <v>{"couname":"BRUTALISM","img":"https://i.scdn.co/image/ab67616d0000b273dd2407f614598ef1d6cfa50e","pty":"14","artist":"Jean-Michel Jarre","genres":"new age,electrónica,space music","duration":"281019","spotId":"2JySZ9ICCsLcdwAuNUGs0V","Items":["-HAPPY-","-ENERGY-","","","GN_FrenchElectro"]},</v>
      </c>
      <c r="AA618" s="5" t="s">
        <v>6100</v>
      </c>
      <c r="AB618" s="3" t="str">
        <f t="shared" si="43"/>
        <v>["-HAPPY-","-ENERGY-","","","GN_FrenchElectro"]</v>
      </c>
      <c r="AC618" s="3" t="str">
        <f>_xlfn.XLOOKUP(A618,Album!A:A,Album!J:J)</f>
        <v>https://i.scdn.co/image/ab67616d0000b273dd2407f614598ef1d6cfa50e</v>
      </c>
      <c r="AD618" s="3"/>
      <c r="AE618" s="3"/>
      <c r="AF618" s="3"/>
      <c r="AG618" s="3"/>
      <c r="AH618" s="3"/>
    </row>
    <row r="619" spans="1:34" x14ac:dyDescent="0.3">
      <c r="A619" s="11" t="s">
        <v>615</v>
      </c>
      <c r="B619" s="12" t="s">
        <v>5324</v>
      </c>
      <c r="C619" s="12" t="s">
        <v>617</v>
      </c>
      <c r="D619" s="13" t="s">
        <v>2791</v>
      </c>
      <c r="E619" s="6">
        <v>45128</v>
      </c>
      <c r="F619" s="3">
        <v>377330</v>
      </c>
      <c r="G619" s="3">
        <v>14</v>
      </c>
      <c r="H619" s="3" t="s">
        <v>5325</v>
      </c>
      <c r="I619" s="3" t="s">
        <v>462</v>
      </c>
      <c r="J619" s="3" t="s">
        <v>618</v>
      </c>
      <c r="K619" s="3" t="s">
        <v>469</v>
      </c>
      <c r="L619" s="3">
        <v>0.69299999999999995</v>
      </c>
      <c r="M619" s="3">
        <v>0.96599999999999997</v>
      </c>
      <c r="N619" s="3">
        <v>6</v>
      </c>
      <c r="O619" s="8">
        <v>-5919</v>
      </c>
      <c r="P619" s="3">
        <v>0</v>
      </c>
      <c r="Q619" s="3">
        <v>7.0400000000000004E-2</v>
      </c>
      <c r="R619" s="3">
        <v>2.82E-3</v>
      </c>
      <c r="S619" s="3">
        <v>0.14799999999999999</v>
      </c>
      <c r="T619" s="3">
        <v>0.16200000000000001</v>
      </c>
      <c r="U619" s="3">
        <v>0.221</v>
      </c>
      <c r="V619" s="8">
        <v>124997</v>
      </c>
      <c r="W619" s="3">
        <v>4</v>
      </c>
      <c r="X619" s="3" t="str">
        <f t="shared" si="40"/>
        <v>-SADNE-</v>
      </c>
      <c r="Y619" s="3" t="str">
        <f t="shared" si="41"/>
        <v>-ENERGY-</v>
      </c>
      <c r="Z619" s="4" t="str">
        <f t="shared" si="42"/>
        <v>{"couname":"Capoeira Mata Um","img":"https://i.scdn.co/image/ab67616d0000b273a2d05ee1382183fa3d391b8c","pty":"14","artist":"Bob Sinclar, Tom Staar","genres":"house francés,disco house,tribal house,house latino","duration":"377330","spotId":"0KRhwcMAkFXglWz58wPBrn","Items":["-SADNE-","-ENERGY-","","","GN_FrenchElectro"]},</v>
      </c>
      <c r="AA619" s="5" t="s">
        <v>6100</v>
      </c>
      <c r="AB619" s="3" t="str">
        <f t="shared" si="43"/>
        <v>["-SADNE-","-ENERGY-","","","GN_FrenchElectro"]</v>
      </c>
      <c r="AC619" s="3" t="str">
        <f>_xlfn.XLOOKUP(A619,Album!A:A,Album!J:J)</f>
        <v>https://i.scdn.co/image/ab67616d0000b273a2d05ee1382183fa3d391b8c</v>
      </c>
      <c r="AD619" s="3"/>
      <c r="AE619" s="3"/>
      <c r="AF619" s="3"/>
      <c r="AG619" s="3"/>
      <c r="AH619" s="3"/>
    </row>
    <row r="620" spans="1:34" x14ac:dyDescent="0.3">
      <c r="A620" s="11" t="s">
        <v>1309</v>
      </c>
      <c r="B620" s="12" t="s">
        <v>5322</v>
      </c>
      <c r="C620" s="12" t="s">
        <v>1225</v>
      </c>
      <c r="D620" s="13" t="s">
        <v>3726</v>
      </c>
      <c r="E620" s="6">
        <v>42087</v>
      </c>
      <c r="F620" s="3">
        <v>225786</v>
      </c>
      <c r="G620" s="3">
        <v>14</v>
      </c>
      <c r="H620" s="3" t="s">
        <v>5323</v>
      </c>
      <c r="I620" s="3" t="s">
        <v>1207</v>
      </c>
      <c r="J620" s="3" t="s">
        <v>1226</v>
      </c>
      <c r="K620" s="3" t="s">
        <v>84</v>
      </c>
      <c r="L620" s="3">
        <v>0.54300000000000004</v>
      </c>
      <c r="M620" s="3">
        <v>0.78100000000000003</v>
      </c>
      <c r="N620" s="3">
        <v>7</v>
      </c>
      <c r="O620" s="8">
        <v>-3923</v>
      </c>
      <c r="P620" s="3">
        <v>0</v>
      </c>
      <c r="Q620" s="3">
        <v>0.14399999999999999</v>
      </c>
      <c r="R620" s="3">
        <v>3.1099999999999999E-2</v>
      </c>
      <c r="S620" s="3">
        <v>0</v>
      </c>
      <c r="T620" s="3">
        <v>0.30599999999999999</v>
      </c>
      <c r="U620" s="3">
        <v>0.69499999999999995</v>
      </c>
      <c r="V620" s="8">
        <v>87009</v>
      </c>
      <c r="W620" s="3">
        <v>4</v>
      </c>
      <c r="X620" s="3" t="str">
        <f t="shared" si="40"/>
        <v>-HAPPY-</v>
      </c>
      <c r="Y620" s="3" t="str">
        <f t="shared" si="41"/>
        <v>-ENERGY-</v>
      </c>
      <c r="Z620" s="4" t="str">
        <f t="shared" si="42"/>
        <v>{"couname":"Nonsense","img":"https://i.scdn.co/image/ab67616d0000b2730c3604300e9f79e46e13fd39","pty":"14","artist":"Madeon, Mark Foster","genres":"edm,house francés,coral","duration":"225786","spotId":"6YnvgEoOgfE59tByZM6src","Items":["-HAPPY-","-ENERGY-","","","GN_FrenchElectro"]},</v>
      </c>
      <c r="AA620" s="5" t="s">
        <v>6100</v>
      </c>
      <c r="AB620" s="3" t="str">
        <f t="shared" si="43"/>
        <v>["-HAPPY-","-ENERGY-","","","GN_FrenchElectro"]</v>
      </c>
      <c r="AC620" s="3" t="str">
        <f>_xlfn.XLOOKUP(A620,Album!A:A,Album!J:J)</f>
        <v>https://i.scdn.co/image/ab67616d0000b2730c3604300e9f79e46e13fd39</v>
      </c>
      <c r="AD620" s="3"/>
      <c r="AE620" s="3"/>
      <c r="AF620" s="3"/>
      <c r="AG620" s="3"/>
      <c r="AH620" s="3"/>
    </row>
    <row r="621" spans="1:34" x14ac:dyDescent="0.3">
      <c r="A621" s="11" t="s">
        <v>2095</v>
      </c>
      <c r="B621" s="12" t="s">
        <v>2096</v>
      </c>
      <c r="C621" s="12" t="s">
        <v>2096</v>
      </c>
      <c r="D621" s="13" t="s">
        <v>1993</v>
      </c>
      <c r="E621" s="6">
        <v>41310</v>
      </c>
      <c r="F621" s="3">
        <v>234993</v>
      </c>
      <c r="G621" s="3">
        <v>14</v>
      </c>
      <c r="H621" s="3" t="s">
        <v>5321</v>
      </c>
      <c r="I621" s="3" t="s">
        <v>1983</v>
      </c>
      <c r="J621" s="3" t="s">
        <v>1994</v>
      </c>
      <c r="K621" s="3" t="s">
        <v>2002</v>
      </c>
      <c r="L621" s="3">
        <v>0.66700000000000004</v>
      </c>
      <c r="M621" s="3">
        <v>0.90100000000000002</v>
      </c>
      <c r="N621" s="3">
        <v>9</v>
      </c>
      <c r="O621" s="8">
        <v>-3719</v>
      </c>
      <c r="P621" s="3">
        <v>0</v>
      </c>
      <c r="Q621" s="3">
        <v>2.75E-2</v>
      </c>
      <c r="R621" s="3">
        <v>0.35599999999999998</v>
      </c>
      <c r="S621" s="3">
        <v>3.9300000000000003E-3</v>
      </c>
      <c r="T621" s="3">
        <v>7.7399999999999997E-2</v>
      </c>
      <c r="U621" s="3">
        <v>0.84199999999999997</v>
      </c>
      <c r="V621" s="8">
        <v>140026</v>
      </c>
      <c r="W621" s="3">
        <v>4</v>
      </c>
      <c r="X621" s="3" t="str">
        <f t="shared" si="40"/>
        <v>-HAPPY-</v>
      </c>
      <c r="Y621" s="3" t="str">
        <f t="shared" si="41"/>
        <v>-ENERGY-</v>
      </c>
      <c r="Z621" s="4" t="str">
        <f t="shared" si="42"/>
        <v>{"couname":"L'amour parfait","img":"https://i.scdn.co/image/ab67616d0000b2734a4376e56045ca8c1c9978d6","pty":"14","artist":"Yelle","genres":"pop francés,house francés,electroclash,electropop","duration":"234993","spotId":"4haR6dW3UdBjhidpeYL62h","Items":["-HAPPY-","-ENERGY-","","","GN_FrenchElectro"]},</v>
      </c>
      <c r="AA621" s="5" t="s">
        <v>6100</v>
      </c>
      <c r="AB621" s="3" t="str">
        <f t="shared" si="43"/>
        <v>["-HAPPY-","-ENERGY-","","","GN_FrenchElectro"]</v>
      </c>
      <c r="AC621" s="3" t="str">
        <f>_xlfn.XLOOKUP(A621,Album!A:A,Album!J:J)</f>
        <v>https://i.scdn.co/image/ab67616d0000b2734a4376e56045ca8c1c9978d6</v>
      </c>
      <c r="AD621" s="3"/>
      <c r="AE621" s="3"/>
      <c r="AF621" s="3"/>
      <c r="AG621" s="3"/>
      <c r="AH621" s="3"/>
    </row>
    <row r="622" spans="1:34" x14ac:dyDescent="0.3">
      <c r="A622" s="11" t="s">
        <v>338</v>
      </c>
      <c r="B622" s="12" t="s">
        <v>339</v>
      </c>
      <c r="C622" s="12" t="s">
        <v>331</v>
      </c>
      <c r="D622" s="13" t="s">
        <v>18</v>
      </c>
      <c r="E622" s="6">
        <v>42706</v>
      </c>
      <c r="F622" s="3">
        <v>168773</v>
      </c>
      <c r="G622" s="3">
        <v>13</v>
      </c>
      <c r="H622" s="3" t="s">
        <v>5320</v>
      </c>
      <c r="I622" s="3" t="s">
        <v>102</v>
      </c>
      <c r="J622" s="3" t="s">
        <v>103</v>
      </c>
      <c r="K622" s="3" t="s">
        <v>104</v>
      </c>
      <c r="L622" s="3">
        <v>0.307</v>
      </c>
      <c r="M622" s="3">
        <v>0.126</v>
      </c>
      <c r="N622" s="3">
        <v>3</v>
      </c>
      <c r="O622" s="8">
        <v>-19971</v>
      </c>
      <c r="P622" s="3">
        <v>1</v>
      </c>
      <c r="Q622" s="3">
        <v>4.02E-2</v>
      </c>
      <c r="R622" s="3">
        <v>0.98</v>
      </c>
      <c r="S622" s="3">
        <v>0.92500000000000004</v>
      </c>
      <c r="T622" s="3">
        <v>0.152</v>
      </c>
      <c r="U622" s="3">
        <v>0.14899999999999999</v>
      </c>
      <c r="V622" s="8">
        <v>66035</v>
      </c>
      <c r="W622" s="3">
        <v>4</v>
      </c>
      <c r="X622" s="3" t="str">
        <f t="shared" si="40"/>
        <v>-SADNE-</v>
      </c>
      <c r="Y622" s="3" t="str">
        <f t="shared" si="41"/>
        <v>-SLOWSS-</v>
      </c>
      <c r="Z622" s="4" t="str">
        <f t="shared" si="42"/>
        <v>{"couname":"Oxygene, Pt. 18","img":"https://i.scdn.co/image/ab67616d0000b2732a85d17ba6acdb1c7ca734cc","pty":"13","artist":"Jean-Michel Jarre","genres":"new age,electrónica,space music","duration":"168773","spotId":"0KnjQfcgSpvZ7X5zgKbVdg","Items":["-SADNE-","-SLOWSS-","","","GN_FrenchElectro"]},</v>
      </c>
      <c r="AA622" s="5" t="s">
        <v>6100</v>
      </c>
      <c r="AB622" s="3" t="str">
        <f t="shared" si="43"/>
        <v>["-SADNE-","-SLOWSS-","","","GN_FrenchElectro"]</v>
      </c>
      <c r="AC622" s="3" t="str">
        <f>_xlfn.XLOOKUP(A622,Album!A:A,Album!J:J)</f>
        <v>https://i.scdn.co/image/ab67616d0000b2732a85d17ba6acdb1c7ca734cc</v>
      </c>
      <c r="AD622" s="3"/>
      <c r="AE622" s="3"/>
      <c r="AF622" s="3"/>
      <c r="AG622" s="3"/>
      <c r="AH622" s="3"/>
    </row>
    <row r="623" spans="1:34" x14ac:dyDescent="0.3">
      <c r="A623" s="11" t="s">
        <v>446</v>
      </c>
      <c r="B623" s="12" t="s">
        <v>447</v>
      </c>
      <c r="C623" s="12" t="s">
        <v>440</v>
      </c>
      <c r="D623" s="13" t="s">
        <v>18</v>
      </c>
      <c r="E623" s="6">
        <v>44855</v>
      </c>
      <c r="F623" s="3">
        <v>200481</v>
      </c>
      <c r="G623" s="3">
        <v>13</v>
      </c>
      <c r="H623" s="3" t="s">
        <v>5319</v>
      </c>
      <c r="I623" s="3" t="s">
        <v>102</v>
      </c>
      <c r="J623" s="3" t="s">
        <v>103</v>
      </c>
      <c r="K623" s="3" t="s">
        <v>87</v>
      </c>
      <c r="L623" s="3">
        <v>0.65200000000000002</v>
      </c>
      <c r="M623" s="3">
        <v>0.55500000000000005</v>
      </c>
      <c r="N623" s="3">
        <v>1</v>
      </c>
      <c r="O623" s="8">
        <v>-13945</v>
      </c>
      <c r="P623" s="3">
        <v>1</v>
      </c>
      <c r="Q623" s="3">
        <v>5.16E-2</v>
      </c>
      <c r="R623" s="3">
        <v>0.35699999999999998</v>
      </c>
      <c r="S623" s="3">
        <v>0.67300000000000004</v>
      </c>
      <c r="T623" s="3">
        <v>7.8E-2</v>
      </c>
      <c r="U623" s="3">
        <v>0.14799999999999999</v>
      </c>
      <c r="V623" s="8">
        <v>119932</v>
      </c>
      <c r="W623" s="3">
        <v>4</v>
      </c>
      <c r="X623" s="3" t="str">
        <f t="shared" si="40"/>
        <v>-SADNE-</v>
      </c>
      <c r="Y623" s="3" t="str">
        <f t="shared" si="41"/>
        <v>-ENERGY-</v>
      </c>
      <c r="Z623" s="4" t="str">
        <f t="shared" si="42"/>
        <v>{"couname":"SYNTHY SISTERS","img":"https://i.scdn.co/image/ab67616d0000b273dd2407f614598ef1d6cfa50e","pty":"13","artist":"Jean-Michel Jarre","genres":"new age,electrónica,space music","duration":"200481","spotId":"2Clb4qyaRzjQl9E9w8ysSg","Items":["-SADNE-","-ENERGY-","","","GN_FrenchElectro"]},</v>
      </c>
      <c r="AA623" s="5" t="s">
        <v>6100</v>
      </c>
      <c r="AB623" s="3" t="str">
        <f t="shared" si="43"/>
        <v>["-SADNE-","-ENERGY-","","","GN_FrenchElectro"]</v>
      </c>
      <c r="AC623" s="3" t="str">
        <f>_xlfn.XLOOKUP(A623,Album!A:A,Album!J:J)</f>
        <v>https://i.scdn.co/image/ab67616d0000b273dd2407f614598ef1d6cfa50e</v>
      </c>
      <c r="AD623" s="3"/>
      <c r="AE623" s="3"/>
      <c r="AF623" s="3"/>
      <c r="AG623" s="3"/>
      <c r="AH623" s="3"/>
    </row>
    <row r="624" spans="1:34" x14ac:dyDescent="0.3">
      <c r="A624" s="11" t="s">
        <v>450</v>
      </c>
      <c r="B624" s="12" t="s">
        <v>451</v>
      </c>
      <c r="C624" s="12" t="s">
        <v>440</v>
      </c>
      <c r="D624" s="13" t="s">
        <v>18</v>
      </c>
      <c r="E624" s="6">
        <v>44855</v>
      </c>
      <c r="F624" s="3">
        <v>345501</v>
      </c>
      <c r="G624" s="3">
        <v>13</v>
      </c>
      <c r="H624" s="3" t="s">
        <v>5318</v>
      </c>
      <c r="I624" s="3" t="s">
        <v>102</v>
      </c>
      <c r="J624" s="3" t="s">
        <v>103</v>
      </c>
      <c r="K624" s="3" t="s">
        <v>87</v>
      </c>
      <c r="L624" s="3">
        <v>0.65300000000000002</v>
      </c>
      <c r="M624" s="3">
        <v>0.77</v>
      </c>
      <c r="N624" s="3">
        <v>7</v>
      </c>
      <c r="O624" s="8">
        <v>-9893</v>
      </c>
      <c r="P624" s="3">
        <v>1</v>
      </c>
      <c r="Q624" s="3">
        <v>4.1500000000000002E-2</v>
      </c>
      <c r="R624" s="3">
        <v>6.8199999999999997E-2</v>
      </c>
      <c r="S624" s="3">
        <v>0.71699999999999997</v>
      </c>
      <c r="T624" s="3">
        <v>9.3600000000000003E-2</v>
      </c>
      <c r="U624" s="3">
        <v>0.29499999999999998</v>
      </c>
      <c r="V624" s="8">
        <v>121987</v>
      </c>
      <c r="W624" s="3">
        <v>4</v>
      </c>
      <c r="X624" s="3" t="str">
        <f t="shared" si="40"/>
        <v>-SADNE-</v>
      </c>
      <c r="Y624" s="3" t="str">
        <f t="shared" si="41"/>
        <v>-ENERGY-</v>
      </c>
      <c r="Z624" s="4" t="str">
        <f t="shared" si="42"/>
        <v>{"couname":"SEX IN THE MACHINE","img":"https://i.scdn.co/image/ab67616d0000b273dd2407f614598ef1d6cfa50e","pty":"13","artist":"Jean-Michel Jarre","genres":"new age,electrónica,space music","duration":"345501","spotId":"5fNlhGpZHqIESg8lIY5PuH","Items":["-SADNE-","-ENERGY-","","","GN_FrenchElectro"]},</v>
      </c>
      <c r="AA624" s="5" t="s">
        <v>6100</v>
      </c>
      <c r="AB624" s="3" t="str">
        <f t="shared" si="43"/>
        <v>["-SADNE-","-ENERGY-","","","GN_FrenchElectro"]</v>
      </c>
      <c r="AC624" s="3" t="str">
        <f>_xlfn.XLOOKUP(A624,Album!A:A,Album!J:J)</f>
        <v>https://i.scdn.co/image/ab67616d0000b273dd2407f614598ef1d6cfa50e</v>
      </c>
      <c r="AD624" s="3"/>
      <c r="AE624" s="3"/>
      <c r="AF624" s="3"/>
      <c r="AG624" s="3"/>
      <c r="AH624" s="3"/>
    </row>
    <row r="625" spans="1:34" x14ac:dyDescent="0.3">
      <c r="A625" s="11" t="s">
        <v>452</v>
      </c>
      <c r="B625" s="12" t="s">
        <v>453</v>
      </c>
      <c r="C625" s="12" t="s">
        <v>440</v>
      </c>
      <c r="D625" s="13" t="s">
        <v>18</v>
      </c>
      <c r="E625" s="6">
        <v>44855</v>
      </c>
      <c r="F625" s="3">
        <v>186754</v>
      </c>
      <c r="G625" s="3">
        <v>13</v>
      </c>
      <c r="H625" s="3" t="s">
        <v>5317</v>
      </c>
      <c r="I625" s="3" t="s">
        <v>102</v>
      </c>
      <c r="J625" s="3" t="s">
        <v>103</v>
      </c>
      <c r="K625" s="3" t="s">
        <v>87</v>
      </c>
      <c r="L625" s="3">
        <v>0.79800000000000004</v>
      </c>
      <c r="M625" s="3">
        <v>0.72299999999999998</v>
      </c>
      <c r="N625" s="3">
        <v>10</v>
      </c>
      <c r="O625" s="8">
        <v>-8998</v>
      </c>
      <c r="P625" s="3">
        <v>0</v>
      </c>
      <c r="Q625" s="3">
        <v>8.72E-2</v>
      </c>
      <c r="R625" s="3">
        <v>0.12</v>
      </c>
      <c r="S625" s="3">
        <v>6.8599999999999994E-2</v>
      </c>
      <c r="T625" s="3">
        <v>0.11700000000000001</v>
      </c>
      <c r="U625" s="3">
        <v>0.42699999999999999</v>
      </c>
      <c r="V625" s="8">
        <v>124053</v>
      </c>
      <c r="W625" s="3">
        <v>4</v>
      </c>
      <c r="X625" s="3" t="str">
        <f t="shared" si="40"/>
        <v>-HAPPY-</v>
      </c>
      <c r="Y625" s="3" t="str">
        <f t="shared" si="41"/>
        <v>-ENERGY-</v>
      </c>
      <c r="Z625" s="4" t="str">
        <f t="shared" si="42"/>
        <v>{"couname":"ZEITGEIST","img":"https://i.scdn.co/image/ab67616d0000b273dd2407f614598ef1d6cfa50e","pty":"13","artist":"Jean-Michel Jarre","genres":"new age,electrónica,space music","duration":"186754","spotId":"58btW4EZGiyNxXcbfPhk2d","Items":["-HAPPY-","-ENERGY-","","","GN_FrenchElectro"]},</v>
      </c>
      <c r="AA625" s="5" t="s">
        <v>6100</v>
      </c>
      <c r="AB625" s="3" t="str">
        <f t="shared" si="43"/>
        <v>["-HAPPY-","-ENERGY-","","","GN_FrenchElectro"]</v>
      </c>
      <c r="AC625" s="3" t="str">
        <f>_xlfn.XLOOKUP(A625,Album!A:A,Album!J:J)</f>
        <v>https://i.scdn.co/image/ab67616d0000b273dd2407f614598ef1d6cfa50e</v>
      </c>
      <c r="AD625" s="3"/>
      <c r="AE625" s="3"/>
      <c r="AF625" s="3"/>
      <c r="AG625" s="3"/>
      <c r="AH625" s="3"/>
    </row>
    <row r="626" spans="1:34" x14ac:dyDescent="0.3">
      <c r="A626" s="11" t="s">
        <v>458</v>
      </c>
      <c r="B626" s="12" t="s">
        <v>459</v>
      </c>
      <c r="C626" s="12" t="s">
        <v>440</v>
      </c>
      <c r="D626" s="13" t="s">
        <v>18</v>
      </c>
      <c r="E626" s="6">
        <v>44855</v>
      </c>
      <c r="F626" s="3">
        <v>325096</v>
      </c>
      <c r="G626" s="3">
        <v>13</v>
      </c>
      <c r="H626" s="3" t="s">
        <v>5316</v>
      </c>
      <c r="I626" s="3" t="s">
        <v>102</v>
      </c>
      <c r="J626" s="3" t="s">
        <v>103</v>
      </c>
      <c r="K626" s="3" t="s">
        <v>87</v>
      </c>
      <c r="L626" s="3">
        <v>0.55800000000000005</v>
      </c>
      <c r="M626" s="3">
        <v>0.878</v>
      </c>
      <c r="N626" s="3">
        <v>5</v>
      </c>
      <c r="O626" s="8">
        <v>-9074</v>
      </c>
      <c r="P626" s="3">
        <v>0</v>
      </c>
      <c r="Q626" s="3">
        <v>4.8800000000000003E-2</v>
      </c>
      <c r="R626" s="3">
        <v>2.53E-2</v>
      </c>
      <c r="S626" s="3">
        <v>0.47699999999999998</v>
      </c>
      <c r="T626" s="3">
        <v>0.104</v>
      </c>
      <c r="U626" s="3">
        <v>0.26300000000000001</v>
      </c>
      <c r="V626" s="8">
        <v>123.99</v>
      </c>
      <c r="W626" s="3">
        <v>4</v>
      </c>
      <c r="X626" s="3" t="str">
        <f t="shared" si="40"/>
        <v>-SADNE-</v>
      </c>
      <c r="Y626" s="3" t="str">
        <f t="shared" si="41"/>
        <v>-ENERGY-</v>
      </c>
      <c r="Z626" s="4" t="str">
        <f t="shared" si="42"/>
        <v>{"couname":"EPICA","img":"https://i.scdn.co/image/ab67616d0000b273dd2407f614598ef1d6cfa50e","pty":"13","artist":"Jean-Michel Jarre","genres":"new age,electrónica,space music","duration":"325096","spotId":"18vFSvsqDV07MeV0XlE60R","Items":["-SADNE-","-ENERGY-","","","GN_FrenchElectro"]},</v>
      </c>
      <c r="AA626" s="5" t="s">
        <v>6100</v>
      </c>
      <c r="AB626" s="3" t="str">
        <f t="shared" si="43"/>
        <v>["-SADNE-","-ENERGY-","","","GN_FrenchElectro"]</v>
      </c>
      <c r="AC626" s="3" t="str">
        <f>_xlfn.XLOOKUP(A626,Album!A:A,Album!J:J)</f>
        <v>https://i.scdn.co/image/ab67616d0000b273dd2407f614598ef1d6cfa50e</v>
      </c>
      <c r="AD626" s="3"/>
      <c r="AE626" s="3"/>
      <c r="AF626" s="3"/>
      <c r="AG626" s="3"/>
      <c r="AH626" s="3"/>
    </row>
    <row r="627" spans="1:34" x14ac:dyDescent="0.3">
      <c r="A627" s="11" t="s">
        <v>1284</v>
      </c>
      <c r="B627" s="12" t="s">
        <v>1236</v>
      </c>
      <c r="C627" s="12" t="s">
        <v>1236</v>
      </c>
      <c r="D627" s="13" t="s">
        <v>1206</v>
      </c>
      <c r="E627" s="6">
        <v>41148</v>
      </c>
      <c r="F627" s="3">
        <v>233533</v>
      </c>
      <c r="G627" s="3">
        <v>13</v>
      </c>
      <c r="H627" s="3" t="s">
        <v>5315</v>
      </c>
      <c r="I627" s="3" t="s">
        <v>1207</v>
      </c>
      <c r="J627" s="3" t="s">
        <v>1208</v>
      </c>
      <c r="K627" s="3" t="s">
        <v>1277</v>
      </c>
      <c r="L627" s="3">
        <v>0.51700000000000002</v>
      </c>
      <c r="M627" s="3">
        <v>0.82899999999999996</v>
      </c>
      <c r="N627" s="3">
        <v>7</v>
      </c>
      <c r="O627" s="8">
        <v>-2148</v>
      </c>
      <c r="P627" s="3">
        <v>0</v>
      </c>
      <c r="Q627" s="3">
        <v>4.65E-2</v>
      </c>
      <c r="R627" s="3">
        <v>1.8799999999999999E-3</v>
      </c>
      <c r="S627" s="3">
        <v>0</v>
      </c>
      <c r="T627" s="3">
        <v>0.77300000000000002</v>
      </c>
      <c r="U627" s="3">
        <v>0.30499999999999999</v>
      </c>
      <c r="V627" s="8">
        <v>124998</v>
      </c>
      <c r="W627" s="3">
        <v>4</v>
      </c>
      <c r="X627" s="3" t="str">
        <f t="shared" si="40"/>
        <v>-SADNE-</v>
      </c>
      <c r="Y627" s="3" t="str">
        <f t="shared" si="41"/>
        <v>-ENERGY-</v>
      </c>
      <c r="Z627" s="4" t="str">
        <f t="shared" si="42"/>
        <v>{"couname":"The City","img":"https://i.scdn.co/image/ab67616d0000b2733091e7ea81ae149656b92d6f","pty":"13","artist":"Madeon","genres":"edm,house francés","duration":"233533","spotId":"5EfAmLL4M5IBkumn3RdwPM","Items":["-SADNE-","-ENERGY-","","","GN_FrenchElectro"]},</v>
      </c>
      <c r="AA627" s="5" t="s">
        <v>6100</v>
      </c>
      <c r="AB627" s="3" t="str">
        <f t="shared" si="43"/>
        <v>["-SADNE-","-ENERGY-","","","GN_FrenchElectro"]</v>
      </c>
      <c r="AC627" s="3" t="str">
        <f>_xlfn.XLOOKUP(A627,Album!A:A,Album!J:J)</f>
        <v>https://i.scdn.co/image/ab67616d0000b2733091e7ea81ae149656b92d6f</v>
      </c>
      <c r="AD627" s="3"/>
      <c r="AE627" s="3"/>
      <c r="AF627" s="3"/>
      <c r="AG627" s="3"/>
      <c r="AH627" s="3"/>
    </row>
    <row r="628" spans="1:34" x14ac:dyDescent="0.3">
      <c r="A628" s="11" t="s">
        <v>1756</v>
      </c>
      <c r="B628" s="12" t="s">
        <v>1757</v>
      </c>
      <c r="C628" s="12" t="s">
        <v>1686</v>
      </c>
      <c r="D628" s="13" t="s">
        <v>1674</v>
      </c>
      <c r="E628" s="6">
        <v>2002</v>
      </c>
      <c r="F628" s="3">
        <v>459213</v>
      </c>
      <c r="G628" s="3">
        <v>13</v>
      </c>
      <c r="H628" s="3" t="s">
        <v>5314</v>
      </c>
      <c r="I628" s="3" t="s">
        <v>1675</v>
      </c>
      <c r="J628" s="3" t="s">
        <v>463</v>
      </c>
      <c r="K628" s="3" t="s">
        <v>1680</v>
      </c>
      <c r="L628" s="3">
        <v>0.71699999999999997</v>
      </c>
      <c r="M628" s="3">
        <v>0.57099999999999995</v>
      </c>
      <c r="N628" s="3">
        <v>6</v>
      </c>
      <c r="O628" s="8">
        <v>-9542</v>
      </c>
      <c r="P628" s="3">
        <v>1</v>
      </c>
      <c r="Q628" s="3">
        <v>5.7700000000000001E-2</v>
      </c>
      <c r="R628" s="3">
        <v>2.01E-2</v>
      </c>
      <c r="S628" s="3">
        <v>0.88</v>
      </c>
      <c r="T628" s="3">
        <v>5.2299999999999999E-2</v>
      </c>
      <c r="U628" s="3">
        <v>0.54600000000000004</v>
      </c>
      <c r="V628" s="8">
        <v>100844</v>
      </c>
      <c r="W628" s="3">
        <v>4</v>
      </c>
      <c r="X628" s="3" t="str">
        <f t="shared" si="40"/>
        <v>-HAPPY-</v>
      </c>
      <c r="Y628" s="3" t="str">
        <f t="shared" si="41"/>
        <v>-ENERGY-</v>
      </c>
      <c r="Z628" s="4" t="str">
        <f t="shared" si="42"/>
        <v>{"couname":"Au Rêve","img":"https://i.scdn.co/image/ab67616d0000b273b60e218ff8bb7122b2873eae","pty":"13","artist":"Cassius","genres":"house francés,disco house","duration":"459213","spotId":"0WNcBgiah3a1pBQyH3BWYQ","Items":["-HAPPY-","-ENERGY-","","","GN_FrenchElectro"]},</v>
      </c>
      <c r="AA628" s="5" t="s">
        <v>6100</v>
      </c>
      <c r="AB628" s="3" t="str">
        <f t="shared" si="43"/>
        <v>["-HAPPY-","-ENERGY-","","","GN_FrenchElectro"]</v>
      </c>
      <c r="AC628" s="3" t="str">
        <f>_xlfn.XLOOKUP(A628,Album!A:A,Album!J:J)</f>
        <v>https://i.scdn.co/image/ab67616d0000b273b60e218ff8bb7122b2873eae</v>
      </c>
      <c r="AD628" s="3"/>
      <c r="AE628" s="3"/>
      <c r="AF628" s="3"/>
      <c r="AG628" s="3"/>
      <c r="AH628" s="3"/>
    </row>
    <row r="629" spans="1:34" x14ac:dyDescent="0.3">
      <c r="A629" s="11" t="s">
        <v>1767</v>
      </c>
      <c r="B629" s="12" t="s">
        <v>1768</v>
      </c>
      <c r="C629" s="12" t="s">
        <v>1679</v>
      </c>
      <c r="D629" s="13" t="s">
        <v>1674</v>
      </c>
      <c r="E629" s="6">
        <v>2006</v>
      </c>
      <c r="F629" s="3">
        <v>569693</v>
      </c>
      <c r="G629" s="3">
        <v>13</v>
      </c>
      <c r="H629" s="3" t="s">
        <v>5313</v>
      </c>
      <c r="I629" s="3" t="s">
        <v>1675</v>
      </c>
      <c r="J629" s="3" t="s">
        <v>463</v>
      </c>
      <c r="K629" s="3" t="s">
        <v>1680</v>
      </c>
      <c r="L629" s="3">
        <v>0.75800000000000001</v>
      </c>
      <c r="M629" s="3">
        <v>0.89200000000000002</v>
      </c>
      <c r="N629" s="3">
        <v>1</v>
      </c>
      <c r="O629" s="8">
        <v>-8135</v>
      </c>
      <c r="P629" s="3">
        <v>1</v>
      </c>
      <c r="Q629" s="3">
        <v>5.9700000000000003E-2</v>
      </c>
      <c r="R629" s="3">
        <v>3.3799999999999997E-2</v>
      </c>
      <c r="S629" s="3">
        <v>0.83399999999999996</v>
      </c>
      <c r="T629" s="3">
        <v>8.1000000000000003E-2</v>
      </c>
      <c r="U629" s="3">
        <v>0.57399999999999995</v>
      </c>
      <c r="V629" s="8">
        <v>129994</v>
      </c>
      <c r="W629" s="3">
        <v>4</v>
      </c>
      <c r="X629" s="3" t="str">
        <f t="shared" si="40"/>
        <v>-HAPPY-</v>
      </c>
      <c r="Y629" s="3" t="str">
        <f t="shared" si="41"/>
        <v>-ENERGY-</v>
      </c>
      <c r="Z629" s="4" t="str">
        <f t="shared" si="42"/>
        <v>{"couname":"Jackrock","img":"https://i.scdn.co/image/ab67616d0000b27324ee286d8ebcaf83d4b899ab","pty":"13","artist":"Cassius","genres":"house francés,disco house","duration":"569693","spotId":"4mPlhnvLhHAOb00PNybMep","Items":["-HAPPY-","-ENERGY-","","","GN_FrenchElectro"]},</v>
      </c>
      <c r="AA629" s="5" t="s">
        <v>6100</v>
      </c>
      <c r="AB629" s="3" t="str">
        <f t="shared" si="43"/>
        <v>["-HAPPY-","-ENERGY-","","","GN_FrenchElectro"]</v>
      </c>
      <c r="AC629" s="3" t="str">
        <f>_xlfn.XLOOKUP(A629,Album!A:A,Album!J:J)</f>
        <v>https://i.scdn.co/image/ab67616d0000b27324ee286d8ebcaf83d4b899ab</v>
      </c>
      <c r="AD629" s="3"/>
      <c r="AE629" s="3"/>
      <c r="AF629" s="3"/>
      <c r="AG629" s="3"/>
      <c r="AH629" s="3"/>
    </row>
    <row r="630" spans="1:34" x14ac:dyDescent="0.3">
      <c r="A630" s="11" t="s">
        <v>454</v>
      </c>
      <c r="B630" s="12" t="s">
        <v>455</v>
      </c>
      <c r="C630" s="12" t="s">
        <v>440</v>
      </c>
      <c r="D630" s="13" t="s">
        <v>18</v>
      </c>
      <c r="E630" s="6">
        <v>44855</v>
      </c>
      <c r="F630" s="3">
        <v>249014</v>
      </c>
      <c r="G630" s="3">
        <v>12</v>
      </c>
      <c r="H630" s="3" t="s">
        <v>5312</v>
      </c>
      <c r="I630" s="3" t="s">
        <v>102</v>
      </c>
      <c r="J630" s="3" t="s">
        <v>103</v>
      </c>
      <c r="K630" s="3" t="s">
        <v>87</v>
      </c>
      <c r="L630" s="3">
        <v>0.31</v>
      </c>
      <c r="M630" s="3">
        <v>0.57099999999999995</v>
      </c>
      <c r="N630" s="3">
        <v>0</v>
      </c>
      <c r="O630" s="8">
        <v>-11145</v>
      </c>
      <c r="P630" s="3">
        <v>1</v>
      </c>
      <c r="Q630" s="3">
        <v>4.8800000000000003E-2</v>
      </c>
      <c r="R630" s="3">
        <v>0.52700000000000002</v>
      </c>
      <c r="S630" s="3">
        <v>0.93700000000000006</v>
      </c>
      <c r="T630" s="3">
        <v>0.627</v>
      </c>
      <c r="U630" s="3">
        <v>0.13</v>
      </c>
      <c r="V630" s="8">
        <v>123999</v>
      </c>
      <c r="W630" s="3">
        <v>4</v>
      </c>
      <c r="X630" s="3" t="str">
        <f t="shared" si="40"/>
        <v>-SADNE-</v>
      </c>
      <c r="Y630" s="3" t="str">
        <f t="shared" si="41"/>
        <v>-ENERGY-</v>
      </c>
      <c r="Z630" s="4" t="str">
        <f t="shared" si="42"/>
        <v>{"couname":"CRYSTAL GARDEN","img":"https://i.scdn.co/image/ab67616d0000b273dd2407f614598ef1d6cfa50e","pty":"12","artist":"Jean-Michel Jarre","genres":"new age,electrónica,space music","duration":"249014","spotId":"28pMCoPPwJZoGrfHDW9FJH","Items":["-SADNE-","-ENERGY-","","","GN_FrenchElectro"]},</v>
      </c>
      <c r="AA630" s="5" t="s">
        <v>6100</v>
      </c>
      <c r="AB630" s="3" t="str">
        <f t="shared" si="43"/>
        <v>["-SADNE-","-ENERGY-","","","GN_FrenchElectro"]</v>
      </c>
      <c r="AC630" s="3" t="str">
        <f>_xlfn.XLOOKUP(A630,Album!A:A,Album!J:J)</f>
        <v>https://i.scdn.co/image/ab67616d0000b273dd2407f614598ef1d6cfa50e</v>
      </c>
      <c r="AD630" s="3"/>
      <c r="AE630" s="3"/>
      <c r="AF630" s="3"/>
      <c r="AG630" s="3"/>
      <c r="AH630" s="3"/>
    </row>
    <row r="631" spans="1:34" x14ac:dyDescent="0.3">
      <c r="A631" s="11" t="s">
        <v>532</v>
      </c>
      <c r="B631" s="12" t="s">
        <v>534</v>
      </c>
      <c r="C631" s="12" t="s">
        <v>534</v>
      </c>
      <c r="D631" s="13" t="s">
        <v>501</v>
      </c>
      <c r="E631" s="6">
        <v>2002</v>
      </c>
      <c r="F631" s="3">
        <v>176746</v>
      </c>
      <c r="G631" s="3">
        <v>12</v>
      </c>
      <c r="H631" s="3" t="s">
        <v>5311</v>
      </c>
      <c r="I631" s="3" t="s">
        <v>462</v>
      </c>
      <c r="J631" s="3" t="s">
        <v>463</v>
      </c>
      <c r="K631" s="3" t="s">
        <v>469</v>
      </c>
      <c r="L631" s="3">
        <v>0.753</v>
      </c>
      <c r="M631" s="3">
        <v>0.71599999999999997</v>
      </c>
      <c r="N631" s="3">
        <v>0</v>
      </c>
      <c r="O631" s="8">
        <v>-4842</v>
      </c>
      <c r="P631" s="3">
        <v>1</v>
      </c>
      <c r="Q631" s="3">
        <v>6.8000000000000005E-2</v>
      </c>
      <c r="R631" s="3">
        <v>2.3600000000000001E-3</v>
      </c>
      <c r="S631" s="3">
        <v>0</v>
      </c>
      <c r="T631" s="3">
        <v>0.127</v>
      </c>
      <c r="U631" s="3">
        <v>0.70299999999999996</v>
      </c>
      <c r="V631" s="8">
        <v>127946</v>
      </c>
      <c r="W631" s="3">
        <v>4</v>
      </c>
      <c r="X631" s="3" t="str">
        <f t="shared" si="40"/>
        <v>-HAPPY-</v>
      </c>
      <c r="Y631" s="3" t="str">
        <f t="shared" si="41"/>
        <v>-ENERGY-</v>
      </c>
      <c r="Z631" s="4" t="str">
        <f t="shared" si="42"/>
        <v>{"couname":"The Beat Goes On","img":"https://i.scdn.co/image/ab67616d0000b2736d035eb1e2830b0b3e47d761","pty":"12","artist":"Bob Sinclar","genres":"house francés,disco house","duration":"176746","spotId":"1ImL7WO6LCqlYsF9D4k9NR","Items":["-HAPPY-","-ENERGY-","","","GN_FrenchElectro"]},</v>
      </c>
      <c r="AA631" s="5" t="s">
        <v>6100</v>
      </c>
      <c r="AB631" s="3" t="str">
        <f t="shared" si="43"/>
        <v>["-HAPPY-","-ENERGY-","","","GN_FrenchElectro"]</v>
      </c>
      <c r="AC631" s="3" t="str">
        <f>_xlfn.XLOOKUP(A631,Album!A:A,Album!J:J)</f>
        <v>https://i.scdn.co/image/ab67616d0000b2736d035eb1e2830b0b3e47d761</v>
      </c>
      <c r="AD631" s="3"/>
      <c r="AE631" s="3"/>
      <c r="AF631" s="3"/>
      <c r="AG631" s="3"/>
      <c r="AH631" s="3"/>
    </row>
    <row r="632" spans="1:34" x14ac:dyDescent="0.3">
      <c r="A632" s="11" t="s">
        <v>1290</v>
      </c>
      <c r="B632" s="12" t="s">
        <v>1232</v>
      </c>
      <c r="C632" s="12" t="s">
        <v>1236</v>
      </c>
      <c r="D632" s="13" t="s">
        <v>1206</v>
      </c>
      <c r="E632" s="6">
        <v>41190</v>
      </c>
      <c r="F632" s="3">
        <v>309253</v>
      </c>
      <c r="G632" s="3">
        <v>12</v>
      </c>
      <c r="H632" s="3" t="s">
        <v>5310</v>
      </c>
      <c r="I632" s="3" t="s">
        <v>1207</v>
      </c>
      <c r="J632" s="3" t="s">
        <v>1208</v>
      </c>
      <c r="K632" s="3" t="s">
        <v>1277</v>
      </c>
      <c r="L632" s="3">
        <v>0.59699999999999998</v>
      </c>
      <c r="M632" s="3">
        <v>0.80200000000000005</v>
      </c>
      <c r="N632" s="3">
        <v>1</v>
      </c>
      <c r="O632" s="8">
        <v>-1434</v>
      </c>
      <c r="P632" s="3">
        <v>0</v>
      </c>
      <c r="Q632" s="3">
        <v>6.6199999999999995E-2</v>
      </c>
      <c r="R632" s="3">
        <v>3.1199999999999999E-4</v>
      </c>
      <c r="S632" s="3">
        <v>0.66800000000000004</v>
      </c>
      <c r="T632" s="3">
        <v>5.3400000000000003E-2</v>
      </c>
      <c r="U632" s="3">
        <v>0.27700000000000002</v>
      </c>
      <c r="V632" s="8">
        <v>126052</v>
      </c>
      <c r="W632" s="3">
        <v>4</v>
      </c>
      <c r="X632" s="3" t="str">
        <f t="shared" si="40"/>
        <v>-SADNE-</v>
      </c>
      <c r="Y632" s="3" t="str">
        <f t="shared" si="41"/>
        <v>-ENERGY-</v>
      </c>
      <c r="Z632" s="4" t="str">
        <f t="shared" si="42"/>
        <v>{"couname":"Icarus","img":"https://i.scdn.co/image/ab67616d0000b27398528dc300fb2066ca913ebd","pty":"12","artist":"Madeon","genres":"edm,house francés","duration":"309253","spotId":"3O1jfpFsvDLhSQGGvqhOs0","Items":["-SADNE-","-ENERGY-","","","GN_FrenchElectro"]},</v>
      </c>
      <c r="AA632" s="5" t="s">
        <v>6100</v>
      </c>
      <c r="AB632" s="3" t="str">
        <f t="shared" si="43"/>
        <v>["-SADNE-","-ENERGY-","","","GN_FrenchElectro"]</v>
      </c>
      <c r="AC632" s="3" t="str">
        <f>_xlfn.XLOOKUP(A632,Album!A:A,Album!J:J)</f>
        <v>https://i.scdn.co/image/ab67616d0000b27398528dc300fb2066ca913ebd</v>
      </c>
      <c r="AD632" s="3"/>
      <c r="AE632" s="3"/>
      <c r="AF632" s="3"/>
      <c r="AG632" s="3"/>
      <c r="AH632" s="3"/>
    </row>
    <row r="633" spans="1:34" x14ac:dyDescent="0.3">
      <c r="A633" s="11" t="s">
        <v>1313</v>
      </c>
      <c r="B633" s="12" t="s">
        <v>5308</v>
      </c>
      <c r="C633" s="12" t="s">
        <v>1312</v>
      </c>
      <c r="D633" s="13" t="s">
        <v>3858</v>
      </c>
      <c r="E633" s="6">
        <v>42244</v>
      </c>
      <c r="F633" s="3">
        <v>243933</v>
      </c>
      <c r="G633" s="3">
        <v>12</v>
      </c>
      <c r="H633" s="3" t="s">
        <v>5309</v>
      </c>
      <c r="I633" s="3" t="s">
        <v>1207</v>
      </c>
      <c r="J633" s="3" t="s">
        <v>1315</v>
      </c>
      <c r="K633" s="3" t="s">
        <v>84</v>
      </c>
      <c r="L633" s="3">
        <v>0.60299999999999998</v>
      </c>
      <c r="M633" s="3">
        <v>0.88400000000000001</v>
      </c>
      <c r="N633" s="3">
        <v>1</v>
      </c>
      <c r="O633" s="8">
        <v>-2725</v>
      </c>
      <c r="P633" s="3">
        <v>1</v>
      </c>
      <c r="Q633" s="3">
        <v>7.9000000000000001E-2</v>
      </c>
      <c r="R633" s="3">
        <v>2.9100000000000001E-2</v>
      </c>
      <c r="S633" s="3">
        <v>3.7799999999999999E-3</v>
      </c>
      <c r="T633" s="3">
        <v>8.7599999999999997E-2</v>
      </c>
      <c r="U633" s="3">
        <v>0.80300000000000005</v>
      </c>
      <c r="V633" s="8">
        <v>128049</v>
      </c>
      <c r="W633" s="3">
        <v>4</v>
      </c>
      <c r="X633" s="3" t="str">
        <f t="shared" si="40"/>
        <v>-HAPPY-</v>
      </c>
      <c r="Y633" s="3" t="str">
        <f t="shared" si="41"/>
        <v>-ENERGY-</v>
      </c>
      <c r="Z633" s="4" t="str">
        <f t="shared" si="42"/>
        <v>{"couname":"Pay No Mind","img":"https://i.scdn.co/image/ab67616d0000b273181be4c9ff596666b8266273","pty":"12","artist":"Madeon, Passion Pit, Yasutaka Nakata","genres":"edm,house francés,indietronica,indie,j-pop","duration":"243933","spotId":"6jjvHp4skHKCEvhFvQfbd7","Items":["-HAPPY-","-ENERGY-","","","GN_FrenchElectro"]},</v>
      </c>
      <c r="AA633" s="5" t="s">
        <v>6100</v>
      </c>
      <c r="AB633" s="3" t="str">
        <f t="shared" si="43"/>
        <v>["-HAPPY-","-ENERGY-","","","GN_FrenchElectro"]</v>
      </c>
      <c r="AC633" s="3" t="str">
        <f>_xlfn.XLOOKUP(A633,Album!A:A,Album!J:J)</f>
        <v>https://i.scdn.co/image/ab67616d0000b273181be4c9ff596666b8266273</v>
      </c>
      <c r="AD633" s="3"/>
      <c r="AE633" s="3"/>
      <c r="AF633" s="3"/>
      <c r="AG633" s="3"/>
      <c r="AH633" s="3"/>
    </row>
    <row r="634" spans="1:34" x14ac:dyDescent="0.3">
      <c r="A634" s="11" t="s">
        <v>269</v>
      </c>
      <c r="B634" s="12" t="s">
        <v>270</v>
      </c>
      <c r="C634" s="12" t="s">
        <v>236</v>
      </c>
      <c r="D634" s="13" t="s">
        <v>2293</v>
      </c>
      <c r="E634" s="6">
        <v>42293</v>
      </c>
      <c r="F634" s="3">
        <v>245520</v>
      </c>
      <c r="G634" s="3">
        <v>11</v>
      </c>
      <c r="H634" s="3" t="s">
        <v>5307</v>
      </c>
      <c r="I634" s="3" t="s">
        <v>102</v>
      </c>
      <c r="J634" s="3" t="s">
        <v>103</v>
      </c>
      <c r="K634" s="3" t="s">
        <v>84</v>
      </c>
      <c r="L634" s="3">
        <v>0.61399999999999999</v>
      </c>
      <c r="M634" s="3">
        <v>0.75</v>
      </c>
      <c r="N634" s="3">
        <v>8</v>
      </c>
      <c r="O634" s="8">
        <v>-8999</v>
      </c>
      <c r="P634" s="3">
        <v>1</v>
      </c>
      <c r="Q634" s="3">
        <v>3.9300000000000002E-2</v>
      </c>
      <c r="R634" s="3">
        <v>2.3600000000000001E-3</v>
      </c>
      <c r="S634" s="3">
        <v>0.42599999999999999</v>
      </c>
      <c r="T634" s="3">
        <v>0.38900000000000001</v>
      </c>
      <c r="U634" s="3">
        <v>0.19700000000000001</v>
      </c>
      <c r="V634" s="8">
        <v>120012</v>
      </c>
      <c r="W634" s="3">
        <v>4</v>
      </c>
      <c r="X634" s="3" t="str">
        <f t="shared" si="40"/>
        <v>-SADNE-</v>
      </c>
      <c r="Y634" s="3" t="str">
        <f t="shared" si="41"/>
        <v>-ENERGY-</v>
      </c>
      <c r="Z634" s="4" t="str">
        <f t="shared" si="42"/>
        <v>{"couname":"Watching You","img":"https://i.scdn.co/image/ab67616d0000b27376987a71d6639ea8f44b5c09","pty":"11","artist":"Jean-Michel Jarre, 3D (Massive Attack)","genres":"new age,electrónica,space music","duration":"245520","spotId":"6UszayidrPCJcL0nOiyXJf","Items":["-SADNE-","-ENERGY-","","","GN_FrenchElectro"]},</v>
      </c>
      <c r="AA634" s="5" t="s">
        <v>6100</v>
      </c>
      <c r="AB634" s="3" t="str">
        <f t="shared" si="43"/>
        <v>["-SADNE-","-ENERGY-","","","GN_FrenchElectro"]</v>
      </c>
      <c r="AC634" s="3" t="str">
        <f>_xlfn.XLOOKUP(A634,Album!A:A,Album!J:J)</f>
        <v>https://i.scdn.co/image/ab67616d0000b27376987a71d6639ea8f44b5c09</v>
      </c>
      <c r="AD634" s="3"/>
      <c r="AE634" s="3"/>
      <c r="AF634" s="3"/>
      <c r="AG634" s="3"/>
      <c r="AH634" s="3"/>
    </row>
    <row r="635" spans="1:34" x14ac:dyDescent="0.3">
      <c r="A635" s="11" t="s">
        <v>273</v>
      </c>
      <c r="B635" s="12" t="s">
        <v>274</v>
      </c>
      <c r="C635" s="12" t="s">
        <v>236</v>
      </c>
      <c r="D635" s="13" t="s">
        <v>2301</v>
      </c>
      <c r="E635" s="6">
        <v>42293</v>
      </c>
      <c r="F635" s="3">
        <v>433866</v>
      </c>
      <c r="G635" s="3">
        <v>11</v>
      </c>
      <c r="H635" s="3" t="s">
        <v>5306</v>
      </c>
      <c r="I635" s="3" t="s">
        <v>102</v>
      </c>
      <c r="J635" s="3" t="s">
        <v>275</v>
      </c>
      <c r="K635" s="3" t="s">
        <v>84</v>
      </c>
      <c r="L635" s="3">
        <v>0.39700000000000002</v>
      </c>
      <c r="M635" s="3">
        <v>0.74399999999999999</v>
      </c>
      <c r="N635" s="3">
        <v>7</v>
      </c>
      <c r="O635" s="8">
        <v>-10593</v>
      </c>
      <c r="P635" s="3">
        <v>1</v>
      </c>
      <c r="Q635" s="3">
        <v>4.4699999999999997E-2</v>
      </c>
      <c r="R635" s="3">
        <v>0.19</v>
      </c>
      <c r="S635" s="3">
        <v>0.24199999999999999</v>
      </c>
      <c r="T635" s="3">
        <v>0.13</v>
      </c>
      <c r="U635" s="3">
        <v>9.98E-2</v>
      </c>
      <c r="V635" s="8">
        <v>119958</v>
      </c>
      <c r="W635" s="3">
        <v>4</v>
      </c>
      <c r="X635" s="3" t="str">
        <f t="shared" si="40"/>
        <v>-SADNE-</v>
      </c>
      <c r="Y635" s="3" t="str">
        <f t="shared" si="41"/>
        <v>-ENERGY-</v>
      </c>
      <c r="Z635" s="4" t="str">
        <f t="shared" si="42"/>
        <v>{"couname":"The Train &amp; The River","img":"https://i.scdn.co/image/ab67616d0000b27376987a71d6639ea8f44b5c09","pty":"11","artist":"Jean-Michel Jarre, Lang Lang","genres":"new age,electrónica,space music,piano clásico,clásica","duration":"433866","spotId":"2yQZnTK4GolwKP8Qc85YHq","Items":["-SADNE-","-ENERGY-","","","GN_FrenchElectro"]},</v>
      </c>
      <c r="AA635" s="5" t="s">
        <v>6100</v>
      </c>
      <c r="AB635" s="3" t="str">
        <f t="shared" si="43"/>
        <v>["-SADNE-","-ENERGY-","","","GN_FrenchElectro"]</v>
      </c>
      <c r="AC635" s="3" t="str">
        <f>_xlfn.XLOOKUP(A635,Album!A:A,Album!J:J)</f>
        <v>https://i.scdn.co/image/ab67616d0000b27376987a71d6639ea8f44b5c09</v>
      </c>
      <c r="AD635" s="3"/>
      <c r="AE635" s="3"/>
      <c r="AF635" s="3"/>
      <c r="AG635" s="3"/>
      <c r="AH635" s="3"/>
    </row>
    <row r="636" spans="1:34" x14ac:dyDescent="0.3">
      <c r="A636" s="11" t="s">
        <v>1758</v>
      </c>
      <c r="B636" s="12" t="s">
        <v>1759</v>
      </c>
      <c r="C636" s="12" t="s">
        <v>1679</v>
      </c>
      <c r="D636" s="13" t="s">
        <v>1674</v>
      </c>
      <c r="E636" s="6">
        <v>2006</v>
      </c>
      <c r="F636" s="3">
        <v>354306</v>
      </c>
      <c r="G636" s="3">
        <v>11</v>
      </c>
      <c r="H636" s="3" t="s">
        <v>5305</v>
      </c>
      <c r="I636" s="3" t="s">
        <v>1675</v>
      </c>
      <c r="J636" s="3" t="s">
        <v>463</v>
      </c>
      <c r="K636" s="3" t="s">
        <v>1680</v>
      </c>
      <c r="L636" s="3">
        <v>0.66</v>
      </c>
      <c r="M636" s="3">
        <v>0.38200000000000001</v>
      </c>
      <c r="N636" s="3">
        <v>10</v>
      </c>
      <c r="O636" s="8">
        <v>-14677</v>
      </c>
      <c r="P636" s="3">
        <v>1</v>
      </c>
      <c r="Q636" s="3">
        <v>5.45E-2</v>
      </c>
      <c r="R636" s="3">
        <v>0.26600000000000001</v>
      </c>
      <c r="S636" s="3">
        <v>0.89</v>
      </c>
      <c r="T636" s="3">
        <v>0.104</v>
      </c>
      <c r="U636" s="3">
        <v>0.51100000000000001</v>
      </c>
      <c r="V636" s="8">
        <v>130008</v>
      </c>
      <c r="W636" s="3">
        <v>4</v>
      </c>
      <c r="X636" s="3" t="str">
        <f t="shared" si="40"/>
        <v>-HAPPY-</v>
      </c>
      <c r="Y636" s="3" t="str">
        <f t="shared" si="41"/>
        <v>-ENERGY-</v>
      </c>
      <c r="Z636" s="4" t="str">
        <f t="shared" si="42"/>
        <v>{"couname":"La Notte","img":"https://i.scdn.co/image/ab67616d0000b27324ee286d8ebcaf83d4b899ab","pty":"11","artist":"Cassius","genres":"house francés,disco house","duration":"354306","spotId":"3u0OuMebTDRivr1dliUzr6","Items":["-HAPPY-","-ENERGY-","","","GN_FrenchElectro"]},</v>
      </c>
      <c r="AA636" s="5" t="s">
        <v>6100</v>
      </c>
      <c r="AB636" s="3" t="str">
        <f t="shared" si="43"/>
        <v>["-HAPPY-","-ENERGY-","","","GN_FrenchElectro"]</v>
      </c>
      <c r="AC636" s="3" t="str">
        <f>_xlfn.XLOOKUP(A636,Album!A:A,Album!J:J)</f>
        <v>https://i.scdn.co/image/ab67616d0000b27324ee286d8ebcaf83d4b899ab</v>
      </c>
      <c r="AD636" s="3"/>
      <c r="AE636" s="3"/>
      <c r="AF636" s="3"/>
      <c r="AG636" s="3"/>
      <c r="AH636" s="3"/>
    </row>
    <row r="637" spans="1:34" x14ac:dyDescent="0.3">
      <c r="A637" s="11" t="s">
        <v>1760</v>
      </c>
      <c r="B637" s="12" t="s">
        <v>5303</v>
      </c>
      <c r="C637" s="12" t="s">
        <v>1762</v>
      </c>
      <c r="D637" s="13" t="s">
        <v>4497</v>
      </c>
      <c r="E637" s="6">
        <v>45576</v>
      </c>
      <c r="F637" s="3">
        <v>340370</v>
      </c>
      <c r="G637" s="3">
        <v>11</v>
      </c>
      <c r="H637" s="3" t="s">
        <v>5304</v>
      </c>
      <c r="I637" s="3" t="s">
        <v>1675</v>
      </c>
      <c r="J637" s="3" t="s">
        <v>463</v>
      </c>
      <c r="K637" s="3" t="s">
        <v>1680</v>
      </c>
      <c r="L637" s="3">
        <v>0.76400000000000001</v>
      </c>
      <c r="M637" s="3">
        <v>0.91900000000000004</v>
      </c>
      <c r="N637" s="3">
        <v>5</v>
      </c>
      <c r="O637" s="8">
        <v>-5347</v>
      </c>
      <c r="P637" s="3">
        <v>0</v>
      </c>
      <c r="Q637" s="3">
        <v>0.11600000000000001</v>
      </c>
      <c r="R637" s="3">
        <v>0.245</v>
      </c>
      <c r="S637" s="3">
        <v>4.7800000000000002E-2</v>
      </c>
      <c r="T637" s="3">
        <v>0.14199999999999999</v>
      </c>
      <c r="U637" s="3">
        <v>0.159</v>
      </c>
      <c r="V637" s="8">
        <v>125986</v>
      </c>
      <c r="W637" s="3">
        <v>4</v>
      </c>
      <c r="X637" s="3" t="str">
        <f t="shared" si="40"/>
        <v>-SADNE-</v>
      </c>
      <c r="Y637" s="3" t="str">
        <f t="shared" si="41"/>
        <v>-ENERGY-</v>
      </c>
      <c r="Z637" s="4" t="str">
        <f t="shared" si="42"/>
        <v>{"couname":"Ibifornia","img":"https://i.scdn.co/image/ab67616d0000b273bf36bc9714a6cb806bb09767","pty":"11","artist":"Cassius, Myd","genres":"house francés,disco house","duration":"340370","spotId":"1p3QuCGM4EinShaanRe34E","Items":["-SADNE-","-ENERGY-","","","GN_FrenchElectro"]},</v>
      </c>
      <c r="AA637" s="5" t="s">
        <v>6100</v>
      </c>
      <c r="AB637" s="3" t="str">
        <f t="shared" si="43"/>
        <v>["-SADNE-","-ENERGY-","","","GN_FrenchElectro"]</v>
      </c>
      <c r="AC637" s="3" t="str">
        <f>_xlfn.XLOOKUP(A637,Album!A:A,Album!J:J)</f>
        <v>https://i.scdn.co/image/ab67616d0000b273bf36bc9714a6cb806bb09767</v>
      </c>
      <c r="AD637" s="3"/>
      <c r="AE637" s="3"/>
      <c r="AF637" s="3"/>
      <c r="AG637" s="3"/>
      <c r="AH637" s="3"/>
    </row>
    <row r="638" spans="1:34" x14ac:dyDescent="0.3">
      <c r="A638" s="11" t="s">
        <v>1763</v>
      </c>
      <c r="B638" s="12" t="s">
        <v>1764</v>
      </c>
      <c r="C638" s="12" t="s">
        <v>1673</v>
      </c>
      <c r="D638" s="13" t="s">
        <v>1674</v>
      </c>
      <c r="E638" s="6">
        <v>40707</v>
      </c>
      <c r="F638" s="3">
        <v>276892</v>
      </c>
      <c r="G638" s="3">
        <v>11</v>
      </c>
      <c r="H638" s="3" t="s">
        <v>5302</v>
      </c>
      <c r="I638" s="3" t="s">
        <v>1675</v>
      </c>
      <c r="J638" s="3" t="s">
        <v>463</v>
      </c>
      <c r="K638" s="3" t="s">
        <v>1676</v>
      </c>
      <c r="L638" s="3">
        <v>0.88300000000000001</v>
      </c>
      <c r="M638" s="3">
        <v>0.46600000000000003</v>
      </c>
      <c r="N638" s="3">
        <v>10</v>
      </c>
      <c r="O638" s="8">
        <v>-8346</v>
      </c>
      <c r="P638" s="3">
        <v>0</v>
      </c>
      <c r="Q638" s="3">
        <v>6.3200000000000006E-2</v>
      </c>
      <c r="R638" s="3">
        <v>5.2100000000000002E-3</v>
      </c>
      <c r="S638" s="3">
        <v>0.68100000000000005</v>
      </c>
      <c r="T638" s="3">
        <v>0.123</v>
      </c>
      <c r="U638" s="3">
        <v>0.86699999999999999</v>
      </c>
      <c r="V638" s="8">
        <v>126804</v>
      </c>
      <c r="W638" s="3">
        <v>4</v>
      </c>
      <c r="X638" s="3" t="str">
        <f t="shared" si="40"/>
        <v>-HAPPY-</v>
      </c>
      <c r="Y638" s="3" t="str">
        <f t="shared" si="41"/>
        <v>-ENERGY-</v>
      </c>
      <c r="Z638" s="4" t="str">
        <f t="shared" si="42"/>
        <v>{"couname":"The no no's","img":"https://i.scdn.co/image/ab67616d0000b2734f3d682578d8bd0fc547bec5","pty":"11","artist":"Cassius","genres":"house francés,disco house","duration":"276892","spotId":"2tUs6k338p9Sso0WARZR31","Items":["-HAPPY-","-ENERGY-","","","GN_FrenchElectro"]},</v>
      </c>
      <c r="AA638" s="5" t="s">
        <v>6100</v>
      </c>
      <c r="AB638" s="3" t="str">
        <f t="shared" si="43"/>
        <v>["-HAPPY-","-ENERGY-","","","GN_FrenchElectro"]</v>
      </c>
      <c r="AC638" s="3" t="str">
        <f>_xlfn.XLOOKUP(A638,Album!A:A,Album!J:J)</f>
        <v>https://i.scdn.co/image/ab67616d0000b2734f3d682578d8bd0fc547bec5</v>
      </c>
      <c r="AD638" s="3"/>
      <c r="AE638" s="3"/>
      <c r="AF638" s="3"/>
      <c r="AG638" s="3"/>
      <c r="AH638" s="3"/>
    </row>
    <row r="639" spans="1:34" x14ac:dyDescent="0.3">
      <c r="A639" s="11" t="s">
        <v>1771</v>
      </c>
      <c r="B639" s="12" t="s">
        <v>1772</v>
      </c>
      <c r="C639" s="12" t="s">
        <v>1686</v>
      </c>
      <c r="D639" s="13" t="s">
        <v>1674</v>
      </c>
      <c r="E639" s="6">
        <v>2002</v>
      </c>
      <c r="F639" s="3">
        <v>353533</v>
      </c>
      <c r="G639" s="3">
        <v>11</v>
      </c>
      <c r="H639" s="3" t="s">
        <v>5301</v>
      </c>
      <c r="I639" s="3" t="s">
        <v>1675</v>
      </c>
      <c r="J639" s="3" t="s">
        <v>463</v>
      </c>
      <c r="K639" s="3" t="s">
        <v>1680</v>
      </c>
      <c r="L639" s="3">
        <v>0.68</v>
      </c>
      <c r="M639" s="3">
        <v>0.88800000000000001</v>
      </c>
      <c r="N639" s="3">
        <v>4</v>
      </c>
      <c r="O639" s="8">
        <v>-6043</v>
      </c>
      <c r="P639" s="3">
        <v>0</v>
      </c>
      <c r="Q639" s="3">
        <v>0.308</v>
      </c>
      <c r="R639" s="3">
        <v>1.5800000000000002E-2</v>
      </c>
      <c r="S639" s="3">
        <v>2.8200000000000001E-6</v>
      </c>
      <c r="T639" s="3">
        <v>8.3900000000000002E-2</v>
      </c>
      <c r="U639" s="3">
        <v>0.58499999999999996</v>
      </c>
      <c r="V639" s="8">
        <v>129776</v>
      </c>
      <c r="W639" s="3">
        <v>4</v>
      </c>
      <c r="X639" s="3" t="str">
        <f t="shared" si="40"/>
        <v>-HAPPY-</v>
      </c>
      <c r="Y639" s="3" t="str">
        <f t="shared" si="41"/>
        <v>-ENERGY-</v>
      </c>
      <c r="Z639" s="4" t="str">
        <f t="shared" si="42"/>
        <v>{"couname":"Till We Got You and Me","img":"https://i.scdn.co/image/ab67616d0000b273b60e218ff8bb7122b2873eae","pty":"11","artist":"Cassius","genres":"house francés,disco house","duration":"353533","spotId":"6PalltUabSklqyptHb10ja","Items":["-HAPPY-","-ENERGY-","","","GN_FrenchElectro"]},</v>
      </c>
      <c r="AA639" s="5" t="s">
        <v>6100</v>
      </c>
      <c r="AB639" s="3" t="str">
        <f t="shared" si="43"/>
        <v>["-HAPPY-","-ENERGY-","","","GN_FrenchElectro"]</v>
      </c>
      <c r="AC639" s="3" t="str">
        <f>_xlfn.XLOOKUP(A639,Album!A:A,Album!J:J)</f>
        <v>https://i.scdn.co/image/ab67616d0000b273b60e218ff8bb7122b2873eae</v>
      </c>
      <c r="AD639" s="3"/>
      <c r="AE639" s="3"/>
      <c r="AF639" s="3"/>
      <c r="AG639" s="3"/>
      <c r="AH639" s="3"/>
    </row>
    <row r="640" spans="1:34" x14ac:dyDescent="0.3">
      <c r="A640" s="11" t="s">
        <v>1769</v>
      </c>
      <c r="B640" s="12" t="s">
        <v>1770</v>
      </c>
      <c r="C640" s="12" t="s">
        <v>1762</v>
      </c>
      <c r="D640" s="13" t="s">
        <v>1674</v>
      </c>
      <c r="E640" s="6">
        <v>45576</v>
      </c>
      <c r="F640" s="3">
        <v>236440</v>
      </c>
      <c r="G640" s="3">
        <v>10</v>
      </c>
      <c r="H640" s="3" t="s">
        <v>5300</v>
      </c>
      <c r="I640" s="3" t="s">
        <v>1675</v>
      </c>
      <c r="J640" s="3" t="s">
        <v>463</v>
      </c>
      <c r="K640" s="3" t="s">
        <v>1680</v>
      </c>
      <c r="L640" s="3">
        <v>0.58399999999999996</v>
      </c>
      <c r="M640" s="3">
        <v>0.54200000000000004</v>
      </c>
      <c r="N640" s="3">
        <v>1</v>
      </c>
      <c r="O640" s="8">
        <v>-6549</v>
      </c>
      <c r="P640" s="3">
        <v>1</v>
      </c>
      <c r="Q640" s="3">
        <v>9.3799999999999994E-2</v>
      </c>
      <c r="R640" s="3">
        <v>1.72E-3</v>
      </c>
      <c r="S640" s="3">
        <v>0.80600000000000005</v>
      </c>
      <c r="T640" s="3">
        <v>0.14799999999999999</v>
      </c>
      <c r="U640" s="3">
        <v>0.33700000000000002</v>
      </c>
      <c r="V640" s="8">
        <v>124.01</v>
      </c>
      <c r="W640" s="3">
        <v>4</v>
      </c>
      <c r="X640" s="3" t="str">
        <f t="shared" si="40"/>
        <v>-HAPPY-</v>
      </c>
      <c r="Y640" s="3" t="str">
        <f t="shared" si="41"/>
        <v>-ENERGY-</v>
      </c>
      <c r="Z640" s="4" t="str">
        <f t="shared" si="42"/>
        <v>{"couname":"Youth Speed Trouble Cigarettes","img":"https://i.scdn.co/image/ab67616d0000b273bf36bc9714a6cb806bb09767","pty":"10","artist":"Cassius","genres":"house francés,disco house","duration":"236440","spotId":"41Q0oON0fvLWptmfS8rDcO","Items":["-HAPPY-","-ENERGY-","","","GN_FrenchElectro"]},</v>
      </c>
      <c r="AA640" s="5" t="s">
        <v>6100</v>
      </c>
      <c r="AB640" s="3" t="str">
        <f t="shared" si="43"/>
        <v>["-HAPPY-","-ENERGY-","","","GN_FrenchElectro"]</v>
      </c>
      <c r="AC640" s="3" t="str">
        <f>_xlfn.XLOOKUP(A640,Album!A:A,Album!J:J)</f>
        <v>https://i.scdn.co/image/ab67616d0000b273bf36bc9714a6cb806bb09767</v>
      </c>
      <c r="AD640" s="3"/>
      <c r="AE640" s="3"/>
      <c r="AF640" s="3"/>
      <c r="AG640" s="3"/>
      <c r="AH640" s="3"/>
    </row>
    <row r="641" spans="1:34" x14ac:dyDescent="0.3">
      <c r="A641" s="11" t="s">
        <v>1778</v>
      </c>
      <c r="B641" s="12" t="s">
        <v>1779</v>
      </c>
      <c r="C641" s="12" t="s">
        <v>1679</v>
      </c>
      <c r="D641" s="13" t="s">
        <v>1674</v>
      </c>
      <c r="E641" s="6">
        <v>2006</v>
      </c>
      <c r="F641" s="3">
        <v>234733</v>
      </c>
      <c r="G641" s="3">
        <v>10</v>
      </c>
      <c r="H641" s="3" t="s">
        <v>5299</v>
      </c>
      <c r="I641" s="3" t="s">
        <v>1675</v>
      </c>
      <c r="J641" s="3" t="s">
        <v>463</v>
      </c>
      <c r="K641" s="3" t="s">
        <v>1680</v>
      </c>
      <c r="L641" s="3">
        <v>0.79600000000000004</v>
      </c>
      <c r="M641" s="3">
        <v>0.81</v>
      </c>
      <c r="N641" s="3">
        <v>4</v>
      </c>
      <c r="O641" s="8">
        <v>-4.9800000000000004</v>
      </c>
      <c r="P641" s="3">
        <v>0</v>
      </c>
      <c r="Q641" s="3">
        <v>6.3500000000000001E-2</v>
      </c>
      <c r="R641" s="3">
        <v>0.13</v>
      </c>
      <c r="S641" s="3">
        <v>6.5099999999999999E-4</v>
      </c>
      <c r="T641" s="3">
        <v>0.185</v>
      </c>
      <c r="U641" s="3">
        <v>0.84799999999999998</v>
      </c>
      <c r="V641" s="8">
        <v>126037</v>
      </c>
      <c r="W641" s="3">
        <v>4</v>
      </c>
      <c r="X641" s="3" t="str">
        <f t="shared" si="40"/>
        <v>-HAPPY-</v>
      </c>
      <c r="Y641" s="3" t="str">
        <f t="shared" si="41"/>
        <v>-ENERGY-</v>
      </c>
      <c r="Z641" s="4" t="str">
        <f t="shared" si="42"/>
        <v>{"couname":"All I Want","img":"https://i.scdn.co/image/ab67616d0000b27324ee286d8ebcaf83d4b899ab","pty":"10","artist":"Cassius","genres":"house francés,disco house","duration":"234733","spotId":"39DPuI340NQv3j3MQFHSO3","Items":["-HAPPY-","-ENERGY-","","","GN_FrenchElectro"]},</v>
      </c>
      <c r="AA641" s="5" t="s">
        <v>6100</v>
      </c>
      <c r="AB641" s="3" t="str">
        <f t="shared" si="43"/>
        <v>["-HAPPY-","-ENERGY-","","","GN_FrenchElectro"]</v>
      </c>
      <c r="AC641" s="3" t="str">
        <f>_xlfn.XLOOKUP(A641,Album!A:A,Album!J:J)</f>
        <v>https://i.scdn.co/image/ab67616d0000b27324ee286d8ebcaf83d4b899ab</v>
      </c>
      <c r="AD641" s="3"/>
      <c r="AE641" s="3"/>
      <c r="AF641" s="3"/>
      <c r="AG641" s="3"/>
      <c r="AH641" s="3"/>
    </row>
    <row r="642" spans="1:34" x14ac:dyDescent="0.3">
      <c r="A642" s="11" t="s">
        <v>1786</v>
      </c>
      <c r="B642" s="12" t="s">
        <v>1787</v>
      </c>
      <c r="C642" s="12" t="s">
        <v>1762</v>
      </c>
      <c r="D642" s="13" t="s">
        <v>1674</v>
      </c>
      <c r="E642" s="6">
        <v>45576</v>
      </c>
      <c r="F642" s="3">
        <v>476373</v>
      </c>
      <c r="G642" s="3">
        <v>10</v>
      </c>
      <c r="H642" s="3" t="s">
        <v>5298</v>
      </c>
      <c r="I642" s="3" t="s">
        <v>1675</v>
      </c>
      <c r="J642" s="3" t="s">
        <v>463</v>
      </c>
      <c r="K642" s="3" t="s">
        <v>1680</v>
      </c>
      <c r="L642" s="3">
        <v>0.84</v>
      </c>
      <c r="M642" s="3">
        <v>0.76700000000000002</v>
      </c>
      <c r="N642" s="3">
        <v>7</v>
      </c>
      <c r="O642" s="8">
        <v>-5297</v>
      </c>
      <c r="P642" s="3">
        <v>1</v>
      </c>
      <c r="Q642" s="3">
        <v>7.1300000000000002E-2</v>
      </c>
      <c r="R642" s="3">
        <v>2.7100000000000002E-3</v>
      </c>
      <c r="S642" s="3">
        <v>0.86699999999999999</v>
      </c>
      <c r="T642" s="3">
        <v>6.54E-2</v>
      </c>
      <c r="U642" s="3">
        <v>0.88600000000000001</v>
      </c>
      <c r="V642" s="8">
        <v>128827</v>
      </c>
      <c r="W642" s="3">
        <v>4</v>
      </c>
      <c r="X642" s="3" t="str">
        <f t="shared" si="40"/>
        <v>-HAPPY-</v>
      </c>
      <c r="Y642" s="3" t="str">
        <f t="shared" si="41"/>
        <v>-ENERGY-</v>
      </c>
      <c r="Z642" s="4" t="str">
        <f t="shared" si="42"/>
        <v>{"couname":"Dinapoly","img":"https://i.scdn.co/image/ab67616d0000b273bf36bc9714a6cb806bb09767","pty":"10","artist":"Cassius","genres":"house francés,disco house","duration":"476373","spotId":"3J8iU2ojNU4XA6f04PLptc","Items":["-HAPPY-","-ENERGY-","","","GN_FrenchElectro"]},</v>
      </c>
      <c r="AA642" s="5" t="s">
        <v>6100</v>
      </c>
      <c r="AB642" s="3" t="str">
        <f t="shared" si="43"/>
        <v>["-HAPPY-","-ENERGY-","","","GN_FrenchElectro"]</v>
      </c>
      <c r="AC642" s="3" t="str">
        <f>_xlfn.XLOOKUP(A642,Album!A:A,Album!J:J)</f>
        <v>https://i.scdn.co/image/ab67616d0000b273bf36bc9714a6cb806bb09767</v>
      </c>
      <c r="AD642" s="3"/>
      <c r="AE642" s="3"/>
      <c r="AF642" s="3"/>
      <c r="AG642" s="3"/>
      <c r="AH642" s="3"/>
    </row>
    <row r="643" spans="1:34" x14ac:dyDescent="0.3">
      <c r="A643" s="11" t="s">
        <v>661</v>
      </c>
      <c r="B643" s="12" t="s">
        <v>662</v>
      </c>
      <c r="C643" s="12" t="s">
        <v>662</v>
      </c>
      <c r="D643" s="13" t="s">
        <v>2872</v>
      </c>
      <c r="E643" s="6">
        <v>43938</v>
      </c>
      <c r="F643" s="3">
        <v>166992</v>
      </c>
      <c r="G643" s="3">
        <v>9</v>
      </c>
      <c r="H643" s="3" t="s">
        <v>5297</v>
      </c>
      <c r="I643" s="3" t="s">
        <v>639</v>
      </c>
      <c r="J643" s="3" t="s">
        <v>640</v>
      </c>
      <c r="K643" s="3" t="s">
        <v>570</v>
      </c>
      <c r="L643" s="3">
        <v>0.71899999999999997</v>
      </c>
      <c r="M643" s="3">
        <v>0.70099999999999996</v>
      </c>
      <c r="N643" s="3">
        <v>1</v>
      </c>
      <c r="O643" s="8">
        <v>-9846</v>
      </c>
      <c r="P643" s="3">
        <v>0</v>
      </c>
      <c r="Q643" s="3">
        <v>4.1399999999999999E-2</v>
      </c>
      <c r="R643" s="3">
        <v>6.6199999999999995E-2</v>
      </c>
      <c r="S643" s="3">
        <v>0.121</v>
      </c>
      <c r="T643" s="3">
        <v>9.7799999999999998E-2</v>
      </c>
      <c r="U643" s="3">
        <v>0.13600000000000001</v>
      </c>
      <c r="V643" s="8">
        <v>122034</v>
      </c>
      <c r="W643" s="3">
        <v>4</v>
      </c>
      <c r="X643" s="3" t="str">
        <f t="shared" ref="X643:X706" si="44">IF(OR(U643&lt;0.301, AND(U643&lt;0.4, P643=0)), "-SADNE-", "-HAPPY-")</f>
        <v>-SADNE-</v>
      </c>
      <c r="Y643" s="3" t="str">
        <f t="shared" ref="Y643:Y706" si="45">IF(OR(AND(L643&lt;0.5,M643&lt;0.5),AND(L643&lt;0.45,V643&lt;100),AND(M643&lt;0.45,V643&lt;100),AND(U643&lt;0.39,V643&lt;100)),"-SLOWSS-","-ENERGY-")</f>
        <v>-ENERGY-</v>
      </c>
      <c r="Z643" s="4" t="str">
        <f t="shared" ref="Z643:Z706" si="46">"{"&amp;CHAR(34)&amp;"couname"&amp;CHAR(34)&amp;":"&amp;CHAR(34)&amp;B643&amp;CHAR(34)&amp;","&amp;CHAR(34)&amp;"img"&amp;CHAR(34)&amp;":"&amp;CHAR(34)&amp;AC643&amp;CHAR(34)&amp;","&amp;CHAR(34)&amp;"pty"&amp;CHAR(34)&amp;":"&amp;CHAR(34)&amp;G643&amp;CHAR(34)&amp;","&amp;CHAR(34)&amp;"artist"&amp;CHAR(34)&amp;":"&amp;CHAR(34)&amp;D643&amp;CHAR(34)&amp;","&amp;CHAR(34)&amp;"genres"&amp;CHAR(34)&amp;":"&amp;CHAR(34)&amp;J643&amp;CHAR(34)&amp;","&amp;CHAR(34)&amp;"duration"&amp;CHAR(34)&amp;":"&amp;CHAR(34)&amp;F643&amp;CHAR(34)&amp;","&amp;CHAR(34)&amp;"spotId"&amp;CHAR(34)&amp;":"&amp;CHAR(34)&amp;A643&amp;CHAR(34)&amp;","&amp;CHAR(34)&amp;"Items"&amp;CHAR(34)&amp;":"&amp;AB643&amp;"},"</f>
        <v>{"couname":"No Lie","img":"https://i.scdn.co/image/ab67616d0000b2732b29cf9dfaf89115d124d0ac","pty":"9","artist":"Michael Calfan, Martin Solveig","genres":"house francés","duration":"166992","spotId":"4FFgTmTBIYtkgbglR28hcR","Items":["-SADNE-","-ENERGY-","","","GN_FrenchElectro"]},</v>
      </c>
      <c r="AA643" s="5" t="s">
        <v>6100</v>
      </c>
      <c r="AB643" s="3" t="str">
        <f t="shared" ref="AB643:AB706" si="47" xml:space="preserve"> "[" &amp; _xlfn.TEXTJOIN(",",TRUE,CHAR(34) &amp; X643&amp; CHAR(34), CHAR(34) &amp; Y643 &amp; CHAR(34),  CHAR(34) &amp; AF643 &amp; CHAR(34), CHAR(34) &amp;AG643 &amp; CHAR(34), CHAR(34) &amp; AA643 &amp; CHAR(34)) &amp; "]"</f>
        <v>["-SADNE-","-ENERGY-","","","GN_FrenchElectro"]</v>
      </c>
      <c r="AC643" s="3" t="str">
        <f>_xlfn.XLOOKUP(A643,Album!A:A,Album!J:J)</f>
        <v>https://i.scdn.co/image/ab67616d0000b2732b29cf9dfaf89115d124d0ac</v>
      </c>
      <c r="AD643" s="3"/>
      <c r="AE643" s="3"/>
      <c r="AF643" s="3"/>
      <c r="AG643" s="3"/>
      <c r="AH643" s="3"/>
    </row>
    <row r="644" spans="1:34" x14ac:dyDescent="0.3">
      <c r="A644" s="11" t="s">
        <v>1773</v>
      </c>
      <c r="B644" s="12" t="s">
        <v>5295</v>
      </c>
      <c r="C644" s="12" t="s">
        <v>1775</v>
      </c>
      <c r="D644" s="13" t="s">
        <v>4513</v>
      </c>
      <c r="E644" s="6">
        <v>43595</v>
      </c>
      <c r="F644" s="3">
        <v>653564</v>
      </c>
      <c r="G644" s="3">
        <v>9</v>
      </c>
      <c r="H644" s="3" t="s">
        <v>5296</v>
      </c>
      <c r="I644" s="3" t="s">
        <v>1675</v>
      </c>
      <c r="J644" s="3" t="s">
        <v>1776</v>
      </c>
      <c r="K644" s="3" t="s">
        <v>1777</v>
      </c>
      <c r="L644" s="3">
        <v>0.79500000000000004</v>
      </c>
      <c r="M644" s="3">
        <v>0.77400000000000002</v>
      </c>
      <c r="N644" s="3">
        <v>1</v>
      </c>
      <c r="O644" s="8">
        <v>-10407</v>
      </c>
      <c r="P644" s="3">
        <v>1</v>
      </c>
      <c r="Q644" s="3">
        <v>4.5999999999999999E-2</v>
      </c>
      <c r="R644" s="3">
        <v>1.41E-2</v>
      </c>
      <c r="S644" s="3">
        <v>0.86299999999999999</v>
      </c>
      <c r="T644" s="3">
        <v>0.10100000000000001</v>
      </c>
      <c r="U644" s="3">
        <v>0.125</v>
      </c>
      <c r="V644" s="8">
        <v>121004</v>
      </c>
      <c r="W644" s="3">
        <v>4</v>
      </c>
      <c r="X644" s="3" t="str">
        <f t="shared" si="44"/>
        <v>-SADNE-</v>
      </c>
      <c r="Y644" s="3" t="str">
        <f t="shared" si="45"/>
        <v>-ENERGY-</v>
      </c>
      <c r="Z644" s="4" t="str">
        <f t="shared" si="46"/>
        <v>{"couname":"Remedy","img":"https://i.scdn.co/image/ab67616d0000b2731aba28ce66ef9c798c51c916","pty":"9","artist":"Agoria, NOEMIE, Cassius","genres":"minimal techno,house francés,disco house","duration":"653564","spotId":"1SDI72TghVIqM12vHBc5LC","Items":["-SADNE-","-ENERGY-","","","GN_FrenchElectro"]},</v>
      </c>
      <c r="AA644" s="5" t="s">
        <v>6100</v>
      </c>
      <c r="AB644" s="3" t="str">
        <f t="shared" si="47"/>
        <v>["-SADNE-","-ENERGY-","","","GN_FrenchElectro"]</v>
      </c>
      <c r="AC644" s="3" t="str">
        <f>_xlfn.XLOOKUP(A644,Album!A:A,Album!J:J)</f>
        <v>https://i.scdn.co/image/ab67616d0000b2731aba28ce66ef9c798c51c916</v>
      </c>
      <c r="AD644" s="3"/>
      <c r="AE644" s="3"/>
      <c r="AF644" s="3"/>
      <c r="AG644" s="3"/>
      <c r="AH644" s="3"/>
    </row>
    <row r="645" spans="1:34" x14ac:dyDescent="0.3">
      <c r="A645" s="11" t="s">
        <v>1788</v>
      </c>
      <c r="B645" s="12" t="s">
        <v>1789</v>
      </c>
      <c r="C645" s="12" t="s">
        <v>1709</v>
      </c>
      <c r="D645" s="13" t="s">
        <v>4531</v>
      </c>
      <c r="E645" s="6">
        <v>42608</v>
      </c>
      <c r="F645" s="3">
        <v>216440</v>
      </c>
      <c r="G645" s="3">
        <v>9</v>
      </c>
      <c r="H645" s="3" t="s">
        <v>5294</v>
      </c>
      <c r="I645" s="3" t="s">
        <v>1675</v>
      </c>
      <c r="J645" s="3" t="s">
        <v>463</v>
      </c>
      <c r="K645" s="3" t="s">
        <v>947</v>
      </c>
      <c r="L645" s="3">
        <v>0.45700000000000002</v>
      </c>
      <c r="M645" s="3">
        <v>0.88100000000000001</v>
      </c>
      <c r="N645" s="3">
        <v>9</v>
      </c>
      <c r="O645" s="8">
        <v>-4.09</v>
      </c>
      <c r="P645" s="3">
        <v>1</v>
      </c>
      <c r="Q645" s="3">
        <v>3.5000000000000003E-2</v>
      </c>
      <c r="R645" s="3">
        <v>6.7000000000000002E-4</v>
      </c>
      <c r="S645" s="3">
        <v>1.82E-3</v>
      </c>
      <c r="T645" s="3">
        <v>0.17</v>
      </c>
      <c r="U645" s="3">
        <v>0.22900000000000001</v>
      </c>
      <c r="V645" s="8">
        <v>98966</v>
      </c>
      <c r="W645" s="3">
        <v>4</v>
      </c>
      <c r="X645" s="3" t="str">
        <f t="shared" si="44"/>
        <v>-SADNE-</v>
      </c>
      <c r="Y645" s="3" t="str">
        <f t="shared" si="45"/>
        <v>-ENERGY-</v>
      </c>
      <c r="Z645" s="4" t="str">
        <f t="shared" si="46"/>
        <v>{"couname":"Hey You!","img":"https://i.scdn.co/image/ab67616d0000b273580ffe579b32f1e6a93ac225","pty":"9","artist":"Cassius, Ryan Tedder","genres":"house francés,disco house","duration":"216440","spotId":"2yHeuf0e6LKaCCQc2psygi","Items":["-SADNE-","-ENERGY-","","","GN_FrenchElectro"]},</v>
      </c>
      <c r="AA645" s="5" t="s">
        <v>6100</v>
      </c>
      <c r="AB645" s="3" t="str">
        <f t="shared" si="47"/>
        <v>["-SADNE-","-ENERGY-","","","GN_FrenchElectro"]</v>
      </c>
      <c r="AC645" s="3" t="str">
        <f>_xlfn.XLOOKUP(A645,Album!A:A,Album!J:J)</f>
        <v>https://i.scdn.co/image/ab67616d0000b273580ffe579b32f1e6a93ac225</v>
      </c>
      <c r="AD645" s="3"/>
      <c r="AE645" s="3"/>
      <c r="AF645" s="3"/>
      <c r="AG645" s="3"/>
      <c r="AH645" s="3"/>
    </row>
    <row r="646" spans="1:34" x14ac:dyDescent="0.3">
      <c r="A646" s="11" t="s">
        <v>1794</v>
      </c>
      <c r="B646" s="12" t="s">
        <v>1795</v>
      </c>
      <c r="C646" s="12" t="s">
        <v>1673</v>
      </c>
      <c r="D646" s="13" t="s">
        <v>1674</v>
      </c>
      <c r="E646" s="6">
        <v>40707</v>
      </c>
      <c r="F646" s="3">
        <v>503328</v>
      </c>
      <c r="G646" s="3">
        <v>9</v>
      </c>
      <c r="H646" s="3" t="s">
        <v>5293</v>
      </c>
      <c r="I646" s="3" t="s">
        <v>1675</v>
      </c>
      <c r="J646" s="3" t="s">
        <v>463</v>
      </c>
      <c r="K646" s="3" t="s">
        <v>1676</v>
      </c>
      <c r="L646" s="3">
        <v>0.69499999999999995</v>
      </c>
      <c r="M646" s="3">
        <v>0.69899999999999995</v>
      </c>
      <c r="N646" s="3">
        <v>10</v>
      </c>
      <c r="O646" s="8">
        <v>-6813</v>
      </c>
      <c r="P646" s="3">
        <v>0</v>
      </c>
      <c r="Q646" s="3">
        <v>5.33E-2</v>
      </c>
      <c r="R646" s="3">
        <v>2.8600000000000001E-4</v>
      </c>
      <c r="S646" s="3">
        <v>0.85199999999999998</v>
      </c>
      <c r="T646" s="3">
        <v>8.7800000000000003E-2</v>
      </c>
      <c r="U646" s="3">
        <v>0.28000000000000003</v>
      </c>
      <c r="V646" s="8">
        <v>121874</v>
      </c>
      <c r="W646" s="3">
        <v>4</v>
      </c>
      <c r="X646" s="3" t="str">
        <f t="shared" si="44"/>
        <v>-SADNE-</v>
      </c>
      <c r="Y646" s="3" t="str">
        <f t="shared" si="45"/>
        <v>-ENERGY-</v>
      </c>
      <c r="Z646" s="4" t="str">
        <f t="shared" si="46"/>
        <v>{"couname":"Shark Simple","img":"https://i.scdn.co/image/ab67616d0000b2734f3d682578d8bd0fc547bec5","pty":"9","artist":"Cassius","genres":"house francés,disco house","duration":"503328","spotId":"6LBiYp0Io5esqQrJWZlewV","Items":["-SADNE-","-ENERGY-","","","GN_FrenchElectro"]},</v>
      </c>
      <c r="AA646" s="5" t="s">
        <v>6100</v>
      </c>
      <c r="AB646" s="3" t="str">
        <f t="shared" si="47"/>
        <v>["-SADNE-","-ENERGY-","","","GN_FrenchElectro"]</v>
      </c>
      <c r="AC646" s="3" t="str">
        <f>_xlfn.XLOOKUP(A646,Album!A:A,Album!J:J)</f>
        <v>https://i.scdn.co/image/ab67616d0000b2734f3d682578d8bd0fc547bec5</v>
      </c>
      <c r="AD646" s="3"/>
      <c r="AE646" s="3"/>
      <c r="AF646" s="3"/>
      <c r="AG646" s="3"/>
      <c r="AH646" s="3"/>
    </row>
    <row r="647" spans="1:34" x14ac:dyDescent="0.3">
      <c r="A647" s="11" t="s">
        <v>1299</v>
      </c>
      <c r="B647" s="12" t="s">
        <v>5291</v>
      </c>
      <c r="C647" s="12" t="s">
        <v>1301</v>
      </c>
      <c r="D647" s="13" t="s">
        <v>3832</v>
      </c>
      <c r="E647" s="6">
        <v>42030</v>
      </c>
      <c r="F647" s="3">
        <v>312000</v>
      </c>
      <c r="G647" s="3">
        <v>8</v>
      </c>
      <c r="H647" s="3" t="s">
        <v>5292</v>
      </c>
      <c r="I647" s="3" t="s">
        <v>1207</v>
      </c>
      <c r="J647" s="3" t="s">
        <v>1208</v>
      </c>
      <c r="K647" s="3" t="s">
        <v>84</v>
      </c>
      <c r="L647" s="3">
        <v>0.78500000000000003</v>
      </c>
      <c r="M647" s="3">
        <v>0.84199999999999997</v>
      </c>
      <c r="N647" s="3">
        <v>7</v>
      </c>
      <c r="O647" s="8">
        <v>-5659</v>
      </c>
      <c r="P647" s="3">
        <v>0</v>
      </c>
      <c r="Q647" s="3">
        <v>5.8599999999999999E-2</v>
      </c>
      <c r="R647" s="3">
        <v>5.3200000000000003E-4</v>
      </c>
      <c r="S647" s="3">
        <v>0.50800000000000001</v>
      </c>
      <c r="T647" s="3">
        <v>5.5199999999999999E-2</v>
      </c>
      <c r="U647" s="3">
        <v>0.50700000000000001</v>
      </c>
      <c r="V647" s="8">
        <v>120008</v>
      </c>
      <c r="W647" s="3">
        <v>4</v>
      </c>
      <c r="X647" s="3" t="str">
        <f t="shared" si="44"/>
        <v>-HAPPY-</v>
      </c>
      <c r="Y647" s="3" t="str">
        <f t="shared" si="45"/>
        <v>-ENERGY-</v>
      </c>
      <c r="Z647" s="4" t="str">
        <f t="shared" si="46"/>
        <v>{"couname":"You're On","img":"https://i.scdn.co/image/ab67616d0000b273f734363c71b93265900fdcc4","pty":"8","artist":"Madeon, Kyan, Alex Metric","genres":"edm,house francés","duration":"312000","spotId":"1KTbpwGwSPGH1TlqJrA6aO","Items":["-HAPPY-","-ENERGY-","","","GN_FrenchElectro"]},</v>
      </c>
      <c r="AA647" s="5" t="s">
        <v>6100</v>
      </c>
      <c r="AB647" s="3" t="str">
        <f t="shared" si="47"/>
        <v>["-HAPPY-","-ENERGY-","","","GN_FrenchElectro"]</v>
      </c>
      <c r="AC647" s="3" t="str">
        <f>_xlfn.XLOOKUP(A647,Album!A:A,Album!J:J)</f>
        <v>https://i.scdn.co/image/ab67616d0000b273f734363c71b93265900fdcc4</v>
      </c>
      <c r="AD647" s="3"/>
      <c r="AE647" s="3"/>
      <c r="AF647" s="3"/>
      <c r="AG647" s="3"/>
      <c r="AH647" s="3"/>
    </row>
    <row r="648" spans="1:34" x14ac:dyDescent="0.3">
      <c r="A648" s="11" t="s">
        <v>1780</v>
      </c>
      <c r="B648" s="12" t="s">
        <v>5289</v>
      </c>
      <c r="C648" s="12" t="s">
        <v>1709</v>
      </c>
      <c r="D648" s="13" t="s">
        <v>4476</v>
      </c>
      <c r="E648" s="6">
        <v>42608</v>
      </c>
      <c r="F648" s="3">
        <v>242053</v>
      </c>
      <c r="G648" s="3">
        <v>8</v>
      </c>
      <c r="H648" s="3" t="s">
        <v>5290</v>
      </c>
      <c r="I648" s="3" t="s">
        <v>1675</v>
      </c>
      <c r="J648" s="3" t="s">
        <v>463</v>
      </c>
      <c r="K648" s="3" t="s">
        <v>947</v>
      </c>
      <c r="L648" s="3">
        <v>0.51100000000000001</v>
      </c>
      <c r="M648" s="3">
        <v>0.85399999999999998</v>
      </c>
      <c r="N648" s="3">
        <v>5</v>
      </c>
      <c r="O648" s="8">
        <v>-4631</v>
      </c>
      <c r="P648" s="3">
        <v>0</v>
      </c>
      <c r="Q648" s="3">
        <v>4.58E-2</v>
      </c>
      <c r="R648" s="3">
        <v>2.0299999999999999E-2</v>
      </c>
      <c r="S648" s="3">
        <v>9.859999999999999E-4</v>
      </c>
      <c r="T648" s="3">
        <v>9.6600000000000005E-2</v>
      </c>
      <c r="U648" s="3">
        <v>0.46899999999999997</v>
      </c>
      <c r="V648" s="8">
        <v>160004</v>
      </c>
      <c r="W648" s="3">
        <v>4</v>
      </c>
      <c r="X648" s="3" t="str">
        <f t="shared" si="44"/>
        <v>-HAPPY-</v>
      </c>
      <c r="Y648" s="3" t="str">
        <f t="shared" si="45"/>
        <v>-ENERGY-</v>
      </c>
      <c r="Z648" s="4" t="str">
        <f t="shared" si="46"/>
        <v>{"couname":"Blue Jean Smile","img":"https://i.scdn.co/image/ab67616d0000b273580ffe579b32f1e6a93ac225","pty":"8","artist":"Cassius, John Gourley","genres":"house francés,disco house","duration":"242053","spotId":"5635ezDE4F4lPRNzKGDb5s","Items":["-HAPPY-","-ENERGY-","","","GN_FrenchElectro"]},</v>
      </c>
      <c r="AA648" s="5" t="s">
        <v>6100</v>
      </c>
      <c r="AB648" s="3" t="str">
        <f t="shared" si="47"/>
        <v>["-HAPPY-","-ENERGY-","","","GN_FrenchElectro"]</v>
      </c>
      <c r="AC648" s="3" t="str">
        <f>_xlfn.XLOOKUP(A648,Album!A:A,Album!J:J)</f>
        <v>https://i.scdn.co/image/ab67616d0000b273580ffe579b32f1e6a93ac225</v>
      </c>
      <c r="AD648" s="3"/>
      <c r="AE648" s="3"/>
      <c r="AF648" s="3"/>
      <c r="AG648" s="3"/>
      <c r="AH648" s="3"/>
    </row>
    <row r="649" spans="1:34" x14ac:dyDescent="0.3">
      <c r="A649" s="11" t="s">
        <v>1782</v>
      </c>
      <c r="B649" s="12" t="s">
        <v>1783</v>
      </c>
      <c r="C649" s="12" t="s">
        <v>1686</v>
      </c>
      <c r="D649" s="13" t="s">
        <v>1674</v>
      </c>
      <c r="E649" s="6">
        <v>2002</v>
      </c>
      <c r="F649" s="3">
        <v>64493</v>
      </c>
      <c r="G649" s="3">
        <v>8</v>
      </c>
      <c r="H649" s="3" t="s">
        <v>5288</v>
      </c>
      <c r="I649" s="3" t="s">
        <v>1675</v>
      </c>
      <c r="J649" s="3" t="s">
        <v>463</v>
      </c>
      <c r="K649" s="3" t="s">
        <v>1680</v>
      </c>
      <c r="L649" s="3">
        <v>0.28299999999999997</v>
      </c>
      <c r="M649" s="3">
        <v>0.94299999999999995</v>
      </c>
      <c r="N649" s="3">
        <v>9</v>
      </c>
      <c r="O649" s="8">
        <v>-7491</v>
      </c>
      <c r="P649" s="3">
        <v>0</v>
      </c>
      <c r="Q649" s="3">
        <v>4.1099999999999998E-2</v>
      </c>
      <c r="R649" s="3">
        <v>0.38700000000000001</v>
      </c>
      <c r="S649" s="3">
        <v>0.874</v>
      </c>
      <c r="T649" s="3">
        <v>0.19600000000000001</v>
      </c>
      <c r="U649" s="3">
        <v>0.52800000000000002</v>
      </c>
      <c r="V649" s="8">
        <v>120392</v>
      </c>
      <c r="W649" s="3">
        <v>3</v>
      </c>
      <c r="X649" s="3" t="str">
        <f t="shared" si="44"/>
        <v>-HAPPY-</v>
      </c>
      <c r="Y649" s="3" t="str">
        <f t="shared" si="45"/>
        <v>-ENERGY-</v>
      </c>
      <c r="Z649" s="4" t="str">
        <f t="shared" si="46"/>
        <v>{"couname":"Room Tone","img":"https://i.scdn.co/image/ab67616d0000b273b60e218ff8bb7122b2873eae","pty":"8","artist":"Cassius","genres":"house francés,disco house","duration":"64493","spotId":"5srk2inzioMC3Sxv7CFQqd","Items":["-HAPPY-","-ENERGY-","","","GN_FrenchElectro"]},</v>
      </c>
      <c r="AA649" s="5" t="s">
        <v>6100</v>
      </c>
      <c r="AB649" s="3" t="str">
        <f t="shared" si="47"/>
        <v>["-HAPPY-","-ENERGY-","","","GN_FrenchElectro"]</v>
      </c>
      <c r="AC649" s="3" t="str">
        <f>_xlfn.XLOOKUP(A649,Album!A:A,Album!J:J)</f>
        <v>https://i.scdn.co/image/ab67616d0000b273b60e218ff8bb7122b2873eae</v>
      </c>
      <c r="AD649" s="3"/>
      <c r="AE649" s="3"/>
      <c r="AF649" s="3"/>
      <c r="AG649" s="3"/>
      <c r="AH649" s="3"/>
    </row>
    <row r="650" spans="1:34" x14ac:dyDescent="0.3">
      <c r="A650" s="11" t="s">
        <v>1784</v>
      </c>
      <c r="B650" s="12" t="s">
        <v>1785</v>
      </c>
      <c r="C650" s="12" t="s">
        <v>1673</v>
      </c>
      <c r="D650" s="13" t="s">
        <v>1674</v>
      </c>
      <c r="E650" s="6">
        <v>40707</v>
      </c>
      <c r="F650" s="3">
        <v>241982</v>
      </c>
      <c r="G650" s="3">
        <v>8</v>
      </c>
      <c r="H650" s="3" t="s">
        <v>5287</v>
      </c>
      <c r="I650" s="3" t="s">
        <v>1675</v>
      </c>
      <c r="J650" s="3" t="s">
        <v>463</v>
      </c>
      <c r="K650" s="3" t="s">
        <v>1676</v>
      </c>
      <c r="L650" s="3">
        <v>0.58699999999999997</v>
      </c>
      <c r="M650" s="3">
        <v>0.56299999999999994</v>
      </c>
      <c r="N650" s="3">
        <v>2</v>
      </c>
      <c r="O650" s="8">
        <v>-9272</v>
      </c>
      <c r="P650" s="3">
        <v>0</v>
      </c>
      <c r="Q650" s="3">
        <v>3.32E-2</v>
      </c>
      <c r="R650" s="3">
        <v>0.443</v>
      </c>
      <c r="S650" s="3">
        <v>0.86899999999999999</v>
      </c>
      <c r="T650" s="3">
        <v>7.3999999999999996E-2</v>
      </c>
      <c r="U650" s="3">
        <v>0.223</v>
      </c>
      <c r="V650" s="8">
        <v>119867</v>
      </c>
      <c r="W650" s="3">
        <v>3</v>
      </c>
      <c r="X650" s="3" t="str">
        <f t="shared" si="44"/>
        <v>-SADNE-</v>
      </c>
      <c r="Y650" s="3" t="str">
        <f t="shared" si="45"/>
        <v>-ENERGY-</v>
      </c>
      <c r="Z650" s="4" t="str">
        <f t="shared" si="46"/>
        <v>{"couname":"Arcadine","img":"https://i.scdn.co/image/ab67616d0000b2734f3d682578d8bd0fc547bec5","pty":"8","artist":"Cassius","genres":"house francés,disco house","duration":"241982","spotId":"2ppFlHHSRwRSa33j2ZUezc","Items":["-SADNE-","-ENERGY-","","","GN_FrenchElectro"]},</v>
      </c>
      <c r="AA650" s="5" t="s">
        <v>6100</v>
      </c>
      <c r="AB650" s="3" t="str">
        <f t="shared" si="47"/>
        <v>["-SADNE-","-ENERGY-","","","GN_FrenchElectro"]</v>
      </c>
      <c r="AC650" s="3" t="str">
        <f>_xlfn.XLOOKUP(A650,Album!A:A,Album!J:J)</f>
        <v>https://i.scdn.co/image/ab67616d0000b2734f3d682578d8bd0fc547bec5</v>
      </c>
      <c r="AD650" s="3"/>
      <c r="AE650" s="3"/>
      <c r="AF650" s="3"/>
      <c r="AG650" s="3"/>
      <c r="AH650" s="3"/>
    </row>
    <row r="651" spans="1:34" x14ac:dyDescent="0.3">
      <c r="A651" s="11" t="s">
        <v>1812</v>
      </c>
      <c r="B651" s="12" t="s">
        <v>1813</v>
      </c>
      <c r="C651" s="12" t="s">
        <v>1808</v>
      </c>
      <c r="D651" s="13" t="s">
        <v>9</v>
      </c>
      <c r="E651" s="6">
        <v>35447</v>
      </c>
      <c r="F651" s="3">
        <v>28333</v>
      </c>
      <c r="G651" s="3">
        <v>8</v>
      </c>
      <c r="H651" s="3" t="s">
        <v>5286</v>
      </c>
      <c r="I651" s="3" t="s">
        <v>1809</v>
      </c>
      <c r="J651" s="3" t="s">
        <v>1810</v>
      </c>
      <c r="K651" s="3" t="s">
        <v>1811</v>
      </c>
      <c r="L651" s="3">
        <v>0.85599999999999998</v>
      </c>
      <c r="M651" s="3">
        <v>0.56899999999999995</v>
      </c>
      <c r="N651" s="3">
        <v>1</v>
      </c>
      <c r="O651" s="8">
        <v>-5916</v>
      </c>
      <c r="P651" s="3">
        <v>1</v>
      </c>
      <c r="Q651" s="3">
        <v>0.20599999999999999</v>
      </c>
      <c r="R651" s="3">
        <v>4.9199999999999999E-3</v>
      </c>
      <c r="S651" s="3">
        <v>3.5299999999999998E-2</v>
      </c>
      <c r="T651" s="3">
        <v>0.47399999999999998</v>
      </c>
      <c r="U651" s="3">
        <v>0.91900000000000004</v>
      </c>
      <c r="V651" s="8">
        <v>110943</v>
      </c>
      <c r="W651" s="3">
        <v>4</v>
      </c>
      <c r="X651" s="3" t="str">
        <f t="shared" si="44"/>
        <v>-HAPPY-</v>
      </c>
      <c r="Y651" s="3" t="str">
        <f t="shared" si="45"/>
        <v>-ENERGY-</v>
      </c>
      <c r="Z651" s="4" t="str">
        <f t="shared" si="46"/>
        <v>{"couname":"WDPK 83.7 FM","img":"https://i.scdn.co/image/ab67616d0000b2738ac778cc7d88779f74d33311","pty":"8","artist":"Daft Punk","genres":"house francés,electrónica,electro","duration":"28333","spotId":"7dTWkvPOPgbGuMk4HDxNpY","Items":["-HAPPY-","-ENERGY-","","","GN_FrenchElectro"]},</v>
      </c>
      <c r="AA651" s="5" t="s">
        <v>6100</v>
      </c>
      <c r="AB651" s="3" t="str">
        <f t="shared" si="47"/>
        <v>["-HAPPY-","-ENERGY-","","","GN_FrenchElectro"]</v>
      </c>
      <c r="AC651" s="3" t="str">
        <f>_xlfn.XLOOKUP(A651,Album!A:A,Album!J:J)</f>
        <v>https://i.scdn.co/image/ab67616d0000b2738ac778cc7d88779f74d33311</v>
      </c>
      <c r="AD651" s="3"/>
      <c r="AE651" s="3"/>
      <c r="AF651" s="3"/>
      <c r="AG651" s="3"/>
      <c r="AH651" s="3"/>
    </row>
    <row r="652" spans="1:34" x14ac:dyDescent="0.3">
      <c r="A652" s="11" t="s">
        <v>721</v>
      </c>
      <c r="B652" s="12" t="s">
        <v>722</v>
      </c>
      <c r="C652" s="12" t="s">
        <v>673</v>
      </c>
      <c r="D652" s="13" t="s">
        <v>2890</v>
      </c>
      <c r="E652" s="6">
        <v>41002</v>
      </c>
      <c r="F652" s="3">
        <v>217090</v>
      </c>
      <c r="G652" s="3">
        <v>7</v>
      </c>
      <c r="H652" s="3" t="s">
        <v>5285</v>
      </c>
      <c r="I652" s="3" t="s">
        <v>639</v>
      </c>
      <c r="J652" s="3" t="s">
        <v>640</v>
      </c>
      <c r="K652" s="3" t="s">
        <v>674</v>
      </c>
      <c r="L652" s="3">
        <v>0.71499999999999997</v>
      </c>
      <c r="M652" s="3">
        <v>0.8</v>
      </c>
      <c r="N652" s="3">
        <v>7</v>
      </c>
      <c r="O652" s="8">
        <v>-1853</v>
      </c>
      <c r="P652" s="3">
        <v>1</v>
      </c>
      <c r="Q652" s="3">
        <v>3.0700000000000002E-2</v>
      </c>
      <c r="R652" s="3">
        <v>6.8000000000000005E-2</v>
      </c>
      <c r="S652" s="3">
        <v>5.0499999999999998E-3</v>
      </c>
      <c r="T652" s="3">
        <v>0.219</v>
      </c>
      <c r="U652" s="3">
        <v>0.45100000000000001</v>
      </c>
      <c r="V652" s="8">
        <v>129969</v>
      </c>
      <c r="W652" s="3">
        <v>4</v>
      </c>
      <c r="X652" s="3" t="str">
        <f t="shared" si="44"/>
        <v>-HAPPY-</v>
      </c>
      <c r="Y652" s="3" t="str">
        <f t="shared" si="45"/>
        <v>-ENERGY-</v>
      </c>
      <c r="Z652" s="4" t="str">
        <f t="shared" si="46"/>
        <v>{"couname":"Can't Stop","img":"https://i.scdn.co/image/ab67616d0000b273af7e594311ca9163d3361853","pty":"7","artist":"Martin Solveig, Dragonette","genres":"house francés","duration":"217090","spotId":"3HVAItEuqhLrySlDektIO9","Items":["-HAPPY-","-ENERGY-","","","GN_FrenchElectro"]},</v>
      </c>
      <c r="AA652" s="5" t="s">
        <v>6100</v>
      </c>
      <c r="AB652" s="3" t="str">
        <f t="shared" si="47"/>
        <v>["-HAPPY-","-ENERGY-","","","GN_FrenchElectro"]</v>
      </c>
      <c r="AC652" s="3" t="str">
        <f>_xlfn.XLOOKUP(A652,Album!A:A,Album!J:J)</f>
        <v>https://i.scdn.co/image/ab67616d0000b273af7e594311ca9163d3361853</v>
      </c>
      <c r="AD652" s="3"/>
      <c r="AE652" s="3"/>
      <c r="AF652" s="3"/>
      <c r="AG652" s="3"/>
      <c r="AH652" s="3"/>
    </row>
    <row r="653" spans="1:34" x14ac:dyDescent="0.3">
      <c r="A653" s="11" t="s">
        <v>1765</v>
      </c>
      <c r="B653" s="12" t="s">
        <v>1766</v>
      </c>
      <c r="C653" s="12" t="s">
        <v>1709</v>
      </c>
      <c r="D653" s="13" t="s">
        <v>1674</v>
      </c>
      <c r="E653" s="6">
        <v>42608</v>
      </c>
      <c r="F653" s="3">
        <v>347066</v>
      </c>
      <c r="G653" s="3">
        <v>7</v>
      </c>
      <c r="H653" s="3" t="s">
        <v>5284</v>
      </c>
      <c r="I653" s="3" t="s">
        <v>1675</v>
      </c>
      <c r="J653" s="3" t="s">
        <v>463</v>
      </c>
      <c r="K653" s="3" t="s">
        <v>947</v>
      </c>
      <c r="L653" s="3">
        <v>0.71899999999999997</v>
      </c>
      <c r="M653" s="3">
        <v>0.77100000000000002</v>
      </c>
      <c r="N653" s="3">
        <v>2</v>
      </c>
      <c r="O653" s="8">
        <v>-9.77</v>
      </c>
      <c r="P653" s="3">
        <v>0</v>
      </c>
      <c r="Q653" s="3">
        <v>8.6599999999999996E-2</v>
      </c>
      <c r="R653" s="3">
        <v>5.4899999999999997E-2</v>
      </c>
      <c r="S653" s="3">
        <v>0.93100000000000005</v>
      </c>
      <c r="T653" s="3">
        <v>0.23699999999999999</v>
      </c>
      <c r="U653" s="3">
        <v>0.127</v>
      </c>
      <c r="V653" s="8">
        <v>124926</v>
      </c>
      <c r="W653" s="3">
        <v>4</v>
      </c>
      <c r="X653" s="3" t="str">
        <f t="shared" si="44"/>
        <v>-SADNE-</v>
      </c>
      <c r="Y653" s="3" t="str">
        <f t="shared" si="45"/>
        <v>-ENERGY-</v>
      </c>
      <c r="Z653" s="4" t="str">
        <f t="shared" si="46"/>
        <v>{"couname":"Ponce","img":"https://i.scdn.co/image/ab67616d0000b273580ffe579b32f1e6a93ac225","pty":"7","artist":"Cassius","genres":"house francés,disco house","duration":"347066","spotId":"1R9Qydz0HxT7XWE6ZaSLCD","Items":["-SADNE-","-ENERGY-","","","GN_FrenchElectro"]},</v>
      </c>
      <c r="AA653" s="5" t="s">
        <v>6100</v>
      </c>
      <c r="AB653" s="3" t="str">
        <f t="shared" si="47"/>
        <v>["-SADNE-","-ENERGY-","","","GN_FrenchElectro"]</v>
      </c>
      <c r="AC653" s="3" t="str">
        <f>_xlfn.XLOOKUP(A653,Album!A:A,Album!J:J)</f>
        <v>https://i.scdn.co/image/ab67616d0000b273580ffe579b32f1e6a93ac225</v>
      </c>
      <c r="AD653" s="3"/>
      <c r="AE653" s="3"/>
      <c r="AF653" s="3"/>
      <c r="AG653" s="3"/>
      <c r="AH653" s="3"/>
    </row>
    <row r="654" spans="1:34" x14ac:dyDescent="0.3">
      <c r="A654" s="11" t="s">
        <v>622</v>
      </c>
      <c r="B654" s="12" t="s">
        <v>5282</v>
      </c>
      <c r="C654" s="12" t="s">
        <v>624</v>
      </c>
      <c r="D654" s="13" t="s">
        <v>2803</v>
      </c>
      <c r="E654" s="6">
        <v>45072</v>
      </c>
      <c r="F654" s="3">
        <v>163680</v>
      </c>
      <c r="G654" s="3">
        <v>6</v>
      </c>
      <c r="H654" s="3" t="s">
        <v>5283</v>
      </c>
      <c r="I654" s="3" t="s">
        <v>462</v>
      </c>
      <c r="J654" s="3" t="s">
        <v>625</v>
      </c>
      <c r="K654" s="3" t="s">
        <v>469</v>
      </c>
      <c r="L654" s="3">
        <v>0.68300000000000005</v>
      </c>
      <c r="M654" s="3">
        <v>0.96299999999999997</v>
      </c>
      <c r="N654" s="3">
        <v>7</v>
      </c>
      <c r="O654" s="8">
        <v>-9022</v>
      </c>
      <c r="P654" s="3">
        <v>1</v>
      </c>
      <c r="Q654" s="3">
        <v>5.8299999999999998E-2</v>
      </c>
      <c r="R654" s="3">
        <v>1.5E-3</v>
      </c>
      <c r="S654" s="3">
        <v>0.92100000000000004</v>
      </c>
      <c r="T654" s="3">
        <v>0.88900000000000001</v>
      </c>
      <c r="U654" s="3">
        <v>0.67600000000000005</v>
      </c>
      <c r="V654" s="8">
        <v>125008</v>
      </c>
      <c r="W654" s="3">
        <v>4</v>
      </c>
      <c r="X654" s="3" t="str">
        <f t="shared" si="44"/>
        <v>-HAPPY-</v>
      </c>
      <c r="Y654" s="3" t="str">
        <f t="shared" si="45"/>
        <v>-ENERGY-</v>
      </c>
      <c r="Z654" s="4" t="str">
        <f t="shared" si="46"/>
        <v>{"couname":"Vision Of Paradise","img":"https://i.scdn.co/image/ab67616d0000b273ddc154015f9a03e22e4b4362","pty":"6","artist":"Bob Sinclar, Riva Starr","genres":"house francés,disco house,tech house,house","duration":"163680","spotId":"5Rgp3AE86uNhsmHJ40PwVF","Items":["-HAPPY-","-ENERGY-","","","GN_FrenchElectro"]},</v>
      </c>
      <c r="AA654" s="5" t="s">
        <v>6100</v>
      </c>
      <c r="AB654" s="3" t="str">
        <f t="shared" si="47"/>
        <v>["-HAPPY-","-ENERGY-","","","GN_FrenchElectro"]</v>
      </c>
      <c r="AC654" s="3" t="str">
        <f>_xlfn.XLOOKUP(A654,Album!A:A,Album!J:J)</f>
        <v>https://i.scdn.co/image/ab67616d0000b273ddc154015f9a03e22e4b4362</v>
      </c>
      <c r="AD654" s="3"/>
      <c r="AE654" s="3"/>
      <c r="AF654" s="3"/>
      <c r="AG654" s="3"/>
      <c r="AH654" s="3"/>
    </row>
    <row r="655" spans="1:34" x14ac:dyDescent="0.3">
      <c r="A655" s="11" t="s">
        <v>763</v>
      </c>
      <c r="B655" s="12" t="s">
        <v>764</v>
      </c>
      <c r="C655" s="12" t="s">
        <v>737</v>
      </c>
      <c r="D655" s="13" t="s">
        <v>745</v>
      </c>
      <c r="E655" s="6">
        <v>45408</v>
      </c>
      <c r="F655" s="3">
        <v>28226</v>
      </c>
      <c r="G655" s="3">
        <v>6</v>
      </c>
      <c r="H655" s="3" t="s">
        <v>5281</v>
      </c>
      <c r="I655" s="3" t="s">
        <v>738</v>
      </c>
      <c r="J655" s="3" t="s">
        <v>742</v>
      </c>
      <c r="K655" s="3" t="s">
        <v>19</v>
      </c>
      <c r="L655" s="3">
        <v>0.20699999999999999</v>
      </c>
      <c r="M655" s="3">
        <v>0.46800000000000003</v>
      </c>
      <c r="N655" s="3">
        <v>4</v>
      </c>
      <c r="O655" s="8">
        <v>-16986</v>
      </c>
      <c r="P655" s="3">
        <v>0</v>
      </c>
      <c r="Q655" s="3">
        <v>6.8199999999999997E-2</v>
      </c>
      <c r="R655" s="3">
        <v>0.80200000000000005</v>
      </c>
      <c r="S655" s="3">
        <v>0.996</v>
      </c>
      <c r="T655" s="3">
        <v>0.54400000000000004</v>
      </c>
      <c r="U655" s="3">
        <v>0.28799999999999998</v>
      </c>
      <c r="V655" s="8">
        <v>200.58</v>
      </c>
      <c r="W655" s="3">
        <v>3</v>
      </c>
      <c r="X655" s="3" t="str">
        <f t="shared" si="44"/>
        <v>-SADNE-</v>
      </c>
      <c r="Y655" s="3" t="str">
        <f t="shared" si="45"/>
        <v>-SLOWSS-</v>
      </c>
      <c r="Z655" s="4" t="str">
        <f t="shared" si="46"/>
        <v>{"couname":"Harpy dream","img":"https://i.scdn.co/image/ab67616d0000b2738f4b5df3a6ee2abb733080a9","pty":"6","artist":"Justice","genres":"house francés,new rave,rock electrónico","duration":"28226","spotId":"5Uk1huyqQjCVocc70bgTUF","Items":["-SADNE-","-SLOWSS-","","","GN_FrenchElectro"]},</v>
      </c>
      <c r="AA655" s="5" t="s">
        <v>6100</v>
      </c>
      <c r="AB655" s="3" t="str">
        <f t="shared" si="47"/>
        <v>["-SADNE-","-SLOWSS-","","","GN_FrenchElectro"]</v>
      </c>
      <c r="AC655" s="3" t="str">
        <f>_xlfn.XLOOKUP(A655,Album!A:A,Album!J:J)</f>
        <v>https://i.scdn.co/image/ab67616d0000b2738f4b5df3a6ee2abb733080a9</v>
      </c>
      <c r="AD655" s="3"/>
      <c r="AE655" s="3"/>
      <c r="AF655" s="3"/>
      <c r="AG655" s="3"/>
      <c r="AH655" s="3"/>
    </row>
    <row r="656" spans="1:34" x14ac:dyDescent="0.3">
      <c r="A656" s="11" t="s">
        <v>1796</v>
      </c>
      <c r="B656" s="12" t="s">
        <v>1797</v>
      </c>
      <c r="C656" s="12" t="s">
        <v>1797</v>
      </c>
      <c r="D656" s="13" t="s">
        <v>4543</v>
      </c>
      <c r="E656" s="6">
        <v>45583</v>
      </c>
      <c r="F656" s="3">
        <v>144535</v>
      </c>
      <c r="G656" s="3">
        <v>6</v>
      </c>
      <c r="H656" s="3" t="s">
        <v>5280</v>
      </c>
      <c r="I656" s="3" t="s">
        <v>1675</v>
      </c>
      <c r="J656" s="3" t="s">
        <v>1798</v>
      </c>
      <c r="K656" s="3" t="s">
        <v>1799</v>
      </c>
      <c r="L656" s="3">
        <v>0.80300000000000005</v>
      </c>
      <c r="M656" s="3">
        <v>0.53500000000000003</v>
      </c>
      <c r="N656" s="3">
        <v>5</v>
      </c>
      <c r="O656" s="8">
        <v>-8345</v>
      </c>
      <c r="P656" s="3">
        <v>0</v>
      </c>
      <c r="Q656" s="3">
        <v>0.104</v>
      </c>
      <c r="R656" s="3">
        <v>0.629</v>
      </c>
      <c r="S656" s="3">
        <v>1.5200000000000001E-3</v>
      </c>
      <c r="T656" s="3">
        <v>0.10100000000000001</v>
      </c>
      <c r="U656" s="3">
        <v>0.751</v>
      </c>
      <c r="V656" s="8">
        <v>95043</v>
      </c>
      <c r="W656" s="3">
        <v>4</v>
      </c>
      <c r="X656" s="3" t="str">
        <f t="shared" si="44"/>
        <v>-HAPPY-</v>
      </c>
      <c r="Y656" s="3" t="str">
        <f t="shared" si="45"/>
        <v>-ENERGY-</v>
      </c>
      <c r="Z656" s="4" t="str">
        <f t="shared" si="46"/>
        <v>{"couname":"Grateful","img":"https://i.scdn.co/image/ab67616d0000b273672904d52dbf793c64fef7ff","pty":"6","artist":"Moveek, Robin S, Cassius","genres":"afrobeats,afrobeat,afropop,eurodance,house francés,disco house","duration":"144535","spotId":"38bTq8itgA1oUsx8levUD1","Items":["-HAPPY-","-ENERGY-","","","GN_FrenchElectro"]},</v>
      </c>
      <c r="AA656" s="5" t="s">
        <v>6100</v>
      </c>
      <c r="AB656" s="3" t="str">
        <f t="shared" si="47"/>
        <v>["-HAPPY-","-ENERGY-","","","GN_FrenchElectro"]</v>
      </c>
      <c r="AC656" s="3" t="str">
        <f>_xlfn.XLOOKUP(A656,Album!A:A,Album!J:J)</f>
        <v>https://i.scdn.co/image/ab67616d0000b273672904d52dbf793c64fef7ff</v>
      </c>
      <c r="AD656" s="3"/>
      <c r="AE656" s="3"/>
      <c r="AF656" s="3"/>
      <c r="AG656" s="3"/>
      <c r="AH656" s="3"/>
    </row>
    <row r="657" spans="1:34" x14ac:dyDescent="0.3">
      <c r="A657" s="11" t="s">
        <v>1790</v>
      </c>
      <c r="B657" s="12" t="s">
        <v>1791</v>
      </c>
      <c r="C657" s="12" t="s">
        <v>1792</v>
      </c>
      <c r="D657" s="13" t="s">
        <v>4535</v>
      </c>
      <c r="E657" s="6">
        <v>42761</v>
      </c>
      <c r="F657" s="3">
        <v>285704</v>
      </c>
      <c r="G657" s="3">
        <v>5</v>
      </c>
      <c r="H657" s="3" t="s">
        <v>5279</v>
      </c>
      <c r="I657" s="3" t="s">
        <v>1675</v>
      </c>
      <c r="J657" s="3" t="s">
        <v>463</v>
      </c>
      <c r="K657" s="3" t="s">
        <v>1793</v>
      </c>
      <c r="L657" s="3">
        <v>0.57899999999999996</v>
      </c>
      <c r="M657" s="3">
        <v>0.33600000000000002</v>
      </c>
      <c r="N657" s="3">
        <v>9</v>
      </c>
      <c r="O657" s="8">
        <v>-15861</v>
      </c>
      <c r="P657" s="3">
        <v>1</v>
      </c>
      <c r="Q657" s="3">
        <v>3.8100000000000002E-2</v>
      </c>
      <c r="R657" s="3">
        <v>6.1199999999999997E-2</v>
      </c>
      <c r="S657" s="3">
        <v>0.106</v>
      </c>
      <c r="T657" s="3">
        <v>0.20599999999999999</v>
      </c>
      <c r="U657" s="3">
        <v>0.47299999999999998</v>
      </c>
      <c r="V657" s="8">
        <v>143941</v>
      </c>
      <c r="W657" s="3">
        <v>4</v>
      </c>
      <c r="X657" s="3" t="str">
        <f t="shared" si="44"/>
        <v>-HAPPY-</v>
      </c>
      <c r="Y657" s="3" t="str">
        <f t="shared" si="45"/>
        <v>-ENERGY-</v>
      </c>
      <c r="Z657" s="4" t="str">
        <f t="shared" si="46"/>
        <v>{"couname":"Introverted Division","img":"https://i.scdn.co/image/ab67616d0000b273ec19eaffb5ffd94f91f9161f","pty":"5","artist":"Mad Mathilde, Cassius","genres":"house francés,disco house","duration":"285704","spotId":"5JLBYOuPItHb41YL95Tw8L","Items":["-HAPPY-","-ENERGY-","","","GN_FrenchElectro"]},</v>
      </c>
      <c r="AA657" s="5" t="s">
        <v>6100</v>
      </c>
      <c r="AB657" s="3" t="str">
        <f t="shared" si="47"/>
        <v>["-HAPPY-","-ENERGY-","","","GN_FrenchElectro"]</v>
      </c>
      <c r="AC657" s="3" t="str">
        <f>_xlfn.XLOOKUP(A657,Album!A:A,Album!J:J)</f>
        <v>https://i.scdn.co/image/ab67616d0000b273ec19eaffb5ffd94f91f9161f</v>
      </c>
      <c r="AD657" s="3"/>
      <c r="AE657" s="3"/>
      <c r="AF657" s="3"/>
      <c r="AG657" s="3"/>
      <c r="AH657" s="3"/>
    </row>
    <row r="658" spans="1:34" x14ac:dyDescent="0.3">
      <c r="A658" s="11" t="s">
        <v>564</v>
      </c>
      <c r="B658" s="12" t="s">
        <v>94</v>
      </c>
      <c r="C658" s="12" t="s">
        <v>566</v>
      </c>
      <c r="D658" s="13" t="s">
        <v>501</v>
      </c>
      <c r="E658" s="6">
        <v>43287</v>
      </c>
      <c r="F658" s="3">
        <v>328706</v>
      </c>
      <c r="G658" s="3">
        <v>4</v>
      </c>
      <c r="H658" s="3" t="s">
        <v>5278</v>
      </c>
      <c r="I658" s="3" t="s">
        <v>462</v>
      </c>
      <c r="J658" s="3" t="s">
        <v>463</v>
      </c>
      <c r="K658" s="3" t="s">
        <v>567</v>
      </c>
      <c r="L658" s="3">
        <v>0.63300000000000001</v>
      </c>
      <c r="M658" s="3">
        <v>0.78700000000000003</v>
      </c>
      <c r="N658" s="3">
        <v>5</v>
      </c>
      <c r="O658" s="8">
        <v>-6847</v>
      </c>
      <c r="P658" s="3">
        <v>1</v>
      </c>
      <c r="Q658" s="3">
        <v>5.2200000000000003E-2</v>
      </c>
      <c r="R658" s="3">
        <v>4.1300000000000003E-2</v>
      </c>
      <c r="S658" s="3">
        <v>0.52800000000000002</v>
      </c>
      <c r="T658" s="3">
        <v>5.6399999999999999E-2</v>
      </c>
      <c r="U658" s="3">
        <v>0.60599999999999998</v>
      </c>
      <c r="V658" s="8">
        <v>124.99</v>
      </c>
      <c r="W658" s="3">
        <v>3</v>
      </c>
      <c r="X658" s="3" t="str">
        <f t="shared" si="44"/>
        <v>-HAPPY-</v>
      </c>
      <c r="Y658" s="3" t="str">
        <f t="shared" si="45"/>
        <v>-ENERGY-</v>
      </c>
      <c r="Z658" s="4" t="str">
        <f t="shared" si="46"/>
        <v>{"couname":"I Believe","img":"https://i.scdn.co/image/ab67616d0000b273c376c08be7a00f87b7d17c87","pty":"4","artist":"Bob Sinclar","genres":"house francés,disco house","duration":"328706","spotId":"77Ew0wYIc8b2x7LMR8aXSK","Items":["-HAPPY-","-ENERGY-","","","GN_FrenchElectro"]},</v>
      </c>
      <c r="AA658" s="5" t="s">
        <v>6100</v>
      </c>
      <c r="AB658" s="3" t="str">
        <f t="shared" si="47"/>
        <v>["-HAPPY-","-ENERGY-","","","GN_FrenchElectro"]</v>
      </c>
      <c r="AC658" s="3" t="str">
        <f>_xlfn.XLOOKUP(A658,Album!A:A,Album!J:J)</f>
        <v>https://i.scdn.co/image/ab67616d0000b273c376c08be7a00f87b7d17c87</v>
      </c>
      <c r="AD658" s="3"/>
      <c r="AE658" s="3"/>
      <c r="AF658" s="3"/>
      <c r="AG658" s="3"/>
      <c r="AH658" s="3"/>
    </row>
    <row r="659" spans="1:34" x14ac:dyDescent="0.3">
      <c r="A659" s="11" t="s">
        <v>1800</v>
      </c>
      <c r="B659" s="12" t="s">
        <v>1802</v>
      </c>
      <c r="C659" s="12" t="s">
        <v>1802</v>
      </c>
      <c r="D659" s="13" t="s">
        <v>1674</v>
      </c>
      <c r="E659" s="6">
        <v>40179</v>
      </c>
      <c r="F659" s="3">
        <v>303506</v>
      </c>
      <c r="G659" s="3">
        <v>2</v>
      </c>
      <c r="H659" s="3" t="s">
        <v>5277</v>
      </c>
      <c r="I659" s="3" t="s">
        <v>1675</v>
      </c>
      <c r="J659" s="3" t="s">
        <v>463</v>
      </c>
      <c r="K659" s="3" t="s">
        <v>1803</v>
      </c>
      <c r="L659" s="3">
        <v>0.87</v>
      </c>
      <c r="M659" s="3">
        <v>0.89600000000000002</v>
      </c>
      <c r="N659" s="3">
        <v>1</v>
      </c>
      <c r="O659" s="8">
        <v>-3293</v>
      </c>
      <c r="P659" s="3">
        <v>0</v>
      </c>
      <c r="Q659" s="3">
        <v>0.22800000000000001</v>
      </c>
      <c r="R659" s="3">
        <v>4.62E-3</v>
      </c>
      <c r="S659" s="3">
        <v>3.48E-4</v>
      </c>
      <c r="T659" s="3">
        <v>2.6499999999999999E-2</v>
      </c>
      <c r="U659" s="3">
        <v>0.68700000000000006</v>
      </c>
      <c r="V659" s="8">
        <v>127001</v>
      </c>
      <c r="W659" s="3">
        <v>4</v>
      </c>
      <c r="X659" s="3" t="str">
        <f t="shared" si="44"/>
        <v>-HAPPY-</v>
      </c>
      <c r="Y659" s="3" t="str">
        <f t="shared" si="45"/>
        <v>-ENERGY-</v>
      </c>
      <c r="Z659" s="4" t="str">
        <f t="shared" si="46"/>
        <v>{"couname":"Cassius 99","img":"https://i.scdn.co/image/ab67616d0000b27337fdb10cc58f338a71d1457b","pty":"2","artist":"Cassius","genres":"house francés,disco house","duration":"303506","spotId":"0JIh11lSj8ZSvtVShKDUw8","Items":["-HAPPY-","-ENERGY-","","","GN_FrenchElectro"]},</v>
      </c>
      <c r="AA659" s="5" t="s">
        <v>6100</v>
      </c>
      <c r="AB659" s="3" t="str">
        <f t="shared" si="47"/>
        <v>["-HAPPY-","-ENERGY-","","","GN_FrenchElectro"]</v>
      </c>
      <c r="AC659" s="3" t="str">
        <f>_xlfn.XLOOKUP(A659,Album!A:A,Album!J:J)</f>
        <v>https://i.scdn.co/image/ab67616d0000b27337fdb10cc58f338a71d1457b</v>
      </c>
      <c r="AD659" s="3"/>
      <c r="AE659" s="3"/>
      <c r="AF659" s="3"/>
      <c r="AG659" s="3"/>
      <c r="AH659" s="3"/>
    </row>
    <row r="660" spans="1:34" x14ac:dyDescent="0.3">
      <c r="A660" s="11" t="s">
        <v>105</v>
      </c>
      <c r="B660" s="12" t="s">
        <v>106</v>
      </c>
      <c r="C660" s="12" t="s">
        <v>101</v>
      </c>
      <c r="D660" s="13" t="s">
        <v>18</v>
      </c>
      <c r="E660" s="6">
        <v>28096</v>
      </c>
      <c r="F660" s="3">
        <v>466306</v>
      </c>
      <c r="G660" s="3">
        <v>1</v>
      </c>
      <c r="H660" s="3" t="s">
        <v>5276</v>
      </c>
      <c r="I660" s="3" t="s">
        <v>102</v>
      </c>
      <c r="J660" s="3" t="s">
        <v>103</v>
      </c>
      <c r="K660" s="3" t="s">
        <v>104</v>
      </c>
      <c r="L660" s="3">
        <v>0.38500000000000001</v>
      </c>
      <c r="M660" s="3">
        <v>0.75900000000000001</v>
      </c>
      <c r="N660" s="3">
        <v>2</v>
      </c>
      <c r="O660" s="8">
        <v>-9163</v>
      </c>
      <c r="P660" s="3">
        <v>0</v>
      </c>
      <c r="Q660" s="3">
        <v>4.4400000000000002E-2</v>
      </c>
      <c r="R660" s="3">
        <v>0.104</v>
      </c>
      <c r="S660" s="3">
        <v>0.91600000000000004</v>
      </c>
      <c r="T660" s="3">
        <v>0.126</v>
      </c>
      <c r="U660" s="3">
        <v>0.17299999999999999</v>
      </c>
      <c r="V660" s="8">
        <v>173.58</v>
      </c>
      <c r="W660" s="3">
        <v>3</v>
      </c>
      <c r="X660" s="3" t="str">
        <f t="shared" si="44"/>
        <v>-SADNE-</v>
      </c>
      <c r="Y660" s="3" t="str">
        <f t="shared" si="45"/>
        <v>-ENERGY-</v>
      </c>
      <c r="Z660" s="4" t="str">
        <f t="shared" si="46"/>
        <v>{"couname":"Oxygene, Pt. 2","img":"https://i.scdn.co/image/ab67616d0000b273d51e6d66cda008f80104c821","pty":"1","artist":"Jean-Michel Jarre","genres":"new age,electrónica,space music","duration":"466306","spotId":"4roqhhRarPSjK7V9viFOVU","Items":["-SADNE-","-ENERGY-","","","GN_FrenchElectro"]},</v>
      </c>
      <c r="AA660" s="5" t="s">
        <v>6100</v>
      </c>
      <c r="AB660" s="3" t="str">
        <f t="shared" si="47"/>
        <v>["-SADNE-","-ENERGY-","","","GN_FrenchElectro"]</v>
      </c>
      <c r="AC660" s="3" t="str">
        <f>_xlfn.XLOOKUP(A660,Album!A:A,Album!J:J)</f>
        <v>https://i.scdn.co/image/ab67616d0000b273d51e6d66cda008f80104c821</v>
      </c>
      <c r="AD660" s="3"/>
      <c r="AE660" s="3"/>
      <c r="AF660" s="3"/>
      <c r="AG660" s="3"/>
      <c r="AH660" s="3"/>
    </row>
    <row r="661" spans="1:34" x14ac:dyDescent="0.3">
      <c r="A661" s="11" t="s">
        <v>166</v>
      </c>
      <c r="B661" s="12" t="s">
        <v>167</v>
      </c>
      <c r="C661" s="12" t="s">
        <v>161</v>
      </c>
      <c r="D661" s="13" t="s">
        <v>18</v>
      </c>
      <c r="E661" s="6">
        <v>42244</v>
      </c>
      <c r="F661" s="3">
        <v>238226</v>
      </c>
      <c r="G661" s="3">
        <v>1</v>
      </c>
      <c r="H661" s="3" t="s">
        <v>5275</v>
      </c>
      <c r="I661" s="3" t="s">
        <v>102</v>
      </c>
      <c r="J661" s="3" t="s">
        <v>103</v>
      </c>
      <c r="K661" s="3" t="s">
        <v>104</v>
      </c>
      <c r="L661" s="3">
        <v>0.60499999999999998</v>
      </c>
      <c r="M661" s="3">
        <v>0.81499999999999995</v>
      </c>
      <c r="N661" s="3">
        <v>0</v>
      </c>
      <c r="O661" s="8">
        <v>-6739</v>
      </c>
      <c r="P661" s="3">
        <v>1</v>
      </c>
      <c r="Q661" s="3">
        <v>3.1199999999999999E-2</v>
      </c>
      <c r="R661" s="3">
        <v>8.3000000000000004E-2</v>
      </c>
      <c r="S661" s="3">
        <v>0.27400000000000002</v>
      </c>
      <c r="T661" s="3">
        <v>0.27400000000000002</v>
      </c>
      <c r="U661" s="3">
        <v>0.498</v>
      </c>
      <c r="V661" s="8">
        <v>132508</v>
      </c>
      <c r="W661" s="3">
        <v>4</v>
      </c>
      <c r="X661" s="3" t="str">
        <f t="shared" si="44"/>
        <v>-HAPPY-</v>
      </c>
      <c r="Y661" s="3" t="str">
        <f t="shared" si="45"/>
        <v>-ENERGY-</v>
      </c>
      <c r="Z661" s="4" t="str">
        <f t="shared" si="46"/>
        <v>{"couname":"Fourth Rendez-Vous","img":"https://i.scdn.co/image/ab67616d0000b273a8c95c467d2912d2289142e4","pty":"1","artist":"Jean-Michel Jarre","genres":"new age,electrónica,space music","duration":"238226","spotId":"4ilhAiU52ZiHlfmQbmfhWq","Items":["-HAPPY-","-ENERGY-","","","GN_FrenchElectro"]},</v>
      </c>
      <c r="AA661" s="5" t="s">
        <v>6100</v>
      </c>
      <c r="AB661" s="3" t="str">
        <f t="shared" si="47"/>
        <v>["-HAPPY-","-ENERGY-","","","GN_FrenchElectro"]</v>
      </c>
      <c r="AC661" s="3" t="str">
        <f>_xlfn.XLOOKUP(A661,Album!A:A,Album!J:J)</f>
        <v>https://i.scdn.co/image/ab67616d0000b273a8c95c467d2912d2289142e4</v>
      </c>
      <c r="AD661" s="3"/>
      <c r="AE661" s="3"/>
      <c r="AF661" s="3"/>
      <c r="AG661" s="3"/>
      <c r="AH661" s="3"/>
    </row>
    <row r="662" spans="1:34" x14ac:dyDescent="0.3">
      <c r="A662" s="11" t="s">
        <v>522</v>
      </c>
      <c r="B662" s="12" t="s">
        <v>5273</v>
      </c>
      <c r="C662" s="12" t="s">
        <v>524</v>
      </c>
      <c r="D662" s="13" t="s">
        <v>501</v>
      </c>
      <c r="E662" s="6">
        <v>2000</v>
      </c>
      <c r="F662" s="3">
        <v>350813</v>
      </c>
      <c r="G662" s="3">
        <v>1</v>
      </c>
      <c r="H662" s="3" t="s">
        <v>5274</v>
      </c>
      <c r="I662" s="3" t="s">
        <v>462</v>
      </c>
      <c r="J662" s="3" t="s">
        <v>463</v>
      </c>
      <c r="K662" s="3" t="s">
        <v>469</v>
      </c>
      <c r="L662" s="3">
        <v>0.65800000000000003</v>
      </c>
      <c r="M662" s="3">
        <v>0.88900000000000001</v>
      </c>
      <c r="N662" s="3">
        <v>8</v>
      </c>
      <c r="O662" s="8">
        <v>-4432</v>
      </c>
      <c r="P662" s="3">
        <v>0</v>
      </c>
      <c r="Q662" s="3">
        <v>4.3499999999999997E-2</v>
      </c>
      <c r="R662" s="3">
        <v>1.64E-4</v>
      </c>
      <c r="S662" s="3">
        <v>1.1599999999999999E-2</v>
      </c>
      <c r="T662" s="3">
        <v>0.33700000000000002</v>
      </c>
      <c r="U662" s="3">
        <v>0.501</v>
      </c>
      <c r="V662" s="8">
        <v>129973</v>
      </c>
      <c r="W662" s="3">
        <v>4</v>
      </c>
      <c r="X662" s="3" t="str">
        <f t="shared" si="44"/>
        <v>-HAPPY-</v>
      </c>
      <c r="Y662" s="3" t="str">
        <f t="shared" si="45"/>
        <v>-ENERGY-</v>
      </c>
      <c r="Z662" s="4" t="str">
        <f t="shared" si="46"/>
        <v>{"couname":"I feel for you","img":"https://i.scdn.co/image/ab67616d0000b2732a4bf35dbae486853c53394b","pty":"1","artist":"Bob Sinclar","genres":"house francés,disco house","duration":"350813","spotId":"3zAU6cqXVFTzz1Yvnw87x1","Items":["-HAPPY-","-ENERGY-","","","GN_FrenchElectro"]},</v>
      </c>
      <c r="AA662" s="5" t="s">
        <v>6100</v>
      </c>
      <c r="AB662" s="3" t="str">
        <f t="shared" si="47"/>
        <v>["-HAPPY-","-ENERGY-","","","GN_FrenchElectro"]</v>
      </c>
      <c r="AC662" s="3" t="str">
        <f>_xlfn.XLOOKUP(A662,Album!A:A,Album!J:J)</f>
        <v>https://i.scdn.co/image/ab67616d0000b2732a4bf35dbae486853c53394b</v>
      </c>
      <c r="AD662" s="3"/>
      <c r="AE662" s="3"/>
      <c r="AF662" s="3"/>
      <c r="AG662" s="3"/>
      <c r="AH662" s="3"/>
    </row>
    <row r="663" spans="1:34" x14ac:dyDescent="0.3">
      <c r="A663" s="11" t="s">
        <v>588</v>
      </c>
      <c r="B663" s="12" t="s">
        <v>5271</v>
      </c>
      <c r="C663" s="12" t="s">
        <v>590</v>
      </c>
      <c r="D663" s="13" t="s">
        <v>501</v>
      </c>
      <c r="E663" s="6">
        <v>41547</v>
      </c>
      <c r="F663" s="3">
        <v>183433</v>
      </c>
      <c r="G663" s="3">
        <v>1</v>
      </c>
      <c r="H663" s="3" t="s">
        <v>5272</v>
      </c>
      <c r="I663" s="3" t="s">
        <v>462</v>
      </c>
      <c r="J663" s="3" t="s">
        <v>463</v>
      </c>
      <c r="K663" s="3" t="s">
        <v>469</v>
      </c>
      <c r="L663" s="3">
        <v>0.74099999999999999</v>
      </c>
      <c r="M663" s="3">
        <v>0.81399999999999995</v>
      </c>
      <c r="N663" s="3">
        <v>9</v>
      </c>
      <c r="O663" s="8">
        <v>-5179</v>
      </c>
      <c r="P663" s="3">
        <v>1</v>
      </c>
      <c r="Q663" s="3">
        <v>3.04E-2</v>
      </c>
      <c r="R663" s="3">
        <v>4.7500000000000001E-2</v>
      </c>
      <c r="S663" s="3">
        <v>0.30199999999999999</v>
      </c>
      <c r="T663" s="3">
        <v>9.3600000000000003E-2</v>
      </c>
      <c r="U663" s="3">
        <v>0.68100000000000005</v>
      </c>
      <c r="V663" s="8">
        <v>126021</v>
      </c>
      <c r="W663" s="3">
        <v>4</v>
      </c>
      <c r="X663" s="3" t="str">
        <f t="shared" si="44"/>
        <v>-HAPPY-</v>
      </c>
      <c r="Y663" s="3" t="str">
        <f t="shared" si="45"/>
        <v>-ENERGY-</v>
      </c>
      <c r="Z663" s="4" t="str">
        <f t="shared" si="46"/>
        <v>{"couname":"Cinderella","img":"https://i.scdn.co/image/ab67616d0000b273eab2695925132b7a6de2335b","pty":"1","artist":"Bob Sinclar","genres":"house francés,disco house","duration":"183433","spotId":"39rCjMwNSGk7xeJ1zZRzuX","Items":["-HAPPY-","-ENERGY-","","","GN_FrenchElectro"]},</v>
      </c>
      <c r="AA663" s="5" t="s">
        <v>6100</v>
      </c>
      <c r="AB663" s="3" t="str">
        <f t="shared" si="47"/>
        <v>["-HAPPY-","-ENERGY-","","","GN_FrenchElectro"]</v>
      </c>
      <c r="AC663" s="3" t="str">
        <f>_xlfn.XLOOKUP(A663,Album!A:A,Album!J:J)</f>
        <v>https://i.scdn.co/image/ab67616d0000b273eab2695925132b7a6de2335b</v>
      </c>
      <c r="AD663" s="3"/>
      <c r="AE663" s="3"/>
      <c r="AF663" s="3"/>
      <c r="AG663" s="3"/>
      <c r="AH663" s="3"/>
    </row>
    <row r="664" spans="1:34" x14ac:dyDescent="0.3">
      <c r="A664" s="11" t="s">
        <v>774</v>
      </c>
      <c r="B664" s="12" t="s">
        <v>776</v>
      </c>
      <c r="C664" s="12" t="s">
        <v>776</v>
      </c>
      <c r="D664" s="13" t="s">
        <v>3038</v>
      </c>
      <c r="E664" s="6">
        <v>38718</v>
      </c>
      <c r="F664" s="3">
        <v>262773</v>
      </c>
      <c r="G664" s="3">
        <v>1</v>
      </c>
      <c r="H664" s="3" t="s">
        <v>5270</v>
      </c>
      <c r="I664" s="3" t="s">
        <v>738</v>
      </c>
      <c r="J664" s="3" t="s">
        <v>742</v>
      </c>
      <c r="K664" s="3" t="s">
        <v>777</v>
      </c>
      <c r="L664" s="3">
        <v>0.61499999999999999</v>
      </c>
      <c r="M664" s="3">
        <v>0.97</v>
      </c>
      <c r="N664" s="3">
        <v>9</v>
      </c>
      <c r="O664" s="8">
        <v>1342</v>
      </c>
      <c r="P664" s="3">
        <v>0</v>
      </c>
      <c r="Q664" s="3">
        <v>0.11899999999999999</v>
      </c>
      <c r="R664" s="3">
        <v>1.04E-2</v>
      </c>
      <c r="S664" s="3">
        <v>0.38400000000000001</v>
      </c>
      <c r="T664" s="3">
        <v>0.17799999999999999</v>
      </c>
      <c r="U664" s="3">
        <v>0.50700000000000001</v>
      </c>
      <c r="V664" s="8">
        <v>122993</v>
      </c>
      <c r="W664" s="3">
        <v>4</v>
      </c>
      <c r="X664" s="3" t="str">
        <f t="shared" si="44"/>
        <v>-HAPPY-</v>
      </c>
      <c r="Y664" s="3" t="str">
        <f t="shared" si="45"/>
        <v>-ENERGY-</v>
      </c>
      <c r="Z664" s="4" t="str">
        <f t="shared" si="46"/>
        <v>{"couname":"We Are Your Friends","img":"https://i.scdn.co/image/ab67616d0000b273da9d336dbc4e0b8adc2b8959","pty":"1","artist":"Justice, Simian","genres":"house francés,new rave,rock electrónico","duration":"262773","spotId":"49ErwcBYfYRPNBdRuPvpYA","Items":["-HAPPY-","-ENERGY-","","","GN_FrenchElectro"]},</v>
      </c>
      <c r="AA664" s="5" t="s">
        <v>6100</v>
      </c>
      <c r="AB664" s="3" t="str">
        <f t="shared" si="47"/>
        <v>["-HAPPY-","-ENERGY-","","","GN_FrenchElectro"]</v>
      </c>
      <c r="AC664" s="3" t="str">
        <f>_xlfn.XLOOKUP(A664,Album!A:A,Album!J:J)</f>
        <v>https://i.scdn.co/image/ab67616d0000b273da9d336dbc4e0b8adc2b8959</v>
      </c>
      <c r="AD664" s="3"/>
      <c r="AE664" s="3"/>
      <c r="AF664" s="3"/>
      <c r="AG664" s="3"/>
      <c r="AH664" s="3"/>
    </row>
    <row r="665" spans="1:34" x14ac:dyDescent="0.3">
      <c r="A665" s="11" t="s">
        <v>1545</v>
      </c>
      <c r="B665" s="12" t="s">
        <v>1546</v>
      </c>
      <c r="C665" s="12" t="s">
        <v>1547</v>
      </c>
      <c r="D665" s="13" t="s">
        <v>5269</v>
      </c>
      <c r="E665" s="6">
        <v>42156</v>
      </c>
      <c r="F665" s="3">
        <v>176561</v>
      </c>
      <c r="G665" s="3">
        <v>1</v>
      </c>
      <c r="H665" s="3" t="s">
        <v>5268</v>
      </c>
      <c r="I665" s="3" t="s">
        <v>1463</v>
      </c>
      <c r="J665" s="3" t="s">
        <v>1495</v>
      </c>
      <c r="K665" s="3" t="s">
        <v>1548</v>
      </c>
      <c r="L665" s="3">
        <v>0.72299999999999998</v>
      </c>
      <c r="M665" s="3">
        <v>0.80900000000000005</v>
      </c>
      <c r="N665" s="3">
        <v>7</v>
      </c>
      <c r="O665" s="8">
        <v>-3081</v>
      </c>
      <c r="P665" s="3">
        <v>0</v>
      </c>
      <c r="Q665" s="3">
        <v>6.25E-2</v>
      </c>
      <c r="R665" s="3">
        <v>3.46E-3</v>
      </c>
      <c r="S665" s="3">
        <v>1.23E-3</v>
      </c>
      <c r="T665" s="3">
        <v>0.56499999999999995</v>
      </c>
      <c r="U665" s="3">
        <v>0.27400000000000002</v>
      </c>
      <c r="V665" s="8">
        <v>98007</v>
      </c>
      <c r="W665" s="3">
        <v>4</v>
      </c>
      <c r="X665" s="3" t="str">
        <f t="shared" si="44"/>
        <v>-SADNE-</v>
      </c>
      <c r="Y665" s="3" t="str">
        <f t="shared" si="45"/>
        <v>-ENERGY-</v>
      </c>
      <c r="Z665" s="4" t="str">
        <f t="shared" si="46"/>
        <v>{"couname":"Lean On","img":"https://i.scdn.co/image/ab67616d0000b27352bcdd2a2c9bfa7970e8cb60","pty":"1","artist":"Major Lazer, MØ, DJ Snake","genres":"moombahton","duration":"176561","spotId":"5wldXGLEOoRXxMWJ8rIUWE","Items":["-SADNE-","-ENERGY-","","","GN_FrenchElectro"]},</v>
      </c>
      <c r="AA665" s="5" t="s">
        <v>6100</v>
      </c>
      <c r="AB665" s="3" t="str">
        <f t="shared" si="47"/>
        <v>["-SADNE-","-ENERGY-","","","GN_FrenchElectro"]</v>
      </c>
      <c r="AC665" s="3" t="str">
        <f>_xlfn.XLOOKUP(A665,Album!A:A,Album!J:J)</f>
        <v>https://i.scdn.co/image/ab67616d0000b27352bcdd2a2c9bfa7970e8cb60</v>
      </c>
      <c r="AD665" s="3"/>
      <c r="AE665" s="3"/>
      <c r="AF665" s="3"/>
      <c r="AG665" s="3"/>
      <c r="AH665" s="3"/>
    </row>
    <row r="666" spans="1:34" x14ac:dyDescent="0.3">
      <c r="A666" s="11" t="s">
        <v>1588</v>
      </c>
      <c r="B666" s="12" t="s">
        <v>5266</v>
      </c>
      <c r="C666" s="12" t="s">
        <v>1589</v>
      </c>
      <c r="D666" s="13" t="s">
        <v>4250</v>
      </c>
      <c r="E666" s="6">
        <v>44421</v>
      </c>
      <c r="F666" s="3">
        <v>163389</v>
      </c>
      <c r="G666" s="3">
        <v>1</v>
      </c>
      <c r="H666" s="3" t="s">
        <v>5267</v>
      </c>
      <c r="I666" s="3" t="s">
        <v>1463</v>
      </c>
      <c r="J666" s="3" t="s">
        <v>1590</v>
      </c>
      <c r="K666" s="3" t="s">
        <v>1591</v>
      </c>
      <c r="L666" s="3">
        <v>0.68799999999999994</v>
      </c>
      <c r="M666" s="3">
        <v>0.72499999999999998</v>
      </c>
      <c r="N666" s="3">
        <v>2</v>
      </c>
      <c r="O666" s="8">
        <v>-7831</v>
      </c>
      <c r="P666" s="3">
        <v>1</v>
      </c>
      <c r="Q666" s="3">
        <v>4.5600000000000002E-2</v>
      </c>
      <c r="R666" s="3">
        <v>2.06E-2</v>
      </c>
      <c r="S666" s="3">
        <v>9.1800000000000002E-6</v>
      </c>
      <c r="T666" s="3">
        <v>8.5900000000000004E-2</v>
      </c>
      <c r="U666" s="3">
        <v>0.224</v>
      </c>
      <c r="V666" s="8">
        <v>104018</v>
      </c>
      <c r="W666" s="3">
        <v>4</v>
      </c>
      <c r="X666" s="3" t="str">
        <f t="shared" si="44"/>
        <v>-SADNE-</v>
      </c>
      <c r="Y666" s="3" t="str">
        <f t="shared" si="45"/>
        <v>-ENERGY-</v>
      </c>
      <c r="Z666" s="4" t="str">
        <f t="shared" si="46"/>
        <v>{"couname":"Run It","img":"https://i.scdn.co/image/ab67616d0000b273077d7f12206ef646ad10ceac","pty":"1","artist":"DJ Snake, Rick Ross, Rich Brian","genres":"hip hop sureño americano","duration":"163389","spotId":"282R6Lvm9nLtpx8AzUwJe0","Items":["-SADNE-","-ENERGY-","","","GN_FrenchElectro"]},</v>
      </c>
      <c r="AA666" s="5" t="s">
        <v>6100</v>
      </c>
      <c r="AB666" s="3" t="str">
        <f t="shared" si="47"/>
        <v>["-SADNE-","-ENERGY-","","","GN_FrenchElectro"]</v>
      </c>
      <c r="AC666" s="3" t="str">
        <f>_xlfn.XLOOKUP(A666,Album!A:A,Album!J:J)</f>
        <v>https://i.scdn.co/image/ab67616d0000b273077d7f12206ef646ad10ceac</v>
      </c>
      <c r="AD666" s="3"/>
      <c r="AE666" s="3"/>
      <c r="AF666" s="3"/>
      <c r="AG666" s="3"/>
      <c r="AH666" s="3"/>
    </row>
    <row r="667" spans="1:34" x14ac:dyDescent="0.3">
      <c r="A667" s="11" t="s">
        <v>1628</v>
      </c>
      <c r="B667" s="12" t="s">
        <v>5264</v>
      </c>
      <c r="C667" s="12" t="s">
        <v>1629</v>
      </c>
      <c r="D667" s="13" t="s">
        <v>4075</v>
      </c>
      <c r="E667" s="6">
        <v>43629</v>
      </c>
      <c r="F667" s="3">
        <v>185194</v>
      </c>
      <c r="G667" s="3">
        <v>1</v>
      </c>
      <c r="H667" s="3" t="s">
        <v>5265</v>
      </c>
      <c r="I667" s="3" t="s">
        <v>1463</v>
      </c>
      <c r="J667" s="3" t="s">
        <v>1480</v>
      </c>
      <c r="K667" s="3" t="s">
        <v>1630</v>
      </c>
      <c r="L667" s="3">
        <v>0.82199999999999995</v>
      </c>
      <c r="M667" s="3">
        <v>0.74299999999999999</v>
      </c>
      <c r="N667" s="3">
        <v>6</v>
      </c>
      <c r="O667" s="8">
        <v>-3.04</v>
      </c>
      <c r="P667" s="3">
        <v>0</v>
      </c>
      <c r="Q667" s="3">
        <v>5.67E-2</v>
      </c>
      <c r="R667" s="3">
        <v>0.28499999999999998</v>
      </c>
      <c r="S667" s="3">
        <v>2.3099999999999999E-6</v>
      </c>
      <c r="T667" s="3">
        <v>0.10199999999999999</v>
      </c>
      <c r="U667" s="3">
        <v>0.35499999999999998</v>
      </c>
      <c r="V667" s="8">
        <v>96025</v>
      </c>
      <c r="W667" s="3">
        <v>4</v>
      </c>
      <c r="X667" s="3" t="str">
        <f t="shared" si="44"/>
        <v>-SADNE-</v>
      </c>
      <c r="Y667" s="3" t="str">
        <f t="shared" si="45"/>
        <v>-ENERGY-</v>
      </c>
      <c r="Z667" s="4" t="str">
        <f t="shared" si="46"/>
        <v>{"couname":"Loco Contigo","img":"https://i.scdn.co/image/ab67616d0000b273e664d3020cc29bfa931ba42b","pty":"1","artist":"DJ Snake, J Balvin, Tyga","genres":"reggaetón,latina","duration":"185194","spotId":"1f38Gx6xQz6r4H1jGVNBJo","Items":["-SADNE-","-ENERGY-","","","GN_FrenchElectro"]},</v>
      </c>
      <c r="AA667" s="5" t="s">
        <v>6100</v>
      </c>
      <c r="AB667" s="3" t="str">
        <f t="shared" si="47"/>
        <v>["-SADNE-","-ENERGY-","","","GN_FrenchElectro"]</v>
      </c>
      <c r="AC667" s="3" t="str">
        <f>_xlfn.XLOOKUP(A667,Album!A:A,Album!J:J)</f>
        <v>https://i.scdn.co/image/ab67616d0000b273e664d3020cc29bfa931ba42b</v>
      </c>
      <c r="AD667" s="3"/>
      <c r="AE667" s="3"/>
      <c r="AF667" s="3"/>
      <c r="AG667" s="3"/>
      <c r="AH667" s="3"/>
    </row>
    <row r="668" spans="1:34" x14ac:dyDescent="0.3">
      <c r="A668" s="11" t="s">
        <v>99</v>
      </c>
      <c r="B668" s="12" t="s">
        <v>100</v>
      </c>
      <c r="C668" s="12" t="s">
        <v>101</v>
      </c>
      <c r="D668" s="13" t="s">
        <v>18</v>
      </c>
      <c r="E668" s="6">
        <v>28096</v>
      </c>
      <c r="F668" s="3">
        <v>460640</v>
      </c>
      <c r="G668" s="3">
        <v>0</v>
      </c>
      <c r="H668" s="3" t="s">
        <v>5263</v>
      </c>
      <c r="I668" s="3" t="s">
        <v>102</v>
      </c>
      <c r="J668" s="3" t="s">
        <v>103</v>
      </c>
      <c r="K668" s="3" t="s">
        <v>104</v>
      </c>
      <c r="L668" s="3">
        <v>8.4900000000000003E-2</v>
      </c>
      <c r="M668" s="3">
        <v>0.29799999999999999</v>
      </c>
      <c r="N668" s="3">
        <v>7</v>
      </c>
      <c r="O668" s="8">
        <v>-15022</v>
      </c>
      <c r="P668" s="3">
        <v>0</v>
      </c>
      <c r="Q668" s="3">
        <v>3.9699999999999999E-2</v>
      </c>
      <c r="R668" s="3">
        <v>0.77200000000000002</v>
      </c>
      <c r="S668" s="3">
        <v>0.17499999999999999</v>
      </c>
      <c r="T668" s="3">
        <v>0.25</v>
      </c>
      <c r="U668" s="3">
        <v>3.5099999999999999E-2</v>
      </c>
      <c r="V668" s="8">
        <v>170.7</v>
      </c>
      <c r="W668" s="3">
        <v>4</v>
      </c>
      <c r="X668" s="3" t="str">
        <f t="shared" si="44"/>
        <v>-SADNE-</v>
      </c>
      <c r="Y668" s="3" t="str">
        <f t="shared" si="45"/>
        <v>-SLOWSS-</v>
      </c>
      <c r="Z668" s="4" t="str">
        <f t="shared" si="46"/>
        <v>{"couname":"Oxygene, Pt. 1","img":"https://i.scdn.co/image/ab67616d0000b273d51e6d66cda008f80104c821","pty":"0","artist":"Jean-Michel Jarre","genres":"new age,electrónica,space music","duration":"460640","spotId":"75c7B7CF7n06YFSgnoxVMm","Items":["-SADNE-","-SLOWSS-","","","GN_FrenchElectro"]},</v>
      </c>
      <c r="AA668" s="5" t="s">
        <v>6100</v>
      </c>
      <c r="AB668" s="3" t="str">
        <f t="shared" si="47"/>
        <v>["-SADNE-","-SLOWSS-","","","GN_FrenchElectro"]</v>
      </c>
      <c r="AC668" s="3" t="str">
        <f>_xlfn.XLOOKUP(A668,Album!A:A,Album!J:J)</f>
        <v>https://i.scdn.co/image/ab67616d0000b273d51e6d66cda008f80104c821</v>
      </c>
      <c r="AD668" s="3"/>
      <c r="AE668" s="3"/>
      <c r="AF668" s="3"/>
      <c r="AG668" s="3"/>
      <c r="AH668" s="3"/>
    </row>
    <row r="669" spans="1:34" x14ac:dyDescent="0.3">
      <c r="A669" s="11" t="s">
        <v>107</v>
      </c>
      <c r="B669" s="12" t="s">
        <v>108</v>
      </c>
      <c r="C669" s="12" t="s">
        <v>101</v>
      </c>
      <c r="D669" s="13" t="s">
        <v>18</v>
      </c>
      <c r="E669" s="6">
        <v>28096</v>
      </c>
      <c r="F669" s="3">
        <v>196733</v>
      </c>
      <c r="G669" s="3">
        <v>0</v>
      </c>
      <c r="H669" s="3" t="s">
        <v>5262</v>
      </c>
      <c r="I669" s="3" t="s">
        <v>102</v>
      </c>
      <c r="J669" s="3" t="s">
        <v>103</v>
      </c>
      <c r="K669" s="3" t="s">
        <v>104</v>
      </c>
      <c r="L669" s="3">
        <v>0.19500000000000001</v>
      </c>
      <c r="M669" s="3">
        <v>0.52400000000000002</v>
      </c>
      <c r="N669" s="3">
        <v>7</v>
      </c>
      <c r="O669" s="8">
        <v>-12275</v>
      </c>
      <c r="P669" s="3">
        <v>0</v>
      </c>
      <c r="Q669" s="3">
        <v>3.8800000000000001E-2</v>
      </c>
      <c r="R669" s="3">
        <v>6.5000000000000002E-2</v>
      </c>
      <c r="S669" s="3">
        <v>0.96199999999999997</v>
      </c>
      <c r="T669" s="3">
        <v>0.219</v>
      </c>
      <c r="U669" s="3">
        <v>5.2499999999999998E-2</v>
      </c>
      <c r="V669" s="8">
        <v>76383</v>
      </c>
      <c r="W669" s="3">
        <v>4</v>
      </c>
      <c r="X669" s="3" t="str">
        <f t="shared" si="44"/>
        <v>-SADNE-</v>
      </c>
      <c r="Y669" s="3" t="str">
        <f t="shared" si="45"/>
        <v>-ENERGY-</v>
      </c>
      <c r="Z669" s="4" t="str">
        <f t="shared" si="46"/>
        <v>{"couname":"Oxygene, Pt. 3","img":"https://i.scdn.co/image/ab67616d0000b273d51e6d66cda008f80104c821","pty":"0","artist":"Jean-Michel Jarre","genres":"new age,electrónica,space music","duration":"196733","spotId":"2A1Xj74FRxsLuD2cloaCKO","Items":["-SADNE-","-ENERGY-","","","GN_FrenchElectro"]},</v>
      </c>
      <c r="AA669" s="5" t="s">
        <v>6100</v>
      </c>
      <c r="AB669" s="3" t="str">
        <f t="shared" si="47"/>
        <v>["-SADNE-","-ENERGY-","","","GN_FrenchElectro"]</v>
      </c>
      <c r="AC669" s="3" t="str">
        <f>_xlfn.XLOOKUP(A669,Album!A:A,Album!J:J)</f>
        <v>https://i.scdn.co/image/ab67616d0000b273d51e6d66cda008f80104c821</v>
      </c>
      <c r="AD669" s="3"/>
      <c r="AE669" s="3"/>
      <c r="AF669" s="3"/>
      <c r="AG669" s="3"/>
      <c r="AH669" s="3"/>
    </row>
    <row r="670" spans="1:34" x14ac:dyDescent="0.3">
      <c r="A670" s="11" t="s">
        <v>111</v>
      </c>
      <c r="B670" s="12" t="s">
        <v>112</v>
      </c>
      <c r="C670" s="12" t="s">
        <v>101</v>
      </c>
      <c r="D670" s="13" t="s">
        <v>18</v>
      </c>
      <c r="E670" s="6">
        <v>28096</v>
      </c>
      <c r="F670" s="3">
        <v>615173</v>
      </c>
      <c r="G670" s="3">
        <v>0</v>
      </c>
      <c r="H670" s="3" t="s">
        <v>5261</v>
      </c>
      <c r="I670" s="3" t="s">
        <v>102</v>
      </c>
      <c r="J670" s="3" t="s">
        <v>103</v>
      </c>
      <c r="K670" s="3" t="s">
        <v>104</v>
      </c>
      <c r="L670" s="3">
        <v>0.26300000000000001</v>
      </c>
      <c r="M670" s="3">
        <v>0.64100000000000001</v>
      </c>
      <c r="N670" s="3">
        <v>0</v>
      </c>
      <c r="O670" s="8">
        <v>-11004</v>
      </c>
      <c r="P670" s="3">
        <v>1</v>
      </c>
      <c r="Q670" s="3">
        <v>3.6600000000000001E-2</v>
      </c>
      <c r="R670" s="3">
        <v>3.95E-2</v>
      </c>
      <c r="S670" s="3">
        <v>0.66600000000000004</v>
      </c>
      <c r="T670" s="3">
        <v>0.54200000000000004</v>
      </c>
      <c r="U670" s="3">
        <v>3.56E-2</v>
      </c>
      <c r="V670" s="8">
        <v>96307</v>
      </c>
      <c r="W670" s="3">
        <v>4</v>
      </c>
      <c r="X670" s="3" t="str">
        <f t="shared" si="44"/>
        <v>-SADNE-</v>
      </c>
      <c r="Y670" s="3" t="str">
        <f t="shared" si="45"/>
        <v>-ENERGY-</v>
      </c>
      <c r="Z670" s="4" t="str">
        <f t="shared" si="46"/>
        <v>{"couname":"Oxygene, Pt. 5","img":"https://i.scdn.co/image/ab67616d0000b273d51e6d66cda008f80104c821","pty":"0","artist":"Jean-Michel Jarre","genres":"new age,electrónica,space music","duration":"615173","spotId":"44nUMbOtZHfAvYZG0gcxOH","Items":["-SADNE-","-ENERGY-","","","GN_FrenchElectro"]},</v>
      </c>
      <c r="AA670" s="5" t="s">
        <v>6100</v>
      </c>
      <c r="AB670" s="3" t="str">
        <f t="shared" si="47"/>
        <v>["-SADNE-","-ENERGY-","","","GN_FrenchElectro"]</v>
      </c>
      <c r="AC670" s="3" t="str">
        <f>_xlfn.XLOOKUP(A670,Album!A:A,Album!J:J)</f>
        <v>https://i.scdn.co/image/ab67616d0000b273d51e6d66cda008f80104c821</v>
      </c>
      <c r="AD670" s="3"/>
      <c r="AE670" s="3"/>
      <c r="AF670" s="3"/>
      <c r="AG670" s="3"/>
      <c r="AH670" s="3"/>
    </row>
    <row r="671" spans="1:34" x14ac:dyDescent="0.3">
      <c r="A671" s="11" t="s">
        <v>113</v>
      </c>
      <c r="B671" s="12" t="s">
        <v>114</v>
      </c>
      <c r="C671" s="12" t="s">
        <v>101</v>
      </c>
      <c r="D671" s="13" t="s">
        <v>18</v>
      </c>
      <c r="E671" s="6">
        <v>28096</v>
      </c>
      <c r="F671" s="3">
        <v>396360</v>
      </c>
      <c r="G671" s="3">
        <v>0</v>
      </c>
      <c r="H671" s="3" t="s">
        <v>5260</v>
      </c>
      <c r="I671" s="3" t="s">
        <v>102</v>
      </c>
      <c r="J671" s="3" t="s">
        <v>103</v>
      </c>
      <c r="K671" s="3" t="s">
        <v>104</v>
      </c>
      <c r="L671" s="3">
        <v>0.48199999999999998</v>
      </c>
      <c r="M671" s="3">
        <v>0.78500000000000003</v>
      </c>
      <c r="N671" s="3">
        <v>5</v>
      </c>
      <c r="O671" s="8">
        <v>-12.36</v>
      </c>
      <c r="P671" s="3">
        <v>0</v>
      </c>
      <c r="Q671" s="3">
        <v>4.2999999999999997E-2</v>
      </c>
      <c r="R671" s="3">
        <v>0.122</v>
      </c>
      <c r="S671" s="3">
        <v>0.92300000000000004</v>
      </c>
      <c r="T671" s="3">
        <v>0.17199999999999999</v>
      </c>
      <c r="U671" s="3">
        <v>0.34699999999999998</v>
      </c>
      <c r="V671" s="8">
        <v>115.46</v>
      </c>
      <c r="W671" s="3">
        <v>4</v>
      </c>
      <c r="X671" s="3" t="str">
        <f t="shared" si="44"/>
        <v>-SADNE-</v>
      </c>
      <c r="Y671" s="3" t="str">
        <f t="shared" si="45"/>
        <v>-ENERGY-</v>
      </c>
      <c r="Z671" s="4" t="str">
        <f t="shared" si="46"/>
        <v>{"couname":"Oxygene, Pt. 6","img":"https://i.scdn.co/image/ab67616d0000b273d51e6d66cda008f80104c821","pty":"0","artist":"Jean-Michel Jarre","genres":"new age,electrónica,space music","duration":"396360","spotId":"6sRwKAE9wBr8Iuoxo7JcWf","Items":["-SADNE-","-ENERGY-","","","GN_FrenchElectro"]},</v>
      </c>
      <c r="AA671" s="5" t="s">
        <v>6100</v>
      </c>
      <c r="AB671" s="3" t="str">
        <f t="shared" si="47"/>
        <v>["-SADNE-","-ENERGY-","","","GN_FrenchElectro"]</v>
      </c>
      <c r="AC671" s="3" t="str">
        <f>_xlfn.XLOOKUP(A671,Album!A:A,Album!J:J)</f>
        <v>https://i.scdn.co/image/ab67616d0000b273d51e6d66cda008f80104c821</v>
      </c>
      <c r="AD671" s="3"/>
      <c r="AE671" s="3"/>
      <c r="AF671" s="3"/>
      <c r="AG671" s="3"/>
      <c r="AH671" s="3"/>
    </row>
    <row r="672" spans="1:34" x14ac:dyDescent="0.3">
      <c r="A672" s="11" t="s">
        <v>115</v>
      </c>
      <c r="B672" s="12" t="s">
        <v>116</v>
      </c>
      <c r="C672" s="12" t="s">
        <v>117</v>
      </c>
      <c r="D672" s="13" t="s">
        <v>18</v>
      </c>
      <c r="E672" s="6" t="s">
        <v>118</v>
      </c>
      <c r="F672" s="3">
        <v>143680</v>
      </c>
      <c r="G672" s="3">
        <v>0</v>
      </c>
      <c r="H672" s="3" t="s">
        <v>5259</v>
      </c>
      <c r="I672" s="3" t="s">
        <v>102</v>
      </c>
      <c r="J672" s="3" t="s">
        <v>103</v>
      </c>
      <c r="K672" s="3" t="s">
        <v>104</v>
      </c>
      <c r="L672" s="3">
        <v>0.123</v>
      </c>
      <c r="M672" s="3">
        <v>0.28499999999999998</v>
      </c>
      <c r="N672" s="3">
        <v>0</v>
      </c>
      <c r="O672" s="8">
        <v>-10619</v>
      </c>
      <c r="P672" s="3">
        <v>1</v>
      </c>
      <c r="Q672" s="3">
        <v>3.5799999999999998E-2</v>
      </c>
      <c r="R672" s="3">
        <v>7.1599999999999997E-3</v>
      </c>
      <c r="S672" s="3">
        <v>0.86099999999999999</v>
      </c>
      <c r="T672" s="3">
        <v>0.111</v>
      </c>
      <c r="U672" s="3">
        <v>3.1800000000000002E-2</v>
      </c>
      <c r="V672" s="8">
        <v>89747</v>
      </c>
      <c r="W672" s="3">
        <v>3</v>
      </c>
      <c r="X672" s="3" t="str">
        <f t="shared" si="44"/>
        <v>-SADNE-</v>
      </c>
      <c r="Y672" s="3" t="str">
        <f t="shared" si="45"/>
        <v>-SLOWSS-</v>
      </c>
      <c r="Z672" s="4" t="str">
        <f t="shared" si="46"/>
        <v>{"couname":"Equinoxe, Pt. 1","img":"https://i.scdn.co/image/ab67616d0000b2733d70ce0abd4c2e65b4b54f23","pty":"0","artist":"Jean-Michel Jarre","genres":"new age,electrónica,space music","duration":"143680","spotId":"2vpkLvyod4DAhOe57yWmmb","Items":["-SADNE-","-SLOWSS-","","","GN_FrenchElectro"]},</v>
      </c>
      <c r="AA672" s="5" t="s">
        <v>6100</v>
      </c>
      <c r="AB672" s="3" t="str">
        <f t="shared" si="47"/>
        <v>["-SADNE-","-SLOWSS-","","","GN_FrenchElectro"]</v>
      </c>
      <c r="AC672" s="3" t="str">
        <f>_xlfn.XLOOKUP(A672,Album!A:A,Album!J:J)</f>
        <v>https://i.scdn.co/image/ab67616d0000b2733d70ce0abd4c2e65b4b54f23</v>
      </c>
      <c r="AD672" s="3"/>
      <c r="AE672" s="3"/>
      <c r="AF672" s="3"/>
      <c r="AG672" s="3"/>
      <c r="AH672" s="3"/>
    </row>
    <row r="673" spans="1:34" x14ac:dyDescent="0.3">
      <c r="A673" s="11" t="s">
        <v>119</v>
      </c>
      <c r="B673" s="12" t="s">
        <v>120</v>
      </c>
      <c r="C673" s="12" t="s">
        <v>117</v>
      </c>
      <c r="D673" s="13" t="s">
        <v>18</v>
      </c>
      <c r="E673" s="6" t="s">
        <v>118</v>
      </c>
      <c r="F673" s="3">
        <v>302746</v>
      </c>
      <c r="G673" s="3">
        <v>0</v>
      </c>
      <c r="H673" s="3" t="s">
        <v>5258</v>
      </c>
      <c r="I673" s="3" t="s">
        <v>102</v>
      </c>
      <c r="J673" s="3" t="s">
        <v>103</v>
      </c>
      <c r="K673" s="3" t="s">
        <v>104</v>
      </c>
      <c r="L673" s="3">
        <v>0.13800000000000001</v>
      </c>
      <c r="M673" s="3">
        <v>0.39</v>
      </c>
      <c r="N673" s="3">
        <v>5</v>
      </c>
      <c r="O673" s="8">
        <v>-11893</v>
      </c>
      <c r="P673" s="3">
        <v>0</v>
      </c>
      <c r="Q673" s="3">
        <v>3.5299999999999998E-2</v>
      </c>
      <c r="R673" s="3">
        <v>0.54100000000000004</v>
      </c>
      <c r="S673" s="3">
        <v>2.5399999999999999E-2</v>
      </c>
      <c r="T673" s="3">
        <v>0.151</v>
      </c>
      <c r="U673" s="3">
        <v>3.3399999999999999E-2</v>
      </c>
      <c r="V673" s="8">
        <v>87895</v>
      </c>
      <c r="W673" s="3">
        <v>4</v>
      </c>
      <c r="X673" s="3" t="str">
        <f t="shared" si="44"/>
        <v>-SADNE-</v>
      </c>
      <c r="Y673" s="3" t="str">
        <f t="shared" si="45"/>
        <v>-SLOWSS-</v>
      </c>
      <c r="Z673" s="4" t="str">
        <f t="shared" si="46"/>
        <v>{"couname":"Equinoxe, Pt. 2","img":"https://i.scdn.co/image/ab67616d0000b2733d70ce0abd4c2e65b4b54f23","pty":"0","artist":"Jean-Michel Jarre","genres":"new age,electrónica,space music","duration":"302746","spotId":"4tyOqBrBcQkVWuTdn4agZ1","Items":["-SADNE-","-SLOWSS-","","","GN_FrenchElectro"]},</v>
      </c>
      <c r="AA673" s="5" t="s">
        <v>6100</v>
      </c>
      <c r="AB673" s="3" t="str">
        <f t="shared" si="47"/>
        <v>["-SADNE-","-SLOWSS-","","","GN_FrenchElectro"]</v>
      </c>
      <c r="AC673" s="3" t="str">
        <f>_xlfn.XLOOKUP(A673,Album!A:A,Album!J:J)</f>
        <v>https://i.scdn.co/image/ab67616d0000b2733d70ce0abd4c2e65b4b54f23</v>
      </c>
      <c r="AD673" s="3"/>
      <c r="AE673" s="3"/>
      <c r="AF673" s="3"/>
      <c r="AG673" s="3"/>
      <c r="AH673" s="3"/>
    </row>
    <row r="674" spans="1:34" x14ac:dyDescent="0.3">
      <c r="A674" s="11" t="s">
        <v>121</v>
      </c>
      <c r="B674" s="12" t="s">
        <v>122</v>
      </c>
      <c r="C674" s="12" t="s">
        <v>117</v>
      </c>
      <c r="D674" s="13" t="s">
        <v>18</v>
      </c>
      <c r="E674" s="6" t="s">
        <v>118</v>
      </c>
      <c r="F674" s="3">
        <v>299253</v>
      </c>
      <c r="G674" s="3">
        <v>0</v>
      </c>
      <c r="H674" s="3" t="s">
        <v>5257</v>
      </c>
      <c r="I674" s="3" t="s">
        <v>102</v>
      </c>
      <c r="J674" s="3" t="s">
        <v>103</v>
      </c>
      <c r="K674" s="3" t="s">
        <v>104</v>
      </c>
      <c r="L674" s="3">
        <v>0.109</v>
      </c>
      <c r="M674" s="3">
        <v>0.54600000000000004</v>
      </c>
      <c r="N674" s="3">
        <v>9</v>
      </c>
      <c r="O674" s="8">
        <v>-11094</v>
      </c>
      <c r="P674" s="3">
        <v>0</v>
      </c>
      <c r="Q674" s="3">
        <v>3.6299999999999999E-2</v>
      </c>
      <c r="R674" s="3">
        <v>0.14000000000000001</v>
      </c>
      <c r="S674" s="3">
        <v>4.95E-4</v>
      </c>
      <c r="T674" s="3">
        <v>0.13700000000000001</v>
      </c>
      <c r="U674" s="3">
        <v>0.17799999999999999</v>
      </c>
      <c r="V674" s="8">
        <v>78507</v>
      </c>
      <c r="W674" s="3">
        <v>4</v>
      </c>
      <c r="X674" s="3" t="str">
        <f t="shared" si="44"/>
        <v>-SADNE-</v>
      </c>
      <c r="Y674" s="3" t="str">
        <f t="shared" si="45"/>
        <v>-ENERGY-</v>
      </c>
      <c r="Z674" s="4" t="str">
        <f t="shared" si="46"/>
        <v>{"couname":"Equinoxe, Pt. 3","img":"https://i.scdn.co/image/ab67616d0000b2733d70ce0abd4c2e65b4b54f23","pty":"0","artist":"Jean-Michel Jarre","genres":"new age,electrónica,space music","duration":"299253","spotId":"42nHgxhP9Muia0WSASl4yh","Items":["-SADNE-","-ENERGY-","","","GN_FrenchElectro"]},</v>
      </c>
      <c r="AA674" s="5" t="s">
        <v>6100</v>
      </c>
      <c r="AB674" s="3" t="str">
        <f t="shared" si="47"/>
        <v>["-SADNE-","-ENERGY-","","","GN_FrenchElectro"]</v>
      </c>
      <c r="AC674" s="3" t="str">
        <f>_xlfn.XLOOKUP(A674,Album!A:A,Album!J:J)</f>
        <v>https://i.scdn.co/image/ab67616d0000b2733d70ce0abd4c2e65b4b54f23</v>
      </c>
      <c r="AD674" s="3"/>
      <c r="AE674" s="3"/>
      <c r="AF674" s="3"/>
      <c r="AG674" s="3"/>
      <c r="AH674" s="3"/>
    </row>
    <row r="675" spans="1:34" x14ac:dyDescent="0.3">
      <c r="A675" s="11" t="s">
        <v>127</v>
      </c>
      <c r="B675" s="12" t="s">
        <v>128</v>
      </c>
      <c r="C675" s="12" t="s">
        <v>117</v>
      </c>
      <c r="D675" s="13" t="s">
        <v>18</v>
      </c>
      <c r="E675" s="6" t="s">
        <v>118</v>
      </c>
      <c r="F675" s="3">
        <v>166626</v>
      </c>
      <c r="G675" s="3">
        <v>0</v>
      </c>
      <c r="H675" s="3" t="s">
        <v>5256</v>
      </c>
      <c r="I675" s="3" t="s">
        <v>102</v>
      </c>
      <c r="J675" s="3" t="s">
        <v>103</v>
      </c>
      <c r="K675" s="3" t="s">
        <v>104</v>
      </c>
      <c r="L675" s="3">
        <v>0.75700000000000001</v>
      </c>
      <c r="M675" s="3">
        <v>0.71899999999999997</v>
      </c>
      <c r="N675" s="3">
        <v>0</v>
      </c>
      <c r="O675" s="8">
        <v>-8556</v>
      </c>
      <c r="P675" s="3">
        <v>1</v>
      </c>
      <c r="Q675" s="3">
        <v>9.0300000000000005E-2</v>
      </c>
      <c r="R675" s="3">
        <v>0.36</v>
      </c>
      <c r="S675" s="3">
        <v>0.66100000000000003</v>
      </c>
      <c r="T675" s="3">
        <v>0.16900000000000001</v>
      </c>
      <c r="U675" s="3">
        <v>0.57799999999999996</v>
      </c>
      <c r="V675" s="8">
        <v>162483</v>
      </c>
      <c r="W675" s="3">
        <v>4</v>
      </c>
      <c r="X675" s="3" t="str">
        <f t="shared" si="44"/>
        <v>-HAPPY-</v>
      </c>
      <c r="Y675" s="3" t="str">
        <f t="shared" si="45"/>
        <v>-ENERGY-</v>
      </c>
      <c r="Z675" s="4" t="str">
        <f t="shared" si="46"/>
        <v>{"couname":"Equinoxe, Pt. 6","img":"https://i.scdn.co/image/ab67616d0000b2733d70ce0abd4c2e65b4b54f23","pty":"0","artist":"Jean-Michel Jarre","genres":"new age,electrónica,space music","duration":"166626","spotId":"6enUU7hJmBvGNvJSnBHQQn","Items":["-HAPPY-","-ENERGY-","","","GN_FrenchElectro"]},</v>
      </c>
      <c r="AA675" s="5" t="s">
        <v>6100</v>
      </c>
      <c r="AB675" s="3" t="str">
        <f t="shared" si="47"/>
        <v>["-HAPPY-","-ENERGY-","","","GN_FrenchElectro"]</v>
      </c>
      <c r="AC675" s="3" t="str">
        <f>_xlfn.XLOOKUP(A675,Album!A:A,Album!J:J)</f>
        <v>https://i.scdn.co/image/ab67616d0000b2733d70ce0abd4c2e65b4b54f23</v>
      </c>
      <c r="AD675" s="3"/>
      <c r="AE675" s="3"/>
      <c r="AF675" s="3"/>
      <c r="AG675" s="3"/>
      <c r="AH675" s="3"/>
    </row>
    <row r="676" spans="1:34" x14ac:dyDescent="0.3">
      <c r="A676" s="11" t="s">
        <v>131</v>
      </c>
      <c r="B676" s="12" t="s">
        <v>132</v>
      </c>
      <c r="C676" s="12" t="s">
        <v>117</v>
      </c>
      <c r="D676" s="13" t="s">
        <v>18</v>
      </c>
      <c r="E676" s="6" t="s">
        <v>118</v>
      </c>
      <c r="F676" s="3">
        <v>309053</v>
      </c>
      <c r="G676" s="3">
        <v>0</v>
      </c>
      <c r="H676" s="3" t="s">
        <v>5255</v>
      </c>
      <c r="I676" s="3" t="s">
        <v>102</v>
      </c>
      <c r="J676" s="3" t="s">
        <v>103</v>
      </c>
      <c r="K676" s="3" t="s">
        <v>104</v>
      </c>
      <c r="L676" s="3">
        <v>0.155</v>
      </c>
      <c r="M676" s="3">
        <v>0.371</v>
      </c>
      <c r="N676" s="3">
        <v>0</v>
      </c>
      <c r="O676" s="8">
        <v>-15824</v>
      </c>
      <c r="P676" s="3">
        <v>1</v>
      </c>
      <c r="Q676" s="3">
        <v>3.6499999999999998E-2</v>
      </c>
      <c r="R676" s="3">
        <v>0.90500000000000003</v>
      </c>
      <c r="S676" s="3">
        <v>0.92700000000000005</v>
      </c>
      <c r="T676" s="3">
        <v>9.64E-2</v>
      </c>
      <c r="U676" s="3">
        <v>0.23799999999999999</v>
      </c>
      <c r="V676" s="8">
        <v>91202</v>
      </c>
      <c r="W676" s="3">
        <v>4</v>
      </c>
      <c r="X676" s="3" t="str">
        <f t="shared" si="44"/>
        <v>-SADNE-</v>
      </c>
      <c r="Y676" s="3" t="str">
        <f t="shared" si="45"/>
        <v>-SLOWSS-</v>
      </c>
      <c r="Z676" s="4" t="str">
        <f t="shared" si="46"/>
        <v>{"couname":"Equinoxe, Pt. 8","img":"https://i.scdn.co/image/ab67616d0000b2733d70ce0abd4c2e65b4b54f23","pty":"0","artist":"Jean-Michel Jarre","genres":"new age,electrónica,space music","duration":"309053","spotId":"7xMtDCcezZQz3TsJy4tjy6","Items":["-SADNE-","-SLOWSS-","","","GN_FrenchElectro"]},</v>
      </c>
      <c r="AA676" s="5" t="s">
        <v>6100</v>
      </c>
      <c r="AB676" s="3" t="str">
        <f t="shared" si="47"/>
        <v>["-SADNE-","-SLOWSS-","","","GN_FrenchElectro"]</v>
      </c>
      <c r="AC676" s="3" t="str">
        <f>_xlfn.XLOOKUP(A676,Album!A:A,Album!J:J)</f>
        <v>https://i.scdn.co/image/ab67616d0000b2733d70ce0abd4c2e65b4b54f23</v>
      </c>
      <c r="AD676" s="3"/>
      <c r="AE676" s="3"/>
      <c r="AF676" s="3"/>
      <c r="AG676" s="3"/>
      <c r="AH676" s="3"/>
    </row>
    <row r="677" spans="1:34" x14ac:dyDescent="0.3">
      <c r="A677" s="11" t="s">
        <v>133</v>
      </c>
      <c r="B677" s="12" t="s">
        <v>134</v>
      </c>
      <c r="C677" s="12" t="s">
        <v>135</v>
      </c>
      <c r="D677" s="13" t="s">
        <v>18</v>
      </c>
      <c r="E677" s="6">
        <v>29728</v>
      </c>
      <c r="F677" s="3">
        <v>1078826</v>
      </c>
      <c r="G677" s="3">
        <v>0</v>
      </c>
      <c r="H677" s="3" t="s">
        <v>5254</v>
      </c>
      <c r="I677" s="3" t="s">
        <v>102</v>
      </c>
      <c r="J677" s="3" t="s">
        <v>103</v>
      </c>
      <c r="K677" s="3" t="s">
        <v>104</v>
      </c>
      <c r="L677" s="3">
        <v>0.26100000000000001</v>
      </c>
      <c r="M677" s="3">
        <v>0.90300000000000002</v>
      </c>
      <c r="N677" s="3">
        <v>7</v>
      </c>
      <c r="O677" s="8">
        <v>-9336</v>
      </c>
      <c r="P677" s="3">
        <v>1</v>
      </c>
      <c r="Q677" s="3">
        <v>7.6899999999999996E-2</v>
      </c>
      <c r="R677" s="3">
        <v>1.7999999999999999E-2</v>
      </c>
      <c r="S677" s="3">
        <v>0.85299999999999998</v>
      </c>
      <c r="T677" s="3">
        <v>0.57699999999999996</v>
      </c>
      <c r="U677" s="3">
        <v>0.192</v>
      </c>
      <c r="V677" s="8">
        <v>139489</v>
      </c>
      <c r="W677" s="3">
        <v>4</v>
      </c>
      <c r="X677" s="3" t="str">
        <f t="shared" si="44"/>
        <v>-SADNE-</v>
      </c>
      <c r="Y677" s="3" t="str">
        <f t="shared" si="45"/>
        <v>-ENERGY-</v>
      </c>
      <c r="Z677" s="4" t="str">
        <f t="shared" si="46"/>
        <v>{"couname":"Magnetic Fields, Pt. 1","img":"https://i.scdn.co/image/ab67616d0000b273fa367ab926d31e57e37b908d","pty":"0","artist":"Jean-Michel Jarre","genres":"new age,electrónica,space music","duration":"1078826","spotId":"21ZLxvFYTLuZd5qo54zep7","Items":["-SADNE-","-ENERGY-","","","GN_FrenchElectro"]},</v>
      </c>
      <c r="AA677" s="5" t="s">
        <v>6100</v>
      </c>
      <c r="AB677" s="3" t="str">
        <f t="shared" si="47"/>
        <v>["-SADNE-","-ENERGY-","","","GN_FrenchElectro"]</v>
      </c>
      <c r="AC677" s="3" t="str">
        <f>_xlfn.XLOOKUP(A677,Album!A:A,Album!J:J)</f>
        <v>https://i.scdn.co/image/ab67616d0000b273fa367ab926d31e57e37b908d</v>
      </c>
      <c r="AD677" s="3"/>
      <c r="AE677" s="3"/>
      <c r="AF677" s="3"/>
      <c r="AG677" s="3"/>
      <c r="AH677" s="3"/>
    </row>
    <row r="678" spans="1:34" x14ac:dyDescent="0.3">
      <c r="A678" s="11" t="s">
        <v>136</v>
      </c>
      <c r="B678" s="12" t="s">
        <v>137</v>
      </c>
      <c r="C678" s="12" t="s">
        <v>135</v>
      </c>
      <c r="D678" s="13" t="s">
        <v>18</v>
      </c>
      <c r="E678" s="6">
        <v>29728</v>
      </c>
      <c r="F678" s="3">
        <v>238826</v>
      </c>
      <c r="G678" s="3">
        <v>0</v>
      </c>
      <c r="H678" s="3" t="s">
        <v>5253</v>
      </c>
      <c r="I678" s="3" t="s">
        <v>102</v>
      </c>
      <c r="J678" s="3" t="s">
        <v>103</v>
      </c>
      <c r="K678" s="3" t="s">
        <v>104</v>
      </c>
      <c r="L678" s="3">
        <v>0.63600000000000001</v>
      </c>
      <c r="M678" s="3">
        <v>0.89700000000000002</v>
      </c>
      <c r="N678" s="3">
        <v>7</v>
      </c>
      <c r="O678" s="8">
        <v>-9146</v>
      </c>
      <c r="P678" s="3">
        <v>1</v>
      </c>
      <c r="Q678" s="3">
        <v>0.159</v>
      </c>
      <c r="R678" s="3">
        <v>0.157</v>
      </c>
      <c r="S678" s="3">
        <v>0.95399999999999996</v>
      </c>
      <c r="T678" s="3">
        <v>0.12</v>
      </c>
      <c r="U678" s="3">
        <v>0.52</v>
      </c>
      <c r="V678" s="8">
        <v>192027</v>
      </c>
      <c r="W678" s="3">
        <v>4</v>
      </c>
      <c r="X678" s="3" t="str">
        <f t="shared" si="44"/>
        <v>-HAPPY-</v>
      </c>
      <c r="Y678" s="3" t="str">
        <f t="shared" si="45"/>
        <v>-ENERGY-</v>
      </c>
      <c r="Z678" s="4" t="str">
        <f t="shared" si="46"/>
        <v>{"couname":"Magnetic Fields, Pt. 2","img":"https://i.scdn.co/image/ab67616d0000b273fa367ab926d31e57e37b908d","pty":"0","artist":"Jean-Michel Jarre","genres":"new age,electrónica,space music","duration":"238826","spotId":"4DcBG214umbrGEsw4pFmcN","Items":["-HAPPY-","-ENERGY-","","","GN_FrenchElectro"]},</v>
      </c>
      <c r="AA678" s="5" t="s">
        <v>6100</v>
      </c>
      <c r="AB678" s="3" t="str">
        <f t="shared" si="47"/>
        <v>["-HAPPY-","-ENERGY-","","","GN_FrenchElectro"]</v>
      </c>
      <c r="AC678" s="3" t="str">
        <f>_xlfn.XLOOKUP(A678,Album!A:A,Album!J:J)</f>
        <v>https://i.scdn.co/image/ab67616d0000b273fa367ab926d31e57e37b908d</v>
      </c>
      <c r="AD678" s="3"/>
      <c r="AE678" s="3"/>
      <c r="AF678" s="3"/>
      <c r="AG678" s="3"/>
      <c r="AH678" s="3"/>
    </row>
    <row r="679" spans="1:34" x14ac:dyDescent="0.3">
      <c r="A679" s="11" t="s">
        <v>138</v>
      </c>
      <c r="B679" s="12" t="s">
        <v>139</v>
      </c>
      <c r="C679" s="12" t="s">
        <v>135</v>
      </c>
      <c r="D679" s="13" t="s">
        <v>18</v>
      </c>
      <c r="E679" s="6">
        <v>29728</v>
      </c>
      <c r="F679" s="3">
        <v>250666</v>
      </c>
      <c r="G679" s="3">
        <v>0</v>
      </c>
      <c r="H679" s="3" t="s">
        <v>5252</v>
      </c>
      <c r="I679" s="3" t="s">
        <v>102</v>
      </c>
      <c r="J679" s="3" t="s">
        <v>103</v>
      </c>
      <c r="K679" s="3" t="s">
        <v>104</v>
      </c>
      <c r="L679" s="3">
        <v>0.32500000000000001</v>
      </c>
      <c r="M679" s="3">
        <v>0.73099999999999998</v>
      </c>
      <c r="N679" s="3">
        <v>3</v>
      </c>
      <c r="O679" s="8">
        <v>-11102</v>
      </c>
      <c r="P679" s="3">
        <v>0</v>
      </c>
      <c r="Q679" s="3">
        <v>0.53</v>
      </c>
      <c r="R679" s="3">
        <v>0.77700000000000002</v>
      </c>
      <c r="S679" s="3">
        <v>0.91800000000000004</v>
      </c>
      <c r="T679" s="3">
        <v>0.39200000000000002</v>
      </c>
      <c r="U679" s="3">
        <v>0.85199999999999998</v>
      </c>
      <c r="V679" s="8">
        <v>72437</v>
      </c>
      <c r="W679" s="3">
        <v>4</v>
      </c>
      <c r="X679" s="3" t="str">
        <f t="shared" si="44"/>
        <v>-HAPPY-</v>
      </c>
      <c r="Y679" s="3" t="str">
        <f t="shared" si="45"/>
        <v>-ENERGY-</v>
      </c>
      <c r="Z679" s="4" t="str">
        <f t="shared" si="46"/>
        <v>{"couname":"Magnetic Fields, Pt. 3","img":"https://i.scdn.co/image/ab67616d0000b273fa367ab926d31e57e37b908d","pty":"0","artist":"Jean-Michel Jarre","genres":"new age,electrónica,space music","duration":"250666","spotId":"6uaHYFzeToZuMies4PpopZ","Items":["-HAPPY-","-ENERGY-","","","GN_FrenchElectro"]},</v>
      </c>
      <c r="AA679" s="5" t="s">
        <v>6100</v>
      </c>
      <c r="AB679" s="3" t="str">
        <f t="shared" si="47"/>
        <v>["-HAPPY-","-ENERGY-","","","GN_FrenchElectro"]</v>
      </c>
      <c r="AC679" s="3" t="str">
        <f>_xlfn.XLOOKUP(A679,Album!A:A,Album!J:J)</f>
        <v>https://i.scdn.co/image/ab67616d0000b273fa367ab926d31e57e37b908d</v>
      </c>
      <c r="AD679" s="3"/>
      <c r="AE679" s="3"/>
      <c r="AF679" s="3"/>
      <c r="AG679" s="3"/>
      <c r="AH679" s="3"/>
    </row>
    <row r="680" spans="1:34" x14ac:dyDescent="0.3">
      <c r="A680" s="11" t="s">
        <v>140</v>
      </c>
      <c r="B680" s="12" t="s">
        <v>141</v>
      </c>
      <c r="C680" s="12" t="s">
        <v>135</v>
      </c>
      <c r="D680" s="13" t="s">
        <v>18</v>
      </c>
      <c r="E680" s="6">
        <v>29728</v>
      </c>
      <c r="F680" s="3">
        <v>385360</v>
      </c>
      <c r="G680" s="3">
        <v>0</v>
      </c>
      <c r="H680" s="3" t="s">
        <v>5251</v>
      </c>
      <c r="I680" s="3" t="s">
        <v>102</v>
      </c>
      <c r="J680" s="3" t="s">
        <v>103</v>
      </c>
      <c r="K680" s="3" t="s">
        <v>104</v>
      </c>
      <c r="L680" s="3">
        <v>0.69599999999999995</v>
      </c>
      <c r="M680" s="3">
        <v>0.78800000000000003</v>
      </c>
      <c r="N680" s="3">
        <v>8</v>
      </c>
      <c r="O680" s="8">
        <v>-9678</v>
      </c>
      <c r="P680" s="3">
        <v>1</v>
      </c>
      <c r="Q680" s="3">
        <v>6.1499999999999999E-2</v>
      </c>
      <c r="R680" s="3">
        <v>3.0500000000000002E-3</v>
      </c>
      <c r="S680" s="3">
        <v>0.84899999999999998</v>
      </c>
      <c r="T680" s="3">
        <v>0.112</v>
      </c>
      <c r="U680" s="3">
        <v>0.16400000000000001</v>
      </c>
      <c r="V680" s="8">
        <v>93744</v>
      </c>
      <c r="W680" s="3">
        <v>4</v>
      </c>
      <c r="X680" s="3" t="str">
        <f t="shared" si="44"/>
        <v>-SADNE-</v>
      </c>
      <c r="Y680" s="3" t="str">
        <f t="shared" si="45"/>
        <v>-ENERGY-</v>
      </c>
      <c r="Z680" s="4" t="str">
        <f t="shared" si="46"/>
        <v>{"couname":"Magnetic Fields, Pt. 4","img":"https://i.scdn.co/image/ab67616d0000b273fa367ab926d31e57e37b908d","pty":"0","artist":"Jean-Michel Jarre","genres":"new age,electrónica,space music","duration":"385360","spotId":"2OScH9Of8K8nw6gXrkpEFn","Items":["-SADNE-","-ENERGY-","","","GN_FrenchElectro"]},</v>
      </c>
      <c r="AA680" s="5" t="s">
        <v>6100</v>
      </c>
      <c r="AB680" s="3" t="str">
        <f t="shared" si="47"/>
        <v>["-SADNE-","-ENERGY-","","","GN_FrenchElectro"]</v>
      </c>
      <c r="AC680" s="3" t="str">
        <f>_xlfn.XLOOKUP(A680,Album!A:A,Album!J:J)</f>
        <v>https://i.scdn.co/image/ab67616d0000b273fa367ab926d31e57e37b908d</v>
      </c>
      <c r="AD680" s="3"/>
      <c r="AE680" s="3"/>
      <c r="AF680" s="3"/>
      <c r="AG680" s="3"/>
      <c r="AH680" s="3"/>
    </row>
    <row r="681" spans="1:34" x14ac:dyDescent="0.3">
      <c r="A681" s="11" t="s">
        <v>142</v>
      </c>
      <c r="B681" s="12" t="s">
        <v>143</v>
      </c>
      <c r="C681" s="12" t="s">
        <v>135</v>
      </c>
      <c r="D681" s="13" t="s">
        <v>18</v>
      </c>
      <c r="E681" s="6">
        <v>29728</v>
      </c>
      <c r="F681" s="3">
        <v>210760</v>
      </c>
      <c r="G681" s="3">
        <v>0</v>
      </c>
      <c r="H681" s="3" t="s">
        <v>5250</v>
      </c>
      <c r="I681" s="3" t="s">
        <v>102</v>
      </c>
      <c r="J681" s="3" t="s">
        <v>103</v>
      </c>
      <c r="K681" s="3" t="s">
        <v>104</v>
      </c>
      <c r="L681" s="3">
        <v>0.6</v>
      </c>
      <c r="M681" s="3">
        <v>0.83799999999999997</v>
      </c>
      <c r="N681" s="3">
        <v>0</v>
      </c>
      <c r="O681" s="8">
        <v>-8165</v>
      </c>
      <c r="P681" s="3">
        <v>1</v>
      </c>
      <c r="Q681" s="3">
        <v>2.98E-2</v>
      </c>
      <c r="R681" s="3">
        <v>7.8399999999999995E-5</v>
      </c>
      <c r="S681" s="3">
        <v>0.29799999999999999</v>
      </c>
      <c r="T681" s="3">
        <v>9.1399999999999995E-2</v>
      </c>
      <c r="U681" s="3">
        <v>0.82899999999999996</v>
      </c>
      <c r="V681" s="8">
        <v>120746</v>
      </c>
      <c r="W681" s="3">
        <v>4</v>
      </c>
      <c r="X681" s="3" t="str">
        <f t="shared" si="44"/>
        <v>-HAPPY-</v>
      </c>
      <c r="Y681" s="3" t="str">
        <f t="shared" si="45"/>
        <v>-ENERGY-</v>
      </c>
      <c r="Z681" s="4" t="str">
        <f t="shared" si="46"/>
        <v>{"couname":"Magnetic Fields, Pt. 5","img":"https://i.scdn.co/image/ab67616d0000b273fa367ab926d31e57e37b908d","pty":"0","artist":"Jean-Michel Jarre","genres":"new age,electrónica,space music","duration":"210760","spotId":"3eP3hJlv3aAVlSHp63lKwY","Items":["-HAPPY-","-ENERGY-","","","GN_FrenchElectro"]},</v>
      </c>
      <c r="AA681" s="5" t="s">
        <v>6100</v>
      </c>
      <c r="AB681" s="3" t="str">
        <f t="shared" si="47"/>
        <v>["-HAPPY-","-ENERGY-","","","GN_FrenchElectro"]</v>
      </c>
      <c r="AC681" s="3" t="str">
        <f>_xlfn.XLOOKUP(A681,Album!A:A,Album!J:J)</f>
        <v>https://i.scdn.co/image/ab67616d0000b273fa367ab926d31e57e37b908d</v>
      </c>
      <c r="AD681" s="3"/>
      <c r="AE681" s="3"/>
      <c r="AF681" s="3"/>
      <c r="AG681" s="3"/>
      <c r="AH681" s="3"/>
    </row>
    <row r="682" spans="1:34" x14ac:dyDescent="0.3">
      <c r="A682" s="11" t="s">
        <v>159</v>
      </c>
      <c r="B682" s="12" t="s">
        <v>160</v>
      </c>
      <c r="C682" s="12" t="s">
        <v>161</v>
      </c>
      <c r="D682" s="13" t="s">
        <v>18</v>
      </c>
      <c r="E682" s="6">
        <v>42244</v>
      </c>
      <c r="F682" s="3">
        <v>174920</v>
      </c>
      <c r="G682" s="3">
        <v>0</v>
      </c>
      <c r="H682" s="3" t="s">
        <v>5249</v>
      </c>
      <c r="I682" s="3" t="s">
        <v>102</v>
      </c>
      <c r="J682" s="3" t="s">
        <v>103</v>
      </c>
      <c r="K682" s="3" t="s">
        <v>104</v>
      </c>
      <c r="L682" s="3">
        <v>0.121</v>
      </c>
      <c r="M682" s="3">
        <v>0.31900000000000001</v>
      </c>
      <c r="N682" s="3">
        <v>0</v>
      </c>
      <c r="O682" s="8">
        <v>-12971</v>
      </c>
      <c r="P682" s="3">
        <v>0</v>
      </c>
      <c r="Q682" s="3">
        <v>3.9800000000000002E-2</v>
      </c>
      <c r="R682" s="3">
        <v>0.90800000000000003</v>
      </c>
      <c r="S682" s="3">
        <v>0.84099999999999997</v>
      </c>
      <c r="T682" s="3">
        <v>0.14399999999999999</v>
      </c>
      <c r="U682" s="3">
        <v>0.04</v>
      </c>
      <c r="V682" s="8">
        <v>69688</v>
      </c>
      <c r="W682" s="3">
        <v>1</v>
      </c>
      <c r="X682" s="3" t="str">
        <f t="shared" si="44"/>
        <v>-SADNE-</v>
      </c>
      <c r="Y682" s="3" t="str">
        <f t="shared" si="45"/>
        <v>-SLOWSS-</v>
      </c>
      <c r="Z682" s="4" t="str">
        <f t="shared" si="46"/>
        <v>{"couname":"First Rendez Vous","img":"https://i.scdn.co/image/ab67616d0000b273a8c95c467d2912d2289142e4","pty":"0","artist":"Jean-Michel Jarre","genres":"new age,electrónica,space music","duration":"174920","spotId":"2VCMWisWwtobo1igBNE5S1","Items":["-SADNE-","-SLOWSS-","","","GN_FrenchElectro"]},</v>
      </c>
      <c r="AA682" s="5" t="s">
        <v>6100</v>
      </c>
      <c r="AB682" s="3" t="str">
        <f t="shared" si="47"/>
        <v>["-SADNE-","-SLOWSS-","","","GN_FrenchElectro"]</v>
      </c>
      <c r="AC682" s="3" t="str">
        <f>_xlfn.XLOOKUP(A682,Album!A:A,Album!J:J)</f>
        <v>https://i.scdn.co/image/ab67616d0000b273a8c95c467d2912d2289142e4</v>
      </c>
      <c r="AD682" s="3"/>
      <c r="AE682" s="3"/>
      <c r="AF682" s="3"/>
      <c r="AG682" s="3"/>
      <c r="AH682" s="3"/>
    </row>
    <row r="683" spans="1:34" x14ac:dyDescent="0.3">
      <c r="A683" s="11" t="s">
        <v>164</v>
      </c>
      <c r="B683" s="12" t="s">
        <v>5247</v>
      </c>
      <c r="C683" s="12" t="s">
        <v>161</v>
      </c>
      <c r="D683" s="13" t="s">
        <v>18</v>
      </c>
      <c r="E683" s="6">
        <v>42244</v>
      </c>
      <c r="F683" s="3">
        <v>213626</v>
      </c>
      <c r="G683" s="3">
        <v>0</v>
      </c>
      <c r="H683" s="3" t="s">
        <v>5248</v>
      </c>
      <c r="I683" s="3" t="s">
        <v>102</v>
      </c>
      <c r="J683" s="3" t="s">
        <v>103</v>
      </c>
      <c r="K683" s="3" t="s">
        <v>104</v>
      </c>
      <c r="L683" s="3">
        <v>0.125</v>
      </c>
      <c r="M683" s="3">
        <v>0.254</v>
      </c>
      <c r="N683" s="3">
        <v>5</v>
      </c>
      <c r="O683" s="8">
        <v>-9037</v>
      </c>
      <c r="P683" s="3">
        <v>0</v>
      </c>
      <c r="Q683" s="3">
        <v>3.4000000000000002E-2</v>
      </c>
      <c r="R683" s="3">
        <v>0.87</v>
      </c>
      <c r="S683" s="3">
        <v>4.41E-2</v>
      </c>
      <c r="T683" s="3">
        <v>0.16700000000000001</v>
      </c>
      <c r="U683" s="3">
        <v>4.2599999999999999E-2</v>
      </c>
      <c r="V683" s="8">
        <v>77497</v>
      </c>
      <c r="W683" s="3">
        <v>4</v>
      </c>
      <c r="X683" s="3" t="str">
        <f t="shared" si="44"/>
        <v>-SADNE-</v>
      </c>
      <c r="Y683" s="3" t="str">
        <f t="shared" si="45"/>
        <v>-SLOWSS-</v>
      </c>
      <c r="Z683" s="4" t="str">
        <f t="shared" si="46"/>
        <v>{"couname":"Third Rendez Vous","img":"https://i.scdn.co/image/ab67616d0000b273a8c95c467d2912d2289142e4","pty":"0","artist":"Jean-Michel Jarre","genres":"new age,electrónica,space music","duration":"213626","spotId":"6EHxxArxPhwdLdWcLwt7zY","Items":["-SADNE-","-SLOWSS-","","","GN_FrenchElectro"]},</v>
      </c>
      <c r="AA683" s="5" t="s">
        <v>6100</v>
      </c>
      <c r="AB683" s="3" t="str">
        <f t="shared" si="47"/>
        <v>["-SADNE-","-SLOWSS-","","","GN_FrenchElectro"]</v>
      </c>
      <c r="AC683" s="3" t="str">
        <f>_xlfn.XLOOKUP(A683,Album!A:A,Album!J:J)</f>
        <v>https://i.scdn.co/image/ab67616d0000b273a8c95c467d2912d2289142e4</v>
      </c>
      <c r="AD683" s="3"/>
      <c r="AE683" s="3"/>
      <c r="AF683" s="3"/>
      <c r="AG683" s="3"/>
      <c r="AH683" s="3"/>
    </row>
    <row r="684" spans="1:34" x14ac:dyDescent="0.3">
      <c r="A684" s="11" t="s">
        <v>168</v>
      </c>
      <c r="B684" s="12" t="s">
        <v>5245</v>
      </c>
      <c r="C684" s="12" t="s">
        <v>161</v>
      </c>
      <c r="D684" s="13" t="s">
        <v>18</v>
      </c>
      <c r="E684" s="6">
        <v>42244</v>
      </c>
      <c r="F684" s="3">
        <v>461320</v>
      </c>
      <c r="G684" s="3">
        <v>0</v>
      </c>
      <c r="H684" s="3" t="s">
        <v>5246</v>
      </c>
      <c r="I684" s="3" t="s">
        <v>102</v>
      </c>
      <c r="J684" s="3" t="s">
        <v>103</v>
      </c>
      <c r="K684" s="3" t="s">
        <v>104</v>
      </c>
      <c r="L684" s="3">
        <v>0.255</v>
      </c>
      <c r="M684" s="3">
        <v>0.59899999999999998</v>
      </c>
      <c r="N684" s="3">
        <v>0</v>
      </c>
      <c r="O684" s="8">
        <v>-8941</v>
      </c>
      <c r="P684" s="3">
        <v>1</v>
      </c>
      <c r="Q684" s="3">
        <v>4.4900000000000002E-2</v>
      </c>
      <c r="R684" s="3">
        <v>0.42399999999999999</v>
      </c>
      <c r="S684" s="3">
        <v>0.57699999999999996</v>
      </c>
      <c r="T684" s="3">
        <v>0.17</v>
      </c>
      <c r="U684" s="3">
        <v>0.246</v>
      </c>
      <c r="V684" s="8">
        <v>170699</v>
      </c>
      <c r="W684" s="3">
        <v>3</v>
      </c>
      <c r="X684" s="3" t="str">
        <f t="shared" si="44"/>
        <v>-SADNE-</v>
      </c>
      <c r="Y684" s="3" t="str">
        <f t="shared" si="45"/>
        <v>-ENERGY-</v>
      </c>
      <c r="Z684" s="4" t="str">
        <f t="shared" si="46"/>
        <v>{"couname":"Fifth Rendez Vous","img":"https://i.scdn.co/image/ab67616d0000b273a8c95c467d2912d2289142e4","pty":"0","artist":"Jean-Michel Jarre","genres":"new age,electrónica,space music","duration":"461320","spotId":"6a6N8I5BpjwJj9ORZh71ie","Items":["-SADNE-","-ENERGY-","","","GN_FrenchElectro"]},</v>
      </c>
      <c r="AA684" s="5" t="s">
        <v>6100</v>
      </c>
      <c r="AB684" s="3" t="str">
        <f t="shared" si="47"/>
        <v>["-SADNE-","-ENERGY-","","","GN_FrenchElectro"]</v>
      </c>
      <c r="AC684" s="3" t="str">
        <f>_xlfn.XLOOKUP(A684,Album!A:A,Album!J:J)</f>
        <v>https://i.scdn.co/image/ab67616d0000b273a8c95c467d2912d2289142e4</v>
      </c>
      <c r="AD684" s="3"/>
      <c r="AE684" s="3"/>
      <c r="AF684" s="3"/>
      <c r="AG684" s="3"/>
      <c r="AH684" s="3"/>
    </row>
    <row r="685" spans="1:34" x14ac:dyDescent="0.3">
      <c r="A685" s="11" t="s">
        <v>170</v>
      </c>
      <c r="B685" s="12" t="s">
        <v>5243</v>
      </c>
      <c r="C685" s="12" t="s">
        <v>161</v>
      </c>
      <c r="D685" s="13" t="s">
        <v>18</v>
      </c>
      <c r="E685" s="6">
        <v>42244</v>
      </c>
      <c r="F685" s="3">
        <v>362533</v>
      </c>
      <c r="G685" s="3">
        <v>0</v>
      </c>
      <c r="H685" s="3" t="s">
        <v>5244</v>
      </c>
      <c r="I685" s="3" t="s">
        <v>102</v>
      </c>
      <c r="J685" s="3" t="s">
        <v>103</v>
      </c>
      <c r="K685" s="3" t="s">
        <v>104</v>
      </c>
      <c r="L685" s="3">
        <v>0.152</v>
      </c>
      <c r="M685" s="3">
        <v>0.36099999999999999</v>
      </c>
      <c r="N685" s="3">
        <v>0</v>
      </c>
      <c r="O685" s="8">
        <v>-9479</v>
      </c>
      <c r="P685" s="3">
        <v>0</v>
      </c>
      <c r="Q685" s="3">
        <v>3.3099999999999997E-2</v>
      </c>
      <c r="R685" s="3">
        <v>0.86799999999999999</v>
      </c>
      <c r="S685" s="3">
        <v>0.83099999999999996</v>
      </c>
      <c r="T685" s="3">
        <v>0.70799999999999996</v>
      </c>
      <c r="U685" s="3">
        <v>3.5999999999999997E-2</v>
      </c>
      <c r="V685" s="8">
        <v>85748</v>
      </c>
      <c r="W685" s="3">
        <v>5</v>
      </c>
      <c r="X685" s="3" t="str">
        <f t="shared" si="44"/>
        <v>-SADNE-</v>
      </c>
      <c r="Y685" s="3" t="str">
        <f t="shared" si="45"/>
        <v>-SLOWSS-</v>
      </c>
      <c r="Z685" s="4" t="str">
        <f t="shared" si="46"/>
        <v>{"couname":"Last Rendez Vous","img":"https://i.scdn.co/image/ab67616d0000b273a8c95c467d2912d2289142e4","pty":"0","artist":"Jean-Michel Jarre","genres":"new age,electrónica,space music","duration":"362533","spotId":"5isUpzj066F75FVBc6u6ek","Items":["-SADNE-","-SLOWSS-","","","GN_FrenchElectro"]},</v>
      </c>
      <c r="AA685" s="5" t="s">
        <v>6100</v>
      </c>
      <c r="AB685" s="3" t="str">
        <f t="shared" si="47"/>
        <v>["-SADNE-","-SLOWSS-","","","GN_FrenchElectro"]</v>
      </c>
      <c r="AC685" s="3" t="str">
        <f>_xlfn.XLOOKUP(A685,Album!A:A,Album!J:J)</f>
        <v>https://i.scdn.co/image/ab67616d0000b273a8c95c467d2912d2289142e4</v>
      </c>
      <c r="AD685" s="3"/>
      <c r="AE685" s="3"/>
      <c r="AF685" s="3"/>
      <c r="AG685" s="3"/>
      <c r="AH685" s="3"/>
    </row>
    <row r="686" spans="1:34" x14ac:dyDescent="0.3">
      <c r="A686" s="11" t="s">
        <v>344</v>
      </c>
      <c r="B686" s="12" t="s">
        <v>277</v>
      </c>
      <c r="C686" s="12" t="s">
        <v>331</v>
      </c>
      <c r="D686" s="13" t="s">
        <v>18</v>
      </c>
      <c r="E686" s="6">
        <v>42706</v>
      </c>
      <c r="F686" s="3">
        <v>2391666</v>
      </c>
      <c r="G686" s="3">
        <v>0</v>
      </c>
      <c r="H686" s="3" t="s">
        <v>5242</v>
      </c>
      <c r="I686" s="3" t="s">
        <v>102</v>
      </c>
      <c r="J686" s="3" t="s">
        <v>103</v>
      </c>
      <c r="K686" s="3" t="s">
        <v>104</v>
      </c>
      <c r="L686" s="3">
        <v>0.33500000000000002</v>
      </c>
      <c r="M686" s="3">
        <v>0.64600000000000002</v>
      </c>
      <c r="N686" s="3">
        <v>5</v>
      </c>
      <c r="O686" s="8">
        <v>-10205</v>
      </c>
      <c r="P686" s="3">
        <v>0</v>
      </c>
      <c r="Q686" s="3">
        <v>3.7699999999999997E-2</v>
      </c>
      <c r="R686" s="3">
        <v>0.70599999999999996</v>
      </c>
      <c r="S686" s="3">
        <v>0.89600000000000002</v>
      </c>
      <c r="T686" s="3">
        <v>6.4799999999999996E-2</v>
      </c>
      <c r="U686" s="3">
        <v>6.6799999999999998E-2</v>
      </c>
      <c r="V686" s="8">
        <v>127999</v>
      </c>
      <c r="W686" s="3">
        <v>4</v>
      </c>
      <c r="X686" s="3" t="str">
        <f t="shared" si="44"/>
        <v>-SADNE-</v>
      </c>
      <c r="Y686" s="3" t="str">
        <f t="shared" si="45"/>
        <v>-ENERGY-</v>
      </c>
      <c r="Z686" s="4" t="str">
        <f t="shared" si="46"/>
        <v>{"couname":"Continuous Mix","img":"https://i.scdn.co/image/ab67616d0000b2732a85d17ba6acdb1c7ca734cc","pty":"0","artist":"Jean-Michel Jarre","genres":"new age,electrónica,space music","duration":"2391666","spotId":"4Tc1D9UmpdinoHSAw2ez4Y","Items":["-SADNE-","-ENERGY-","","","GN_FrenchElectro"]},</v>
      </c>
      <c r="AA686" s="5" t="s">
        <v>6100</v>
      </c>
      <c r="AB686" s="3" t="str">
        <f t="shared" si="47"/>
        <v>["-SADNE-","-ENERGY-","","","GN_FrenchElectro"]</v>
      </c>
      <c r="AC686" s="3" t="str">
        <f>_xlfn.XLOOKUP(A686,Album!A:A,Album!J:J)</f>
        <v>https://i.scdn.co/image/ab67616d0000b2732a85d17ba6acdb1c7ca734cc</v>
      </c>
      <c r="AD686" s="3"/>
      <c r="AE686" s="3"/>
      <c r="AF686" s="3"/>
      <c r="AG686" s="3"/>
      <c r="AH686" s="3"/>
    </row>
    <row r="687" spans="1:34" x14ac:dyDescent="0.3">
      <c r="A687" s="11" t="s">
        <v>345</v>
      </c>
      <c r="B687" s="12" t="s">
        <v>5240</v>
      </c>
      <c r="C687" s="12" t="s">
        <v>347</v>
      </c>
      <c r="D687" s="13" t="s">
        <v>18</v>
      </c>
      <c r="E687" s="6">
        <v>42244</v>
      </c>
      <c r="F687" s="3">
        <v>291586</v>
      </c>
      <c r="G687" s="3">
        <v>0</v>
      </c>
      <c r="H687" s="3" t="s">
        <v>5241</v>
      </c>
      <c r="I687" s="3" t="s">
        <v>102</v>
      </c>
      <c r="J687" s="3" t="s">
        <v>103</v>
      </c>
      <c r="K687" s="3" t="s">
        <v>104</v>
      </c>
      <c r="L687" s="3">
        <v>0.55700000000000005</v>
      </c>
      <c r="M687" s="3">
        <v>0.65</v>
      </c>
      <c r="N687" s="3">
        <v>5</v>
      </c>
      <c r="O687" s="8">
        <v>-9.6199999999999992</v>
      </c>
      <c r="P687" s="3">
        <v>1</v>
      </c>
      <c r="Q687" s="3">
        <v>4.1300000000000003E-2</v>
      </c>
      <c r="R687" s="3">
        <v>8.1000000000000003E-2</v>
      </c>
      <c r="S687" s="3">
        <v>0.52900000000000003</v>
      </c>
      <c r="T687" s="3">
        <v>0.33100000000000002</v>
      </c>
      <c r="U687" s="3">
        <v>0.14199999999999999</v>
      </c>
      <c r="V687" s="8">
        <v>132943</v>
      </c>
      <c r="W687" s="3">
        <v>4</v>
      </c>
      <c r="X687" s="3" t="str">
        <f t="shared" si="44"/>
        <v>-SADNE-</v>
      </c>
      <c r="Y687" s="3" t="str">
        <f t="shared" si="45"/>
        <v>-ENERGY-</v>
      </c>
      <c r="Z687" s="4" t="str">
        <f t="shared" si="46"/>
        <v>{"couname":"L'Ouverture","img":"https://i.scdn.co/image/ab67616d0000b273ca09e2edf097c13c8399a43b","pty":"0","artist":"Jean-Michel Jarre","genres":"new age,electrónica,space music","duration":"291586","spotId":"3i9WNlsgmtOfiluFYLuVqt","Items":["-SADNE-","-ENERGY-","","","GN_FrenchElectro"]},</v>
      </c>
      <c r="AA687" s="5" t="s">
        <v>6100</v>
      </c>
      <c r="AB687" s="3" t="str">
        <f t="shared" si="47"/>
        <v>["-SADNE-","-ENERGY-","","","GN_FrenchElectro"]</v>
      </c>
      <c r="AC687" s="3" t="str">
        <f>_xlfn.XLOOKUP(A687,Album!A:A,Album!J:J)</f>
        <v>https://i.scdn.co/image/ab67616d0000b273ca09e2edf097c13c8399a43b</v>
      </c>
      <c r="AD687" s="3"/>
      <c r="AE687" s="3"/>
      <c r="AF687" s="3"/>
      <c r="AG687" s="3"/>
      <c r="AH687" s="3"/>
    </row>
    <row r="688" spans="1:34" x14ac:dyDescent="0.3">
      <c r="A688" s="11" t="s">
        <v>348</v>
      </c>
      <c r="B688" s="12" t="s">
        <v>5238</v>
      </c>
      <c r="C688" s="12" t="s">
        <v>347</v>
      </c>
      <c r="D688" s="13" t="s">
        <v>18</v>
      </c>
      <c r="E688" s="6">
        <v>42244</v>
      </c>
      <c r="F688" s="3">
        <v>410466</v>
      </c>
      <c r="G688" s="3">
        <v>0</v>
      </c>
      <c r="H688" s="3" t="s">
        <v>5239</v>
      </c>
      <c r="I688" s="3" t="s">
        <v>102</v>
      </c>
      <c r="J688" s="3" t="s">
        <v>103</v>
      </c>
      <c r="K688" s="3" t="s">
        <v>104</v>
      </c>
      <c r="L688" s="3">
        <v>0.72099999999999997</v>
      </c>
      <c r="M688" s="3">
        <v>0.67600000000000005</v>
      </c>
      <c r="N688" s="3">
        <v>10</v>
      </c>
      <c r="O688" s="8">
        <v>-7696</v>
      </c>
      <c r="P688" s="3">
        <v>0</v>
      </c>
      <c r="Q688" s="3">
        <v>3.6799999999999999E-2</v>
      </c>
      <c r="R688" s="3">
        <v>1.4999999999999999E-2</v>
      </c>
      <c r="S688" s="3">
        <v>0.90600000000000003</v>
      </c>
      <c r="T688" s="3">
        <v>0.28899999999999998</v>
      </c>
      <c r="U688" s="3">
        <v>0.30299999999999999</v>
      </c>
      <c r="V688" s="8">
        <v>114706</v>
      </c>
      <c r="W688" s="3">
        <v>4</v>
      </c>
      <c r="X688" s="3" t="str">
        <f t="shared" si="44"/>
        <v>-SADNE-</v>
      </c>
      <c r="Y688" s="3" t="str">
        <f t="shared" si="45"/>
        <v>-ENERGY-</v>
      </c>
      <c r="Z688" s="4" t="str">
        <f t="shared" si="46"/>
        <v>{"couname":"Arpegiateur","img":"https://i.scdn.co/image/ab67616d0000b273ca09e2edf097c13c8399a43b","pty":"0","artist":"Jean-Michel Jarre","genres":"new age,electrónica,space music","duration":"410466","spotId":"1CNCPVuomfDW044o3a6Nfh","Items":["-SADNE-","-ENERGY-","","","GN_FrenchElectro"]},</v>
      </c>
      <c r="AA688" s="5" t="s">
        <v>6100</v>
      </c>
      <c r="AB688" s="3" t="str">
        <f t="shared" si="47"/>
        <v>["-SADNE-","-ENERGY-","","","GN_FrenchElectro"]</v>
      </c>
      <c r="AC688" s="3" t="str">
        <f>_xlfn.XLOOKUP(A688,Album!A:A,Album!J:J)</f>
        <v>https://i.scdn.co/image/ab67616d0000b273ca09e2edf097c13c8399a43b</v>
      </c>
      <c r="AD688" s="3"/>
      <c r="AE688" s="3"/>
      <c r="AF688" s="3"/>
      <c r="AG688" s="3"/>
      <c r="AH688" s="3"/>
    </row>
    <row r="689" spans="1:34" x14ac:dyDescent="0.3">
      <c r="A689" s="11" t="s">
        <v>350</v>
      </c>
      <c r="B689" s="12" t="s">
        <v>124</v>
      </c>
      <c r="C689" s="12" t="s">
        <v>347</v>
      </c>
      <c r="D689" s="13" t="s">
        <v>18</v>
      </c>
      <c r="E689" s="6">
        <v>42244</v>
      </c>
      <c r="F689" s="3">
        <v>467506</v>
      </c>
      <c r="G689" s="3">
        <v>0</v>
      </c>
      <c r="H689" s="3" t="s">
        <v>5237</v>
      </c>
      <c r="I689" s="3" t="s">
        <v>102</v>
      </c>
      <c r="J689" s="3" t="s">
        <v>103</v>
      </c>
      <c r="K689" s="3" t="s">
        <v>104</v>
      </c>
      <c r="L689" s="3">
        <v>0.622</v>
      </c>
      <c r="M689" s="3">
        <v>0.92800000000000005</v>
      </c>
      <c r="N689" s="3">
        <v>10</v>
      </c>
      <c r="O689" s="8">
        <v>-6369</v>
      </c>
      <c r="P689" s="3">
        <v>1</v>
      </c>
      <c r="Q689" s="3">
        <v>4.1399999999999999E-2</v>
      </c>
      <c r="R689" s="3">
        <v>6.7499999999999999E-3</v>
      </c>
      <c r="S689" s="3">
        <v>0.70199999999999996</v>
      </c>
      <c r="T689" s="3">
        <v>0.19</v>
      </c>
      <c r="U689" s="3">
        <v>0.24</v>
      </c>
      <c r="V689" s="8">
        <v>116.09</v>
      </c>
      <c r="W689" s="3">
        <v>4</v>
      </c>
      <c r="X689" s="3" t="str">
        <f t="shared" si="44"/>
        <v>-SADNE-</v>
      </c>
      <c r="Y689" s="3" t="str">
        <f t="shared" si="45"/>
        <v>-ENERGY-</v>
      </c>
      <c r="Z689" s="4" t="str">
        <f t="shared" si="46"/>
        <v>{"couname":"Equinoxe, Pt. 4","img":"https://i.scdn.co/image/ab67616d0000b273ca09e2edf097c13c8399a43b","pty":"0","artist":"Jean-Michel Jarre","genres":"new age,electrónica,space music","duration":"467506","spotId":"7GnhfWwkF0mKbS5Zdmkxdk","Items":["-SADNE-","-ENERGY-","","","GN_FrenchElectro"]},</v>
      </c>
      <c r="AA689" s="5" t="s">
        <v>6100</v>
      </c>
      <c r="AB689" s="3" t="str">
        <f t="shared" si="47"/>
        <v>["-SADNE-","-ENERGY-","","","GN_FrenchElectro"]</v>
      </c>
      <c r="AC689" s="3" t="str">
        <f>_xlfn.XLOOKUP(A689,Album!A:A,Album!J:J)</f>
        <v>https://i.scdn.co/image/ab67616d0000b273ca09e2edf097c13c8399a43b</v>
      </c>
      <c r="AD689" s="3"/>
      <c r="AE689" s="3"/>
      <c r="AF689" s="3"/>
      <c r="AG689" s="3"/>
      <c r="AH689" s="3"/>
    </row>
    <row r="690" spans="1:34" x14ac:dyDescent="0.3">
      <c r="A690" s="11" t="s">
        <v>352</v>
      </c>
      <c r="B690" s="12" t="s">
        <v>5235</v>
      </c>
      <c r="C690" s="12" t="s">
        <v>347</v>
      </c>
      <c r="D690" s="13" t="s">
        <v>18</v>
      </c>
      <c r="E690" s="6">
        <v>42244</v>
      </c>
      <c r="F690" s="3">
        <v>585973</v>
      </c>
      <c r="G690" s="3">
        <v>0</v>
      </c>
      <c r="H690" s="3" t="s">
        <v>5236</v>
      </c>
      <c r="I690" s="3" t="s">
        <v>102</v>
      </c>
      <c r="J690" s="3" t="s">
        <v>103</v>
      </c>
      <c r="K690" s="3" t="s">
        <v>104</v>
      </c>
      <c r="L690" s="3">
        <v>0.23499999999999999</v>
      </c>
      <c r="M690" s="3">
        <v>0.65400000000000003</v>
      </c>
      <c r="N690" s="3">
        <v>4</v>
      </c>
      <c r="O690" s="8">
        <v>-9269</v>
      </c>
      <c r="P690" s="3">
        <v>0</v>
      </c>
      <c r="Q690" s="3">
        <v>5.4199999999999998E-2</v>
      </c>
      <c r="R690" s="3">
        <v>2.7799999999999998E-2</v>
      </c>
      <c r="S690" s="3">
        <v>0.72299999999999998</v>
      </c>
      <c r="T690" s="3">
        <v>0.79100000000000004</v>
      </c>
      <c r="U690" s="3">
        <v>0.182</v>
      </c>
      <c r="V690" s="8">
        <v>83465</v>
      </c>
      <c r="W690" s="3">
        <v>4</v>
      </c>
      <c r="X690" s="3" t="str">
        <f t="shared" si="44"/>
        <v>-SADNE-</v>
      </c>
      <c r="Y690" s="3" t="str">
        <f t="shared" si="45"/>
        <v>-ENERGY-</v>
      </c>
      <c r="Z690" s="4" t="str">
        <f t="shared" si="46"/>
        <v>{"couname":"Jonques De Pêcheurs Au Crepuscule","img":"https://i.scdn.co/image/ab67616d0000b273ca09e2edf097c13c8399a43b","pty":"0","artist":"Jean-Michel Jarre","genres":"new age,electrónica,space music","duration":"585973","spotId":"2n4hQzVCgUwxIhDU8S8XGL","Items":["-SADNE-","-ENERGY-","","","GN_FrenchElectro"]},</v>
      </c>
      <c r="AA690" s="5" t="s">
        <v>6100</v>
      </c>
      <c r="AB690" s="3" t="str">
        <f t="shared" si="47"/>
        <v>["-SADNE-","-ENERGY-","","","GN_FrenchElectro"]</v>
      </c>
      <c r="AC690" s="3" t="str">
        <f>_xlfn.XLOOKUP(A690,Album!A:A,Album!J:J)</f>
        <v>https://i.scdn.co/image/ab67616d0000b273ca09e2edf097c13c8399a43b</v>
      </c>
      <c r="AD690" s="3"/>
      <c r="AE690" s="3"/>
      <c r="AF690" s="3"/>
      <c r="AG690" s="3"/>
      <c r="AH690" s="3"/>
    </row>
    <row r="691" spans="1:34" x14ac:dyDescent="0.3">
      <c r="A691" s="11" t="s">
        <v>353</v>
      </c>
      <c r="B691" s="12" t="s">
        <v>354</v>
      </c>
      <c r="C691" s="12" t="s">
        <v>347</v>
      </c>
      <c r="D691" s="13" t="s">
        <v>18</v>
      </c>
      <c r="E691" s="6">
        <v>42244</v>
      </c>
      <c r="F691" s="3">
        <v>81133</v>
      </c>
      <c r="G691" s="3">
        <v>0</v>
      </c>
      <c r="H691" s="3" t="s">
        <v>5234</v>
      </c>
      <c r="I691" s="3" t="s">
        <v>102</v>
      </c>
      <c r="J691" s="3" t="s">
        <v>103</v>
      </c>
      <c r="K691" s="3" t="s">
        <v>104</v>
      </c>
      <c r="L691" s="3">
        <v>0.32400000000000001</v>
      </c>
      <c r="M691" s="3">
        <v>0.73499999999999999</v>
      </c>
      <c r="N691" s="3">
        <v>0</v>
      </c>
      <c r="O691" s="8">
        <v>-13141</v>
      </c>
      <c r="P691" s="3">
        <v>0</v>
      </c>
      <c r="Q691" s="3">
        <v>9.3899999999999997E-2</v>
      </c>
      <c r="R691" s="3">
        <v>8.8200000000000001E-2</v>
      </c>
      <c r="S691" s="3">
        <v>0.73</v>
      </c>
      <c r="T691" s="3">
        <v>0.433</v>
      </c>
      <c r="U691" s="3">
        <v>0.58699999999999997</v>
      </c>
      <c r="V691" s="8">
        <v>140701</v>
      </c>
      <c r="W691" s="3">
        <v>4</v>
      </c>
      <c r="X691" s="3" t="str">
        <f t="shared" si="44"/>
        <v>-HAPPY-</v>
      </c>
      <c r="Y691" s="3" t="str">
        <f t="shared" si="45"/>
        <v>-ENERGY-</v>
      </c>
      <c r="Z691" s="4" t="str">
        <f t="shared" si="46"/>
        <v>{"couname":"L'Orchestre Sous La Pluie","img":"https://i.scdn.co/image/ab67616d0000b273ca09e2edf097c13c8399a43b","pty":"0","artist":"Jean-Michel Jarre","genres":"new age,electrónica,space music","duration":"81133","spotId":"0A2bb4yH6ZYMakXX4beb0E","Items":["-HAPPY-","-ENERGY-","","","GN_FrenchElectro"]},</v>
      </c>
      <c r="AA691" s="5" t="s">
        <v>6100</v>
      </c>
      <c r="AB691" s="3" t="str">
        <f t="shared" si="47"/>
        <v>["-HAPPY-","-ENERGY-","","","GN_FrenchElectro"]</v>
      </c>
      <c r="AC691" s="3" t="str">
        <f>_xlfn.XLOOKUP(A691,Album!A:A,Album!J:J)</f>
        <v>https://i.scdn.co/image/ab67616d0000b273ca09e2edf097c13c8399a43b</v>
      </c>
      <c r="AD691" s="3"/>
      <c r="AE691" s="3"/>
      <c r="AF691" s="3"/>
      <c r="AG691" s="3"/>
      <c r="AH691" s="3"/>
    </row>
    <row r="692" spans="1:34" x14ac:dyDescent="0.3">
      <c r="A692" s="11" t="s">
        <v>355</v>
      </c>
      <c r="B692" s="12" t="s">
        <v>130</v>
      </c>
      <c r="C692" s="12" t="s">
        <v>347</v>
      </c>
      <c r="D692" s="13" t="s">
        <v>18</v>
      </c>
      <c r="E692" s="6">
        <v>42244</v>
      </c>
      <c r="F692" s="3">
        <v>594213</v>
      </c>
      <c r="G692" s="3">
        <v>0</v>
      </c>
      <c r="H692" s="3" t="s">
        <v>5233</v>
      </c>
      <c r="I692" s="3" t="s">
        <v>102</v>
      </c>
      <c r="J692" s="3" t="s">
        <v>103</v>
      </c>
      <c r="K692" s="3" t="s">
        <v>104</v>
      </c>
      <c r="L692" s="3">
        <v>0.5</v>
      </c>
      <c r="M692" s="3">
        <v>0.84499999999999997</v>
      </c>
      <c r="N692" s="3">
        <v>8</v>
      </c>
      <c r="O692" s="8">
        <v>-8.15</v>
      </c>
      <c r="P692" s="3">
        <v>1</v>
      </c>
      <c r="Q692" s="3">
        <v>3.7900000000000003E-2</v>
      </c>
      <c r="R692" s="3">
        <v>3.1899999999999998E-2</v>
      </c>
      <c r="S692" s="3">
        <v>0.86599999999999999</v>
      </c>
      <c r="T692" s="3">
        <v>0.22500000000000001</v>
      </c>
      <c r="U692" s="3">
        <v>0.434</v>
      </c>
      <c r="V692" s="8">
        <v>162779</v>
      </c>
      <c r="W692" s="3">
        <v>4</v>
      </c>
      <c r="X692" s="3" t="str">
        <f t="shared" si="44"/>
        <v>-HAPPY-</v>
      </c>
      <c r="Y692" s="3" t="str">
        <f t="shared" si="45"/>
        <v>-ENERGY-</v>
      </c>
      <c r="Z692" s="4" t="str">
        <f t="shared" si="46"/>
        <v>{"couname":"Equinoxe, Pt. 7","img":"https://i.scdn.co/image/ab67616d0000b273ca09e2edf097c13c8399a43b","pty":"0","artist":"Jean-Michel Jarre","genres":"new age,electrónica,space music","duration":"594213","spotId":"1LiIkt1hMxbMjH1BvWiFHl","Items":["-HAPPY-","-ENERGY-","","","GN_FrenchElectro"]},</v>
      </c>
      <c r="AA692" s="5" t="s">
        <v>6100</v>
      </c>
      <c r="AB692" s="3" t="str">
        <f t="shared" si="47"/>
        <v>["-HAPPY-","-ENERGY-","","","GN_FrenchElectro"]</v>
      </c>
      <c r="AC692" s="3" t="str">
        <f>_xlfn.XLOOKUP(A692,Album!A:A,Album!J:J)</f>
        <v>https://i.scdn.co/image/ab67616d0000b273ca09e2edf097c13c8399a43b</v>
      </c>
      <c r="AD692" s="3"/>
      <c r="AE692" s="3"/>
      <c r="AF692" s="3"/>
      <c r="AG692" s="3"/>
      <c r="AH692" s="3"/>
    </row>
    <row r="693" spans="1:34" x14ac:dyDescent="0.3">
      <c r="A693" s="11" t="s">
        <v>357</v>
      </c>
      <c r="B693" s="12" t="s">
        <v>5231</v>
      </c>
      <c r="C693" s="12" t="s">
        <v>347</v>
      </c>
      <c r="D693" s="13" t="s">
        <v>18</v>
      </c>
      <c r="E693" s="6">
        <v>42244</v>
      </c>
      <c r="F693" s="3">
        <v>262333</v>
      </c>
      <c r="G693" s="3">
        <v>0</v>
      </c>
      <c r="H693" s="3" t="s">
        <v>5232</v>
      </c>
      <c r="I693" s="3" t="s">
        <v>102</v>
      </c>
      <c r="J693" s="3" t="s">
        <v>103</v>
      </c>
      <c r="K693" s="3" t="s">
        <v>104</v>
      </c>
      <c r="L693" s="3">
        <v>0.36499999999999999</v>
      </c>
      <c r="M693" s="3">
        <v>0.94699999999999995</v>
      </c>
      <c r="N693" s="3">
        <v>0</v>
      </c>
      <c r="O693" s="8">
        <v>-7213</v>
      </c>
      <c r="P693" s="3">
        <v>1</v>
      </c>
      <c r="Q693" s="3">
        <v>3.9600000000000003E-2</v>
      </c>
      <c r="R693" s="3">
        <v>4.3600000000000002E-3</v>
      </c>
      <c r="S693" s="3">
        <v>0.65800000000000003</v>
      </c>
      <c r="T693" s="3">
        <v>0.69599999999999995</v>
      </c>
      <c r="U693" s="3">
        <v>0.81399999999999995</v>
      </c>
      <c r="V693" s="8">
        <v>139996</v>
      </c>
      <c r="W693" s="3">
        <v>4</v>
      </c>
      <c r="X693" s="3" t="str">
        <f t="shared" si="44"/>
        <v>-HAPPY-</v>
      </c>
      <c r="Y693" s="3" t="str">
        <f t="shared" si="45"/>
        <v>-ENERGY-</v>
      </c>
      <c r="Z693" s="4" t="str">
        <f t="shared" si="46"/>
        <v>{"couname":"Orient Express","img":"https://i.scdn.co/image/ab67616d0000b273ca09e2edf097c13c8399a43b","pty":"0","artist":"Jean-Michel Jarre","genres":"new age,electrónica,space music","duration":"262333","spotId":"4047wmWRxoxzvvaVIDcNaO","Items":["-HAPPY-","-ENERGY-","","","GN_FrenchElectro"]},</v>
      </c>
      <c r="AA693" s="5" t="s">
        <v>6100</v>
      </c>
      <c r="AB693" s="3" t="str">
        <f t="shared" si="47"/>
        <v>["-HAPPY-","-ENERGY-","","","GN_FrenchElectro"]</v>
      </c>
      <c r="AC693" s="3" t="str">
        <f>_xlfn.XLOOKUP(A693,Album!A:A,Album!J:J)</f>
        <v>https://i.scdn.co/image/ab67616d0000b273ca09e2edf097c13c8399a43b</v>
      </c>
      <c r="AD693" s="3"/>
      <c r="AE693" s="3"/>
      <c r="AF693" s="3"/>
      <c r="AG693" s="3"/>
      <c r="AH693" s="3"/>
    </row>
    <row r="694" spans="1:34" x14ac:dyDescent="0.3">
      <c r="A694" s="11" t="s">
        <v>359</v>
      </c>
      <c r="B694" s="12" t="s">
        <v>5229</v>
      </c>
      <c r="C694" s="12" t="s">
        <v>347</v>
      </c>
      <c r="D694" s="13" t="s">
        <v>18</v>
      </c>
      <c r="E694" s="6">
        <v>42244</v>
      </c>
      <c r="F694" s="3">
        <v>27973</v>
      </c>
      <c r="G694" s="3">
        <v>0</v>
      </c>
      <c r="H694" s="3" t="s">
        <v>5230</v>
      </c>
      <c r="I694" s="3" t="s">
        <v>102</v>
      </c>
      <c r="J694" s="3" t="s">
        <v>103</v>
      </c>
      <c r="K694" s="3" t="s">
        <v>104</v>
      </c>
      <c r="L694" s="3">
        <v>0.50800000000000001</v>
      </c>
      <c r="M694" s="3">
        <v>0.98499999999999999</v>
      </c>
      <c r="N694" s="3">
        <v>10</v>
      </c>
      <c r="O694" s="8">
        <v>-16469</v>
      </c>
      <c r="P694" s="3">
        <v>0</v>
      </c>
      <c r="Q694" s="3">
        <v>5.6899999999999999E-2</v>
      </c>
      <c r="R694" s="3">
        <v>0.122</v>
      </c>
      <c r="S694" s="3">
        <v>0.38700000000000001</v>
      </c>
      <c r="T694" s="3">
        <v>0.27900000000000003</v>
      </c>
      <c r="U694" s="3">
        <v>2.24E-2</v>
      </c>
      <c r="V694" s="8">
        <v>79028</v>
      </c>
      <c r="W694" s="3">
        <v>4</v>
      </c>
      <c r="X694" s="3" t="str">
        <f t="shared" si="44"/>
        <v>-SADNE-</v>
      </c>
      <c r="Y694" s="3" t="str">
        <f t="shared" si="45"/>
        <v>-ENERGY-</v>
      </c>
      <c r="Z694" s="4" t="str">
        <f t="shared" si="46"/>
        <v>{"couname":"Chants Magnetiques, Pt. 1","img":"https://i.scdn.co/image/ab67616d0000b273ca09e2edf097c13c8399a43b","pty":"0","artist":"Jean-Michel Jarre","genres":"new age,electrónica,space music","duration":"27973","spotId":"0TNEDtT4F4rnYXJGjxukWj","Items":["-SADNE-","-ENERGY-","","","GN_FrenchElectro"]},</v>
      </c>
      <c r="AA694" s="5" t="s">
        <v>6100</v>
      </c>
      <c r="AB694" s="3" t="str">
        <f t="shared" si="47"/>
        <v>["-SADNE-","-ENERGY-","","","GN_FrenchElectro"]</v>
      </c>
      <c r="AC694" s="3" t="str">
        <f>_xlfn.XLOOKUP(A694,Album!A:A,Album!J:J)</f>
        <v>https://i.scdn.co/image/ab67616d0000b273ca09e2edf097c13c8399a43b</v>
      </c>
      <c r="AD694" s="3"/>
      <c r="AE694" s="3"/>
      <c r="AF694" s="3"/>
      <c r="AG694" s="3"/>
      <c r="AH694" s="3"/>
    </row>
    <row r="695" spans="1:34" x14ac:dyDescent="0.3">
      <c r="A695" s="11" t="s">
        <v>361</v>
      </c>
      <c r="B695" s="12" t="s">
        <v>5227</v>
      </c>
      <c r="C695" s="12" t="s">
        <v>347</v>
      </c>
      <c r="D695" s="13" t="s">
        <v>18</v>
      </c>
      <c r="E695" s="6">
        <v>42244</v>
      </c>
      <c r="F695" s="3">
        <v>224560</v>
      </c>
      <c r="G695" s="3">
        <v>0</v>
      </c>
      <c r="H695" s="3" t="s">
        <v>5228</v>
      </c>
      <c r="I695" s="3" t="s">
        <v>102</v>
      </c>
      <c r="J695" s="3" t="s">
        <v>103</v>
      </c>
      <c r="K695" s="3" t="s">
        <v>104</v>
      </c>
      <c r="L695" s="3">
        <v>0.27100000000000002</v>
      </c>
      <c r="M695" s="3">
        <v>0.55100000000000005</v>
      </c>
      <c r="N695" s="3">
        <v>3</v>
      </c>
      <c r="O695" s="8">
        <v>-12738</v>
      </c>
      <c r="P695" s="3">
        <v>0</v>
      </c>
      <c r="Q695" s="3">
        <v>0.16500000000000001</v>
      </c>
      <c r="R695" s="3">
        <v>0.72699999999999998</v>
      </c>
      <c r="S695" s="3">
        <v>0.68100000000000005</v>
      </c>
      <c r="T695" s="3">
        <v>9.1899999999999996E-2</v>
      </c>
      <c r="U695" s="3">
        <v>0.34499999999999997</v>
      </c>
      <c r="V695" s="8">
        <v>65553</v>
      </c>
      <c r="W695" s="3">
        <v>4</v>
      </c>
      <c r="X695" s="3" t="str">
        <f t="shared" si="44"/>
        <v>-SADNE-</v>
      </c>
      <c r="Y695" s="3" t="str">
        <f t="shared" si="45"/>
        <v>-ENERGY-</v>
      </c>
      <c r="Z695" s="4" t="str">
        <f t="shared" si="46"/>
        <v>{"couname":"Chants Magnetiques, Pt. 3","img":"https://i.scdn.co/image/ab67616d0000b273ca09e2edf097c13c8399a43b","pty":"0","artist":"Jean-Michel Jarre","genres":"new age,electrónica,space music","duration":"224560","spotId":"3ZFr5fEyb4fFp9Saae1Wlo","Items":["-SADNE-","-ENERGY-","","","GN_FrenchElectro"]},</v>
      </c>
      <c r="AA695" s="5" t="s">
        <v>6100</v>
      </c>
      <c r="AB695" s="3" t="str">
        <f t="shared" si="47"/>
        <v>["-SADNE-","-ENERGY-","","","GN_FrenchElectro"]</v>
      </c>
      <c r="AC695" s="3" t="str">
        <f>_xlfn.XLOOKUP(A695,Album!A:A,Album!J:J)</f>
        <v>https://i.scdn.co/image/ab67616d0000b273ca09e2edf097c13c8399a43b</v>
      </c>
      <c r="AD695" s="3"/>
      <c r="AE695" s="3"/>
      <c r="AF695" s="3"/>
      <c r="AG695" s="3"/>
      <c r="AH695" s="3"/>
    </row>
    <row r="696" spans="1:34" x14ac:dyDescent="0.3">
      <c r="A696" s="11" t="s">
        <v>363</v>
      </c>
      <c r="B696" s="12" t="s">
        <v>5225</v>
      </c>
      <c r="C696" s="12" t="s">
        <v>347</v>
      </c>
      <c r="D696" s="13" t="s">
        <v>18</v>
      </c>
      <c r="E696" s="6">
        <v>42244</v>
      </c>
      <c r="F696" s="3">
        <v>405560</v>
      </c>
      <c r="G696" s="3">
        <v>0</v>
      </c>
      <c r="H696" s="3" t="s">
        <v>5226</v>
      </c>
      <c r="I696" s="3" t="s">
        <v>102</v>
      </c>
      <c r="J696" s="3" t="s">
        <v>103</v>
      </c>
      <c r="K696" s="3" t="s">
        <v>104</v>
      </c>
      <c r="L696" s="3">
        <v>0.54100000000000004</v>
      </c>
      <c r="M696" s="3">
        <v>0.79800000000000004</v>
      </c>
      <c r="N696" s="3">
        <v>1</v>
      </c>
      <c r="O696" s="8">
        <v>-8388</v>
      </c>
      <c r="P696" s="3">
        <v>1</v>
      </c>
      <c r="Q696" s="3">
        <v>3.5499999999999997E-2</v>
      </c>
      <c r="R696" s="3">
        <v>8.4500000000000006E-2</v>
      </c>
      <c r="S696" s="3">
        <v>0.93799999999999994</v>
      </c>
      <c r="T696" s="3">
        <v>0.68400000000000005</v>
      </c>
      <c r="U696" s="3">
        <v>0.45800000000000002</v>
      </c>
      <c r="V696" s="8">
        <v>94029</v>
      </c>
      <c r="W696" s="3">
        <v>4</v>
      </c>
      <c r="X696" s="3" t="str">
        <f t="shared" si="44"/>
        <v>-HAPPY-</v>
      </c>
      <c r="Y696" s="3" t="str">
        <f t="shared" si="45"/>
        <v>-ENERGY-</v>
      </c>
      <c r="Z696" s="4" t="str">
        <f t="shared" si="46"/>
        <v>{"couname":"Chants Magnetiques, Pt. 4","img":"https://i.scdn.co/image/ab67616d0000b273ca09e2edf097c13c8399a43b","pty":"0","artist":"Jean-Michel Jarre","genres":"new age,electrónica,space music","duration":"405560","spotId":"3GVngD7WxHN16JUFtRyAl5","Items":["-HAPPY-","-ENERGY-","","","GN_FrenchElectro"]},</v>
      </c>
      <c r="AA696" s="5" t="s">
        <v>6100</v>
      </c>
      <c r="AB696" s="3" t="str">
        <f t="shared" si="47"/>
        <v>["-HAPPY-","-ENERGY-","","","GN_FrenchElectro"]</v>
      </c>
      <c r="AC696" s="3" t="str">
        <f>_xlfn.XLOOKUP(A696,Album!A:A,Album!J:J)</f>
        <v>https://i.scdn.co/image/ab67616d0000b273ca09e2edf097c13c8399a43b</v>
      </c>
      <c r="AD696" s="3"/>
      <c r="AE696" s="3"/>
      <c r="AF696" s="3"/>
      <c r="AG696" s="3"/>
      <c r="AH696" s="3"/>
    </row>
    <row r="697" spans="1:34" x14ac:dyDescent="0.3">
      <c r="A697" s="11" t="s">
        <v>365</v>
      </c>
      <c r="B697" s="12" t="s">
        <v>5223</v>
      </c>
      <c r="C697" s="12" t="s">
        <v>347</v>
      </c>
      <c r="D697" s="13" t="s">
        <v>18</v>
      </c>
      <c r="E697" s="6">
        <v>42244</v>
      </c>
      <c r="F697" s="3">
        <v>214413</v>
      </c>
      <c r="G697" s="3">
        <v>0</v>
      </c>
      <c r="H697" s="3" t="s">
        <v>5224</v>
      </c>
      <c r="I697" s="3" t="s">
        <v>102</v>
      </c>
      <c r="J697" s="3" t="s">
        <v>103</v>
      </c>
      <c r="K697" s="3" t="s">
        <v>104</v>
      </c>
      <c r="L697" s="3">
        <v>0.21299999999999999</v>
      </c>
      <c r="M697" s="3">
        <v>0.44900000000000001</v>
      </c>
      <c r="N697" s="3">
        <v>8</v>
      </c>
      <c r="O697" s="8">
        <v>-16.100000000000001</v>
      </c>
      <c r="P697" s="3">
        <v>1</v>
      </c>
      <c r="Q697" s="3">
        <v>7.5200000000000003E-2</v>
      </c>
      <c r="R697" s="3">
        <v>0.84199999999999997</v>
      </c>
      <c r="S697" s="3">
        <v>0.40400000000000003</v>
      </c>
      <c r="T697" s="3">
        <v>0.34399999999999997</v>
      </c>
      <c r="U697" s="3">
        <v>0.26700000000000002</v>
      </c>
      <c r="V697" s="8">
        <v>87165</v>
      </c>
      <c r="W697" s="3">
        <v>4</v>
      </c>
      <c r="X697" s="3" t="str">
        <f t="shared" si="44"/>
        <v>-SADNE-</v>
      </c>
      <c r="Y697" s="3" t="str">
        <f t="shared" si="45"/>
        <v>-SLOWSS-</v>
      </c>
      <c r="Z697" s="4" t="str">
        <f t="shared" si="46"/>
        <v>{"couname":"Harpe Laser","img":"https://i.scdn.co/image/ab67616d0000b273ca09e2edf097c13c8399a43b","pty":"0","artist":"Jean-Michel Jarre","genres":"new age,electrónica,space music","duration":"214413","spotId":"1nIwRk3tRopmLdzKnkuXe4","Items":["-SADNE-","-SLOWSS-","","","GN_FrenchElectro"]},</v>
      </c>
      <c r="AA697" s="5" t="s">
        <v>6100</v>
      </c>
      <c r="AB697" s="3" t="str">
        <f t="shared" si="47"/>
        <v>["-SADNE-","-SLOWSS-","","","GN_FrenchElectro"]</v>
      </c>
      <c r="AC697" s="3" t="str">
        <f>_xlfn.XLOOKUP(A697,Album!A:A,Album!J:J)</f>
        <v>https://i.scdn.co/image/ab67616d0000b273ca09e2edf097c13c8399a43b</v>
      </c>
      <c r="AD697" s="3"/>
      <c r="AE697" s="3"/>
      <c r="AF697" s="3"/>
      <c r="AG697" s="3"/>
      <c r="AH697" s="3"/>
    </row>
    <row r="698" spans="1:34" x14ac:dyDescent="0.3">
      <c r="A698" s="11" t="s">
        <v>367</v>
      </c>
      <c r="B698" s="12" t="s">
        <v>5221</v>
      </c>
      <c r="C698" s="12" t="s">
        <v>347</v>
      </c>
      <c r="D698" s="13" t="s">
        <v>18</v>
      </c>
      <c r="E698" s="6">
        <v>42244</v>
      </c>
      <c r="F698" s="3">
        <v>421520</v>
      </c>
      <c r="G698" s="3">
        <v>0</v>
      </c>
      <c r="H698" s="3" t="s">
        <v>5222</v>
      </c>
      <c r="I698" s="3" t="s">
        <v>102</v>
      </c>
      <c r="J698" s="3" t="s">
        <v>103</v>
      </c>
      <c r="K698" s="3" t="s">
        <v>104</v>
      </c>
      <c r="L698" s="3">
        <v>0.46899999999999997</v>
      </c>
      <c r="M698" s="3">
        <v>0.79300000000000004</v>
      </c>
      <c r="N698" s="3">
        <v>5</v>
      </c>
      <c r="O698" s="8">
        <v>-7293</v>
      </c>
      <c r="P698" s="3">
        <v>1</v>
      </c>
      <c r="Q698" s="3">
        <v>3.5499999999999997E-2</v>
      </c>
      <c r="R698" s="3">
        <v>3.7499999999999999E-2</v>
      </c>
      <c r="S698" s="3">
        <v>0.871</v>
      </c>
      <c r="T698" s="3">
        <v>0.224</v>
      </c>
      <c r="U698" s="3">
        <v>6.5299999999999997E-2</v>
      </c>
      <c r="V698" s="8">
        <v>115021</v>
      </c>
      <c r="W698" s="3">
        <v>4</v>
      </c>
      <c r="X698" s="3" t="str">
        <f t="shared" si="44"/>
        <v>-SADNE-</v>
      </c>
      <c r="Y698" s="3" t="str">
        <f t="shared" si="45"/>
        <v>-ENERGY-</v>
      </c>
      <c r="Z698" s="4" t="str">
        <f t="shared" si="46"/>
        <v>{"couname":"Nuit A Shanghai","img":"https://i.scdn.co/image/ab67616d0000b273ca09e2edf097c13c8399a43b","pty":"0","artist":"Jean-Michel Jarre","genres":"new age,electrónica,space music","duration":"421520","spotId":"57EBou6lQwEDSuBeRriGDD","Items":["-SADNE-","-ENERGY-","","","GN_FrenchElectro"]},</v>
      </c>
      <c r="AA698" s="5" t="s">
        <v>6100</v>
      </c>
      <c r="AB698" s="3" t="str">
        <f t="shared" si="47"/>
        <v>["-SADNE-","-ENERGY-","","","GN_FrenchElectro"]</v>
      </c>
      <c r="AC698" s="3" t="str">
        <f>_xlfn.XLOOKUP(A698,Album!A:A,Album!J:J)</f>
        <v>https://i.scdn.co/image/ab67616d0000b273ca09e2edf097c13c8399a43b</v>
      </c>
      <c r="AD698" s="3"/>
      <c r="AE698" s="3"/>
      <c r="AF698" s="3"/>
      <c r="AG698" s="3"/>
      <c r="AH698" s="3"/>
    </row>
    <row r="699" spans="1:34" x14ac:dyDescent="0.3">
      <c r="A699" s="11" t="s">
        <v>369</v>
      </c>
      <c r="B699" s="12" t="s">
        <v>5219</v>
      </c>
      <c r="C699" s="12" t="s">
        <v>347</v>
      </c>
      <c r="D699" s="13" t="s">
        <v>18</v>
      </c>
      <c r="E699" s="6">
        <v>42244</v>
      </c>
      <c r="F699" s="3">
        <v>131120</v>
      </c>
      <c r="G699" s="3">
        <v>0</v>
      </c>
      <c r="H699" s="3" t="s">
        <v>5220</v>
      </c>
      <c r="I699" s="3" t="s">
        <v>102</v>
      </c>
      <c r="J699" s="3" t="s">
        <v>103</v>
      </c>
      <c r="K699" s="3" t="s">
        <v>104</v>
      </c>
      <c r="L699" s="3">
        <v>0.49299999999999999</v>
      </c>
      <c r="M699" s="3">
        <v>0.83199999999999996</v>
      </c>
      <c r="N699" s="3">
        <v>0</v>
      </c>
      <c r="O699" s="8">
        <v>-7448</v>
      </c>
      <c r="P699" s="3">
        <v>1</v>
      </c>
      <c r="Q699" s="3">
        <v>3.4799999999999998E-2</v>
      </c>
      <c r="R699" s="3">
        <v>0.43</v>
      </c>
      <c r="S699" s="3">
        <v>0.97299999999999998</v>
      </c>
      <c r="T699" s="3">
        <v>0.96799999999999997</v>
      </c>
      <c r="U699" s="3">
        <v>0.76100000000000001</v>
      </c>
      <c r="V699" s="8">
        <v>130246</v>
      </c>
      <c r="W699" s="3">
        <v>4</v>
      </c>
      <c r="X699" s="3" t="str">
        <f t="shared" si="44"/>
        <v>-HAPPY-</v>
      </c>
      <c r="Y699" s="3" t="str">
        <f t="shared" si="45"/>
        <v>-ENERGY-</v>
      </c>
      <c r="Z699" s="4" t="str">
        <f t="shared" si="46"/>
        <v>{"couname":"La Dernière Rumba","img":"https://i.scdn.co/image/ab67616d0000b273ca09e2edf097c13c8399a43b","pty":"0","artist":"Jean-Michel Jarre","genres":"new age,electrónica,space music","duration":"131120","spotId":"5kpKK9pNs2cXt86QeoVDkb","Items":["-HAPPY-","-ENERGY-","","","GN_FrenchElectro"]},</v>
      </c>
      <c r="AA699" s="5" t="s">
        <v>6100</v>
      </c>
      <c r="AB699" s="3" t="str">
        <f t="shared" si="47"/>
        <v>["-HAPPY-","-ENERGY-","","","GN_FrenchElectro"]</v>
      </c>
      <c r="AC699" s="3" t="str">
        <f>_xlfn.XLOOKUP(A699,Album!A:A,Album!J:J)</f>
        <v>https://i.scdn.co/image/ab67616d0000b273ca09e2edf097c13c8399a43b</v>
      </c>
      <c r="AD699" s="3"/>
      <c r="AE699" s="3"/>
      <c r="AF699" s="3"/>
      <c r="AG699" s="3"/>
      <c r="AH699" s="3"/>
    </row>
    <row r="700" spans="1:34" x14ac:dyDescent="0.3">
      <c r="A700" s="11" t="s">
        <v>370</v>
      </c>
      <c r="B700" s="12" t="s">
        <v>5217</v>
      </c>
      <c r="C700" s="12" t="s">
        <v>347</v>
      </c>
      <c r="D700" s="13" t="s">
        <v>18</v>
      </c>
      <c r="E700" s="6">
        <v>42244</v>
      </c>
      <c r="F700" s="3">
        <v>378733</v>
      </c>
      <c r="G700" s="3">
        <v>0</v>
      </c>
      <c r="H700" s="3" t="s">
        <v>5218</v>
      </c>
      <c r="I700" s="3" t="s">
        <v>102</v>
      </c>
      <c r="J700" s="3" t="s">
        <v>103</v>
      </c>
      <c r="K700" s="3" t="s">
        <v>104</v>
      </c>
      <c r="L700" s="3">
        <v>0.52700000000000002</v>
      </c>
      <c r="M700" s="3">
        <v>0.97799999999999998</v>
      </c>
      <c r="N700" s="3">
        <v>7</v>
      </c>
      <c r="O700" s="8">
        <v>-5539</v>
      </c>
      <c r="P700" s="3">
        <v>1</v>
      </c>
      <c r="Q700" s="3">
        <v>6.4299999999999996E-2</v>
      </c>
      <c r="R700" s="3">
        <v>2.43E-4</v>
      </c>
      <c r="S700" s="3">
        <v>0.74399999999999999</v>
      </c>
      <c r="T700" s="3">
        <v>0.39500000000000002</v>
      </c>
      <c r="U700" s="3">
        <v>0.58699999999999997</v>
      </c>
      <c r="V700" s="8">
        <v>97229</v>
      </c>
      <c r="W700" s="3">
        <v>4</v>
      </c>
      <c r="X700" s="3" t="str">
        <f t="shared" si="44"/>
        <v>-HAPPY-</v>
      </c>
      <c r="Y700" s="3" t="str">
        <f t="shared" si="45"/>
        <v>-ENERGY-</v>
      </c>
      <c r="Z700" s="4" t="str">
        <f t="shared" si="46"/>
        <v>{"couname":"Chants Magnetiques, Pt. 2","img":"https://i.scdn.co/image/ab67616d0000b273ca09e2edf097c13c8399a43b","pty":"0","artist":"Jean-Michel Jarre","genres":"new age,electrónica,space music","duration":"378733","spotId":"6fe1l33l8I1937Suemnmiw","Items":["-HAPPY-","-ENERGY-","","","GN_FrenchElectro"]},</v>
      </c>
      <c r="AA700" s="5" t="s">
        <v>6100</v>
      </c>
      <c r="AB700" s="3" t="str">
        <f t="shared" si="47"/>
        <v>["-HAPPY-","-ENERGY-","","","GN_FrenchElectro"]</v>
      </c>
      <c r="AC700" s="3" t="str">
        <f>_xlfn.XLOOKUP(A700,Album!A:A,Album!J:J)</f>
        <v>https://i.scdn.co/image/ab67616d0000b273ca09e2edf097c13c8399a43b</v>
      </c>
      <c r="AD700" s="3"/>
      <c r="AE700" s="3"/>
      <c r="AF700" s="3"/>
      <c r="AG700" s="3"/>
      <c r="AH700" s="3"/>
    </row>
    <row r="701" spans="1:34" x14ac:dyDescent="0.3">
      <c r="A701" s="11" t="s">
        <v>372</v>
      </c>
      <c r="B701" s="12" t="s">
        <v>373</v>
      </c>
      <c r="C701" s="12" t="s">
        <v>347</v>
      </c>
      <c r="D701" s="13" t="s">
        <v>18</v>
      </c>
      <c r="E701" s="6">
        <v>42244</v>
      </c>
      <c r="F701" s="3">
        <v>239293</v>
      </c>
      <c r="G701" s="3">
        <v>0</v>
      </c>
      <c r="H701" s="3" t="s">
        <v>5216</v>
      </c>
      <c r="I701" s="3" t="s">
        <v>102</v>
      </c>
      <c r="J701" s="3" t="s">
        <v>103</v>
      </c>
      <c r="K701" s="3" t="s">
        <v>104</v>
      </c>
      <c r="L701" s="3">
        <v>0.28599999999999998</v>
      </c>
      <c r="M701" s="3">
        <v>0.68200000000000005</v>
      </c>
      <c r="N701" s="3">
        <v>0</v>
      </c>
      <c r="O701" s="8">
        <v>-5834</v>
      </c>
      <c r="P701" s="3">
        <v>0</v>
      </c>
      <c r="Q701" s="3">
        <v>3.2399999999999998E-2</v>
      </c>
      <c r="R701" s="3">
        <v>1.58E-3</v>
      </c>
      <c r="S701" s="3">
        <v>0.74399999999999999</v>
      </c>
      <c r="T701" s="3">
        <v>0.34100000000000003</v>
      </c>
      <c r="U701" s="3">
        <v>0.22</v>
      </c>
      <c r="V701" s="8">
        <v>113706</v>
      </c>
      <c r="W701" s="3">
        <v>4</v>
      </c>
      <c r="X701" s="3" t="str">
        <f t="shared" si="44"/>
        <v>-SADNE-</v>
      </c>
      <c r="Y701" s="3" t="str">
        <f t="shared" si="45"/>
        <v>-ENERGY-</v>
      </c>
      <c r="Z701" s="4" t="str">
        <f t="shared" si="46"/>
        <v>{"couname":"Souvenir de Chine","img":"https://i.scdn.co/image/ab67616d0000b273ca09e2edf097c13c8399a43b","pty":"0","artist":"Jean-Michel Jarre","genres":"new age,electrónica,space music","duration":"239293","spotId":"5UBeEIUrTP2mUrfwWosPvD","Items":["-SADNE-","-ENERGY-","","","GN_FrenchElectro"]},</v>
      </c>
      <c r="AA701" s="5" t="s">
        <v>6100</v>
      </c>
      <c r="AB701" s="3" t="str">
        <f t="shared" si="47"/>
        <v>["-SADNE-","-ENERGY-","","","GN_FrenchElectro"]</v>
      </c>
      <c r="AC701" s="3" t="str">
        <f>_xlfn.XLOOKUP(A701,Album!A:A,Album!J:J)</f>
        <v>https://i.scdn.co/image/ab67616d0000b273ca09e2edf097c13c8399a43b</v>
      </c>
      <c r="AD701" s="3"/>
      <c r="AE701" s="3"/>
      <c r="AF701" s="3"/>
      <c r="AG701" s="3"/>
      <c r="AH701" s="3"/>
    </row>
    <row r="702" spans="1:34" x14ac:dyDescent="0.3">
      <c r="A702" s="11" t="s">
        <v>374</v>
      </c>
      <c r="B702" s="12" t="s">
        <v>5214</v>
      </c>
      <c r="C702" s="12" t="s">
        <v>376</v>
      </c>
      <c r="D702" s="13" t="s">
        <v>18</v>
      </c>
      <c r="E702" s="6">
        <v>41747</v>
      </c>
      <c r="F702" s="3">
        <v>76733</v>
      </c>
      <c r="G702" s="3">
        <v>0</v>
      </c>
      <c r="H702" s="3" t="s">
        <v>5215</v>
      </c>
      <c r="I702" s="3" t="s">
        <v>102</v>
      </c>
      <c r="J702" s="3" t="s">
        <v>103</v>
      </c>
      <c r="K702" s="3" t="s">
        <v>104</v>
      </c>
      <c r="L702" s="3">
        <v>0.49099999999999999</v>
      </c>
      <c r="M702" s="3">
        <v>0.82399999999999995</v>
      </c>
      <c r="N702" s="3">
        <v>7</v>
      </c>
      <c r="O702" s="8">
        <v>-7637</v>
      </c>
      <c r="P702" s="3">
        <v>1</v>
      </c>
      <c r="Q702" s="3">
        <v>0.371</v>
      </c>
      <c r="R702" s="3">
        <v>0.32</v>
      </c>
      <c r="S702" s="3">
        <v>4.2200000000000001E-4</v>
      </c>
      <c r="T702" s="3">
        <v>0.625</v>
      </c>
      <c r="U702" s="3">
        <v>0.61699999999999999</v>
      </c>
      <c r="V702" s="8">
        <v>99718</v>
      </c>
      <c r="W702" s="3">
        <v>4</v>
      </c>
      <c r="X702" s="3" t="str">
        <f t="shared" si="44"/>
        <v>-HAPPY-</v>
      </c>
      <c r="Y702" s="3" t="str">
        <f t="shared" si="45"/>
        <v>-ENERGY-</v>
      </c>
      <c r="Z702" s="4" t="str">
        <f t="shared" si="46"/>
        <v>{"couname":"Oxygene V","img":"https://i.scdn.co/image/ab67616d0000b273b97b9dd6c74f157dcde149e0","pty":"0","artist":"Jean-Michel Jarre","genres":"new age,electrónica,space music","duration":"76733","spotId":"38Uk3XRsyhqxRHfRyHaBXC","Items":["-HAPPY-","-ENERGY-","","","GN_FrenchElectro"]},</v>
      </c>
      <c r="AA702" s="5" t="s">
        <v>6100</v>
      </c>
      <c r="AB702" s="3" t="str">
        <f t="shared" si="47"/>
        <v>["-HAPPY-","-ENERGY-","","","GN_FrenchElectro"]</v>
      </c>
      <c r="AC702" s="3" t="str">
        <f>_xlfn.XLOOKUP(A702,Album!A:A,Album!J:J)</f>
        <v>https://i.scdn.co/image/ab67616d0000b273b97b9dd6c74f157dcde149e0</v>
      </c>
      <c r="AD702" s="3"/>
      <c r="AE702" s="3"/>
      <c r="AF702" s="3"/>
      <c r="AG702" s="3"/>
      <c r="AH702" s="3"/>
    </row>
    <row r="703" spans="1:34" x14ac:dyDescent="0.3">
      <c r="A703" s="11" t="s">
        <v>377</v>
      </c>
      <c r="B703" s="12" t="s">
        <v>378</v>
      </c>
      <c r="C703" s="12" t="s">
        <v>376</v>
      </c>
      <c r="D703" s="13" t="s">
        <v>18</v>
      </c>
      <c r="E703" s="6">
        <v>41747</v>
      </c>
      <c r="F703" s="3">
        <v>579933</v>
      </c>
      <c r="G703" s="3">
        <v>0</v>
      </c>
      <c r="H703" s="3" t="s">
        <v>5213</v>
      </c>
      <c r="I703" s="3" t="s">
        <v>102</v>
      </c>
      <c r="J703" s="3" t="s">
        <v>103</v>
      </c>
      <c r="K703" s="3" t="s">
        <v>104</v>
      </c>
      <c r="L703" s="3">
        <v>0.309</v>
      </c>
      <c r="M703" s="3">
        <v>0.81699999999999995</v>
      </c>
      <c r="N703" s="3">
        <v>0</v>
      </c>
      <c r="O703" s="8">
        <v>-7618</v>
      </c>
      <c r="P703" s="3">
        <v>0</v>
      </c>
      <c r="Q703" s="3">
        <v>7.5300000000000006E-2</v>
      </c>
      <c r="R703" s="3">
        <v>3.9E-2</v>
      </c>
      <c r="S703" s="3">
        <v>0.65100000000000002</v>
      </c>
      <c r="T703" s="3">
        <v>0.99199999999999999</v>
      </c>
      <c r="U703" s="3">
        <v>0.188</v>
      </c>
      <c r="V703" s="8">
        <v>124131</v>
      </c>
      <c r="W703" s="3">
        <v>4</v>
      </c>
      <c r="X703" s="3" t="str">
        <f t="shared" si="44"/>
        <v>-SADNE-</v>
      </c>
      <c r="Y703" s="3" t="str">
        <f t="shared" si="45"/>
        <v>-ENERGY-</v>
      </c>
      <c r="Z703" s="4" t="str">
        <f t="shared" si="46"/>
        <v>{"couname":"Ethnicolor","img":"https://i.scdn.co/image/ab67616d0000b273b97b9dd6c74f157dcde149e0","pty":"0","artist":"Jean-Michel Jarre","genres":"new age,electrónica,space music","duration":"579933","spotId":"7zt57sw7RC2QNBsC5uik5x","Items":["-SADNE-","-ENERGY-","","","GN_FrenchElectro"]},</v>
      </c>
      <c r="AA703" s="5" t="s">
        <v>6100</v>
      </c>
      <c r="AB703" s="3" t="str">
        <f t="shared" si="47"/>
        <v>["-SADNE-","-ENERGY-","","","GN_FrenchElectro"]</v>
      </c>
      <c r="AC703" s="3" t="str">
        <f>_xlfn.XLOOKUP(A703,Album!A:A,Album!J:J)</f>
        <v>https://i.scdn.co/image/ab67616d0000b273b97b9dd6c74f157dcde149e0</v>
      </c>
      <c r="AD703" s="3"/>
      <c r="AE703" s="3"/>
      <c r="AF703" s="3"/>
      <c r="AG703" s="3"/>
      <c r="AH703" s="3"/>
    </row>
    <row r="704" spans="1:34" x14ac:dyDescent="0.3">
      <c r="A704" s="11" t="s">
        <v>379</v>
      </c>
      <c r="B704" s="12" t="s">
        <v>380</v>
      </c>
      <c r="C704" s="12" t="s">
        <v>376</v>
      </c>
      <c r="D704" s="13" t="s">
        <v>18</v>
      </c>
      <c r="E704" s="6">
        <v>41747</v>
      </c>
      <c r="F704" s="3">
        <v>275026</v>
      </c>
      <c r="G704" s="3">
        <v>0</v>
      </c>
      <c r="H704" s="3" t="s">
        <v>5212</v>
      </c>
      <c r="I704" s="3" t="s">
        <v>102</v>
      </c>
      <c r="J704" s="3" t="s">
        <v>103</v>
      </c>
      <c r="K704" s="3" t="s">
        <v>104</v>
      </c>
      <c r="L704" s="3">
        <v>0.23400000000000001</v>
      </c>
      <c r="M704" s="3">
        <v>0.90100000000000002</v>
      </c>
      <c r="N704" s="3">
        <v>5</v>
      </c>
      <c r="O704" s="8">
        <v>-6824</v>
      </c>
      <c r="P704" s="3">
        <v>0</v>
      </c>
      <c r="Q704" s="3">
        <v>4.5900000000000003E-2</v>
      </c>
      <c r="R704" s="3">
        <v>0.10100000000000001</v>
      </c>
      <c r="S704" s="3">
        <v>0.72099999999999997</v>
      </c>
      <c r="T704" s="3">
        <v>0.40899999999999997</v>
      </c>
      <c r="U704" s="3">
        <v>0.32200000000000001</v>
      </c>
      <c r="V704" s="8">
        <v>87795</v>
      </c>
      <c r="W704" s="3">
        <v>3</v>
      </c>
      <c r="X704" s="3" t="str">
        <f t="shared" si="44"/>
        <v>-SADNE-</v>
      </c>
      <c r="Y704" s="3" t="str">
        <f t="shared" si="45"/>
        <v>-ENERGY-</v>
      </c>
      <c r="Z704" s="4" t="str">
        <f t="shared" si="46"/>
        <v>{"couname":"Chants Magnetiques 1","img":"https://i.scdn.co/image/ab67616d0000b273b97b9dd6c74f157dcde149e0","pty":"0","artist":"Jean-Michel Jarre","genres":"new age,electrónica,space music","duration":"275026","spotId":"4jM3POJgBREXcY9CKNxkBo","Items":["-SADNE-","-ENERGY-","","","GN_FrenchElectro"]},</v>
      </c>
      <c r="AA704" s="5" t="s">
        <v>6100</v>
      </c>
      <c r="AB704" s="3" t="str">
        <f t="shared" si="47"/>
        <v>["-SADNE-","-ENERGY-","","","GN_FrenchElectro"]</v>
      </c>
      <c r="AC704" s="3" t="str">
        <f>_xlfn.XLOOKUP(A704,Album!A:A,Album!J:J)</f>
        <v>https://i.scdn.co/image/ab67616d0000b273b97b9dd6c74f157dcde149e0</v>
      </c>
      <c r="AD704" s="3"/>
      <c r="AE704" s="3"/>
      <c r="AF704" s="3"/>
      <c r="AG704" s="3"/>
      <c r="AH704" s="3"/>
    </row>
    <row r="705" spans="1:34" x14ac:dyDescent="0.3">
      <c r="A705" s="11" t="s">
        <v>381</v>
      </c>
      <c r="B705" s="12" t="s">
        <v>382</v>
      </c>
      <c r="C705" s="12" t="s">
        <v>376</v>
      </c>
      <c r="D705" s="13" t="s">
        <v>18</v>
      </c>
      <c r="E705" s="6">
        <v>41747</v>
      </c>
      <c r="F705" s="3">
        <v>212546</v>
      </c>
      <c r="G705" s="3">
        <v>0</v>
      </c>
      <c r="H705" s="3" t="s">
        <v>5211</v>
      </c>
      <c r="I705" s="3" t="s">
        <v>102</v>
      </c>
      <c r="J705" s="3" t="s">
        <v>103</v>
      </c>
      <c r="K705" s="3" t="s">
        <v>104</v>
      </c>
      <c r="L705" s="3">
        <v>0.65800000000000003</v>
      </c>
      <c r="M705" s="3">
        <v>0.71</v>
      </c>
      <c r="N705" s="3">
        <v>0</v>
      </c>
      <c r="O705" s="8">
        <v>-9124</v>
      </c>
      <c r="P705" s="3">
        <v>0</v>
      </c>
      <c r="Q705" s="3">
        <v>2.98E-2</v>
      </c>
      <c r="R705" s="3">
        <v>9.8900000000000002E-2</v>
      </c>
      <c r="S705" s="3">
        <v>0.86399999999999999</v>
      </c>
      <c r="T705" s="3">
        <v>0.248</v>
      </c>
      <c r="U705" s="3">
        <v>0.27400000000000002</v>
      </c>
      <c r="V705" s="8">
        <v>111703</v>
      </c>
      <c r="W705" s="3">
        <v>4</v>
      </c>
      <c r="X705" s="3" t="str">
        <f t="shared" si="44"/>
        <v>-SADNE-</v>
      </c>
      <c r="Y705" s="3" t="str">
        <f t="shared" si="45"/>
        <v>-ENERGY-</v>
      </c>
      <c r="Z705" s="4" t="str">
        <f t="shared" si="46"/>
        <v>{"couname":"Souvenir De Chine","img":"https://i.scdn.co/image/ab67616d0000b273b97b9dd6c74f157dcde149e0","pty":"0","artist":"Jean-Michel Jarre","genres":"new age,electrónica,space music","duration":"212546","spotId":"6Z30LSk9T1pWxEZuVgILIc","Items":["-SADNE-","-ENERGY-","","","GN_FrenchElectro"]},</v>
      </c>
      <c r="AA705" s="5" t="s">
        <v>6100</v>
      </c>
      <c r="AB705" s="3" t="str">
        <f t="shared" si="47"/>
        <v>["-SADNE-","-ENERGY-","","","GN_FrenchElectro"]</v>
      </c>
      <c r="AC705" s="3" t="str">
        <f>_xlfn.XLOOKUP(A705,Album!A:A,Album!J:J)</f>
        <v>https://i.scdn.co/image/ab67616d0000b273b97b9dd6c74f157dcde149e0</v>
      </c>
      <c r="AD705" s="3"/>
      <c r="AE705" s="3"/>
      <c r="AF705" s="3"/>
      <c r="AG705" s="3"/>
      <c r="AH705" s="3"/>
    </row>
    <row r="706" spans="1:34" x14ac:dyDescent="0.3">
      <c r="A706" s="11" t="s">
        <v>383</v>
      </c>
      <c r="B706" s="12" t="s">
        <v>126</v>
      </c>
      <c r="C706" s="12" t="s">
        <v>376</v>
      </c>
      <c r="D706" s="13" t="s">
        <v>18</v>
      </c>
      <c r="E706" s="6">
        <v>41747</v>
      </c>
      <c r="F706" s="3">
        <v>234946</v>
      </c>
      <c r="G706" s="3">
        <v>0</v>
      </c>
      <c r="H706" s="3" t="s">
        <v>5210</v>
      </c>
      <c r="I706" s="3" t="s">
        <v>102</v>
      </c>
      <c r="J706" s="3" t="s">
        <v>103</v>
      </c>
      <c r="K706" s="3" t="s">
        <v>104</v>
      </c>
      <c r="L706" s="3">
        <v>0.51400000000000001</v>
      </c>
      <c r="M706" s="3">
        <v>0.91400000000000003</v>
      </c>
      <c r="N706" s="3">
        <v>0</v>
      </c>
      <c r="O706" s="8">
        <v>-6224</v>
      </c>
      <c r="P706" s="3">
        <v>1</v>
      </c>
      <c r="Q706" s="3">
        <v>4.4200000000000003E-2</v>
      </c>
      <c r="R706" s="3">
        <v>1.33E-3</v>
      </c>
      <c r="S706" s="3">
        <v>0.93600000000000005</v>
      </c>
      <c r="T706" s="3">
        <v>0.80500000000000005</v>
      </c>
      <c r="U706" s="3">
        <v>0.68700000000000006</v>
      </c>
      <c r="V706" s="8">
        <v>162032</v>
      </c>
      <c r="W706" s="3">
        <v>3</v>
      </c>
      <c r="X706" s="3" t="str">
        <f t="shared" si="44"/>
        <v>-HAPPY-</v>
      </c>
      <c r="Y706" s="3" t="str">
        <f t="shared" si="45"/>
        <v>-ENERGY-</v>
      </c>
      <c r="Z706" s="4" t="str">
        <f t="shared" si="46"/>
        <v>{"couname":"Equinoxe, Pt. 5","img":"https://i.scdn.co/image/ab67616d0000b273b97b9dd6c74f157dcde149e0","pty":"0","artist":"Jean-Michel Jarre","genres":"new age,electrónica,space music","duration":"234946","spotId":"3HuZmaUkRksBDXgmZ9a72B","Items":["-HAPPY-","-ENERGY-","","","GN_FrenchElectro"]},</v>
      </c>
      <c r="AA706" s="5" t="s">
        <v>6100</v>
      </c>
      <c r="AB706" s="3" t="str">
        <f t="shared" si="47"/>
        <v>["-HAPPY-","-ENERGY-","","","GN_FrenchElectro"]</v>
      </c>
      <c r="AC706" s="3" t="str">
        <f>_xlfn.XLOOKUP(A706,Album!A:A,Album!J:J)</f>
        <v>https://i.scdn.co/image/ab67616d0000b273b97b9dd6c74f157dcde149e0</v>
      </c>
      <c r="AD706" s="3"/>
      <c r="AE706" s="3"/>
      <c r="AF706" s="3"/>
      <c r="AG706" s="3"/>
      <c r="AH706" s="3"/>
    </row>
    <row r="707" spans="1:34" x14ac:dyDescent="0.3">
      <c r="A707" s="11" t="s">
        <v>384</v>
      </c>
      <c r="B707" s="12" t="s">
        <v>385</v>
      </c>
      <c r="C707" s="12" t="s">
        <v>376</v>
      </c>
      <c r="D707" s="13" t="s">
        <v>18</v>
      </c>
      <c r="E707" s="6">
        <v>41747</v>
      </c>
      <c r="F707" s="3">
        <v>33440</v>
      </c>
      <c r="G707" s="3">
        <v>0</v>
      </c>
      <c r="H707" s="3" t="s">
        <v>5209</v>
      </c>
      <c r="I707" s="3" t="s">
        <v>102</v>
      </c>
      <c r="J707" s="3" t="s">
        <v>103</v>
      </c>
      <c r="K707" s="3" t="s">
        <v>104</v>
      </c>
      <c r="L707" s="3">
        <v>0.437</v>
      </c>
      <c r="M707" s="3">
        <v>0.41399999999999998</v>
      </c>
      <c r="N707" s="3">
        <v>0</v>
      </c>
      <c r="O707" s="8">
        <v>-12964</v>
      </c>
      <c r="P707" s="3">
        <v>0</v>
      </c>
      <c r="Q707" s="3">
        <v>8.3599999999999994E-2</v>
      </c>
      <c r="R707" s="3">
        <v>0.875</v>
      </c>
      <c r="S707" s="3">
        <v>1.44E-4</v>
      </c>
      <c r="T707" s="3">
        <v>0.51800000000000002</v>
      </c>
      <c r="U707" s="3">
        <v>6.6699999999999995E-2</v>
      </c>
      <c r="V707" s="8">
        <v>80329</v>
      </c>
      <c r="W707" s="3">
        <v>1</v>
      </c>
      <c r="X707" s="3" t="str">
        <f t="shared" ref="X707:X770" si="48">IF(OR(U707&lt;0.301, AND(U707&lt;0.4, P707=0)), "-SADNE-", "-HAPPY-")</f>
        <v>-SADNE-</v>
      </c>
      <c r="Y707" s="3" t="str">
        <f t="shared" ref="Y707:Y770" si="49">IF(OR(AND(L707&lt;0.5,M707&lt;0.5),AND(L707&lt;0.45,V707&lt;100),AND(M707&lt;0.45,V707&lt;100),AND(U707&lt;0.39,V707&lt;100)),"-SLOWSS-","-ENERGY-")</f>
        <v>-SLOWSS-</v>
      </c>
      <c r="Z707" s="4" t="str">
        <f t="shared" ref="Z707:Z770" si="50">"{"&amp;CHAR(34)&amp;"couname"&amp;CHAR(34)&amp;":"&amp;CHAR(34)&amp;B707&amp;CHAR(34)&amp;","&amp;CHAR(34)&amp;"img"&amp;CHAR(34)&amp;":"&amp;CHAR(34)&amp;AC707&amp;CHAR(34)&amp;","&amp;CHAR(34)&amp;"pty"&amp;CHAR(34)&amp;":"&amp;CHAR(34)&amp;G707&amp;CHAR(34)&amp;","&amp;CHAR(34)&amp;"artist"&amp;CHAR(34)&amp;":"&amp;CHAR(34)&amp;D707&amp;CHAR(34)&amp;","&amp;CHAR(34)&amp;"genres"&amp;CHAR(34)&amp;":"&amp;CHAR(34)&amp;J707&amp;CHAR(34)&amp;","&amp;CHAR(34)&amp;"duration"&amp;CHAR(34)&amp;":"&amp;CHAR(34)&amp;F707&amp;CHAR(34)&amp;","&amp;CHAR(34)&amp;"spotId"&amp;CHAR(34)&amp;":"&amp;CHAR(34)&amp;A707&amp;CHAR(34)&amp;","&amp;CHAR(34)&amp;"Items"&amp;CHAR(34)&amp;":"&amp;AB707&amp;"},"</f>
        <v>{"couname":"Benediction Du Pape","img":"https://i.scdn.co/image/ab67616d0000b273b97b9dd6c74f157dcde149e0","pty":"0","artist":"Jean-Michel Jarre","genres":"new age,electrónica,space music","duration":"33440","spotId":"5WvucXzTLBDeREzvPou11N","Items":["-SADNE-","-SLOWSS-","","","GN_FrenchElectro"]},</v>
      </c>
      <c r="AA707" s="5" t="s">
        <v>6100</v>
      </c>
      <c r="AB707" s="3" t="str">
        <f t="shared" ref="AB707:AB770" si="51" xml:space="preserve"> "[" &amp; _xlfn.TEXTJOIN(",",TRUE,CHAR(34) &amp; X707&amp; CHAR(34), CHAR(34) &amp; Y707 &amp; CHAR(34),  CHAR(34) &amp; AF707 &amp; CHAR(34), CHAR(34) &amp;AG707 &amp; CHAR(34), CHAR(34) &amp; AA707 &amp; CHAR(34)) &amp; "]"</f>
        <v>["-SADNE-","-SLOWSS-","","","GN_FrenchElectro"]</v>
      </c>
      <c r="AC707" s="3" t="str">
        <f>_xlfn.XLOOKUP(A707,Album!A:A,Album!J:J)</f>
        <v>https://i.scdn.co/image/ab67616d0000b273b97b9dd6c74f157dcde149e0</v>
      </c>
      <c r="AD707" s="3"/>
      <c r="AE707" s="3"/>
      <c r="AF707" s="3"/>
      <c r="AG707" s="3"/>
      <c r="AH707" s="3"/>
    </row>
    <row r="708" spans="1:34" x14ac:dyDescent="0.3">
      <c r="A708" s="11" t="s">
        <v>386</v>
      </c>
      <c r="B708" s="12" t="s">
        <v>387</v>
      </c>
      <c r="C708" s="12" t="s">
        <v>376</v>
      </c>
      <c r="D708" s="13" t="s">
        <v>18</v>
      </c>
      <c r="E708" s="6">
        <v>41747</v>
      </c>
      <c r="F708" s="3">
        <v>234453</v>
      </c>
      <c r="G708" s="3">
        <v>0</v>
      </c>
      <c r="H708" s="3" t="s">
        <v>5208</v>
      </c>
      <c r="I708" s="3" t="s">
        <v>102</v>
      </c>
      <c r="J708" s="3" t="s">
        <v>103</v>
      </c>
      <c r="K708" s="3" t="s">
        <v>104</v>
      </c>
      <c r="L708" s="3">
        <v>0.255</v>
      </c>
      <c r="M708" s="3">
        <v>0.46500000000000002</v>
      </c>
      <c r="N708" s="3">
        <v>5</v>
      </c>
      <c r="O708" s="8">
        <v>-8307</v>
      </c>
      <c r="P708" s="3">
        <v>1</v>
      </c>
      <c r="Q708" s="3">
        <v>3.0499999999999999E-2</v>
      </c>
      <c r="R708" s="3">
        <v>0.66800000000000004</v>
      </c>
      <c r="S708" s="3">
        <v>0.96599999999999997</v>
      </c>
      <c r="T708" s="3">
        <v>0.14399999999999999</v>
      </c>
      <c r="U708" s="3">
        <v>4.7899999999999998E-2</v>
      </c>
      <c r="V708" s="8">
        <v>75254</v>
      </c>
      <c r="W708" s="3">
        <v>4</v>
      </c>
      <c r="X708" s="3" t="str">
        <f t="shared" si="48"/>
        <v>-SADNE-</v>
      </c>
      <c r="Y708" s="3" t="str">
        <f t="shared" si="49"/>
        <v>-SLOWSS-</v>
      </c>
      <c r="Z708" s="4" t="str">
        <f t="shared" si="50"/>
        <v>{"couname":"Troisieme Rendez-Vous","img":"https://i.scdn.co/image/ab67616d0000b273b97b9dd6c74f157dcde149e0","pty":"0","artist":"Jean-Michel Jarre","genres":"new age,electrónica,space music","duration":"234453","spotId":"5aHExIulrsGr5msDVrsqq1","Items":["-SADNE-","-SLOWSS-","","","GN_FrenchElectro"]},</v>
      </c>
      <c r="AA708" s="5" t="s">
        <v>6100</v>
      </c>
      <c r="AB708" s="3" t="str">
        <f t="shared" si="51"/>
        <v>["-SADNE-","-SLOWSS-","","","GN_FrenchElectro"]</v>
      </c>
      <c r="AC708" s="3" t="str">
        <f>_xlfn.XLOOKUP(A708,Album!A:A,Album!J:J)</f>
        <v>https://i.scdn.co/image/ab67616d0000b273b97b9dd6c74f157dcde149e0</v>
      </c>
      <c r="AD708" s="3"/>
      <c r="AE708" s="3"/>
      <c r="AF708" s="3"/>
      <c r="AG708" s="3"/>
      <c r="AH708" s="3"/>
    </row>
    <row r="709" spans="1:34" x14ac:dyDescent="0.3">
      <c r="A709" s="11" t="s">
        <v>390</v>
      </c>
      <c r="B709" s="12" t="s">
        <v>391</v>
      </c>
      <c r="C709" s="12" t="s">
        <v>376</v>
      </c>
      <c r="D709" s="13" t="s">
        <v>18</v>
      </c>
      <c r="E709" s="6">
        <v>41747</v>
      </c>
      <c r="F709" s="3">
        <v>276960</v>
      </c>
      <c r="G709" s="3">
        <v>0</v>
      </c>
      <c r="H709" s="3" t="s">
        <v>5207</v>
      </c>
      <c r="I709" s="3" t="s">
        <v>102</v>
      </c>
      <c r="J709" s="3" t="s">
        <v>103</v>
      </c>
      <c r="K709" s="3" t="s">
        <v>104</v>
      </c>
      <c r="L709" s="3">
        <v>0.218</v>
      </c>
      <c r="M709" s="3">
        <v>0.75</v>
      </c>
      <c r="N709" s="3">
        <v>0</v>
      </c>
      <c r="O709" s="8">
        <v>-6694</v>
      </c>
      <c r="P709" s="3">
        <v>0</v>
      </c>
      <c r="Q709" s="3">
        <v>4.2000000000000003E-2</v>
      </c>
      <c r="R709" s="3">
        <v>0.27800000000000002</v>
      </c>
      <c r="S709" s="3">
        <v>0.80100000000000005</v>
      </c>
      <c r="T709" s="3">
        <v>0.96099999999999997</v>
      </c>
      <c r="U709" s="3">
        <v>0.13800000000000001</v>
      </c>
      <c r="V709" s="8">
        <v>128388</v>
      </c>
      <c r="W709" s="3">
        <v>1</v>
      </c>
      <c r="X709" s="3" t="str">
        <f t="shared" si="48"/>
        <v>-SADNE-</v>
      </c>
      <c r="Y709" s="3" t="str">
        <f t="shared" si="49"/>
        <v>-ENERGY-</v>
      </c>
      <c r="Z709" s="4" t="str">
        <f t="shared" si="50"/>
        <v>{"couname":"Ron's Piece","img":"https://i.scdn.co/image/ab67616d0000b273b97b9dd6c74f157dcde149e0","pty":"0","artist":"Jean-Michel Jarre","genres":"new age,electrónica,space music","duration":"276960","spotId":"1oU6qIxc3NVRl5LkavfWJc","Items":["-SADNE-","-ENERGY-","","","GN_FrenchElectro"]},</v>
      </c>
      <c r="AA709" s="5" t="s">
        <v>6100</v>
      </c>
      <c r="AB709" s="3" t="str">
        <f t="shared" si="51"/>
        <v>["-SADNE-","-ENERGY-","","","GN_FrenchElectro"]</v>
      </c>
      <c r="AC709" s="3" t="str">
        <f>_xlfn.XLOOKUP(A709,Album!A:A,Album!J:J)</f>
        <v>https://i.scdn.co/image/ab67616d0000b273b97b9dd6c74f157dcde149e0</v>
      </c>
      <c r="AD709" s="3"/>
      <c r="AE709" s="3"/>
      <c r="AF709" s="3"/>
      <c r="AG709" s="3"/>
      <c r="AH709" s="3"/>
    </row>
    <row r="710" spans="1:34" x14ac:dyDescent="0.3">
      <c r="A710" s="11" t="s">
        <v>394</v>
      </c>
      <c r="B710" s="12" t="s">
        <v>174</v>
      </c>
      <c r="C710" s="12" t="s">
        <v>395</v>
      </c>
      <c r="D710" s="13" t="s">
        <v>18</v>
      </c>
      <c r="E710" s="6">
        <v>42244</v>
      </c>
      <c r="F710" s="3">
        <v>70053</v>
      </c>
      <c r="G710" s="3">
        <v>0</v>
      </c>
      <c r="H710" s="3" t="s">
        <v>5206</v>
      </c>
      <c r="I710" s="3" t="s">
        <v>102</v>
      </c>
      <c r="J710" s="3" t="s">
        <v>103</v>
      </c>
      <c r="K710" s="3" t="s">
        <v>104</v>
      </c>
      <c r="L710" s="3">
        <v>0.68100000000000005</v>
      </c>
      <c r="M710" s="3">
        <v>0.58199999999999996</v>
      </c>
      <c r="N710" s="3">
        <v>7</v>
      </c>
      <c r="O710" s="8">
        <v>-11337</v>
      </c>
      <c r="P710" s="3">
        <v>0</v>
      </c>
      <c r="Q710" s="3">
        <v>7.3400000000000007E-2</v>
      </c>
      <c r="R710" s="3">
        <v>0.33400000000000002</v>
      </c>
      <c r="S710" s="3">
        <v>0.94499999999999995</v>
      </c>
      <c r="T710" s="3">
        <v>0.95199999999999996</v>
      </c>
      <c r="U710" s="3">
        <v>0.502</v>
      </c>
      <c r="V710" s="8">
        <v>129469</v>
      </c>
      <c r="W710" s="3">
        <v>4</v>
      </c>
      <c r="X710" s="3" t="str">
        <f t="shared" si="48"/>
        <v>-HAPPY-</v>
      </c>
      <c r="Y710" s="3" t="str">
        <f t="shared" si="49"/>
        <v>-ENERGY-</v>
      </c>
      <c r="Z710" s="4" t="str">
        <f t="shared" si="50"/>
        <v>{"couname":"Revolutions","img":"https://i.scdn.co/image/ab67616d0000b27379bb9bfdbe6d5f49aa75ab22","pty":"0","artist":"Jean-Michel Jarre","genres":"new age,electrónica,space music","duration":"70053","spotId":"7BvOArmaJVIRaDyO1jjyBX","Items":["-HAPPY-","-ENERGY-","","","GN_FrenchElectro"]},</v>
      </c>
      <c r="AA710" s="5" t="s">
        <v>6100</v>
      </c>
      <c r="AB710" s="3" t="str">
        <f t="shared" si="51"/>
        <v>["-HAPPY-","-ENERGY-","","","GN_FrenchElectro"]</v>
      </c>
      <c r="AC710" s="3" t="str">
        <f>_xlfn.XLOOKUP(A710,Album!A:A,Album!J:J)</f>
        <v>https://i.scdn.co/image/ab67616d0000b27379bb9bfdbe6d5f49aa75ab22</v>
      </c>
      <c r="AD710" s="3"/>
      <c r="AE710" s="3"/>
      <c r="AF710" s="3"/>
      <c r="AG710" s="3"/>
      <c r="AH710" s="3"/>
    </row>
    <row r="711" spans="1:34" x14ac:dyDescent="0.3">
      <c r="A711" s="11" t="s">
        <v>396</v>
      </c>
      <c r="B711" s="12" t="s">
        <v>397</v>
      </c>
      <c r="C711" s="12" t="s">
        <v>395</v>
      </c>
      <c r="D711" s="13" t="s">
        <v>18</v>
      </c>
      <c r="E711" s="6">
        <v>42244</v>
      </c>
      <c r="F711" s="3">
        <v>178840</v>
      </c>
      <c r="G711" s="3">
        <v>0</v>
      </c>
      <c r="H711" s="3" t="s">
        <v>5205</v>
      </c>
      <c r="I711" s="3" t="s">
        <v>102</v>
      </c>
      <c r="J711" s="3" t="s">
        <v>103</v>
      </c>
      <c r="K711" s="3" t="s">
        <v>104</v>
      </c>
      <c r="L711" s="3">
        <v>0.53300000000000003</v>
      </c>
      <c r="M711" s="3">
        <v>0.85599999999999998</v>
      </c>
      <c r="N711" s="3">
        <v>1</v>
      </c>
      <c r="O711" s="8">
        <v>-6624</v>
      </c>
      <c r="P711" s="3">
        <v>1</v>
      </c>
      <c r="Q711" s="3">
        <v>3.2199999999999999E-2</v>
      </c>
      <c r="R711" s="3">
        <v>9.3800000000000003E-4</v>
      </c>
      <c r="S711" s="3">
        <v>0.68</v>
      </c>
      <c r="T711" s="3">
        <v>0.91600000000000004</v>
      </c>
      <c r="U711" s="3">
        <v>0.29099999999999998</v>
      </c>
      <c r="V711" s="8">
        <v>97043</v>
      </c>
      <c r="W711" s="3">
        <v>4</v>
      </c>
      <c r="X711" s="3" t="str">
        <f t="shared" si="48"/>
        <v>-SADNE-</v>
      </c>
      <c r="Y711" s="3" t="str">
        <f t="shared" si="49"/>
        <v>-ENERGY-</v>
      </c>
      <c r="Z711" s="4" t="str">
        <f t="shared" si="50"/>
        <v>{"couname":"Revolution Industrielle-Ouverture","img":"https://i.scdn.co/image/ab67616d0000b27379bb9bfdbe6d5f49aa75ab22","pty":"0","artist":"Jean-Michel Jarre","genres":"new age,electrónica,space music","duration":"178840","spotId":"1YcEb3YMX5U3zkOpIs54fr","Items":["-SADNE-","-ENERGY-","","","GN_FrenchElectro"]},</v>
      </c>
      <c r="AA711" s="5" t="s">
        <v>6100</v>
      </c>
      <c r="AB711" s="3" t="str">
        <f t="shared" si="51"/>
        <v>["-SADNE-","-ENERGY-","","","GN_FrenchElectro"]</v>
      </c>
      <c r="AC711" s="3" t="str">
        <f>_xlfn.XLOOKUP(A711,Album!A:A,Album!J:J)</f>
        <v>https://i.scdn.co/image/ab67616d0000b27379bb9bfdbe6d5f49aa75ab22</v>
      </c>
      <c r="AD711" s="3"/>
      <c r="AE711" s="3"/>
      <c r="AF711" s="3"/>
      <c r="AG711" s="3"/>
      <c r="AH711" s="3"/>
    </row>
    <row r="712" spans="1:34" x14ac:dyDescent="0.3">
      <c r="A712" s="11" t="s">
        <v>398</v>
      </c>
      <c r="B712" s="12" t="s">
        <v>399</v>
      </c>
      <c r="C712" s="12" t="s">
        <v>395</v>
      </c>
      <c r="D712" s="13" t="s">
        <v>18</v>
      </c>
      <c r="E712" s="6">
        <v>42244</v>
      </c>
      <c r="F712" s="3">
        <v>348506</v>
      </c>
      <c r="G712" s="3">
        <v>0</v>
      </c>
      <c r="H712" s="3" t="s">
        <v>5204</v>
      </c>
      <c r="I712" s="3" t="s">
        <v>102</v>
      </c>
      <c r="J712" s="3" t="s">
        <v>103</v>
      </c>
      <c r="K712" s="3" t="s">
        <v>104</v>
      </c>
      <c r="L712" s="3">
        <v>0.191</v>
      </c>
      <c r="M712" s="3">
        <v>0.751</v>
      </c>
      <c r="N712" s="3">
        <v>4</v>
      </c>
      <c r="O712" s="8">
        <v>-7695</v>
      </c>
      <c r="P712" s="3">
        <v>0</v>
      </c>
      <c r="Q712" s="3">
        <v>3.8600000000000002E-2</v>
      </c>
      <c r="R712" s="3">
        <v>1.9400000000000001E-2</v>
      </c>
      <c r="S712" s="3">
        <v>0.95699999999999996</v>
      </c>
      <c r="T712" s="3">
        <v>0.88700000000000001</v>
      </c>
      <c r="U712" s="3">
        <v>0.13800000000000001</v>
      </c>
      <c r="V712" s="8">
        <v>139592</v>
      </c>
      <c r="W712" s="3">
        <v>4</v>
      </c>
      <c r="X712" s="3" t="str">
        <f t="shared" si="48"/>
        <v>-SADNE-</v>
      </c>
      <c r="Y712" s="3" t="str">
        <f t="shared" si="49"/>
        <v>-ENERGY-</v>
      </c>
      <c r="Z712" s="4" t="str">
        <f t="shared" si="50"/>
        <v>{"couname":"Revolution Industrielle, Pt. 1-2-3","img":"https://i.scdn.co/image/ab67616d0000b27379bb9bfdbe6d5f49aa75ab22","pty":"0","artist":"Jean-Michel Jarre","genres":"new age,electrónica,space music","duration":"348506","spotId":"0NoS3PdCUEU84kk5cS0Jnh","Items":["-SADNE-","-ENERGY-","","","GN_FrenchElectro"]},</v>
      </c>
      <c r="AA712" s="5" t="s">
        <v>6100</v>
      </c>
      <c r="AB712" s="3" t="str">
        <f t="shared" si="51"/>
        <v>["-SADNE-","-ENERGY-","","","GN_FrenchElectro"]</v>
      </c>
      <c r="AC712" s="3" t="str">
        <f>_xlfn.XLOOKUP(A712,Album!A:A,Album!J:J)</f>
        <v>https://i.scdn.co/image/ab67616d0000b27379bb9bfdbe6d5f49aa75ab22</v>
      </c>
      <c r="AD712" s="3"/>
      <c r="AE712" s="3"/>
      <c r="AF712" s="3"/>
      <c r="AG712" s="3"/>
      <c r="AH712" s="3"/>
    </row>
    <row r="713" spans="1:34" x14ac:dyDescent="0.3">
      <c r="A713" s="11" t="s">
        <v>400</v>
      </c>
      <c r="B713" s="12" t="s">
        <v>401</v>
      </c>
      <c r="C713" s="12" t="s">
        <v>395</v>
      </c>
      <c r="D713" s="13" t="s">
        <v>18</v>
      </c>
      <c r="E713" s="6">
        <v>42244</v>
      </c>
      <c r="F713" s="3">
        <v>249573</v>
      </c>
      <c r="G713" s="3">
        <v>0</v>
      </c>
      <c r="H713" s="3" t="s">
        <v>5203</v>
      </c>
      <c r="I713" s="3" t="s">
        <v>102</v>
      </c>
      <c r="J713" s="3" t="s">
        <v>103</v>
      </c>
      <c r="K713" s="3" t="s">
        <v>104</v>
      </c>
      <c r="L713" s="3">
        <v>0.39800000000000002</v>
      </c>
      <c r="M713" s="3">
        <v>0.99</v>
      </c>
      <c r="N713" s="3">
        <v>7</v>
      </c>
      <c r="O713" s="8">
        <v>-6314</v>
      </c>
      <c r="P713" s="3">
        <v>1</v>
      </c>
      <c r="Q713" s="3">
        <v>6.08E-2</v>
      </c>
      <c r="R713" s="3">
        <v>7.9000000000000001E-4</v>
      </c>
      <c r="S713" s="3">
        <v>0.96099999999999997</v>
      </c>
      <c r="T713" s="3">
        <v>0.95599999999999996</v>
      </c>
      <c r="U713" s="3">
        <v>0.57899999999999996</v>
      </c>
      <c r="V713" s="8">
        <v>194602</v>
      </c>
      <c r="W713" s="3">
        <v>4</v>
      </c>
      <c r="X713" s="3" t="str">
        <f t="shared" si="48"/>
        <v>-HAPPY-</v>
      </c>
      <c r="Y713" s="3" t="str">
        <f t="shared" si="49"/>
        <v>-ENERGY-</v>
      </c>
      <c r="Z713" s="4" t="str">
        <f t="shared" si="50"/>
        <v>{"couname":"Chants magnétiques, Pt. 2","img":"https://i.scdn.co/image/ab67616d0000b27379bb9bfdbe6d5f49aa75ab22","pty":"0","artist":"Jean-Michel Jarre","genres":"new age,electrónica,space music","duration":"249573","spotId":"4o13fctGYzFjjVwX5NnYdD","Items":["-HAPPY-","-ENERGY-","","","GN_FrenchElectro"]},</v>
      </c>
      <c r="AA713" s="5" t="s">
        <v>6100</v>
      </c>
      <c r="AB713" s="3" t="str">
        <f t="shared" si="51"/>
        <v>["-HAPPY-","-ENERGY-","","","GN_FrenchElectro"]</v>
      </c>
      <c r="AC713" s="3" t="str">
        <f>_xlfn.XLOOKUP(A713,Album!A:A,Album!J:J)</f>
        <v>https://i.scdn.co/image/ab67616d0000b27379bb9bfdbe6d5f49aa75ab22</v>
      </c>
      <c r="AD713" s="3"/>
      <c r="AE713" s="3"/>
      <c r="AF713" s="3"/>
      <c r="AG713" s="3"/>
      <c r="AH713" s="3"/>
    </row>
    <row r="714" spans="1:34" x14ac:dyDescent="0.3">
      <c r="A714" s="11" t="s">
        <v>402</v>
      </c>
      <c r="B714" s="12" t="s">
        <v>110</v>
      </c>
      <c r="C714" s="12" t="s">
        <v>395</v>
      </c>
      <c r="D714" s="13" t="s">
        <v>18</v>
      </c>
      <c r="E714" s="6">
        <v>42244</v>
      </c>
      <c r="F714" s="3">
        <v>230746</v>
      </c>
      <c r="G714" s="3">
        <v>0</v>
      </c>
      <c r="H714" s="3" t="s">
        <v>5202</v>
      </c>
      <c r="I714" s="3" t="s">
        <v>102</v>
      </c>
      <c r="J714" s="3" t="s">
        <v>103</v>
      </c>
      <c r="K714" s="3" t="s">
        <v>104</v>
      </c>
      <c r="L714" s="3">
        <v>0.24099999999999999</v>
      </c>
      <c r="M714" s="3">
        <v>0.88600000000000001</v>
      </c>
      <c r="N714" s="3">
        <v>7</v>
      </c>
      <c r="O714" s="8">
        <v>-6612</v>
      </c>
      <c r="P714" s="3">
        <v>0</v>
      </c>
      <c r="Q714" s="3">
        <v>6.2600000000000003E-2</v>
      </c>
      <c r="R714" s="3">
        <v>5.1999999999999995E-4</v>
      </c>
      <c r="S714" s="3">
        <v>0.89600000000000002</v>
      </c>
      <c r="T714" s="3">
        <v>0.876</v>
      </c>
      <c r="U714" s="3">
        <v>0.42</v>
      </c>
      <c r="V714" s="8">
        <v>188713</v>
      </c>
      <c r="W714" s="3">
        <v>3</v>
      </c>
      <c r="X714" s="3" t="str">
        <f t="shared" si="48"/>
        <v>-HAPPY-</v>
      </c>
      <c r="Y714" s="3" t="str">
        <f t="shared" si="49"/>
        <v>-ENERGY-</v>
      </c>
      <c r="Z714" s="4" t="str">
        <f t="shared" si="50"/>
        <v>{"couname":"Oxygene, Pt. 4","img":"https://i.scdn.co/image/ab67616d0000b27379bb9bfdbe6d5f49aa75ab22","pty":"0","artist":"Jean-Michel Jarre","genres":"new age,electrónica,space music","duration":"230746","spotId":"3SOENmkGOkQ55VoT3DTAvg","Items":["-HAPPY-","-ENERGY-","","","GN_FrenchElectro"]},</v>
      </c>
      <c r="AA714" s="5" t="s">
        <v>6100</v>
      </c>
      <c r="AB714" s="3" t="str">
        <f t="shared" si="51"/>
        <v>["-HAPPY-","-ENERGY-","","","GN_FrenchElectro"]</v>
      </c>
      <c r="AC714" s="3" t="str">
        <f>_xlfn.XLOOKUP(A714,Album!A:A,Album!J:J)</f>
        <v>https://i.scdn.co/image/ab67616d0000b27379bb9bfdbe6d5f49aa75ab22</v>
      </c>
      <c r="AD714" s="3"/>
      <c r="AE714" s="3"/>
      <c r="AF714" s="3"/>
      <c r="AG714" s="3"/>
      <c r="AH714" s="3"/>
    </row>
    <row r="715" spans="1:34" x14ac:dyDescent="0.3">
      <c r="A715" s="11" t="s">
        <v>403</v>
      </c>
      <c r="B715" s="12" t="s">
        <v>404</v>
      </c>
      <c r="C715" s="12" t="s">
        <v>395</v>
      </c>
      <c r="D715" s="13" t="s">
        <v>18</v>
      </c>
      <c r="E715" s="6">
        <v>42244</v>
      </c>
      <c r="F715" s="3">
        <v>308453</v>
      </c>
      <c r="G715" s="3">
        <v>0</v>
      </c>
      <c r="H715" s="3" t="s">
        <v>5201</v>
      </c>
      <c r="I715" s="3" t="s">
        <v>102</v>
      </c>
      <c r="J715" s="3" t="s">
        <v>103</v>
      </c>
      <c r="K715" s="3" t="s">
        <v>104</v>
      </c>
      <c r="L715" s="3">
        <v>0.53300000000000003</v>
      </c>
      <c r="M715" s="3">
        <v>0.879</v>
      </c>
      <c r="N715" s="3">
        <v>10</v>
      </c>
      <c r="O715" s="8">
        <v>-6005</v>
      </c>
      <c r="P715" s="3">
        <v>1</v>
      </c>
      <c r="Q715" s="3">
        <v>5.8700000000000002E-2</v>
      </c>
      <c r="R715" s="3">
        <v>2.3800000000000002E-2</v>
      </c>
      <c r="S715" s="3">
        <v>0.72799999999999998</v>
      </c>
      <c r="T715" s="3">
        <v>0.69599999999999995</v>
      </c>
      <c r="U715" s="3">
        <v>0.50900000000000001</v>
      </c>
      <c r="V715" s="8">
        <v>196015</v>
      </c>
      <c r="W715" s="3">
        <v>4</v>
      </c>
      <c r="X715" s="3" t="str">
        <f t="shared" si="48"/>
        <v>-HAPPY-</v>
      </c>
      <c r="Y715" s="3" t="str">
        <f t="shared" si="49"/>
        <v>-ENERGY-</v>
      </c>
      <c r="Z715" s="4" t="str">
        <f t="shared" si="50"/>
        <v>{"couname":"Computer Week-End","img":"https://i.scdn.co/image/ab67616d0000b27379bb9bfdbe6d5f49aa75ab22","pty":"0","artist":"Jean-Michel Jarre","genres":"new age,electrónica,space music","duration":"308453","spotId":"2YqHVtid9KfkI5am4Akqf5","Items":["-HAPPY-","-ENERGY-","","","GN_FrenchElectro"]},</v>
      </c>
      <c r="AA715" s="5" t="s">
        <v>6100</v>
      </c>
      <c r="AB715" s="3" t="str">
        <f t="shared" si="51"/>
        <v>["-HAPPY-","-ENERGY-","","","GN_FrenchElectro"]</v>
      </c>
      <c r="AC715" s="3" t="str">
        <f>_xlfn.XLOOKUP(A715,Album!A:A,Album!J:J)</f>
        <v>https://i.scdn.co/image/ab67616d0000b27379bb9bfdbe6d5f49aa75ab22</v>
      </c>
      <c r="AD715" s="3"/>
      <c r="AE715" s="3"/>
      <c r="AF715" s="3"/>
      <c r="AG715" s="3"/>
      <c r="AH715" s="3"/>
    </row>
    <row r="716" spans="1:34" x14ac:dyDescent="0.3">
      <c r="A716" s="11" t="s">
        <v>405</v>
      </c>
      <c r="B716" s="12" t="s">
        <v>406</v>
      </c>
      <c r="C716" s="12" t="s">
        <v>395</v>
      </c>
      <c r="D716" s="13" t="s">
        <v>18</v>
      </c>
      <c r="E716" s="6">
        <v>42244</v>
      </c>
      <c r="F716" s="3">
        <v>229640</v>
      </c>
      <c r="G716" s="3">
        <v>0</v>
      </c>
      <c r="H716" s="3" t="s">
        <v>5200</v>
      </c>
      <c r="I716" s="3" t="s">
        <v>102</v>
      </c>
      <c r="J716" s="3" t="s">
        <v>103</v>
      </c>
      <c r="K716" s="3" t="s">
        <v>104</v>
      </c>
      <c r="L716" s="3">
        <v>0.51800000000000002</v>
      </c>
      <c r="M716" s="3">
        <v>0.96799999999999997</v>
      </c>
      <c r="N716" s="3">
        <v>10</v>
      </c>
      <c r="O716" s="8">
        <v>-6211</v>
      </c>
      <c r="P716" s="3">
        <v>1</v>
      </c>
      <c r="Q716" s="3">
        <v>0.106</v>
      </c>
      <c r="R716" s="3">
        <v>5.13E-3</v>
      </c>
      <c r="S716" s="3">
        <v>0.70699999999999996</v>
      </c>
      <c r="T716" s="3">
        <v>0.83099999999999996</v>
      </c>
      <c r="U716" s="3">
        <v>0.47299999999999998</v>
      </c>
      <c r="V716" s="8">
        <v>129.36000000000001</v>
      </c>
      <c r="W716" s="3">
        <v>4</v>
      </c>
      <c r="X716" s="3" t="str">
        <f t="shared" si="48"/>
        <v>-HAPPY-</v>
      </c>
      <c r="Y716" s="3" t="str">
        <f t="shared" si="49"/>
        <v>-ENERGY-</v>
      </c>
      <c r="Z716" s="4" t="str">
        <f t="shared" si="50"/>
        <v>{"couname":"Revolution","img":"https://i.scdn.co/image/ab67616d0000b27379bb9bfdbe6d5f49aa75ab22","pty":"0","artist":"Jean-Michel Jarre","genres":"new age,electrónica,space music","duration":"229640","spotId":"24jE2dugUJrEyuzOH8mEI2","Items":["-HAPPY-","-ENERGY-","","","GN_FrenchElectro"]},</v>
      </c>
      <c r="AA716" s="5" t="s">
        <v>6100</v>
      </c>
      <c r="AB716" s="3" t="str">
        <f t="shared" si="51"/>
        <v>["-HAPPY-","-ENERGY-","","","GN_FrenchElectro"]</v>
      </c>
      <c r="AC716" s="3" t="str">
        <f>_xlfn.XLOOKUP(A716,Album!A:A,Album!J:J)</f>
        <v>https://i.scdn.co/image/ab67616d0000b27379bb9bfdbe6d5f49aa75ab22</v>
      </c>
      <c r="AD716" s="3"/>
      <c r="AE716" s="3"/>
      <c r="AF716" s="3"/>
      <c r="AG716" s="3"/>
      <c r="AH716" s="3"/>
    </row>
    <row r="717" spans="1:34" x14ac:dyDescent="0.3">
      <c r="A717" s="11" t="s">
        <v>407</v>
      </c>
      <c r="B717" s="12" t="s">
        <v>408</v>
      </c>
      <c r="C717" s="12" t="s">
        <v>395</v>
      </c>
      <c r="D717" s="13" t="s">
        <v>18</v>
      </c>
      <c r="E717" s="6">
        <v>42244</v>
      </c>
      <c r="F717" s="3">
        <v>299320</v>
      </c>
      <c r="G717" s="3">
        <v>0</v>
      </c>
      <c r="H717" s="3" t="s">
        <v>5199</v>
      </c>
      <c r="I717" s="3" t="s">
        <v>102</v>
      </c>
      <c r="J717" s="3" t="s">
        <v>103</v>
      </c>
      <c r="K717" s="3" t="s">
        <v>104</v>
      </c>
      <c r="L717" s="3">
        <v>0.55600000000000005</v>
      </c>
      <c r="M717" s="3">
        <v>0.96499999999999997</v>
      </c>
      <c r="N717" s="3">
        <v>2</v>
      </c>
      <c r="O717" s="8">
        <v>-5972</v>
      </c>
      <c r="P717" s="3">
        <v>1</v>
      </c>
      <c r="Q717" s="3">
        <v>4.82E-2</v>
      </c>
      <c r="R717" s="3">
        <v>1.47E-3</v>
      </c>
      <c r="S717" s="3">
        <v>0.89</v>
      </c>
      <c r="T717" s="3">
        <v>0.98199999999999998</v>
      </c>
      <c r="U717" s="3">
        <v>0.34300000000000003</v>
      </c>
      <c r="V717" s="8">
        <v>117936</v>
      </c>
      <c r="W717" s="3">
        <v>4</v>
      </c>
      <c r="X717" s="3" t="str">
        <f t="shared" si="48"/>
        <v>-HAPPY-</v>
      </c>
      <c r="Y717" s="3" t="str">
        <f t="shared" si="49"/>
        <v>-ENERGY-</v>
      </c>
      <c r="Z717" s="4" t="str">
        <f t="shared" si="50"/>
        <v>{"couname":"London Kid","img":"https://i.scdn.co/image/ab67616d0000b27379bb9bfdbe6d5f49aa75ab22","pty":"0","artist":"Jean-Michel Jarre","genres":"new age,electrónica,space music","duration":"299320","spotId":"2sTOKjhfKHGx3rQ5tLzX3o","Items":["-HAPPY-","-ENERGY-","","","GN_FrenchElectro"]},</v>
      </c>
      <c r="AA717" s="5" t="s">
        <v>6100</v>
      </c>
      <c r="AB717" s="3" t="str">
        <f t="shared" si="51"/>
        <v>["-HAPPY-","-ENERGY-","","","GN_FrenchElectro"]</v>
      </c>
      <c r="AC717" s="3" t="str">
        <f>_xlfn.XLOOKUP(A717,Album!A:A,Album!J:J)</f>
        <v>https://i.scdn.co/image/ab67616d0000b27379bb9bfdbe6d5f49aa75ab22</v>
      </c>
      <c r="AD717" s="3"/>
      <c r="AE717" s="3"/>
      <c r="AF717" s="3"/>
      <c r="AG717" s="3"/>
      <c r="AH717" s="3"/>
    </row>
    <row r="718" spans="1:34" x14ac:dyDescent="0.3">
      <c r="A718" s="11" t="s">
        <v>409</v>
      </c>
      <c r="B718" s="12" t="s">
        <v>393</v>
      </c>
      <c r="C718" s="12" t="s">
        <v>395</v>
      </c>
      <c r="D718" s="13" t="s">
        <v>18</v>
      </c>
      <c r="E718" s="6">
        <v>42244</v>
      </c>
      <c r="F718" s="3">
        <v>257706</v>
      </c>
      <c r="G718" s="3">
        <v>0</v>
      </c>
      <c r="H718" s="3" t="s">
        <v>5198</v>
      </c>
      <c r="I718" s="3" t="s">
        <v>102</v>
      </c>
      <c r="J718" s="3" t="s">
        <v>103</v>
      </c>
      <c r="K718" s="3" t="s">
        <v>104</v>
      </c>
      <c r="L718" s="3">
        <v>0.52300000000000002</v>
      </c>
      <c r="M718" s="3">
        <v>0.96</v>
      </c>
      <c r="N718" s="3">
        <v>5</v>
      </c>
      <c r="O718" s="8">
        <v>-5985</v>
      </c>
      <c r="P718" s="3">
        <v>1</v>
      </c>
      <c r="Q718" s="3">
        <v>6.1600000000000002E-2</v>
      </c>
      <c r="R718" s="3">
        <v>1.2300000000000001E-4</v>
      </c>
      <c r="S718" s="3">
        <v>0.95</v>
      </c>
      <c r="T718" s="3">
        <v>0.96699999999999997</v>
      </c>
      <c r="U718" s="3">
        <v>0.55900000000000005</v>
      </c>
      <c r="V718" s="8">
        <v>133619</v>
      </c>
      <c r="W718" s="3">
        <v>4</v>
      </c>
      <c r="X718" s="3" t="str">
        <f t="shared" si="48"/>
        <v>-HAPPY-</v>
      </c>
      <c r="Y718" s="3" t="str">
        <f t="shared" si="49"/>
        <v>-ENERGY-</v>
      </c>
      <c r="Z718" s="4" t="str">
        <f t="shared" si="50"/>
        <v>{"couname":"Quatrieme Rendez-Vous","img":"https://i.scdn.co/image/ab67616d0000b27379bb9bfdbe6d5f49aa75ab22","pty":"0","artist":"Jean-Michel Jarre","genres":"new age,electrónica,space music","duration":"257706","spotId":"2A8MetIc67TIfwAIW29BBc","Items":["-HAPPY-","-ENERGY-","","","GN_FrenchElectro"]},</v>
      </c>
      <c r="AA718" s="5" t="s">
        <v>6100</v>
      </c>
      <c r="AB718" s="3" t="str">
        <f t="shared" si="51"/>
        <v>["-HAPPY-","-ENERGY-","","","GN_FrenchElectro"]</v>
      </c>
      <c r="AC718" s="3" t="str">
        <f>_xlfn.XLOOKUP(A718,Album!A:A,Album!J:J)</f>
        <v>https://i.scdn.co/image/ab67616d0000b27379bb9bfdbe6d5f49aa75ab22</v>
      </c>
      <c r="AD718" s="3"/>
      <c r="AE718" s="3"/>
      <c r="AF718" s="3"/>
      <c r="AG718" s="3"/>
      <c r="AH718" s="3"/>
    </row>
    <row r="719" spans="1:34" x14ac:dyDescent="0.3">
      <c r="A719" s="11" t="s">
        <v>410</v>
      </c>
      <c r="B719" s="12" t="s">
        <v>389</v>
      </c>
      <c r="C719" s="12" t="s">
        <v>395</v>
      </c>
      <c r="D719" s="13" t="s">
        <v>18</v>
      </c>
      <c r="E719" s="6">
        <v>42244</v>
      </c>
      <c r="F719" s="3">
        <v>538720</v>
      </c>
      <c r="G719" s="3">
        <v>0</v>
      </c>
      <c r="H719" s="3" t="s">
        <v>5197</v>
      </c>
      <c r="I719" s="3" t="s">
        <v>102</v>
      </c>
      <c r="J719" s="3" t="s">
        <v>103</v>
      </c>
      <c r="K719" s="3" t="s">
        <v>104</v>
      </c>
      <c r="L719" s="3">
        <v>0.20100000000000001</v>
      </c>
      <c r="M719" s="3">
        <v>0.63600000000000001</v>
      </c>
      <c r="N719" s="3">
        <v>0</v>
      </c>
      <c r="O719" s="8">
        <v>-8364</v>
      </c>
      <c r="P719" s="3">
        <v>0</v>
      </c>
      <c r="Q719" s="3">
        <v>3.4000000000000002E-2</v>
      </c>
      <c r="R719" s="3">
        <v>3.6400000000000002E-2</v>
      </c>
      <c r="S719" s="3">
        <v>0.77300000000000002</v>
      </c>
      <c r="T719" s="3">
        <v>0.98899999999999999</v>
      </c>
      <c r="U719" s="3">
        <v>0.23100000000000001</v>
      </c>
      <c r="V719" s="8">
        <v>127784</v>
      </c>
      <c r="W719" s="3">
        <v>4</v>
      </c>
      <c r="X719" s="3" t="str">
        <f t="shared" si="48"/>
        <v>-SADNE-</v>
      </c>
      <c r="Y719" s="3" t="str">
        <f t="shared" si="49"/>
        <v>-ENERGY-</v>
      </c>
      <c r="Z719" s="4" t="str">
        <f t="shared" si="50"/>
        <v>{"couname":"Second Rendez-Vous","img":"https://i.scdn.co/image/ab67616d0000b27379bb9bfdbe6d5f49aa75ab22","pty":"0","artist":"Jean-Michel Jarre","genres":"new age,electrónica,space music","duration":"538720","spotId":"7LZ7sncvFMQmhKbXthTerz","Items":["-SADNE-","-ENERGY-","","","GN_FrenchElectro"]},</v>
      </c>
      <c r="AA719" s="5" t="s">
        <v>6100</v>
      </c>
      <c r="AB719" s="3" t="str">
        <f t="shared" si="51"/>
        <v>["-SADNE-","-ENERGY-","","","GN_FrenchElectro"]</v>
      </c>
      <c r="AC719" s="3" t="str">
        <f>_xlfn.XLOOKUP(A719,Album!A:A,Album!J:J)</f>
        <v>https://i.scdn.co/image/ab67616d0000b27379bb9bfdbe6d5f49aa75ab22</v>
      </c>
      <c r="AD719" s="3"/>
      <c r="AE719" s="3"/>
      <c r="AF719" s="3"/>
      <c r="AG719" s="3"/>
      <c r="AH719" s="3"/>
    </row>
    <row r="720" spans="1:34" x14ac:dyDescent="0.3">
      <c r="A720" s="11" t="s">
        <v>411</v>
      </c>
      <c r="B720" s="12" t="s">
        <v>412</v>
      </c>
      <c r="C720" s="12" t="s">
        <v>395</v>
      </c>
      <c r="D720" s="13" t="s">
        <v>18</v>
      </c>
      <c r="E720" s="6">
        <v>42244</v>
      </c>
      <c r="F720" s="3">
        <v>286040</v>
      </c>
      <c r="G720" s="3">
        <v>0</v>
      </c>
      <c r="H720" s="3" t="s">
        <v>5196</v>
      </c>
      <c r="I720" s="3" t="s">
        <v>102</v>
      </c>
      <c r="J720" s="3" t="s">
        <v>103</v>
      </c>
      <c r="K720" s="3" t="s">
        <v>104</v>
      </c>
      <c r="L720" s="3">
        <v>0.60399999999999998</v>
      </c>
      <c r="M720" s="3">
        <v>0.90600000000000003</v>
      </c>
      <c r="N720" s="3">
        <v>0</v>
      </c>
      <c r="O720" s="8">
        <v>-6982</v>
      </c>
      <c r="P720" s="3">
        <v>1</v>
      </c>
      <c r="Q720" s="3">
        <v>7.2700000000000001E-2</v>
      </c>
      <c r="R720" s="3">
        <v>8.5299999999999994E-3</v>
      </c>
      <c r="S720" s="3">
        <v>0.65500000000000003</v>
      </c>
      <c r="T720" s="3">
        <v>0.92600000000000005</v>
      </c>
      <c r="U720" s="3">
        <v>0.436</v>
      </c>
      <c r="V720" s="8">
        <v>130022</v>
      </c>
      <c r="W720" s="3">
        <v>4</v>
      </c>
      <c r="X720" s="3" t="str">
        <f t="shared" si="48"/>
        <v>-HAPPY-</v>
      </c>
      <c r="Y720" s="3" t="str">
        <f t="shared" si="49"/>
        <v>-ENERGY-</v>
      </c>
      <c r="Z720" s="4" t="str">
        <f t="shared" si="50"/>
        <v>{"couname":"September","img":"https://i.scdn.co/image/ab67616d0000b27379bb9bfdbe6d5f49aa75ab22","pty":"0","artist":"Jean-Michel Jarre","genres":"new age,electrónica,space music","duration":"286040","spotId":"4WpcTSjHv1Q8qsCj7XHChI","Items":["-HAPPY-","-ENERGY-","","","GN_FrenchElectro"]},</v>
      </c>
      <c r="AA720" s="5" t="s">
        <v>6100</v>
      </c>
      <c r="AB720" s="3" t="str">
        <f t="shared" si="51"/>
        <v>["-HAPPY-","-ENERGY-","","","GN_FrenchElectro"]</v>
      </c>
      <c r="AC720" s="3" t="str">
        <f>_xlfn.XLOOKUP(A720,Album!A:A,Album!J:J)</f>
        <v>https://i.scdn.co/image/ab67616d0000b27379bb9bfdbe6d5f49aa75ab22</v>
      </c>
      <c r="AD720" s="3"/>
      <c r="AE720" s="3"/>
      <c r="AF720" s="3"/>
      <c r="AG720" s="3"/>
      <c r="AH720" s="3"/>
    </row>
    <row r="721" spans="1:34" x14ac:dyDescent="0.3">
      <c r="A721" s="11" t="s">
        <v>413</v>
      </c>
      <c r="B721" s="12" t="s">
        <v>414</v>
      </c>
      <c r="C721" s="12" t="s">
        <v>395</v>
      </c>
      <c r="D721" s="13" t="s">
        <v>18</v>
      </c>
      <c r="E721" s="6">
        <v>42244</v>
      </c>
      <c r="F721" s="3">
        <v>225266</v>
      </c>
      <c r="G721" s="3">
        <v>0</v>
      </c>
      <c r="H721" s="3" t="s">
        <v>5195</v>
      </c>
      <c r="I721" s="3" t="s">
        <v>102</v>
      </c>
      <c r="J721" s="3" t="s">
        <v>103</v>
      </c>
      <c r="K721" s="3" t="s">
        <v>104</v>
      </c>
      <c r="L721" s="3">
        <v>0.157</v>
      </c>
      <c r="M721" s="3">
        <v>0.754</v>
      </c>
      <c r="N721" s="3">
        <v>8</v>
      </c>
      <c r="O721" s="8">
        <v>-7475</v>
      </c>
      <c r="P721" s="3">
        <v>1</v>
      </c>
      <c r="Q721" s="3">
        <v>5.6500000000000002E-2</v>
      </c>
      <c r="R721" s="3">
        <v>2.9099999999999999E-5</v>
      </c>
      <c r="S721" s="3">
        <v>0.94199999999999995</v>
      </c>
      <c r="T721" s="3">
        <v>0.97199999999999998</v>
      </c>
      <c r="U721" s="3">
        <v>7.9399999999999998E-2</v>
      </c>
      <c r="V721" s="8">
        <v>132642</v>
      </c>
      <c r="W721" s="3">
        <v>5</v>
      </c>
      <c r="X721" s="3" t="str">
        <f t="shared" si="48"/>
        <v>-SADNE-</v>
      </c>
      <c r="Y721" s="3" t="str">
        <f t="shared" si="49"/>
        <v>-ENERGY-</v>
      </c>
      <c r="Z721" s="4" t="str">
        <f t="shared" si="50"/>
        <v>{"couname":"L'Emigrant","img":"https://i.scdn.co/image/ab67616d0000b27379bb9bfdbe6d5f49aa75ab22","pty":"0","artist":"Jean-Michel Jarre","genres":"new age,electrónica,space music","duration":"225266","spotId":"1Y3sO6KPi7SMpd8HBvqvs2","Items":["-SADNE-","-ENERGY-","","","GN_FrenchElectro"]},</v>
      </c>
      <c r="AA721" s="5" t="s">
        <v>6100</v>
      </c>
      <c r="AB721" s="3" t="str">
        <f t="shared" si="51"/>
        <v>["-SADNE-","-ENERGY-","","","GN_FrenchElectro"]</v>
      </c>
      <c r="AC721" s="3" t="str">
        <f>_xlfn.XLOOKUP(A721,Album!A:A,Album!J:J)</f>
        <v>https://i.scdn.co/image/ab67616d0000b27379bb9bfdbe6d5f49aa75ab22</v>
      </c>
      <c r="AD721" s="3"/>
      <c r="AE721" s="3"/>
      <c r="AF721" s="3"/>
      <c r="AG721" s="3"/>
      <c r="AH721" s="3"/>
    </row>
    <row r="722" spans="1:34" x14ac:dyDescent="0.3">
      <c r="A722" s="11" t="s">
        <v>519</v>
      </c>
      <c r="B722" s="12" t="s">
        <v>5193</v>
      </c>
      <c r="C722" s="12" t="s">
        <v>521</v>
      </c>
      <c r="D722" s="13" t="s">
        <v>501</v>
      </c>
      <c r="E722" s="6">
        <v>36039</v>
      </c>
      <c r="F722" s="3">
        <v>372160</v>
      </c>
      <c r="G722" s="3">
        <v>0</v>
      </c>
      <c r="H722" s="3" t="s">
        <v>5194</v>
      </c>
      <c r="I722" s="3" t="s">
        <v>462</v>
      </c>
      <c r="J722" s="3" t="s">
        <v>463</v>
      </c>
      <c r="K722" s="3" t="s">
        <v>469</v>
      </c>
      <c r="L722" s="3">
        <v>0.79400000000000004</v>
      </c>
      <c r="M722" s="3">
        <v>0.63800000000000001</v>
      </c>
      <c r="N722" s="3">
        <v>1</v>
      </c>
      <c r="O722" s="8">
        <v>-4041</v>
      </c>
      <c r="P722" s="3">
        <v>1</v>
      </c>
      <c r="Q722" s="3">
        <v>8.8700000000000001E-2</v>
      </c>
      <c r="R722" s="3">
        <v>6.4999999999999997E-3</v>
      </c>
      <c r="S722" s="3">
        <v>1.9599999999999999E-5</v>
      </c>
      <c r="T722" s="3">
        <v>0.04</v>
      </c>
      <c r="U722" s="3">
        <v>0.374</v>
      </c>
      <c r="V722" s="8">
        <v>130015</v>
      </c>
      <c r="W722" s="3">
        <v>4</v>
      </c>
      <c r="X722" s="3" t="str">
        <f t="shared" si="48"/>
        <v>-HAPPY-</v>
      </c>
      <c r="Y722" s="3" t="str">
        <f t="shared" si="49"/>
        <v>-ENERGY-</v>
      </c>
      <c r="Z722" s="4" t="str">
        <f t="shared" si="50"/>
        <v>{"couname":"Gym tonic","img":"https://i.scdn.co/image/ab67616d0000b273e7ede9ebf87a8fdde6191e59","pty":"0","artist":"Bob Sinclar","genres":"house francés,disco house","duration":"372160","spotId":"4DgPcCPpxVN28ZOQBZBhu4","Items":["-HAPPY-","-ENERGY-","","","GN_FrenchElectro"]},</v>
      </c>
      <c r="AA722" s="5" t="s">
        <v>6100</v>
      </c>
      <c r="AB722" s="3" t="str">
        <f t="shared" si="51"/>
        <v>["-HAPPY-","-ENERGY-","","","GN_FrenchElectro"]</v>
      </c>
      <c r="AC722" s="3" t="str">
        <f>_xlfn.XLOOKUP(A722,Album!A:A,Album!J:J)</f>
        <v>https://i.scdn.co/image/ab67616d0000b273e7ede9ebf87a8fdde6191e59</v>
      </c>
      <c r="AD722" s="3"/>
      <c r="AE722" s="3"/>
      <c r="AF722" s="3"/>
      <c r="AG722" s="3"/>
      <c r="AH722" s="3"/>
    </row>
    <row r="723" spans="1:34" x14ac:dyDescent="0.3">
      <c r="A723" s="11" t="s">
        <v>529</v>
      </c>
      <c r="B723" s="12" t="s">
        <v>530</v>
      </c>
      <c r="C723" s="12" t="s">
        <v>531</v>
      </c>
      <c r="D723" s="13" t="s">
        <v>5192</v>
      </c>
      <c r="E723" s="6">
        <v>40544</v>
      </c>
      <c r="F723" s="3">
        <v>181693</v>
      </c>
      <c r="G723" s="3">
        <v>0</v>
      </c>
      <c r="H723" s="3" t="s">
        <v>5191</v>
      </c>
      <c r="I723" s="3" t="s">
        <v>462</v>
      </c>
      <c r="J723" s="3" t="s">
        <v>463</v>
      </c>
      <c r="K723" s="3" t="s">
        <v>469</v>
      </c>
      <c r="L723" s="3">
        <v>0.875</v>
      </c>
      <c r="M723" s="3">
        <v>0.82099999999999995</v>
      </c>
      <c r="N723" s="3">
        <v>7</v>
      </c>
      <c r="O723" s="8">
        <v>-5029</v>
      </c>
      <c r="P723" s="3">
        <v>1</v>
      </c>
      <c r="Q723" s="3">
        <v>0.22700000000000001</v>
      </c>
      <c r="R723" s="3">
        <v>4.24E-2</v>
      </c>
      <c r="S723" s="3">
        <v>2.4699999999999999E-4</v>
      </c>
      <c r="T723" s="3">
        <v>0.29099999999999998</v>
      </c>
      <c r="U723" s="3">
        <v>0.67900000000000005</v>
      </c>
      <c r="V723" s="8">
        <v>127995</v>
      </c>
      <c r="W723" s="3">
        <v>4</v>
      </c>
      <c r="X723" s="3" t="str">
        <f t="shared" si="48"/>
        <v>-HAPPY-</v>
      </c>
      <c r="Y723" s="3" t="str">
        <f t="shared" si="49"/>
        <v>-ENERGY-</v>
      </c>
      <c r="Z723" s="4" t="str">
        <f t="shared" si="50"/>
        <v>{"couname":"Far l'amore","img":"https://i.scdn.co/image/ab67616d0000b273a470b4379a80530774c13e8f","pty":"0","artist":"Bob Sinclar, Raffaella Carrà","genres":"house francés,disco house","duration":"181693","spotId":"3m5WQZeRfYjm0KlvXqOOX8","Items":["-HAPPY-","-ENERGY-","","","GN_FrenchElectro"]},</v>
      </c>
      <c r="AA723" s="5" t="s">
        <v>6100</v>
      </c>
      <c r="AB723" s="3" t="str">
        <f t="shared" si="51"/>
        <v>["-HAPPY-","-ENERGY-","","","GN_FrenchElectro"]</v>
      </c>
      <c r="AC723" s="3" t="str">
        <f>_xlfn.XLOOKUP(A723,Album!A:A,Album!J:J)</f>
        <v>https://i.scdn.co/image/ab67616d0000b273a470b4379a80530774c13e8f</v>
      </c>
      <c r="AD723" s="3"/>
      <c r="AE723" s="3"/>
      <c r="AF723" s="3"/>
      <c r="AG723" s="3"/>
      <c r="AH723" s="3"/>
    </row>
    <row r="724" spans="1:34" x14ac:dyDescent="0.3">
      <c r="A724" s="11" t="s">
        <v>541</v>
      </c>
      <c r="B724" s="12" t="s">
        <v>542</v>
      </c>
      <c r="C724" s="12" t="s">
        <v>542</v>
      </c>
      <c r="D724" s="13" t="s">
        <v>501</v>
      </c>
      <c r="E724" s="6">
        <v>44953</v>
      </c>
      <c r="F724" s="3">
        <v>209032</v>
      </c>
      <c r="G724" s="3">
        <v>0</v>
      </c>
      <c r="H724" s="3" t="s">
        <v>5190</v>
      </c>
      <c r="I724" s="3" t="s">
        <v>462</v>
      </c>
      <c r="J724" s="3" t="s">
        <v>463</v>
      </c>
      <c r="K724" s="3" t="s">
        <v>469</v>
      </c>
      <c r="L724" s="3">
        <v>0.59</v>
      </c>
      <c r="M724" s="3">
        <v>0.95699999999999996</v>
      </c>
      <c r="N724" s="3">
        <v>9</v>
      </c>
      <c r="O724" s="8">
        <v>-7279</v>
      </c>
      <c r="P724" s="3">
        <v>0</v>
      </c>
      <c r="Q724" s="3">
        <v>4.4600000000000001E-2</v>
      </c>
      <c r="R724" s="3">
        <v>5.6899999999999999E-2</v>
      </c>
      <c r="S724" s="3">
        <v>0.95499999999999996</v>
      </c>
      <c r="T724" s="3">
        <v>9.3600000000000003E-2</v>
      </c>
      <c r="U724" s="3">
        <v>9.0300000000000005E-2</v>
      </c>
      <c r="V724" s="8">
        <v>123961</v>
      </c>
      <c r="W724" s="3">
        <v>4</v>
      </c>
      <c r="X724" s="3" t="str">
        <f t="shared" si="48"/>
        <v>-SADNE-</v>
      </c>
      <c r="Y724" s="3" t="str">
        <f t="shared" si="49"/>
        <v>-ENERGY-</v>
      </c>
      <c r="Z724" s="4" t="str">
        <f t="shared" si="50"/>
        <v>{"couname":"Adore","img":"https://i.scdn.co/image/ab67616d0000b273db66b6247cd3312de5d2cf5d","pty":"0","artist":"Bob Sinclar","genres":"house francés,disco house","duration":"209032","spotId":"0oBUOlD8XPyRNmVOqkv7QA","Items":["-SADNE-","-ENERGY-","","","GN_FrenchElectro"]},</v>
      </c>
      <c r="AA724" s="5" t="s">
        <v>6100</v>
      </c>
      <c r="AB724" s="3" t="str">
        <f t="shared" si="51"/>
        <v>["-SADNE-","-ENERGY-","","","GN_FrenchElectro"]</v>
      </c>
      <c r="AC724" s="3" t="str">
        <f>_xlfn.XLOOKUP(A724,Album!A:A,Album!J:J)</f>
        <v>https://i.scdn.co/image/ab67616d0000b273db66b6247cd3312de5d2cf5d</v>
      </c>
      <c r="AD724" s="3"/>
      <c r="AE724" s="3"/>
      <c r="AF724" s="3"/>
      <c r="AG724" s="3"/>
      <c r="AH724" s="3"/>
    </row>
    <row r="725" spans="1:34" x14ac:dyDescent="0.3">
      <c r="A725" s="11" t="s">
        <v>543</v>
      </c>
      <c r="B725" s="12" t="s">
        <v>5188</v>
      </c>
      <c r="C725" s="12" t="s">
        <v>521</v>
      </c>
      <c r="D725" s="13" t="s">
        <v>501</v>
      </c>
      <c r="E725" s="6">
        <v>36039</v>
      </c>
      <c r="F725" s="3">
        <v>274000</v>
      </c>
      <c r="G725" s="3">
        <v>0</v>
      </c>
      <c r="H725" s="3" t="s">
        <v>5189</v>
      </c>
      <c r="I725" s="3" t="s">
        <v>462</v>
      </c>
      <c r="J725" s="3" t="s">
        <v>463</v>
      </c>
      <c r="K725" s="3" t="s">
        <v>469</v>
      </c>
      <c r="L725" s="3">
        <v>0.86</v>
      </c>
      <c r="M725" s="3">
        <v>0.76500000000000001</v>
      </c>
      <c r="N725" s="3">
        <v>1</v>
      </c>
      <c r="O725" s="8">
        <v>-5079</v>
      </c>
      <c r="P725" s="3">
        <v>0</v>
      </c>
      <c r="Q725" s="3">
        <v>6.9900000000000004E-2</v>
      </c>
      <c r="R725" s="3">
        <v>1.04E-2</v>
      </c>
      <c r="S725" s="3">
        <v>5.5199999999999997E-4</v>
      </c>
      <c r="T725" s="3">
        <v>7.6100000000000001E-2</v>
      </c>
      <c r="U725" s="3">
        <v>0.94499999999999995</v>
      </c>
      <c r="V725" s="8">
        <v>122919</v>
      </c>
      <c r="W725" s="3">
        <v>4</v>
      </c>
      <c r="X725" s="3" t="str">
        <f t="shared" si="48"/>
        <v>-HAPPY-</v>
      </c>
      <c r="Y725" s="3" t="str">
        <f t="shared" si="49"/>
        <v>-ENERGY-</v>
      </c>
      <c r="Z725" s="4" t="str">
        <f t="shared" si="50"/>
        <v>{"couname":"My only love","img":"https://i.scdn.co/image/ab67616d0000b273e7ede9ebf87a8fdde6191e59","pty":"0","artist":"Bob Sinclar","genres":"house francés,disco house","duration":"274000","spotId":"4VJsBxqe4axxwAjbpLVj71","Items":["-HAPPY-","-ENERGY-","","","GN_FrenchElectro"]},</v>
      </c>
      <c r="AA725" s="5" t="s">
        <v>6100</v>
      </c>
      <c r="AB725" s="3" t="str">
        <f t="shared" si="51"/>
        <v>["-HAPPY-","-ENERGY-","","","GN_FrenchElectro"]</v>
      </c>
      <c r="AC725" s="3" t="str">
        <f>_xlfn.XLOOKUP(A725,Album!A:A,Album!J:J)</f>
        <v>https://i.scdn.co/image/ab67616d0000b273e7ede9ebf87a8fdde6191e59</v>
      </c>
      <c r="AD725" s="3"/>
      <c r="AE725" s="3"/>
      <c r="AF725" s="3"/>
      <c r="AG725" s="3"/>
      <c r="AH725" s="3"/>
    </row>
    <row r="726" spans="1:34" x14ac:dyDescent="0.3">
      <c r="A726" s="11" t="s">
        <v>548</v>
      </c>
      <c r="B726" s="12" t="s">
        <v>5186</v>
      </c>
      <c r="C726" s="12" t="s">
        <v>550</v>
      </c>
      <c r="D726" s="13" t="s">
        <v>501</v>
      </c>
      <c r="E726" s="6">
        <v>44498</v>
      </c>
      <c r="F726" s="3">
        <v>156189</v>
      </c>
      <c r="G726" s="3">
        <v>0</v>
      </c>
      <c r="H726" s="3" t="s">
        <v>5187</v>
      </c>
      <c r="I726" s="3" t="s">
        <v>462</v>
      </c>
      <c r="J726" s="3" t="s">
        <v>463</v>
      </c>
      <c r="K726" s="3" t="s">
        <v>469</v>
      </c>
      <c r="L726" s="3">
        <v>0.65800000000000003</v>
      </c>
      <c r="M726" s="3">
        <v>0.98699999999999999</v>
      </c>
      <c r="N726" s="3">
        <v>3</v>
      </c>
      <c r="O726" s="8">
        <v>-4697</v>
      </c>
      <c r="P726" s="3">
        <v>0</v>
      </c>
      <c r="Q726" s="3">
        <v>8.2100000000000006E-2</v>
      </c>
      <c r="R726" s="3">
        <v>5.3700000000000004E-4</v>
      </c>
      <c r="S726" s="3">
        <v>0.91200000000000003</v>
      </c>
      <c r="T726" s="3">
        <v>0.73599999999999999</v>
      </c>
      <c r="U726" s="3">
        <v>0.156</v>
      </c>
      <c r="V726" s="8">
        <v>126019</v>
      </c>
      <c r="W726" s="3">
        <v>4</v>
      </c>
      <c r="X726" s="3" t="str">
        <f t="shared" si="48"/>
        <v>-SADNE-</v>
      </c>
      <c r="Y726" s="3" t="str">
        <f t="shared" si="49"/>
        <v>-ENERGY-</v>
      </c>
      <c r="Z726" s="4" t="str">
        <f t="shared" si="50"/>
        <v>{"couname":"Save Our Soul","img":"https://i.scdn.co/image/ab67616d0000b273f9cfb7c8563a313cf370cf06","pty":"0","artist":"Bob Sinclar","genres":"house francés,disco house","duration":"156189","spotId":"2sTEiEN6OTO9Xi7ZE2DFs0","Items":["-SADNE-","-ENERGY-","","","GN_FrenchElectro"]},</v>
      </c>
      <c r="AA726" s="5" t="s">
        <v>6100</v>
      </c>
      <c r="AB726" s="3" t="str">
        <f t="shared" si="51"/>
        <v>["-SADNE-","-ENERGY-","","","GN_FrenchElectro"]</v>
      </c>
      <c r="AC726" s="3" t="str">
        <f>_xlfn.XLOOKUP(A726,Album!A:A,Album!J:J)</f>
        <v>https://i.scdn.co/image/ab67616d0000b273f9cfb7c8563a313cf370cf06</v>
      </c>
      <c r="AD726" s="3"/>
      <c r="AE726" s="3"/>
      <c r="AF726" s="3"/>
      <c r="AG726" s="3"/>
      <c r="AH726" s="3"/>
    </row>
    <row r="727" spans="1:34" x14ac:dyDescent="0.3">
      <c r="A727" s="11" t="s">
        <v>551</v>
      </c>
      <c r="B727" s="12" t="s">
        <v>5184</v>
      </c>
      <c r="C727" s="12" t="s">
        <v>553</v>
      </c>
      <c r="D727" s="13" t="s">
        <v>501</v>
      </c>
      <c r="E727" s="6">
        <v>2003</v>
      </c>
      <c r="F727" s="3">
        <v>260519</v>
      </c>
      <c r="G727" s="3">
        <v>0</v>
      </c>
      <c r="H727" s="3" t="s">
        <v>5185</v>
      </c>
      <c r="I727" s="3" t="s">
        <v>462</v>
      </c>
      <c r="J727" s="3" t="s">
        <v>463</v>
      </c>
      <c r="K727" s="3" t="s">
        <v>469</v>
      </c>
      <c r="L727" s="3">
        <v>0.86299999999999999</v>
      </c>
      <c r="M727" s="3">
        <v>0.86099999999999999</v>
      </c>
      <c r="N727" s="3">
        <v>10</v>
      </c>
      <c r="O727" s="8">
        <v>-4968</v>
      </c>
      <c r="P727" s="3">
        <v>0</v>
      </c>
      <c r="Q727" s="3">
        <v>3.78E-2</v>
      </c>
      <c r="R727" s="3">
        <v>1.09E-3</v>
      </c>
      <c r="S727" s="3">
        <v>2.3900000000000001E-2</v>
      </c>
      <c r="T727" s="3">
        <v>5.2299999999999999E-2</v>
      </c>
      <c r="U727" s="3">
        <v>0.91700000000000004</v>
      </c>
      <c r="V727" s="8">
        <v>126.98</v>
      </c>
      <c r="W727" s="3">
        <v>4</v>
      </c>
      <c r="X727" s="3" t="str">
        <f t="shared" si="48"/>
        <v>-HAPPY-</v>
      </c>
      <c r="Y727" s="3" t="str">
        <f t="shared" si="49"/>
        <v>-ENERGY-</v>
      </c>
      <c r="Z727" s="4" t="str">
        <f t="shared" si="50"/>
        <v>{"couname":"Kiss my eyes","img":"https://i.scdn.co/image/ab67616d0000b273486da7ad3e4987ebebf363ec","pty":"0","artist":"Bob Sinclar","genres":"house francés,disco house","duration":"260519","spotId":"4HlO5c4GMMRayf1tumQeuP","Items":["-HAPPY-","-ENERGY-","","","GN_FrenchElectro"]},</v>
      </c>
      <c r="AA727" s="5" t="s">
        <v>6100</v>
      </c>
      <c r="AB727" s="3" t="str">
        <f t="shared" si="51"/>
        <v>["-HAPPY-","-ENERGY-","","","GN_FrenchElectro"]</v>
      </c>
      <c r="AC727" s="3" t="str">
        <f>_xlfn.XLOOKUP(A727,Album!A:A,Album!J:J)</f>
        <v>https://i.scdn.co/image/ab67616d0000b273486da7ad3e4987ebebf363ec</v>
      </c>
      <c r="AD727" s="3"/>
      <c r="AE727" s="3"/>
      <c r="AF727" s="3"/>
      <c r="AG727" s="3"/>
      <c r="AH727" s="3"/>
    </row>
    <row r="728" spans="1:34" x14ac:dyDescent="0.3">
      <c r="A728" s="11" t="s">
        <v>554</v>
      </c>
      <c r="B728" s="12" t="s">
        <v>5182</v>
      </c>
      <c r="C728" s="12" t="s">
        <v>521</v>
      </c>
      <c r="D728" s="13" t="s">
        <v>501</v>
      </c>
      <c r="E728" s="6">
        <v>36039</v>
      </c>
      <c r="F728" s="3">
        <v>333840</v>
      </c>
      <c r="G728" s="3">
        <v>0</v>
      </c>
      <c r="H728" s="3" t="s">
        <v>5183</v>
      </c>
      <c r="I728" s="3" t="s">
        <v>462</v>
      </c>
      <c r="J728" s="3" t="s">
        <v>463</v>
      </c>
      <c r="K728" s="3" t="s">
        <v>469</v>
      </c>
      <c r="L728" s="3">
        <v>0.93700000000000006</v>
      </c>
      <c r="M728" s="3">
        <v>0.80400000000000005</v>
      </c>
      <c r="N728" s="3">
        <v>8</v>
      </c>
      <c r="O728" s="8">
        <v>-4031</v>
      </c>
      <c r="P728" s="3">
        <v>1</v>
      </c>
      <c r="Q728" s="3">
        <v>0.13200000000000001</v>
      </c>
      <c r="R728" s="3">
        <v>2.04E-4</v>
      </c>
      <c r="S728" s="3">
        <v>5.7299999999999997E-2</v>
      </c>
      <c r="T728" s="3">
        <v>0.379</v>
      </c>
      <c r="U728" s="3">
        <v>0.77800000000000002</v>
      </c>
      <c r="V728" s="8">
        <v>127946</v>
      </c>
      <c r="W728" s="3">
        <v>4</v>
      </c>
      <c r="X728" s="3" t="str">
        <f t="shared" si="48"/>
        <v>-HAPPY-</v>
      </c>
      <c r="Y728" s="3" t="str">
        <f t="shared" si="49"/>
        <v>-ENERGY-</v>
      </c>
      <c r="Z728" s="4" t="str">
        <f t="shared" si="50"/>
        <v>{"couname":"Ultimate funk","img":"https://i.scdn.co/image/ab67616d0000b273e7ede9ebf87a8fdde6191e59","pty":"0","artist":"Bob Sinclar","genres":"house francés,disco house","duration":"333840","spotId":"5Dsu3qDOH9KPYbgfCXbi1R","Items":["-HAPPY-","-ENERGY-","","","GN_FrenchElectro"]},</v>
      </c>
      <c r="AA728" s="5" t="s">
        <v>6100</v>
      </c>
      <c r="AB728" s="3" t="str">
        <f t="shared" si="51"/>
        <v>["-HAPPY-","-ENERGY-","","","GN_FrenchElectro"]</v>
      </c>
      <c r="AC728" s="3" t="str">
        <f>_xlfn.XLOOKUP(A728,Album!A:A,Album!J:J)</f>
        <v>https://i.scdn.co/image/ab67616d0000b273e7ede9ebf87a8fdde6191e59</v>
      </c>
      <c r="AD728" s="3"/>
      <c r="AE728" s="3"/>
      <c r="AF728" s="3"/>
      <c r="AG728" s="3"/>
      <c r="AH728" s="3"/>
    </row>
    <row r="729" spans="1:34" x14ac:dyDescent="0.3">
      <c r="A729" s="11" t="s">
        <v>556</v>
      </c>
      <c r="B729" s="12" t="s">
        <v>5180</v>
      </c>
      <c r="C729" s="12" t="s">
        <v>524</v>
      </c>
      <c r="D729" s="13" t="s">
        <v>501</v>
      </c>
      <c r="E729" s="6">
        <v>2000</v>
      </c>
      <c r="F729" s="3">
        <v>300080</v>
      </c>
      <c r="G729" s="3">
        <v>0</v>
      </c>
      <c r="H729" s="3" t="s">
        <v>5181</v>
      </c>
      <c r="I729" s="3" t="s">
        <v>462</v>
      </c>
      <c r="J729" s="3" t="s">
        <v>463</v>
      </c>
      <c r="K729" s="3" t="s">
        <v>469</v>
      </c>
      <c r="L729" s="3">
        <v>0.76900000000000002</v>
      </c>
      <c r="M729" s="3">
        <v>0.58199999999999996</v>
      </c>
      <c r="N729" s="3">
        <v>0</v>
      </c>
      <c r="O729" s="8">
        <v>-5174</v>
      </c>
      <c r="P729" s="3">
        <v>1</v>
      </c>
      <c r="Q729" s="3">
        <v>8.0299999999999996E-2</v>
      </c>
      <c r="R729" s="3">
        <v>0.51100000000000001</v>
      </c>
      <c r="S729" s="3">
        <v>0</v>
      </c>
      <c r="T729" s="3">
        <v>0.27500000000000002</v>
      </c>
      <c r="U729" s="3">
        <v>0.84099999999999997</v>
      </c>
      <c r="V729" s="8">
        <v>102937</v>
      </c>
      <c r="W729" s="3">
        <v>4</v>
      </c>
      <c r="X729" s="3" t="str">
        <f t="shared" si="48"/>
        <v>-HAPPY-</v>
      </c>
      <c r="Y729" s="3" t="str">
        <f t="shared" si="49"/>
        <v>-ENERGY-</v>
      </c>
      <c r="Z729" s="4" t="str">
        <f t="shared" si="50"/>
        <v>{"couname":"Darlin'","img":"https://i.scdn.co/image/ab67616d0000b2732a4bf35dbae486853c53394b","pty":"0","artist":"Bob Sinclar","genres":"house francés,disco house","duration":"300080","spotId":"4Na0IHAbrCfM67CUZwjvD4","Items":["-HAPPY-","-ENERGY-","","","GN_FrenchElectro"]},</v>
      </c>
      <c r="AA729" s="5" t="s">
        <v>6100</v>
      </c>
      <c r="AB729" s="3" t="str">
        <f t="shared" si="51"/>
        <v>["-HAPPY-","-ENERGY-","","","GN_FrenchElectro"]</v>
      </c>
      <c r="AC729" s="3" t="str">
        <f>_xlfn.XLOOKUP(A729,Album!A:A,Album!J:J)</f>
        <v>https://i.scdn.co/image/ab67616d0000b2732a4bf35dbae486853c53394b</v>
      </c>
      <c r="AD729" s="3"/>
      <c r="AE729" s="3"/>
      <c r="AF729" s="3"/>
      <c r="AG729" s="3"/>
      <c r="AH729" s="3"/>
    </row>
    <row r="730" spans="1:34" x14ac:dyDescent="0.3">
      <c r="A730" s="11" t="s">
        <v>558</v>
      </c>
      <c r="B730" s="12" t="s">
        <v>5178</v>
      </c>
      <c r="C730" s="12" t="s">
        <v>521</v>
      </c>
      <c r="D730" s="13" t="s">
        <v>501</v>
      </c>
      <c r="E730" s="6">
        <v>36039</v>
      </c>
      <c r="F730" s="3">
        <v>319573</v>
      </c>
      <c r="G730" s="3">
        <v>0</v>
      </c>
      <c r="H730" s="3" t="s">
        <v>5179</v>
      </c>
      <c r="I730" s="3" t="s">
        <v>462</v>
      </c>
      <c r="J730" s="3" t="s">
        <v>463</v>
      </c>
      <c r="K730" s="3" t="s">
        <v>469</v>
      </c>
      <c r="L730" s="3">
        <v>0.88600000000000001</v>
      </c>
      <c r="M730" s="3">
        <v>0.54700000000000004</v>
      </c>
      <c r="N730" s="3">
        <v>6</v>
      </c>
      <c r="O730" s="8">
        <v>-6881</v>
      </c>
      <c r="P730" s="3">
        <v>1</v>
      </c>
      <c r="Q730" s="3">
        <v>5.1799999999999999E-2</v>
      </c>
      <c r="R730" s="3">
        <v>7.9000000000000001E-4</v>
      </c>
      <c r="S730" s="3">
        <v>0.19400000000000001</v>
      </c>
      <c r="T730" s="3">
        <v>0.81799999999999995</v>
      </c>
      <c r="U730" s="3">
        <v>0.749</v>
      </c>
      <c r="V730" s="8">
        <v>113.01</v>
      </c>
      <c r="W730" s="3">
        <v>4</v>
      </c>
      <c r="X730" s="3" t="str">
        <f t="shared" si="48"/>
        <v>-HAPPY-</v>
      </c>
      <c r="Y730" s="3" t="str">
        <f t="shared" si="49"/>
        <v>-ENERGY-</v>
      </c>
      <c r="Z730" s="4" t="str">
        <f t="shared" si="50"/>
        <v>{"couname":"Get into the music","img":"https://i.scdn.co/image/ab67616d0000b273e7ede9ebf87a8fdde6191e59","pty":"0","artist":"Bob Sinclar","genres":"house francés,disco house","duration":"319573","spotId":"3RqR44ne7N3ORaviV3TZl5","Items":["-HAPPY-","-ENERGY-","","","GN_FrenchElectro"]},</v>
      </c>
      <c r="AA730" s="5" t="s">
        <v>6100</v>
      </c>
      <c r="AB730" s="3" t="str">
        <f t="shared" si="51"/>
        <v>["-HAPPY-","-ENERGY-","","","GN_FrenchElectro"]</v>
      </c>
      <c r="AC730" s="3" t="str">
        <f>_xlfn.XLOOKUP(A730,Album!A:A,Album!J:J)</f>
        <v>https://i.scdn.co/image/ab67616d0000b273e7ede9ebf87a8fdde6191e59</v>
      </c>
      <c r="AD730" s="3"/>
      <c r="AE730" s="3"/>
      <c r="AF730" s="3"/>
      <c r="AG730" s="3"/>
      <c r="AH730" s="3"/>
    </row>
    <row r="731" spans="1:34" x14ac:dyDescent="0.3">
      <c r="A731" s="11" t="s">
        <v>571</v>
      </c>
      <c r="B731" s="12" t="s">
        <v>572</v>
      </c>
      <c r="C731" s="12" t="s">
        <v>573</v>
      </c>
      <c r="D731" s="13" t="s">
        <v>2705</v>
      </c>
      <c r="E731" s="6">
        <v>39216</v>
      </c>
      <c r="F731" s="3">
        <v>233296</v>
      </c>
      <c r="G731" s="3">
        <v>0</v>
      </c>
      <c r="H731" s="3" t="s">
        <v>5177</v>
      </c>
      <c r="I731" s="3" t="s">
        <v>462</v>
      </c>
      <c r="J731" s="3" t="s">
        <v>463</v>
      </c>
      <c r="K731" s="3" t="s">
        <v>469</v>
      </c>
      <c r="L731" s="3">
        <v>0.753</v>
      </c>
      <c r="M731" s="3">
        <v>0.95</v>
      </c>
      <c r="N731" s="3">
        <v>3</v>
      </c>
      <c r="O731" s="8">
        <v>-3686</v>
      </c>
      <c r="P731" s="3">
        <v>0</v>
      </c>
      <c r="Q731" s="3">
        <v>7.8700000000000006E-2</v>
      </c>
      <c r="R731" s="3">
        <v>7.3700000000000002E-2</v>
      </c>
      <c r="S731" s="3">
        <v>0.32900000000000001</v>
      </c>
      <c r="T731" s="3">
        <v>7.6100000000000001E-2</v>
      </c>
      <c r="U731" s="3">
        <v>0.97099999999999997</v>
      </c>
      <c r="V731" s="8">
        <v>127672</v>
      </c>
      <c r="W731" s="3">
        <v>4</v>
      </c>
      <c r="X731" s="3" t="str">
        <f t="shared" si="48"/>
        <v>-HAPPY-</v>
      </c>
      <c r="Y731" s="3" t="str">
        <f t="shared" si="49"/>
        <v>-ENERGY-</v>
      </c>
      <c r="Z731" s="4" t="str">
        <f t="shared" si="50"/>
        <v>{"couname":"What I Want","img":"https://i.scdn.co/image/ab67616d0000b273f140b49d2e02f6eb74c8bd17","pty":"0","artist":"Bob Sinclar, Fireball","genres":"house francés,disco house","duration":"233296","spotId":"7c53MoaEd6aRU7omlRnKgP","Items":["-HAPPY-","-ENERGY-","","","GN_FrenchElectro"]},</v>
      </c>
      <c r="AA731" s="5" t="s">
        <v>6100</v>
      </c>
      <c r="AB731" s="3" t="str">
        <f t="shared" si="51"/>
        <v>["-HAPPY-","-ENERGY-","","","GN_FrenchElectro"]</v>
      </c>
      <c r="AC731" s="3" t="str">
        <f>_xlfn.XLOOKUP(A731,Album!A:A,Album!J:J)</f>
        <v>https://i.scdn.co/image/ab67616d0000b273f140b49d2e02f6eb74c8bd17</v>
      </c>
      <c r="AD731" s="3"/>
      <c r="AE731" s="3"/>
      <c r="AF731" s="3"/>
      <c r="AG731" s="3"/>
      <c r="AH731" s="3"/>
    </row>
    <row r="732" spans="1:34" x14ac:dyDescent="0.3">
      <c r="A732" s="11" t="s">
        <v>574</v>
      </c>
      <c r="B732" s="12" t="s">
        <v>575</v>
      </c>
      <c r="C732" s="12" t="s">
        <v>531</v>
      </c>
      <c r="D732" s="13" t="s">
        <v>2711</v>
      </c>
      <c r="E732" s="6">
        <v>40544</v>
      </c>
      <c r="F732" s="3">
        <v>234780</v>
      </c>
      <c r="G732" s="3">
        <v>0</v>
      </c>
      <c r="H732" s="3" t="s">
        <v>5176</v>
      </c>
      <c r="I732" s="3" t="s">
        <v>462</v>
      </c>
      <c r="J732" s="3" t="s">
        <v>576</v>
      </c>
      <c r="K732" s="3" t="s">
        <v>469</v>
      </c>
      <c r="L732" s="3">
        <v>0.75900000000000001</v>
      </c>
      <c r="M732" s="3">
        <v>0.94199999999999995</v>
      </c>
      <c r="N732" s="3">
        <v>10</v>
      </c>
      <c r="O732" s="8">
        <v>-1625</v>
      </c>
      <c r="P732" s="3">
        <v>0</v>
      </c>
      <c r="Q732" s="3">
        <v>4.1099999999999998E-2</v>
      </c>
      <c r="R732" s="3">
        <v>1.44E-2</v>
      </c>
      <c r="S732" s="3">
        <v>2.05E-4</v>
      </c>
      <c r="T732" s="3">
        <v>9.5100000000000004E-2</v>
      </c>
      <c r="U732" s="3">
        <v>0.9</v>
      </c>
      <c r="V732" s="8">
        <v>129008</v>
      </c>
      <c r="W732" s="3">
        <v>4</v>
      </c>
      <c r="X732" s="3" t="str">
        <f t="shared" si="48"/>
        <v>-HAPPY-</v>
      </c>
      <c r="Y732" s="3" t="str">
        <f t="shared" si="49"/>
        <v>-ENERGY-</v>
      </c>
      <c r="Z732" s="4" t="str">
        <f t="shared" si="50"/>
        <v>{"couname":"Rock the Boat","img":"https://i.scdn.co/image/ab67616d0000b273a470b4379a80530774c13e8f","pty":"0","artist":"Bob Sinclar, Pitbull, Dragonfly, Fatman Scoop","genres":"house francés,disco house,funky house","duration":"234780","spotId":"45dPJAvkEEP0KgB9V8efoI","Items":["-HAPPY-","-ENERGY-","","","GN_FrenchElectro"]},</v>
      </c>
      <c r="AA732" s="5" t="s">
        <v>6100</v>
      </c>
      <c r="AB732" s="3" t="str">
        <f t="shared" si="51"/>
        <v>["-HAPPY-","-ENERGY-","","","GN_FrenchElectro"]</v>
      </c>
      <c r="AC732" s="3" t="str">
        <f>_xlfn.XLOOKUP(A732,Album!A:A,Album!J:J)</f>
        <v>https://i.scdn.co/image/ab67616d0000b273a470b4379a80530774c13e8f</v>
      </c>
      <c r="AD732" s="3"/>
      <c r="AE732" s="3"/>
      <c r="AF732" s="3"/>
      <c r="AG732" s="3"/>
      <c r="AH732" s="3"/>
    </row>
    <row r="733" spans="1:34" x14ac:dyDescent="0.3">
      <c r="A733" s="11" t="s">
        <v>579</v>
      </c>
      <c r="B733" s="12" t="s">
        <v>580</v>
      </c>
      <c r="C733" s="12" t="s">
        <v>581</v>
      </c>
      <c r="D733" s="13" t="s">
        <v>2721</v>
      </c>
      <c r="E733" s="6">
        <v>39944</v>
      </c>
      <c r="F733" s="3">
        <v>326714</v>
      </c>
      <c r="G733" s="3">
        <v>0</v>
      </c>
      <c r="H733" s="3" t="s">
        <v>5175</v>
      </c>
      <c r="I733" s="3" t="s">
        <v>462</v>
      </c>
      <c r="J733" s="3" t="s">
        <v>582</v>
      </c>
      <c r="K733" s="3" t="s">
        <v>469</v>
      </c>
      <c r="L733" s="3">
        <v>0.76700000000000002</v>
      </c>
      <c r="M733" s="3">
        <v>0.871</v>
      </c>
      <c r="N733" s="3">
        <v>10</v>
      </c>
      <c r="O733" s="8">
        <v>-4073</v>
      </c>
      <c r="P733" s="3">
        <v>0</v>
      </c>
      <c r="Q733" s="3">
        <v>4.0899999999999999E-2</v>
      </c>
      <c r="R733" s="3">
        <v>1.2E-2</v>
      </c>
      <c r="S733" s="3">
        <v>6.99E-6</v>
      </c>
      <c r="T733" s="3">
        <v>0.316</v>
      </c>
      <c r="U733" s="3">
        <v>0.47899999999999998</v>
      </c>
      <c r="V733" s="8">
        <v>129018</v>
      </c>
      <c r="W733" s="3">
        <v>4</v>
      </c>
      <c r="X733" s="3" t="str">
        <f t="shared" si="48"/>
        <v>-HAPPY-</v>
      </c>
      <c r="Y733" s="3" t="str">
        <f t="shared" si="49"/>
        <v>-ENERGY-</v>
      </c>
      <c r="Z733" s="4" t="str">
        <f t="shared" si="50"/>
        <v>{"couname":"New New New","img":"https://i.scdn.co/image/ab67616d0000b2739b97500c5e0128f1dfdaa4e4","pty":"0","artist":"Bob Sinclar, Vybrate, Queen Ifrica, Makedah","genres":"house francés,disco house,reggae,lovers rock,ragga,roots reggae,dancehall,riddim","duration":"326714","spotId":"3Mq2LmVDCGzlonbl8FwVuC","Items":["-HAPPY-","-ENERGY-","","","GN_FrenchElectro"]},</v>
      </c>
      <c r="AA733" s="5" t="s">
        <v>6100</v>
      </c>
      <c r="AB733" s="3" t="str">
        <f t="shared" si="51"/>
        <v>["-HAPPY-","-ENERGY-","","","GN_FrenchElectro"]</v>
      </c>
      <c r="AC733" s="3" t="str">
        <f>_xlfn.XLOOKUP(A733,Album!A:A,Album!J:J)</f>
        <v>https://i.scdn.co/image/ab67616d0000b2739b97500c5e0128f1dfdaa4e4</v>
      </c>
      <c r="AD733" s="3"/>
      <c r="AE733" s="3"/>
      <c r="AF733" s="3"/>
      <c r="AG733" s="3"/>
      <c r="AH733" s="3"/>
    </row>
    <row r="734" spans="1:34" x14ac:dyDescent="0.3">
      <c r="A734" s="11" t="s">
        <v>583</v>
      </c>
      <c r="B734" s="12" t="s">
        <v>584</v>
      </c>
      <c r="C734" s="12" t="s">
        <v>531</v>
      </c>
      <c r="D734" s="13" t="s">
        <v>2727</v>
      </c>
      <c r="E734" s="6">
        <v>40544</v>
      </c>
      <c r="F734" s="3">
        <v>186866</v>
      </c>
      <c r="G734" s="3">
        <v>0</v>
      </c>
      <c r="H734" s="3" t="s">
        <v>5174</v>
      </c>
      <c r="I734" s="3" t="s">
        <v>462</v>
      </c>
      <c r="J734" s="3" t="s">
        <v>585</v>
      </c>
      <c r="K734" s="3" t="s">
        <v>469</v>
      </c>
      <c r="L734" s="3">
        <v>0.76</v>
      </c>
      <c r="M734" s="3">
        <v>0.90600000000000003</v>
      </c>
      <c r="N734" s="3">
        <v>9</v>
      </c>
      <c r="O734" s="8">
        <v>-2977</v>
      </c>
      <c r="P734" s="3">
        <v>0</v>
      </c>
      <c r="Q734" s="3">
        <v>0.13200000000000001</v>
      </c>
      <c r="R734" s="3">
        <v>0.126</v>
      </c>
      <c r="S734" s="3">
        <v>0</v>
      </c>
      <c r="T734" s="3">
        <v>0.34799999999999998</v>
      </c>
      <c r="U734" s="3">
        <v>0.746</v>
      </c>
      <c r="V734" s="8">
        <v>130042</v>
      </c>
      <c r="W734" s="3">
        <v>4</v>
      </c>
      <c r="X734" s="3" t="str">
        <f t="shared" si="48"/>
        <v>-HAPPY-</v>
      </c>
      <c r="Y734" s="3" t="str">
        <f t="shared" si="49"/>
        <v>-ENERGY-</v>
      </c>
      <c r="Z734" s="4" t="str">
        <f t="shared" si="50"/>
        <v>{"couname":"Tik Tok","img":"https://i.scdn.co/image/ab67616d0000b273a470b4379a80530774c13e8f","pty":"0","artist":"Bob Sinclar, Sean Paul","genres":"house francés,disco house,dancehall","duration":"186866","spotId":"7ATiYC8dVEalousSwTsv7L","Items":["-HAPPY-","-ENERGY-","","","GN_FrenchElectro"]},</v>
      </c>
      <c r="AA734" s="5" t="s">
        <v>6100</v>
      </c>
      <c r="AB734" s="3" t="str">
        <f t="shared" si="51"/>
        <v>["-HAPPY-","-ENERGY-","","","GN_FrenchElectro"]</v>
      </c>
      <c r="AC734" s="3" t="str">
        <f>_xlfn.XLOOKUP(A734,Album!A:A,Album!J:J)</f>
        <v>https://i.scdn.co/image/ab67616d0000b273a470b4379a80530774c13e8f</v>
      </c>
      <c r="AD734" s="3"/>
      <c r="AE734" s="3"/>
      <c r="AF734" s="3"/>
      <c r="AG734" s="3"/>
      <c r="AH734" s="3"/>
    </row>
    <row r="735" spans="1:34" x14ac:dyDescent="0.3">
      <c r="A735" s="11" t="s">
        <v>599</v>
      </c>
      <c r="B735" s="12" t="s">
        <v>600</v>
      </c>
      <c r="C735" s="12" t="s">
        <v>600</v>
      </c>
      <c r="D735" s="13" t="s">
        <v>2755</v>
      </c>
      <c r="E735" s="6">
        <v>44694</v>
      </c>
      <c r="F735" s="3">
        <v>165600</v>
      </c>
      <c r="G735" s="3">
        <v>0</v>
      </c>
      <c r="H735" s="3" t="s">
        <v>5173</v>
      </c>
      <c r="I735" s="3" t="s">
        <v>462</v>
      </c>
      <c r="J735" s="3" t="s">
        <v>463</v>
      </c>
      <c r="K735" s="3" t="s">
        <v>469</v>
      </c>
      <c r="L735" s="3">
        <v>0.77300000000000002</v>
      </c>
      <c r="M735" s="3">
        <v>0.80200000000000005</v>
      </c>
      <c r="N735" s="3">
        <v>10</v>
      </c>
      <c r="O735" s="8">
        <v>-6028</v>
      </c>
      <c r="P735" s="3">
        <v>0</v>
      </c>
      <c r="Q735" s="3">
        <v>4.7800000000000002E-2</v>
      </c>
      <c r="R735" s="3">
        <v>0.13200000000000001</v>
      </c>
      <c r="S735" s="3">
        <v>2.2200000000000002E-3</v>
      </c>
      <c r="T735" s="3">
        <v>0.21199999999999999</v>
      </c>
      <c r="U735" s="3">
        <v>0.78800000000000003</v>
      </c>
      <c r="V735" s="8">
        <v>124995</v>
      </c>
      <c r="W735" s="3">
        <v>4</v>
      </c>
      <c r="X735" s="3" t="str">
        <f t="shared" si="48"/>
        <v>-HAPPY-</v>
      </c>
      <c r="Y735" s="3" t="str">
        <f t="shared" si="49"/>
        <v>-ENERGY-</v>
      </c>
      <c r="Z735" s="4" t="str">
        <f t="shared" si="50"/>
        <v>{"couname":"Borderline","img":"https://i.scdn.co/image/ab67616d0000b2730530a8d5e5ed923d3a32ca95","pty":"0","artist":"Bob Sinclar, Nyv","genres":"house francés,disco house","duration":"165600","spotId":"7hJU6SBf0imF3QN52KUM4o","Items":["-HAPPY-","-ENERGY-","","","GN_FrenchElectro"]},</v>
      </c>
      <c r="AA735" s="5" t="s">
        <v>6100</v>
      </c>
      <c r="AB735" s="3" t="str">
        <f t="shared" si="51"/>
        <v>["-HAPPY-","-ENERGY-","","","GN_FrenchElectro"]</v>
      </c>
      <c r="AC735" s="3" t="str">
        <f>_xlfn.XLOOKUP(A735,Album!A:A,Album!J:J)</f>
        <v>https://i.scdn.co/image/ab67616d0000b2730530a8d5e5ed923d3a32ca95</v>
      </c>
      <c r="AD735" s="3"/>
      <c r="AE735" s="3"/>
      <c r="AF735" s="3"/>
      <c r="AG735" s="3"/>
      <c r="AH735" s="3"/>
    </row>
    <row r="736" spans="1:34" x14ac:dyDescent="0.3">
      <c r="A736" s="11" t="s">
        <v>601</v>
      </c>
      <c r="B736" s="12" t="s">
        <v>602</v>
      </c>
      <c r="C736" s="12" t="s">
        <v>602</v>
      </c>
      <c r="D736" s="13" t="s">
        <v>2761</v>
      </c>
      <c r="E736" s="6">
        <v>45009</v>
      </c>
      <c r="F736" s="3">
        <v>182011</v>
      </c>
      <c r="G736" s="3">
        <v>0</v>
      </c>
      <c r="H736" s="3" t="s">
        <v>5172</v>
      </c>
      <c r="I736" s="3" t="s">
        <v>462</v>
      </c>
      <c r="J736" s="3" t="s">
        <v>463</v>
      </c>
      <c r="K736" s="3" t="s">
        <v>469</v>
      </c>
      <c r="L736" s="3">
        <v>0.67900000000000005</v>
      </c>
      <c r="M736" s="3">
        <v>0.85099999999999998</v>
      </c>
      <c r="N736" s="3">
        <v>8</v>
      </c>
      <c r="O736" s="8">
        <v>-5543</v>
      </c>
      <c r="P736" s="3">
        <v>1</v>
      </c>
      <c r="Q736" s="3">
        <v>3.56E-2</v>
      </c>
      <c r="R736" s="3">
        <v>3.3700000000000001E-2</v>
      </c>
      <c r="S736" s="3">
        <v>8.1899999999999996E-4</v>
      </c>
      <c r="T736" s="3">
        <v>0.10100000000000001</v>
      </c>
      <c r="U736" s="3">
        <v>0.86499999999999999</v>
      </c>
      <c r="V736" s="8">
        <v>123018</v>
      </c>
      <c r="W736" s="3">
        <v>4</v>
      </c>
      <c r="X736" s="3" t="str">
        <f t="shared" si="48"/>
        <v>-HAPPY-</v>
      </c>
      <c r="Y736" s="3" t="str">
        <f t="shared" si="49"/>
        <v>-ENERGY-</v>
      </c>
      <c r="Z736" s="4" t="str">
        <f t="shared" si="50"/>
        <v>{"couname":"Never Knew Love Like This Before","img":"https://i.scdn.co/image/ab67616d0000b273caf835bf6733ee3be5b74c4f","pty":"0","artist":"QUINZE, Bob Sinclar","genres":"house francés,disco house","duration":"182011","spotId":"7oNT84XA7GAxohEKbTGDMZ","Items":["-HAPPY-","-ENERGY-","","","GN_FrenchElectro"]},</v>
      </c>
      <c r="AA736" s="5" t="s">
        <v>6100</v>
      </c>
      <c r="AB736" s="3" t="str">
        <f t="shared" si="51"/>
        <v>["-HAPPY-","-ENERGY-","","","GN_FrenchElectro"]</v>
      </c>
      <c r="AC736" s="3" t="str">
        <f>_xlfn.XLOOKUP(A736,Album!A:A,Album!J:J)</f>
        <v>https://i.scdn.co/image/ab67616d0000b273caf835bf6733ee3be5b74c4f</v>
      </c>
      <c r="AD736" s="3"/>
      <c r="AE736" s="3"/>
      <c r="AF736" s="3"/>
      <c r="AG736" s="3"/>
      <c r="AH736" s="3"/>
    </row>
    <row r="737" spans="1:34" x14ac:dyDescent="0.3">
      <c r="A737" s="11" t="s">
        <v>605</v>
      </c>
      <c r="B737" s="12" t="s">
        <v>607</v>
      </c>
      <c r="C737" s="12" t="s">
        <v>607</v>
      </c>
      <c r="D737" s="13" t="s">
        <v>2769</v>
      </c>
      <c r="E737" s="6">
        <v>40179</v>
      </c>
      <c r="F737" s="3">
        <v>206853</v>
      </c>
      <c r="G737" s="3">
        <v>0</v>
      </c>
      <c r="H737" s="3" t="s">
        <v>5171</v>
      </c>
      <c r="I737" s="3" t="s">
        <v>462</v>
      </c>
      <c r="J737" s="3" t="s">
        <v>463</v>
      </c>
      <c r="K737" s="3" t="s">
        <v>469</v>
      </c>
      <c r="L737" s="3">
        <v>0.57899999999999996</v>
      </c>
      <c r="M737" s="3">
        <v>0.83699999999999997</v>
      </c>
      <c r="N737" s="3">
        <v>9</v>
      </c>
      <c r="O737" s="8">
        <v>-5009</v>
      </c>
      <c r="P737" s="3">
        <v>1</v>
      </c>
      <c r="Q737" s="3">
        <v>4.0099999999999997E-2</v>
      </c>
      <c r="R737" s="3">
        <v>1.7100000000000001E-2</v>
      </c>
      <c r="S737" s="3">
        <v>1.5E-3</v>
      </c>
      <c r="T737" s="3">
        <v>0.26400000000000001</v>
      </c>
      <c r="U737" s="3">
        <v>0.83599999999999997</v>
      </c>
      <c r="V737" s="8">
        <v>130005</v>
      </c>
      <c r="W737" s="3">
        <v>4</v>
      </c>
      <c r="X737" s="3" t="str">
        <f t="shared" si="48"/>
        <v>-HAPPY-</v>
      </c>
      <c r="Y737" s="3" t="str">
        <f t="shared" si="49"/>
        <v>-ENERGY-</v>
      </c>
      <c r="Z737" s="4" t="str">
        <f t="shared" si="50"/>
        <v>{"couname":"Rainbow of Love","img":"https://i.scdn.co/image/ab67616d0000b273b136c5849e09f85c1f7b6451","pty":"0","artist":"Bob Sinclar, Ben Onono","genres":"house francés,disco house","duration":"206853","spotId":"7sZdfV1hHSNlwPuRuWA7C9","Items":["-HAPPY-","-ENERGY-","","","GN_FrenchElectro"]},</v>
      </c>
      <c r="AA737" s="5" t="s">
        <v>6100</v>
      </c>
      <c r="AB737" s="3" t="str">
        <f t="shared" si="51"/>
        <v>["-HAPPY-","-ENERGY-","","","GN_FrenchElectro"]</v>
      </c>
      <c r="AC737" s="3" t="str">
        <f>_xlfn.XLOOKUP(A737,Album!A:A,Album!J:J)</f>
        <v>https://i.scdn.co/image/ab67616d0000b273b136c5849e09f85c1f7b6451</v>
      </c>
      <c r="AD737" s="3"/>
      <c r="AE737" s="3"/>
      <c r="AF737" s="3"/>
      <c r="AG737" s="3"/>
      <c r="AH737" s="3"/>
    </row>
    <row r="738" spans="1:34" x14ac:dyDescent="0.3">
      <c r="A738" s="11" t="s">
        <v>613</v>
      </c>
      <c r="B738" s="12" t="s">
        <v>5169</v>
      </c>
      <c r="C738" s="12" t="s">
        <v>524</v>
      </c>
      <c r="D738" s="13" t="s">
        <v>501</v>
      </c>
      <c r="E738" s="6">
        <v>2000</v>
      </c>
      <c r="F738" s="3">
        <v>262866</v>
      </c>
      <c r="G738" s="3">
        <v>0</v>
      </c>
      <c r="H738" s="3" t="s">
        <v>5170</v>
      </c>
      <c r="I738" s="3" t="s">
        <v>462</v>
      </c>
      <c r="J738" s="3" t="s">
        <v>463</v>
      </c>
      <c r="K738" s="3" t="s">
        <v>469</v>
      </c>
      <c r="L738" s="3">
        <v>0.69</v>
      </c>
      <c r="M738" s="3">
        <v>0.97599999999999998</v>
      </c>
      <c r="N738" s="3">
        <v>3</v>
      </c>
      <c r="O738" s="8">
        <v>-4.4400000000000004</v>
      </c>
      <c r="P738" s="3">
        <v>0</v>
      </c>
      <c r="Q738" s="3">
        <v>5.5800000000000002E-2</v>
      </c>
      <c r="R738" s="3">
        <v>8.9700000000000001E-4</v>
      </c>
      <c r="S738" s="3">
        <v>0.63900000000000001</v>
      </c>
      <c r="T738" s="3">
        <v>0.33800000000000002</v>
      </c>
      <c r="U738" s="3">
        <v>0.68899999999999995</v>
      </c>
      <c r="V738" s="8">
        <v>128045</v>
      </c>
      <c r="W738" s="3">
        <v>4</v>
      </c>
      <c r="X738" s="3" t="str">
        <f t="shared" si="48"/>
        <v>-HAPPY-</v>
      </c>
      <c r="Y738" s="3" t="str">
        <f t="shared" si="49"/>
        <v>-ENERGY-</v>
      </c>
      <c r="Z738" s="4" t="str">
        <f t="shared" si="50"/>
        <v>{"couname":"Save our soul","img":"https://i.scdn.co/image/ab67616d0000b2732a4bf35dbae486853c53394b","pty":"0","artist":"Bob Sinclar","genres":"house francés,disco house","duration":"262866","spotId":"40UK41z8wyc2Qb0v03L0IG","Items":["-HAPPY-","-ENERGY-","","","GN_FrenchElectro"]},</v>
      </c>
      <c r="AA738" s="5" t="s">
        <v>6100</v>
      </c>
      <c r="AB738" s="3" t="str">
        <f t="shared" si="51"/>
        <v>["-HAPPY-","-ENERGY-","","","GN_FrenchElectro"]</v>
      </c>
      <c r="AC738" s="3" t="str">
        <f>_xlfn.XLOOKUP(A738,Album!A:A,Album!J:J)</f>
        <v>https://i.scdn.co/image/ab67616d0000b2732a4bf35dbae486853c53394b</v>
      </c>
      <c r="AD738" s="3"/>
      <c r="AE738" s="3"/>
      <c r="AF738" s="3"/>
      <c r="AG738" s="3"/>
      <c r="AH738" s="3"/>
    </row>
    <row r="739" spans="1:34" x14ac:dyDescent="0.3">
      <c r="A739" s="11" t="s">
        <v>619</v>
      </c>
      <c r="B739" s="12" t="s">
        <v>621</v>
      </c>
      <c r="C739" s="12" t="s">
        <v>621</v>
      </c>
      <c r="D739" s="13" t="s">
        <v>2797</v>
      </c>
      <c r="E739" s="6">
        <v>39814</v>
      </c>
      <c r="F739" s="3">
        <v>212350</v>
      </c>
      <c r="G739" s="3">
        <v>0</v>
      </c>
      <c r="H739" s="3" t="s">
        <v>5168</v>
      </c>
      <c r="I739" s="3" t="s">
        <v>462</v>
      </c>
      <c r="J739" s="3" t="s">
        <v>463</v>
      </c>
      <c r="K739" s="3" t="s">
        <v>469</v>
      </c>
      <c r="L739" s="3">
        <v>0.76200000000000001</v>
      </c>
      <c r="M739" s="3">
        <v>0.93200000000000005</v>
      </c>
      <c r="N739" s="3">
        <v>5</v>
      </c>
      <c r="O739" s="8">
        <v>-2045</v>
      </c>
      <c r="P739" s="3">
        <v>0</v>
      </c>
      <c r="Q739" s="3">
        <v>0.19900000000000001</v>
      </c>
      <c r="R739" s="3">
        <v>0.32700000000000001</v>
      </c>
      <c r="S739" s="3">
        <v>0</v>
      </c>
      <c r="T739" s="3">
        <v>0.41399999999999998</v>
      </c>
      <c r="U739" s="3">
        <v>0.82299999999999995</v>
      </c>
      <c r="V739" s="8">
        <v>128022</v>
      </c>
      <c r="W739" s="3">
        <v>4</v>
      </c>
      <c r="X739" s="3" t="str">
        <f t="shared" si="48"/>
        <v>-HAPPY-</v>
      </c>
      <c r="Y739" s="3" t="str">
        <f t="shared" si="49"/>
        <v>-ENERGY-</v>
      </c>
      <c r="Z739" s="4" t="str">
        <f t="shared" si="50"/>
        <v>{"couname":"Lala Song","img":"https://i.scdn.co/image/ab67616d0000b273ebaecfa7969c4121a8f8737e","pty":"0","artist":"Bob Sinclar, Hendogg, Wonder Mike, Master Gee","genres":"house francés,disco house","duration":"212350","spotId":"13BZ9kfuEhkNmlTKky1Chj","Items":["-HAPPY-","-ENERGY-","","","GN_FrenchElectro"]},</v>
      </c>
      <c r="AA739" s="5" t="s">
        <v>6100</v>
      </c>
      <c r="AB739" s="3" t="str">
        <f t="shared" si="51"/>
        <v>["-HAPPY-","-ENERGY-","","","GN_FrenchElectro"]</v>
      </c>
      <c r="AC739" s="3" t="str">
        <f>_xlfn.XLOOKUP(A739,Album!A:A,Album!J:J)</f>
        <v>https://i.scdn.co/image/ab67616d0000b273ebaecfa7969c4121a8f8737e</v>
      </c>
      <c r="AD739" s="3"/>
      <c r="AE739" s="3"/>
      <c r="AF739" s="3"/>
      <c r="AG739" s="3"/>
      <c r="AH739" s="3"/>
    </row>
    <row r="740" spans="1:34" x14ac:dyDescent="0.3">
      <c r="A740" s="11" t="s">
        <v>626</v>
      </c>
      <c r="B740" s="12" t="s">
        <v>5166</v>
      </c>
      <c r="C740" s="12" t="s">
        <v>628</v>
      </c>
      <c r="D740" s="13" t="s">
        <v>2809</v>
      </c>
      <c r="E740" s="6">
        <v>43889</v>
      </c>
      <c r="F740" s="3">
        <v>188571</v>
      </c>
      <c r="G740" s="3">
        <v>0</v>
      </c>
      <c r="H740" s="3" t="s">
        <v>5167</v>
      </c>
      <c r="I740" s="3" t="s">
        <v>462</v>
      </c>
      <c r="J740" s="3" t="s">
        <v>463</v>
      </c>
      <c r="K740" s="3" t="s">
        <v>469</v>
      </c>
      <c r="L740" s="3">
        <v>0.63500000000000001</v>
      </c>
      <c r="M740" s="3">
        <v>0.90700000000000003</v>
      </c>
      <c r="N740" s="3">
        <v>8</v>
      </c>
      <c r="O740" s="8">
        <v>-5385</v>
      </c>
      <c r="P740" s="3">
        <v>0</v>
      </c>
      <c r="Q740" s="3">
        <v>6.4399999999999999E-2</v>
      </c>
      <c r="R740" s="3">
        <v>3.5999999999999999E-3</v>
      </c>
      <c r="S740" s="3">
        <v>0.20699999999999999</v>
      </c>
      <c r="T740" s="3">
        <v>0.311</v>
      </c>
      <c r="U740" s="3">
        <v>0.88100000000000001</v>
      </c>
      <c r="V740" s="8">
        <v>126014</v>
      </c>
      <c r="W740" s="3">
        <v>4</v>
      </c>
      <c r="X740" s="3" t="str">
        <f t="shared" si="48"/>
        <v>-HAPPY-</v>
      </c>
      <c r="Y740" s="3" t="str">
        <f t="shared" si="49"/>
        <v>-ENERGY-</v>
      </c>
      <c r="Z740" s="4" t="str">
        <f t="shared" si="50"/>
        <v>{"couname":"I Feel for You","img":"https://i.scdn.co/image/ab67616d0000b2732b97d1f02a257f8728f7e92a","pty":"0","artist":"Bob Sinclar, Mercer","genres":"house francés,disco house","duration":"188571","spotId":"3XP8GMDnfqknsCtzzte9t3","Items":["-HAPPY-","-ENERGY-","","","GN_FrenchElectro"]},</v>
      </c>
      <c r="AA740" s="5" t="s">
        <v>6100</v>
      </c>
      <c r="AB740" s="3" t="str">
        <f t="shared" si="51"/>
        <v>["-HAPPY-","-ENERGY-","","","GN_FrenchElectro"]</v>
      </c>
      <c r="AC740" s="3" t="str">
        <f>_xlfn.XLOOKUP(A740,Album!A:A,Album!J:J)</f>
        <v>https://i.scdn.co/image/ab67616d0000b2732b97d1f02a257f8728f7e92a</v>
      </c>
      <c r="AD740" s="3"/>
      <c r="AE740" s="3"/>
      <c r="AF740" s="3"/>
      <c r="AG740" s="3"/>
      <c r="AH740" s="3"/>
    </row>
    <row r="741" spans="1:34" x14ac:dyDescent="0.3">
      <c r="A741" s="11" t="s">
        <v>642</v>
      </c>
      <c r="B741" s="12" t="s">
        <v>643</v>
      </c>
      <c r="C741" s="12" t="s">
        <v>643</v>
      </c>
      <c r="D741" s="13" t="s">
        <v>2835</v>
      </c>
      <c r="E741" s="6">
        <v>42699</v>
      </c>
      <c r="F741" s="3">
        <v>202745</v>
      </c>
      <c r="G741" s="3">
        <v>0</v>
      </c>
      <c r="H741" s="3" t="s">
        <v>5165</v>
      </c>
      <c r="I741" s="3" t="s">
        <v>639</v>
      </c>
      <c r="J741" s="3" t="s">
        <v>644</v>
      </c>
      <c r="K741" s="3" t="s">
        <v>48</v>
      </c>
      <c r="L741" s="3">
        <v>0.72799999999999998</v>
      </c>
      <c r="M741" s="3">
        <v>0.85799999999999998</v>
      </c>
      <c r="N741" s="3">
        <v>0</v>
      </c>
      <c r="O741" s="8">
        <v>-3866</v>
      </c>
      <c r="P741" s="3">
        <v>0</v>
      </c>
      <c r="Q741" s="3">
        <v>4.5699999999999998E-2</v>
      </c>
      <c r="R741" s="3">
        <v>0.26400000000000001</v>
      </c>
      <c r="S741" s="3">
        <v>7.6099999999999996E-4</v>
      </c>
      <c r="T741" s="3">
        <v>0.158</v>
      </c>
      <c r="U741" s="3">
        <v>0.63800000000000001</v>
      </c>
      <c r="V741" s="8">
        <v>122.01</v>
      </c>
      <c r="W741" s="3">
        <v>4</v>
      </c>
      <c r="X741" s="3" t="str">
        <f t="shared" si="48"/>
        <v>-HAPPY-</v>
      </c>
      <c r="Y741" s="3" t="str">
        <f t="shared" si="49"/>
        <v>-ENERGY-</v>
      </c>
      <c r="Z741" s="4" t="str">
        <f t="shared" si="50"/>
        <v>{"couname":"Places","img":"https://i.scdn.co/image/ab67616d0000b273ca054d40b77799bdc02dfa80","pty":"0","artist":"Martin Solveig, Ina Wroldsen","genres":"house francés,pop noruego","duration":"202745","spotId":"6O85MfGECKBqAK2MgSbCaj","Items":["-HAPPY-","-ENERGY-","","","GN_FrenchElectro"]},</v>
      </c>
      <c r="AA741" s="5" t="s">
        <v>6100</v>
      </c>
      <c r="AB741" s="3" t="str">
        <f t="shared" si="51"/>
        <v>["-HAPPY-","-ENERGY-","","","GN_FrenchElectro"]</v>
      </c>
      <c r="AC741" s="3" t="str">
        <f>_xlfn.XLOOKUP(A741,Album!A:A,Album!J:J)</f>
        <v>https://i.scdn.co/image/ab67616d0000b273ca054d40b77799bdc02dfa80</v>
      </c>
      <c r="AD741" s="3"/>
      <c r="AE741" s="3"/>
      <c r="AF741" s="3"/>
      <c r="AG741" s="3"/>
      <c r="AH741" s="3"/>
    </row>
    <row r="742" spans="1:34" x14ac:dyDescent="0.3">
      <c r="A742" s="11" t="s">
        <v>649</v>
      </c>
      <c r="B742" s="12" t="s">
        <v>650</v>
      </c>
      <c r="C742" s="12" t="s">
        <v>650</v>
      </c>
      <c r="D742" s="13" t="s">
        <v>2850</v>
      </c>
      <c r="E742" s="6">
        <v>42902</v>
      </c>
      <c r="F742" s="3">
        <v>170322</v>
      </c>
      <c r="G742" s="3">
        <v>0</v>
      </c>
      <c r="H742" s="3" t="s">
        <v>5164</v>
      </c>
      <c r="I742" s="3" t="s">
        <v>639</v>
      </c>
      <c r="J742" s="3" t="s">
        <v>640</v>
      </c>
      <c r="K742" s="3" t="s">
        <v>48</v>
      </c>
      <c r="L742" s="3">
        <v>0.77500000000000002</v>
      </c>
      <c r="M742" s="3">
        <v>0.72199999999999998</v>
      </c>
      <c r="N742" s="3">
        <v>1</v>
      </c>
      <c r="O742" s="8">
        <v>-3502</v>
      </c>
      <c r="P742" s="3">
        <v>1</v>
      </c>
      <c r="Q742" s="3">
        <v>4.6300000000000001E-2</v>
      </c>
      <c r="R742" s="3">
        <v>0.151</v>
      </c>
      <c r="S742" s="3">
        <v>7.2400000000000003E-4</v>
      </c>
      <c r="T742" s="3">
        <v>5.8000000000000003E-2</v>
      </c>
      <c r="U742" s="3">
        <v>0.64900000000000002</v>
      </c>
      <c r="V742" s="8">
        <v>124037</v>
      </c>
      <c r="W742" s="3">
        <v>4</v>
      </c>
      <c r="X742" s="3" t="str">
        <f t="shared" si="48"/>
        <v>-HAPPY-</v>
      </c>
      <c r="Y742" s="3" t="str">
        <f t="shared" si="49"/>
        <v>-ENERGY-</v>
      </c>
      <c r="Z742" s="4" t="str">
        <f t="shared" si="50"/>
        <v>{"couname":"All Stars","img":"https://i.scdn.co/image/ab67616d0000b2734a4ec708ff1b2d40930dc9fc","pty":"0","artist":"Martin Solveig, ALMA","genres":"house francés","duration":"170322","spotId":"3aLSrx8qhssXrh5yjB6oy9","Items":["-HAPPY-","-ENERGY-","","","GN_FrenchElectro"]},</v>
      </c>
      <c r="AA742" s="5" t="s">
        <v>6100</v>
      </c>
      <c r="AB742" s="3" t="str">
        <f t="shared" si="51"/>
        <v>["-HAPPY-","-ENERGY-","","","GN_FrenchElectro"]</v>
      </c>
      <c r="AC742" s="3" t="str">
        <f>_xlfn.XLOOKUP(A742,Album!A:A,Album!J:J)</f>
        <v>https://i.scdn.co/image/ab67616d0000b2734a4ec708ff1b2d40930dc9fc</v>
      </c>
      <c r="AD742" s="3"/>
      <c r="AE742" s="3"/>
      <c r="AF742" s="3"/>
      <c r="AG742" s="3"/>
      <c r="AH742" s="3"/>
    </row>
    <row r="743" spans="1:34" x14ac:dyDescent="0.3">
      <c r="A743" s="11" t="s">
        <v>654</v>
      </c>
      <c r="B743" s="12" t="s">
        <v>655</v>
      </c>
      <c r="C743" s="12" t="s">
        <v>655</v>
      </c>
      <c r="D743" s="13" t="s">
        <v>2860</v>
      </c>
      <c r="E743" s="6">
        <v>42510</v>
      </c>
      <c r="F743" s="3">
        <v>213211</v>
      </c>
      <c r="G743" s="3">
        <v>0</v>
      </c>
      <c r="H743" s="3" t="s">
        <v>5163</v>
      </c>
      <c r="I743" s="3" t="s">
        <v>639</v>
      </c>
      <c r="J743" s="3" t="s">
        <v>656</v>
      </c>
      <c r="K743" s="3" t="s">
        <v>48</v>
      </c>
      <c r="L743" s="3">
        <v>0.81299999999999994</v>
      </c>
      <c r="M743" s="3">
        <v>0.77700000000000002</v>
      </c>
      <c r="N743" s="3">
        <v>5</v>
      </c>
      <c r="O743" s="8">
        <v>-4355</v>
      </c>
      <c r="P743" s="3">
        <v>0</v>
      </c>
      <c r="Q743" s="3">
        <v>8.2799999999999999E-2</v>
      </c>
      <c r="R743" s="3">
        <v>6.6299999999999998E-2</v>
      </c>
      <c r="S743" s="3">
        <v>4.2099999999999999E-2</v>
      </c>
      <c r="T743" s="3">
        <v>7.85E-2</v>
      </c>
      <c r="U743" s="3">
        <v>0.57899999999999996</v>
      </c>
      <c r="V743" s="8">
        <v>125065</v>
      </c>
      <c r="W743" s="3">
        <v>4</v>
      </c>
      <c r="X743" s="3" t="str">
        <f t="shared" si="48"/>
        <v>-HAPPY-</v>
      </c>
      <c r="Y743" s="3" t="str">
        <f t="shared" si="49"/>
        <v>-ENERGY-</v>
      </c>
      <c r="Z743" s="4" t="str">
        <f t="shared" si="50"/>
        <v>{"couname":"Do It Right","img":"https://i.scdn.co/image/ab67616d0000b2733a5d1b6521606a4cd41f691f","pty":"0","artist":"Martin Solveig, Tkay Maidza","genres":"house francés,r&amp;b alternativo","duration":"213211","spotId":"767AsV1cQwmOU4PJG96MzO","Items":["-HAPPY-","-ENERGY-","","","GN_FrenchElectro"]},</v>
      </c>
      <c r="AA743" s="5" t="s">
        <v>6100</v>
      </c>
      <c r="AB743" s="3" t="str">
        <f t="shared" si="51"/>
        <v>["-HAPPY-","-ENERGY-","","","GN_FrenchElectro"]</v>
      </c>
      <c r="AC743" s="3" t="str">
        <f>_xlfn.XLOOKUP(A743,Album!A:A,Album!J:J)</f>
        <v>https://i.scdn.co/image/ab67616d0000b2733a5d1b6521606a4cd41f691f</v>
      </c>
      <c r="AD743" s="3"/>
      <c r="AE743" s="3"/>
      <c r="AF743" s="3"/>
      <c r="AG743" s="3"/>
      <c r="AH743" s="3"/>
    </row>
    <row r="744" spans="1:34" x14ac:dyDescent="0.3">
      <c r="A744" s="11" t="s">
        <v>657</v>
      </c>
      <c r="B744" s="12" t="s">
        <v>5161</v>
      </c>
      <c r="C744" s="12" t="s">
        <v>659</v>
      </c>
      <c r="D744" s="13" t="s">
        <v>2866</v>
      </c>
      <c r="E744" s="6">
        <v>42083</v>
      </c>
      <c r="F744" s="3">
        <v>159560</v>
      </c>
      <c r="G744" s="3">
        <v>0</v>
      </c>
      <c r="H744" s="3" t="s">
        <v>5162</v>
      </c>
      <c r="I744" s="3" t="s">
        <v>639</v>
      </c>
      <c r="J744" s="3" t="s">
        <v>640</v>
      </c>
      <c r="K744" s="3" t="s">
        <v>660</v>
      </c>
      <c r="L744" s="3">
        <v>0.79200000000000004</v>
      </c>
      <c r="M744" s="3">
        <v>0.68799999999999994</v>
      </c>
      <c r="N744" s="3">
        <v>0</v>
      </c>
      <c r="O744" s="8">
        <v>-4008</v>
      </c>
      <c r="P744" s="3">
        <v>1</v>
      </c>
      <c r="Q744" s="3">
        <v>3.8600000000000002E-2</v>
      </c>
      <c r="R744" s="3">
        <v>4.3499999999999997E-3</v>
      </c>
      <c r="S744" s="3">
        <v>4.7699999999999999E-3</v>
      </c>
      <c r="T744" s="3">
        <v>9.7199999999999995E-2</v>
      </c>
      <c r="U744" s="3">
        <v>0.502</v>
      </c>
      <c r="V744" s="8">
        <v>124987</v>
      </c>
      <c r="W744" s="3">
        <v>4</v>
      </c>
      <c r="X744" s="3" t="str">
        <f t="shared" si="48"/>
        <v>-HAPPY-</v>
      </c>
      <c r="Y744" s="3" t="str">
        <f t="shared" si="49"/>
        <v>-ENERGY-</v>
      </c>
      <c r="Z744" s="4" t="str">
        <f t="shared" si="50"/>
        <v>{"couname":"Intoxicated","img":"https://i.scdn.co/image/ab67616d0000b273b99c3ca911714a526b7e19e4","pty":"0","artist":"Martin Solveig, Good Times Ahead","genres":"house francés","duration":"159560","spotId":"49aLCvvEKM5EA8IYwDmtaE","Items":["-HAPPY-","-ENERGY-","","","GN_FrenchElectro"]},</v>
      </c>
      <c r="AA744" s="5" t="s">
        <v>6100</v>
      </c>
      <c r="AB744" s="3" t="str">
        <f t="shared" si="51"/>
        <v>["-HAPPY-","-ENERGY-","","","GN_FrenchElectro"]</v>
      </c>
      <c r="AC744" s="3" t="str">
        <f>_xlfn.XLOOKUP(A744,Album!A:A,Album!J:J)</f>
        <v>https://i.scdn.co/image/ab67616d0000b273b99c3ca911714a526b7e19e4</v>
      </c>
      <c r="AD744" s="3"/>
      <c r="AE744" s="3"/>
      <c r="AF744" s="3"/>
      <c r="AG744" s="3"/>
      <c r="AH744" s="3"/>
    </row>
    <row r="745" spans="1:34" x14ac:dyDescent="0.3">
      <c r="A745" s="11" t="s">
        <v>666</v>
      </c>
      <c r="B745" s="12" t="s">
        <v>5022</v>
      </c>
      <c r="C745" s="12" t="s">
        <v>667</v>
      </c>
      <c r="D745" s="13" t="s">
        <v>2884</v>
      </c>
      <c r="E745" s="6">
        <v>42223</v>
      </c>
      <c r="F745" s="3">
        <v>192213</v>
      </c>
      <c r="G745" s="3">
        <v>0</v>
      </c>
      <c r="H745" s="3" t="s">
        <v>5160</v>
      </c>
      <c r="I745" s="3" t="s">
        <v>639</v>
      </c>
      <c r="J745" s="3" t="s">
        <v>640</v>
      </c>
      <c r="K745" s="3" t="s">
        <v>660</v>
      </c>
      <c r="L745" s="3">
        <v>0.78200000000000003</v>
      </c>
      <c r="M745" s="3">
        <v>0.80300000000000005</v>
      </c>
      <c r="N745" s="3">
        <v>11</v>
      </c>
      <c r="O745" s="8">
        <v>-3847</v>
      </c>
      <c r="P745" s="3">
        <v>0</v>
      </c>
      <c r="Q745" s="3">
        <v>3.6200000000000003E-2</v>
      </c>
      <c r="R745" s="3">
        <v>0.111</v>
      </c>
      <c r="S745" s="3">
        <v>2.98E-2</v>
      </c>
      <c r="T745" s="3">
        <v>0.114</v>
      </c>
      <c r="U745" s="3">
        <v>0.77500000000000002</v>
      </c>
      <c r="V745" s="8">
        <v>124955</v>
      </c>
      <c r="W745" s="3">
        <v>4</v>
      </c>
      <c r="X745" s="3" t="str">
        <f t="shared" si="48"/>
        <v>-HAPPY-</v>
      </c>
      <c r="Y745" s="3" t="str">
        <f t="shared" si="49"/>
        <v>-ENERGY-</v>
      </c>
      <c r="Z745" s="4" t="str">
        <f t="shared" si="50"/>
        <v>{"couname":"Error 2029","img":"https://i.scdn.co/image/ab67616d0000b27334caad4b1536df8374035ab0","pty":"0","artist":"Martin Solveig, SAM WHITE","genres":"house francés","duration":"192213","spotId":"0LOx1VdHtAL8dl49kQik4i","Items":["-HAPPY-","-ENERGY-","","","GN_FrenchElectro"]},</v>
      </c>
      <c r="AA745" s="5" t="s">
        <v>6100</v>
      </c>
      <c r="AB745" s="3" t="str">
        <f t="shared" si="51"/>
        <v>["-HAPPY-","-ENERGY-","","","GN_FrenchElectro"]</v>
      </c>
      <c r="AC745" s="3" t="str">
        <f>_xlfn.XLOOKUP(A745,Album!A:A,Album!J:J)</f>
        <v>https://i.scdn.co/image/ab67616d0000b27334caad4b1536df8374035ab0</v>
      </c>
      <c r="AD745" s="3"/>
      <c r="AE745" s="3"/>
      <c r="AF745" s="3"/>
      <c r="AG745" s="3"/>
      <c r="AH745" s="3"/>
    </row>
    <row r="746" spans="1:34" x14ac:dyDescent="0.3">
      <c r="A746" s="11" t="s">
        <v>668</v>
      </c>
      <c r="B746" s="12" t="s">
        <v>17</v>
      </c>
      <c r="C746" s="12" t="s">
        <v>17</v>
      </c>
      <c r="D746" s="13" t="s">
        <v>2890</v>
      </c>
      <c r="E746" s="6">
        <v>40480</v>
      </c>
      <c r="F746" s="3">
        <v>191387</v>
      </c>
      <c r="G746" s="3">
        <v>0</v>
      </c>
      <c r="H746" s="3" t="s">
        <v>5159</v>
      </c>
      <c r="I746" s="3" t="s">
        <v>639</v>
      </c>
      <c r="J746" s="3" t="s">
        <v>640</v>
      </c>
      <c r="K746" s="3" t="s">
        <v>670</v>
      </c>
      <c r="L746" s="3">
        <v>0.66600000000000004</v>
      </c>
      <c r="M746" s="3">
        <v>0.97499999999999998</v>
      </c>
      <c r="N746" s="3">
        <v>3</v>
      </c>
      <c r="O746" s="8">
        <v>-3.47</v>
      </c>
      <c r="P746" s="3">
        <v>1</v>
      </c>
      <c r="Q746" s="3">
        <v>3.4500000000000003E-2</v>
      </c>
      <c r="R746" s="3">
        <v>1.35E-2</v>
      </c>
      <c r="S746" s="3">
        <v>9.2500000000000004E-4</v>
      </c>
      <c r="T746" s="3">
        <v>0.105</v>
      </c>
      <c r="U746" s="3">
        <v>0.45200000000000001</v>
      </c>
      <c r="V746" s="8">
        <v>128012</v>
      </c>
      <c r="W746" s="3">
        <v>4</v>
      </c>
      <c r="X746" s="3" t="str">
        <f t="shared" si="48"/>
        <v>-HAPPY-</v>
      </c>
      <c r="Y746" s="3" t="str">
        <f t="shared" si="49"/>
        <v>-ENERGY-</v>
      </c>
      <c r="Z746" s="4" t="str">
        <f t="shared" si="50"/>
        <v>{"couname":"Hello","img":"https://i.scdn.co/image/ab67616d0000b273554e1dae9a3ca0f634fae45b","pty":"0","artist":"Martin Solveig, Dragonette","genres":"house francés","duration":"191387","spotId":"73TCSu9lIBosJX5QpL6T2n","Items":["-HAPPY-","-ENERGY-","","","GN_FrenchElectro"]},</v>
      </c>
      <c r="AA746" s="5" t="s">
        <v>6100</v>
      </c>
      <c r="AB746" s="3" t="str">
        <f t="shared" si="51"/>
        <v>["-HAPPY-","-ENERGY-","","","GN_FrenchElectro"]</v>
      </c>
      <c r="AC746" s="3" t="str">
        <f>_xlfn.XLOOKUP(A746,Album!A:A,Album!J:J)</f>
        <v>https://i.scdn.co/image/ab67616d0000b273554e1dae9a3ca0f634fae45b</v>
      </c>
      <c r="AD746" s="3"/>
      <c r="AE746" s="3"/>
      <c r="AF746" s="3"/>
      <c r="AG746" s="3"/>
      <c r="AH746" s="3"/>
    </row>
    <row r="747" spans="1:34" x14ac:dyDescent="0.3">
      <c r="A747" s="11" t="s">
        <v>675</v>
      </c>
      <c r="B747" s="12" t="s">
        <v>5157</v>
      </c>
      <c r="C747" s="12" t="s">
        <v>677</v>
      </c>
      <c r="D747" s="13" t="s">
        <v>2900</v>
      </c>
      <c r="E747" s="6">
        <v>42832</v>
      </c>
      <c r="F747" s="3">
        <v>284160</v>
      </c>
      <c r="G747" s="3">
        <v>0</v>
      </c>
      <c r="H747" s="3" t="s">
        <v>5158</v>
      </c>
      <c r="I747" s="3" t="s">
        <v>639</v>
      </c>
      <c r="J747" s="3" t="s">
        <v>678</v>
      </c>
      <c r="K747" s="3" t="s">
        <v>679</v>
      </c>
      <c r="L747" s="3">
        <v>0.73399999999999999</v>
      </c>
      <c r="M747" s="3">
        <v>0.69099999999999995</v>
      </c>
      <c r="N747" s="3">
        <v>7</v>
      </c>
      <c r="O747" s="8">
        <v>-5617</v>
      </c>
      <c r="P747" s="3">
        <v>0</v>
      </c>
      <c r="Q747" s="3">
        <v>3.85E-2</v>
      </c>
      <c r="R747" s="3">
        <v>2.3500000000000001E-3</v>
      </c>
      <c r="S747" s="3">
        <v>0.13400000000000001</v>
      </c>
      <c r="T747" s="3">
        <v>0.12</v>
      </c>
      <c r="U747" s="3">
        <v>3.9800000000000002E-2</v>
      </c>
      <c r="V747" s="8">
        <v>125</v>
      </c>
      <c r="W747" s="3">
        <v>4</v>
      </c>
      <c r="X747" s="3" t="str">
        <f t="shared" si="48"/>
        <v>-SADNE-</v>
      </c>
      <c r="Y747" s="3" t="str">
        <f t="shared" si="49"/>
        <v>-ENERGY-</v>
      </c>
      <c r="Z747" s="4" t="str">
        <f t="shared" si="50"/>
        <v>{"couname":"Never Be Like You","img":"https://i.scdn.co/image/ab67616d0000b273bc28a762666a95955d536b61","pty":"0","artist":"Flume, kai, Martin Solveig","genres":"future bass,house francés","duration":"284160","spotId":"5Im1YuHHVqyOs1lx6K517X","Items":["-SADNE-","-ENERGY-","","","GN_FrenchElectro"]},</v>
      </c>
      <c r="AA747" s="5" t="s">
        <v>6100</v>
      </c>
      <c r="AB747" s="3" t="str">
        <f t="shared" si="51"/>
        <v>["-SADNE-","-ENERGY-","","","GN_FrenchElectro"]</v>
      </c>
      <c r="AC747" s="3" t="str">
        <f>_xlfn.XLOOKUP(A747,Album!A:A,Album!J:J)</f>
        <v>https://i.scdn.co/image/ab67616d0000b273bc28a762666a95955d536b61</v>
      </c>
      <c r="AD747" s="3"/>
      <c r="AE747" s="3"/>
      <c r="AF747" s="3"/>
      <c r="AG747" s="3"/>
      <c r="AH747" s="3"/>
    </row>
    <row r="748" spans="1:34" x14ac:dyDescent="0.3">
      <c r="A748" s="11" t="s">
        <v>680</v>
      </c>
      <c r="B748" s="12" t="s">
        <v>681</v>
      </c>
      <c r="C748" s="12" t="s">
        <v>682</v>
      </c>
      <c r="D748" s="13" t="s">
        <v>2908</v>
      </c>
      <c r="E748" s="6">
        <v>40711</v>
      </c>
      <c r="F748" s="3">
        <v>194772</v>
      </c>
      <c r="G748" s="3">
        <v>0</v>
      </c>
      <c r="H748" s="3" t="s">
        <v>5156</v>
      </c>
      <c r="I748" s="3" t="s">
        <v>639</v>
      </c>
      <c r="J748" s="3" t="s">
        <v>640</v>
      </c>
      <c r="K748" s="3" t="s">
        <v>670</v>
      </c>
      <c r="L748" s="3">
        <v>0.54400000000000004</v>
      </c>
      <c r="M748" s="3">
        <v>0.77</v>
      </c>
      <c r="N748" s="3">
        <v>8</v>
      </c>
      <c r="O748" s="8">
        <v>-6436</v>
      </c>
      <c r="P748" s="3">
        <v>1</v>
      </c>
      <c r="Q748" s="3">
        <v>2.87E-2</v>
      </c>
      <c r="R748" s="3">
        <v>3.1699999999999999E-2</v>
      </c>
      <c r="S748" s="3">
        <v>0</v>
      </c>
      <c r="T748" s="3">
        <v>0.104</v>
      </c>
      <c r="U748" s="3">
        <v>0.32400000000000001</v>
      </c>
      <c r="V748" s="8">
        <v>155933</v>
      </c>
      <c r="W748" s="3">
        <v>4</v>
      </c>
      <c r="X748" s="3" t="str">
        <f t="shared" si="48"/>
        <v>-HAPPY-</v>
      </c>
      <c r="Y748" s="3" t="str">
        <f t="shared" si="49"/>
        <v>-ENERGY-</v>
      </c>
      <c r="Z748" s="4" t="str">
        <f t="shared" si="50"/>
        <v>{"couname":"Let's not play Games","img":"https://i.scdn.co/image/ab67616d0000b273504d4da46208d3fefeaaa844","pty":"0","artist":"Martin Solveig, Sundaygirl","genres":"house francés","duration":"194772","spotId":"3doQLOpEgZKAQL2GIPR9Bg","Items":["-HAPPY-","-ENERGY-","","","GN_FrenchElectro"]},</v>
      </c>
      <c r="AA748" s="5" t="s">
        <v>6100</v>
      </c>
      <c r="AB748" s="3" t="str">
        <f t="shared" si="51"/>
        <v>["-HAPPY-","-ENERGY-","","","GN_FrenchElectro"]</v>
      </c>
      <c r="AC748" s="3" t="str">
        <f>_xlfn.XLOOKUP(A748,Album!A:A,Album!J:J)</f>
        <v>https://i.scdn.co/image/ab67616d0000b273504d4da46208d3fefeaaa844</v>
      </c>
      <c r="AD748" s="3"/>
      <c r="AE748" s="3"/>
      <c r="AF748" s="3"/>
      <c r="AG748" s="3"/>
      <c r="AH748" s="3"/>
    </row>
    <row r="749" spans="1:34" x14ac:dyDescent="0.3">
      <c r="A749" s="11" t="s">
        <v>688</v>
      </c>
      <c r="B749" s="12" t="s">
        <v>690</v>
      </c>
      <c r="C749" s="12" t="s">
        <v>690</v>
      </c>
      <c r="D749" s="13" t="s">
        <v>2920</v>
      </c>
      <c r="E749" s="6">
        <v>40544</v>
      </c>
      <c r="F749" s="3">
        <v>264892</v>
      </c>
      <c r="G749" s="3">
        <v>0</v>
      </c>
      <c r="H749" s="3" t="s">
        <v>5155</v>
      </c>
      <c r="I749" s="3" t="s">
        <v>639</v>
      </c>
      <c r="J749" s="3" t="s">
        <v>640</v>
      </c>
      <c r="K749" s="3" t="s">
        <v>691</v>
      </c>
      <c r="L749" s="3">
        <v>0.54200000000000004</v>
      </c>
      <c r="M749" s="3">
        <v>0.88</v>
      </c>
      <c r="N749" s="3">
        <v>8</v>
      </c>
      <c r="O749" s="8">
        <v>-4482</v>
      </c>
      <c r="P749" s="3">
        <v>1</v>
      </c>
      <c r="Q749" s="3">
        <v>4.58E-2</v>
      </c>
      <c r="R749" s="3">
        <v>1.2500000000000001E-2</v>
      </c>
      <c r="S749" s="3">
        <v>0</v>
      </c>
      <c r="T749" s="3">
        <v>6.0499999999999998E-2</v>
      </c>
      <c r="U749" s="3">
        <v>0.22700000000000001</v>
      </c>
      <c r="V749" s="8">
        <v>128063</v>
      </c>
      <c r="W749" s="3">
        <v>4</v>
      </c>
      <c r="X749" s="3" t="str">
        <f t="shared" si="48"/>
        <v>-SADNE-</v>
      </c>
      <c r="Y749" s="3" t="str">
        <f t="shared" si="49"/>
        <v>-ENERGY-</v>
      </c>
      <c r="Z749" s="4" t="str">
        <f t="shared" si="50"/>
        <v>{"couname":"Ready 2 Go","img":"https://i.scdn.co/image/ab67616d0000b2737b2e16380f6c00c2b088819e","pty":"0","artist":"Martin Solveig, Kele","genres":"house francés","duration":"264892","spotId":"3YHs6pQ8w1BTSRWdBjeQBN","Items":["-SADNE-","-ENERGY-","","","GN_FrenchElectro"]},</v>
      </c>
      <c r="AA749" s="5" t="s">
        <v>6100</v>
      </c>
      <c r="AB749" s="3" t="str">
        <f t="shared" si="51"/>
        <v>["-SADNE-","-ENERGY-","","","GN_FrenchElectro"]</v>
      </c>
      <c r="AC749" s="3" t="str">
        <f>_xlfn.XLOOKUP(A749,Album!A:A,Album!J:J)</f>
        <v>https://i.scdn.co/image/ab67616d0000b2737b2e16380f6c00c2b088819e</v>
      </c>
      <c r="AD749" s="3"/>
      <c r="AE749" s="3"/>
      <c r="AF749" s="3"/>
      <c r="AG749" s="3"/>
      <c r="AH749" s="3"/>
    </row>
    <row r="750" spans="1:34" x14ac:dyDescent="0.3">
      <c r="A750" s="11" t="s">
        <v>695</v>
      </c>
      <c r="B750" s="12">
        <v>1234</v>
      </c>
      <c r="C750" s="12" t="s">
        <v>697</v>
      </c>
      <c r="D750" s="13" t="s">
        <v>2934</v>
      </c>
      <c r="E750" s="6">
        <v>41036</v>
      </c>
      <c r="F750" s="3">
        <v>367500</v>
      </c>
      <c r="G750" s="3">
        <v>0</v>
      </c>
      <c r="H750" s="3" t="s">
        <v>5154</v>
      </c>
      <c r="I750" s="3" t="s">
        <v>639</v>
      </c>
      <c r="J750" s="3" t="s">
        <v>698</v>
      </c>
      <c r="K750" s="3" t="s">
        <v>699</v>
      </c>
      <c r="L750" s="3">
        <v>0.54600000000000004</v>
      </c>
      <c r="M750" s="3">
        <v>0.99299999999999999</v>
      </c>
      <c r="N750" s="3">
        <v>11</v>
      </c>
      <c r="O750" s="8">
        <v>-1959</v>
      </c>
      <c r="P750" s="3">
        <v>1</v>
      </c>
      <c r="Q750" s="3">
        <v>0.25600000000000001</v>
      </c>
      <c r="R750" s="3">
        <v>1.03E-2</v>
      </c>
      <c r="S750" s="3">
        <v>2.53E-2</v>
      </c>
      <c r="T750" s="3">
        <v>9.98E-2</v>
      </c>
      <c r="U750" s="3">
        <v>6.0699999999999997E-2</v>
      </c>
      <c r="V750" s="8">
        <v>128039</v>
      </c>
      <c r="W750" s="3">
        <v>4</v>
      </c>
      <c r="X750" s="3" t="str">
        <f t="shared" si="48"/>
        <v>-SADNE-</v>
      </c>
      <c r="Y750" s="3" t="str">
        <f t="shared" si="49"/>
        <v>-ENERGY-</v>
      </c>
      <c r="Z750" s="4" t="str">
        <f t="shared" si="50"/>
        <v>{"couname":"1234","img":"https://i.scdn.co/image/ab67616d0000b273341197af3752cbcaab7bcaf7","pty":"0","artist":"Laidback Luke, Chuckie, Martin Solveig","genres":"big room,electro house,melbourne bounce,house francés","duration":"367500","spotId":"0bdBYIxW8tEcNw885Qr53b","Items":["-SADNE-","-ENERGY-","","","GN_FrenchElectro"]},</v>
      </c>
      <c r="AA750" s="5" t="s">
        <v>6100</v>
      </c>
      <c r="AB750" s="3" t="str">
        <f t="shared" si="51"/>
        <v>["-SADNE-","-ENERGY-","","","GN_FrenchElectro"]</v>
      </c>
      <c r="AC750" s="3" t="str">
        <f>_xlfn.XLOOKUP(A750,Album!A:A,Album!J:J)</f>
        <v>https://i.scdn.co/image/ab67616d0000b273341197af3752cbcaab7bcaf7</v>
      </c>
      <c r="AD750" s="3"/>
      <c r="AE750" s="3"/>
      <c r="AF750" s="3"/>
      <c r="AG750" s="3"/>
      <c r="AH750" s="3"/>
    </row>
    <row r="751" spans="1:34" x14ac:dyDescent="0.3">
      <c r="A751" s="11" t="s">
        <v>704</v>
      </c>
      <c r="B751" s="12" t="s">
        <v>705</v>
      </c>
      <c r="C751" s="12" t="s">
        <v>705</v>
      </c>
      <c r="D751" s="13" t="s">
        <v>2946</v>
      </c>
      <c r="E751" s="6">
        <v>40544</v>
      </c>
      <c r="F751" s="3">
        <v>186456</v>
      </c>
      <c r="G751" s="3">
        <v>0</v>
      </c>
      <c r="H751" s="3" t="s">
        <v>5153</v>
      </c>
      <c r="I751" s="3" t="s">
        <v>639</v>
      </c>
      <c r="J751" s="3" t="s">
        <v>706</v>
      </c>
      <c r="K751" s="3" t="s">
        <v>691</v>
      </c>
      <c r="L751" s="3">
        <v>0.69499999999999995</v>
      </c>
      <c r="M751" s="3">
        <v>0.92600000000000005</v>
      </c>
      <c r="N751" s="3">
        <v>10</v>
      </c>
      <c r="O751" s="8">
        <v>-2.56</v>
      </c>
      <c r="P751" s="3">
        <v>1</v>
      </c>
      <c r="Q751" s="3">
        <v>6.4899999999999999E-2</v>
      </c>
      <c r="R751" s="3">
        <v>0.183</v>
      </c>
      <c r="S751" s="3">
        <v>5.7700000000000004E-4</v>
      </c>
      <c r="T751" s="3">
        <v>0.36</v>
      </c>
      <c r="U751" s="3">
        <v>0.79500000000000004</v>
      </c>
      <c r="V751" s="8">
        <v>128002</v>
      </c>
      <c r="W751" s="3">
        <v>4</v>
      </c>
      <c r="X751" s="3" t="str">
        <f t="shared" si="48"/>
        <v>-HAPPY-</v>
      </c>
      <c r="Y751" s="3" t="str">
        <f t="shared" si="49"/>
        <v>-ENERGY-</v>
      </c>
      <c r="Z751" s="4" t="str">
        <f t="shared" si="50"/>
        <v>{"couname":"Big In Japan","img":"https://i.scdn.co/image/ab67616d0000b2739acc6c9fada570d1058ade5b","pty":"0","artist":"Martin Solveig, Dragonette, Idoling!!!","genres":"house francés,anime","duration":"186456","spotId":"5dPWNdVX5k1CSfPAyT2Kth","Items":["-HAPPY-","-ENERGY-","","","GN_FrenchElectro"]},</v>
      </c>
      <c r="AA751" s="5" t="s">
        <v>6100</v>
      </c>
      <c r="AB751" s="3" t="str">
        <f t="shared" si="51"/>
        <v>["-HAPPY-","-ENERGY-","","","GN_FrenchElectro"]</v>
      </c>
      <c r="AC751" s="3" t="str">
        <f>_xlfn.XLOOKUP(A751,Album!A:A,Album!J:J)</f>
        <v>https://i.scdn.co/image/ab67616d0000b2739acc6c9fada570d1058ade5b</v>
      </c>
      <c r="AD751" s="3"/>
      <c r="AE751" s="3"/>
      <c r="AF751" s="3"/>
      <c r="AG751" s="3"/>
      <c r="AH751" s="3"/>
    </row>
    <row r="752" spans="1:34" x14ac:dyDescent="0.3">
      <c r="A752" s="11" t="s">
        <v>710</v>
      </c>
      <c r="B752" s="12" t="s">
        <v>712</v>
      </c>
      <c r="C752" s="12" t="s">
        <v>712</v>
      </c>
      <c r="D752" s="13" t="s">
        <v>653</v>
      </c>
      <c r="E752" s="6">
        <v>37622</v>
      </c>
      <c r="F752" s="3">
        <v>222120</v>
      </c>
      <c r="G752" s="3">
        <v>0</v>
      </c>
      <c r="H752" s="3" t="s">
        <v>5152</v>
      </c>
      <c r="I752" s="3" t="s">
        <v>639</v>
      </c>
      <c r="J752" s="3" t="s">
        <v>640</v>
      </c>
      <c r="K752" s="3" t="s">
        <v>713</v>
      </c>
      <c r="L752" s="3">
        <v>0.72099999999999997</v>
      </c>
      <c r="M752" s="3">
        <v>0.88600000000000001</v>
      </c>
      <c r="N752" s="3">
        <v>2</v>
      </c>
      <c r="O752" s="8">
        <v>-4976</v>
      </c>
      <c r="P752" s="3">
        <v>1</v>
      </c>
      <c r="Q752" s="3">
        <v>4.0899999999999999E-2</v>
      </c>
      <c r="R752" s="3">
        <v>3.68E-4</v>
      </c>
      <c r="S752" s="3">
        <v>0.17599999999999999</v>
      </c>
      <c r="T752" s="3">
        <v>0.25700000000000001</v>
      </c>
      <c r="U752" s="3">
        <v>0.75600000000000001</v>
      </c>
      <c r="V752" s="8">
        <v>128032</v>
      </c>
      <c r="W752" s="3">
        <v>4</v>
      </c>
      <c r="X752" s="3" t="str">
        <f t="shared" si="48"/>
        <v>-HAPPY-</v>
      </c>
      <c r="Y752" s="3" t="str">
        <f t="shared" si="49"/>
        <v>-ENERGY-</v>
      </c>
      <c r="Z752" s="4" t="str">
        <f t="shared" si="50"/>
        <v>{"couname":"Rocking Music","img":"https://i.scdn.co/image/ab67616d0000b273b44aaeade923762e5a290f0d","pty":"0","artist":"Martin Solveig","genres":"house francés","duration":"222120","spotId":"5jHO3Elq0qeJaC7v4K1jmt","Items":["-HAPPY-","-ENERGY-","","","GN_FrenchElectro"]},</v>
      </c>
      <c r="AA752" s="5" t="s">
        <v>6100</v>
      </c>
      <c r="AB752" s="3" t="str">
        <f t="shared" si="51"/>
        <v>["-HAPPY-","-ENERGY-","","","GN_FrenchElectro"]</v>
      </c>
      <c r="AC752" s="3" t="str">
        <f>_xlfn.XLOOKUP(A752,Album!A:A,Album!J:J)</f>
        <v>https://i.scdn.co/image/ab67616d0000b273b44aaeade923762e5a290f0d</v>
      </c>
      <c r="AD752" s="3"/>
      <c r="AE752" s="3"/>
      <c r="AF752" s="3"/>
      <c r="AG752" s="3"/>
      <c r="AH752" s="3"/>
    </row>
    <row r="753" spans="1:34" x14ac:dyDescent="0.3">
      <c r="A753" s="11" t="s">
        <v>714</v>
      </c>
      <c r="B753" s="12" t="s">
        <v>716</v>
      </c>
      <c r="C753" s="12" t="s">
        <v>716</v>
      </c>
      <c r="D753" s="13" t="s">
        <v>653</v>
      </c>
      <c r="E753" s="6">
        <v>38353</v>
      </c>
      <c r="F753" s="3">
        <v>200333</v>
      </c>
      <c r="G753" s="3">
        <v>0</v>
      </c>
      <c r="H753" s="3" t="s">
        <v>5151</v>
      </c>
      <c r="I753" s="3" t="s">
        <v>639</v>
      </c>
      <c r="J753" s="3" t="s">
        <v>640</v>
      </c>
      <c r="K753" s="3" t="s">
        <v>713</v>
      </c>
      <c r="L753" s="3">
        <v>0.79</v>
      </c>
      <c r="M753" s="3">
        <v>0.79700000000000004</v>
      </c>
      <c r="N753" s="3">
        <v>5</v>
      </c>
      <c r="O753" s="8">
        <v>-5376</v>
      </c>
      <c r="P753" s="3">
        <v>1</v>
      </c>
      <c r="Q753" s="3">
        <v>4.9399999999999999E-2</v>
      </c>
      <c r="R753" s="3">
        <v>4.8399999999999997E-3</v>
      </c>
      <c r="S753" s="3">
        <v>2.94E-5</v>
      </c>
      <c r="T753" s="3">
        <v>0.113</v>
      </c>
      <c r="U753" s="3">
        <v>0.96</v>
      </c>
      <c r="V753" s="8">
        <v>125057</v>
      </c>
      <c r="W753" s="3">
        <v>4</v>
      </c>
      <c r="X753" s="3" t="str">
        <f t="shared" si="48"/>
        <v>-HAPPY-</v>
      </c>
      <c r="Y753" s="3" t="str">
        <f t="shared" si="49"/>
        <v>-ENERGY-</v>
      </c>
      <c r="Z753" s="4" t="str">
        <f t="shared" si="50"/>
        <v>{"couname":"Jealousy","img":"https://i.scdn.co/image/ab67616d0000b2733d59810bcd5f1214a1c6f437","pty":"0","artist":"Martin Solveig","genres":"house francés","duration":"200333","spotId":"257ftWS6FQYbpJlZyZ1y89","Items":["-HAPPY-","-ENERGY-","","","GN_FrenchElectro"]},</v>
      </c>
      <c r="AA753" s="5" t="s">
        <v>6100</v>
      </c>
      <c r="AB753" s="3" t="str">
        <f t="shared" si="51"/>
        <v>["-HAPPY-","-ENERGY-","","","GN_FrenchElectro"]</v>
      </c>
      <c r="AC753" s="3" t="str">
        <f>_xlfn.XLOOKUP(A753,Album!A:A,Album!J:J)</f>
        <v>https://i.scdn.co/image/ab67616d0000b2733d59810bcd5f1214a1c6f437</v>
      </c>
      <c r="AD753" s="3"/>
      <c r="AE753" s="3"/>
      <c r="AF753" s="3"/>
      <c r="AG753" s="3"/>
      <c r="AH753" s="3"/>
    </row>
    <row r="754" spans="1:34" x14ac:dyDescent="0.3">
      <c r="A754" s="11" t="s">
        <v>717</v>
      </c>
      <c r="B754" s="12" t="s">
        <v>5149</v>
      </c>
      <c r="C754" s="12" t="s">
        <v>719</v>
      </c>
      <c r="D754" s="13" t="s">
        <v>2964</v>
      </c>
      <c r="E754" s="6">
        <v>37672</v>
      </c>
      <c r="F754" s="3">
        <v>491333</v>
      </c>
      <c r="G754" s="3">
        <v>0</v>
      </c>
      <c r="H754" s="3" t="s">
        <v>5150</v>
      </c>
      <c r="I754" s="3" t="s">
        <v>639</v>
      </c>
      <c r="J754" s="3" t="s">
        <v>720</v>
      </c>
      <c r="K754" s="3" t="s">
        <v>469</v>
      </c>
      <c r="L754" s="3">
        <v>0.80100000000000005</v>
      </c>
      <c r="M754" s="3">
        <v>0.94399999999999995</v>
      </c>
      <c r="N754" s="3">
        <v>9</v>
      </c>
      <c r="O754" s="8">
        <v>-7932</v>
      </c>
      <c r="P754" s="3">
        <v>0</v>
      </c>
      <c r="Q754" s="3">
        <v>8.5599999999999996E-2</v>
      </c>
      <c r="R754" s="3">
        <v>5.1500000000000001E-3</v>
      </c>
      <c r="S754" s="3">
        <v>0.61299999999999999</v>
      </c>
      <c r="T754" s="3">
        <v>0.55500000000000005</v>
      </c>
      <c r="U754" s="3">
        <v>0.15</v>
      </c>
      <c r="V754" s="8">
        <v>125</v>
      </c>
      <c r="W754" s="3">
        <v>4</v>
      </c>
      <c r="X754" s="3" t="str">
        <f t="shared" si="48"/>
        <v>-SADNE-</v>
      </c>
      <c r="Y754" s="3" t="str">
        <f t="shared" si="49"/>
        <v>-ENERGY-</v>
      </c>
      <c r="Z754" s="4" t="str">
        <f t="shared" si="50"/>
        <v>{"couname":"Edony","img":"https://i.scdn.co/image/ab67616d0000b2735ac1e65db9c92cab7e64e198","pty":"0","artist":"Martin Solveig, Hossam Ramzy","genres":"house francés,flamenco","duration":"491333","spotId":"6KB39k2DejOxaIxOp5qwji","Items":["-SADNE-","-ENERGY-","","","GN_FrenchElectro"]},</v>
      </c>
      <c r="AA754" s="5" t="s">
        <v>6100</v>
      </c>
      <c r="AB754" s="3" t="str">
        <f t="shared" si="51"/>
        <v>["-SADNE-","-ENERGY-","","","GN_FrenchElectro"]</v>
      </c>
      <c r="AC754" s="3" t="str">
        <f>_xlfn.XLOOKUP(A754,Album!A:A,Album!J:J)</f>
        <v>https://i.scdn.co/image/ab67616d0000b2735ac1e65db9c92cab7e64e198</v>
      </c>
      <c r="AD754" s="3"/>
      <c r="AE754" s="3"/>
      <c r="AF754" s="3"/>
      <c r="AG754" s="3"/>
      <c r="AH754" s="3"/>
    </row>
    <row r="755" spans="1:34" x14ac:dyDescent="0.3">
      <c r="A755" s="11" t="s">
        <v>723</v>
      </c>
      <c r="B755" s="12" t="s">
        <v>724</v>
      </c>
      <c r="C755" s="12" t="s">
        <v>725</v>
      </c>
      <c r="D755" s="13" t="s">
        <v>653</v>
      </c>
      <c r="E755" s="6">
        <v>37257</v>
      </c>
      <c r="F755" s="3">
        <v>376573</v>
      </c>
      <c r="G755" s="3">
        <v>0</v>
      </c>
      <c r="H755" s="3" t="s">
        <v>5148</v>
      </c>
      <c r="I755" s="3" t="s">
        <v>639</v>
      </c>
      <c r="J755" s="3" t="s">
        <v>640</v>
      </c>
      <c r="K755" s="3" t="s">
        <v>660</v>
      </c>
      <c r="L755" s="3">
        <v>0.85</v>
      </c>
      <c r="M755" s="3">
        <v>0.63800000000000001</v>
      </c>
      <c r="N755" s="3">
        <v>0</v>
      </c>
      <c r="O755" s="8">
        <v>-9945</v>
      </c>
      <c r="P755" s="3">
        <v>1</v>
      </c>
      <c r="Q755" s="3">
        <v>6.6799999999999998E-2</v>
      </c>
      <c r="R755" s="3">
        <v>5.4899999999999997E-2</v>
      </c>
      <c r="S755" s="3">
        <v>1.66E-2</v>
      </c>
      <c r="T755" s="3">
        <v>0.41299999999999998</v>
      </c>
      <c r="U755" s="3">
        <v>0.72499999999999998</v>
      </c>
      <c r="V755" s="8">
        <v>124976</v>
      </c>
      <c r="W755" s="3">
        <v>4</v>
      </c>
      <c r="X755" s="3" t="str">
        <f t="shared" si="48"/>
        <v>-HAPPY-</v>
      </c>
      <c r="Y755" s="3" t="str">
        <f t="shared" si="49"/>
        <v>-ENERGY-</v>
      </c>
      <c r="Z755" s="4" t="str">
        <f t="shared" si="50"/>
        <v>{"couname":"Linda","img":"https://i.scdn.co/image/ab67616d0000b273b6cfddd899d2b39d0e3a331a","pty":"0","artist":"Martin Solveig","genres":"house francés","duration":"376573","spotId":"22sEwXJU8SnbdzojgfdO3Q","Items":["-HAPPY-","-ENERGY-","","","GN_FrenchElectro"]},</v>
      </c>
      <c r="AA755" s="5" t="s">
        <v>6100</v>
      </c>
      <c r="AB755" s="3" t="str">
        <f t="shared" si="51"/>
        <v>["-HAPPY-","-ENERGY-","","","GN_FrenchElectro"]</v>
      </c>
      <c r="AC755" s="3" t="str">
        <f>_xlfn.XLOOKUP(A755,Album!A:A,Album!J:J)</f>
        <v>https://i.scdn.co/image/ab67616d0000b273b6cfddd899d2b39d0e3a331a</v>
      </c>
      <c r="AD755" s="3"/>
      <c r="AE755" s="3"/>
      <c r="AF755" s="3"/>
      <c r="AG755" s="3"/>
      <c r="AH755" s="3"/>
    </row>
    <row r="756" spans="1:34" x14ac:dyDescent="0.3">
      <c r="A756" s="11" t="s">
        <v>771</v>
      </c>
      <c r="B756" s="12" t="s">
        <v>19</v>
      </c>
      <c r="C756" s="12" t="s">
        <v>772</v>
      </c>
      <c r="D756" s="13" t="s">
        <v>745</v>
      </c>
      <c r="E756" s="6">
        <v>39251</v>
      </c>
      <c r="F756" s="3">
        <v>234959</v>
      </c>
      <c r="G756" s="3">
        <v>0</v>
      </c>
      <c r="H756" s="3" t="s">
        <v>5147</v>
      </c>
      <c r="I756" s="3" t="s">
        <v>738</v>
      </c>
      <c r="J756" s="3" t="s">
        <v>742</v>
      </c>
      <c r="K756" s="3" t="s">
        <v>773</v>
      </c>
      <c r="L756" s="3">
        <v>0.71199999999999997</v>
      </c>
      <c r="M756" s="3">
        <v>0.78800000000000003</v>
      </c>
      <c r="N756" s="3">
        <v>2</v>
      </c>
      <c r="O756" s="8">
        <v>-5122</v>
      </c>
      <c r="P756" s="3">
        <v>1</v>
      </c>
      <c r="Q756" s="3">
        <v>0.36199999999999999</v>
      </c>
      <c r="R756" s="3">
        <v>2.0199999999999999E-2</v>
      </c>
      <c r="S756" s="3">
        <v>0.32900000000000001</v>
      </c>
      <c r="T756" s="3">
        <v>9.7799999999999998E-2</v>
      </c>
      <c r="U756" s="3">
        <v>0.28899999999999998</v>
      </c>
      <c r="V756" s="8">
        <v>117.13</v>
      </c>
      <c r="W756" s="3">
        <v>4</v>
      </c>
      <c r="X756" s="3" t="str">
        <f t="shared" si="48"/>
        <v>-SADNE-</v>
      </c>
      <c r="Y756" s="3" t="str">
        <f t="shared" si="49"/>
        <v>-ENERGY-</v>
      </c>
      <c r="Z756" s="4" t="str">
        <f t="shared" si="50"/>
        <v>{"couname":"Genesis","img":"https://i.scdn.co/image/ab67616d0000b2733258d5263985543e8648326e","pty":"0","artist":"Justice","genres":"house francés,new rave,rock electrónico","duration":"234959","spotId":"3qVsBGUBYC7bfV5Pul6HWM","Items":["-SADNE-","-ENERGY-","","","GN_FrenchElectro"]},</v>
      </c>
      <c r="AA756" s="5" t="s">
        <v>6100</v>
      </c>
      <c r="AB756" s="3" t="str">
        <f t="shared" si="51"/>
        <v>["-SADNE-","-ENERGY-","","","GN_FrenchElectro"]</v>
      </c>
      <c r="AC756" s="3" t="str">
        <f>_xlfn.XLOOKUP(A756,Album!A:A,Album!J:J)</f>
        <v>https://i.scdn.co/image/ab67616d0000b2733258d5263985543e8648326e</v>
      </c>
      <c r="AD756" s="3"/>
      <c r="AE756" s="3"/>
      <c r="AF756" s="3"/>
      <c r="AG756" s="3"/>
      <c r="AH756" s="3"/>
    </row>
    <row r="757" spans="1:34" x14ac:dyDescent="0.3">
      <c r="A757" s="11" t="s">
        <v>778</v>
      </c>
      <c r="B757" s="12" t="s">
        <v>779</v>
      </c>
      <c r="C757" s="12" t="s">
        <v>780</v>
      </c>
      <c r="D757" s="13" t="s">
        <v>745</v>
      </c>
      <c r="E757" s="6">
        <v>42692</v>
      </c>
      <c r="F757" s="3">
        <v>345303</v>
      </c>
      <c r="G757" s="3">
        <v>0</v>
      </c>
      <c r="H757" s="3" t="s">
        <v>5146</v>
      </c>
      <c r="I757" s="3" t="s">
        <v>738</v>
      </c>
      <c r="J757" s="3" t="s">
        <v>742</v>
      </c>
      <c r="K757" s="3" t="s">
        <v>781</v>
      </c>
      <c r="L757" s="3">
        <v>0.60199999999999998</v>
      </c>
      <c r="M757" s="3">
        <v>0.79300000000000004</v>
      </c>
      <c r="N757" s="3">
        <v>6</v>
      </c>
      <c r="O757" s="8">
        <v>-5198</v>
      </c>
      <c r="P757" s="3">
        <v>0</v>
      </c>
      <c r="Q757" s="3">
        <v>6.2300000000000001E-2</v>
      </c>
      <c r="R757" s="3">
        <v>7.7899999999999996E-5</v>
      </c>
      <c r="S757" s="3">
        <v>0.13900000000000001</v>
      </c>
      <c r="T757" s="3">
        <v>9.6799999999999997E-2</v>
      </c>
      <c r="U757" s="3">
        <v>0.58299999999999996</v>
      </c>
      <c r="V757" s="8">
        <v>115001</v>
      </c>
      <c r="W757" s="3">
        <v>4</v>
      </c>
      <c r="X757" s="3" t="str">
        <f t="shared" si="48"/>
        <v>-HAPPY-</v>
      </c>
      <c r="Y757" s="3" t="str">
        <f t="shared" si="49"/>
        <v>-ENERGY-</v>
      </c>
      <c r="Z757" s="4" t="str">
        <f t="shared" si="50"/>
        <v>{"couname":"Safe and Sound","img":"https://i.scdn.co/image/ab67616d0000b273d94d9ef197ddb9e06ba1f315","pty":"0","artist":"Justice","genres":"house francés,new rave,rock electrónico","duration":"345303","spotId":"26NQzsYvTbSutlj2i4ILXW","Items":["-HAPPY-","-ENERGY-","","","GN_FrenchElectro"]},</v>
      </c>
      <c r="AA757" s="5" t="s">
        <v>6100</v>
      </c>
      <c r="AB757" s="3" t="str">
        <f t="shared" si="51"/>
        <v>["-HAPPY-","-ENERGY-","","","GN_FrenchElectro"]</v>
      </c>
      <c r="AC757" s="3" t="str">
        <f>_xlfn.XLOOKUP(A757,Album!A:A,Album!J:J)</f>
        <v>https://i.scdn.co/image/ab67616d0000b273d94d9ef197ddb9e06ba1f315</v>
      </c>
      <c r="AD757" s="3"/>
      <c r="AE757" s="3"/>
      <c r="AF757" s="3"/>
      <c r="AG757" s="3"/>
      <c r="AH757" s="3"/>
    </row>
    <row r="758" spans="1:34" x14ac:dyDescent="0.3">
      <c r="A758" s="11" t="s">
        <v>782</v>
      </c>
      <c r="B758" s="12" t="s">
        <v>783</v>
      </c>
      <c r="C758" s="12" t="s">
        <v>783</v>
      </c>
      <c r="D758" s="13" t="s">
        <v>745</v>
      </c>
      <c r="E758" s="6">
        <v>40700</v>
      </c>
      <c r="F758" s="3">
        <v>250825</v>
      </c>
      <c r="G758" s="3">
        <v>0</v>
      </c>
      <c r="H758" s="3" t="s">
        <v>5145</v>
      </c>
      <c r="I758" s="3" t="s">
        <v>738</v>
      </c>
      <c r="J758" s="3" t="s">
        <v>742</v>
      </c>
      <c r="K758" s="3" t="s">
        <v>773</v>
      </c>
      <c r="L758" s="3">
        <v>0.57499999999999996</v>
      </c>
      <c r="M758" s="3">
        <v>0.625</v>
      </c>
      <c r="N758" s="3">
        <v>9</v>
      </c>
      <c r="O758" s="8">
        <v>-5296</v>
      </c>
      <c r="P758" s="3">
        <v>0</v>
      </c>
      <c r="Q758" s="3">
        <v>3.4500000000000003E-2</v>
      </c>
      <c r="R758" s="3">
        <v>1.4499999999999999E-3</v>
      </c>
      <c r="S758" s="3">
        <v>0</v>
      </c>
      <c r="T758" s="3">
        <v>8.1699999999999995E-2</v>
      </c>
      <c r="U758" s="3">
        <v>0.28199999999999997</v>
      </c>
      <c r="V758" s="8">
        <v>111984</v>
      </c>
      <c r="W758" s="3">
        <v>4</v>
      </c>
      <c r="X758" s="3" t="str">
        <f t="shared" si="48"/>
        <v>-SADNE-</v>
      </c>
      <c r="Y758" s="3" t="str">
        <f t="shared" si="49"/>
        <v>-ENERGY-</v>
      </c>
      <c r="Z758" s="4" t="str">
        <f t="shared" si="50"/>
        <v>{"couname":"Civilization","img":"https://i.scdn.co/image/ab67616d0000b2732f59eee195397eeea46731c2","pty":"0","artist":"Justice","genres":"house francés,new rave,rock electrónico","duration":"250825","spotId":"64wvOif8vaAbkfU3x5KUVs","Items":["-SADNE-","-ENERGY-","","","GN_FrenchElectro"]},</v>
      </c>
      <c r="AA758" s="5" t="s">
        <v>6100</v>
      </c>
      <c r="AB758" s="3" t="str">
        <f t="shared" si="51"/>
        <v>["-SADNE-","-ENERGY-","","","GN_FrenchElectro"]</v>
      </c>
      <c r="AC758" s="3" t="str">
        <f>_xlfn.XLOOKUP(A758,Album!A:A,Album!J:J)</f>
        <v>https://i.scdn.co/image/ab67616d0000b2732f59eee195397eeea46731c2</v>
      </c>
      <c r="AD758" s="3"/>
      <c r="AE758" s="3"/>
      <c r="AF758" s="3"/>
      <c r="AG758" s="3"/>
      <c r="AH758" s="3"/>
    </row>
    <row r="759" spans="1:34" x14ac:dyDescent="0.3">
      <c r="A759" s="11" t="s">
        <v>784</v>
      </c>
      <c r="B759" s="12" t="s">
        <v>785</v>
      </c>
      <c r="C759" s="12" t="s">
        <v>786</v>
      </c>
      <c r="D759" s="13" t="s">
        <v>745</v>
      </c>
      <c r="E759" s="6">
        <v>40840</v>
      </c>
      <c r="F759" s="3">
        <v>270720</v>
      </c>
      <c r="G759" s="3">
        <v>0</v>
      </c>
      <c r="H759" s="3" t="s">
        <v>5144</v>
      </c>
      <c r="I759" s="3" t="s">
        <v>738</v>
      </c>
      <c r="J759" s="3" t="s">
        <v>742</v>
      </c>
      <c r="K759" s="3" t="s">
        <v>773</v>
      </c>
      <c r="L759" s="3">
        <v>0.52400000000000002</v>
      </c>
      <c r="M759" s="3">
        <v>0.60099999999999998</v>
      </c>
      <c r="N759" s="3">
        <v>7</v>
      </c>
      <c r="O759" s="8">
        <v>-5.36</v>
      </c>
      <c r="P759" s="3">
        <v>1</v>
      </c>
      <c r="Q759" s="3">
        <v>3.6900000000000002E-2</v>
      </c>
      <c r="R759" s="3">
        <v>6.7900000000000002E-2</v>
      </c>
      <c r="S759" s="3">
        <v>0</v>
      </c>
      <c r="T759" s="3">
        <v>0.11899999999999999</v>
      </c>
      <c r="U759" s="3">
        <v>0.54200000000000004</v>
      </c>
      <c r="V759" s="8">
        <v>91.82</v>
      </c>
      <c r="W759" s="3">
        <v>4</v>
      </c>
      <c r="X759" s="3" t="str">
        <f t="shared" si="48"/>
        <v>-HAPPY-</v>
      </c>
      <c r="Y759" s="3" t="str">
        <f t="shared" si="49"/>
        <v>-ENERGY-</v>
      </c>
      <c r="Z759" s="4" t="str">
        <f t="shared" si="50"/>
        <v>{"couname":"On'n'On","img":"https://i.scdn.co/image/ab67616d0000b273373f689f56bb0a0fae48d57a","pty":"0","artist":"Justice","genres":"house francés,new rave,rock electrónico","duration":"270720","spotId":"5BACZadGU5u08HCtlP0JOC","Items":["-HAPPY-","-ENERGY-","","","GN_FrenchElectro"]},</v>
      </c>
      <c r="AA759" s="5" t="s">
        <v>6100</v>
      </c>
      <c r="AB759" s="3" t="str">
        <f t="shared" si="51"/>
        <v>["-HAPPY-","-ENERGY-","","","GN_FrenchElectro"]</v>
      </c>
      <c r="AC759" s="3" t="str">
        <f>_xlfn.XLOOKUP(A759,Album!A:A,Album!J:J)</f>
        <v>https://i.scdn.co/image/ab67616d0000b273373f689f56bb0a0fae48d57a</v>
      </c>
      <c r="AD759" s="3"/>
      <c r="AE759" s="3"/>
      <c r="AF759" s="3"/>
      <c r="AG759" s="3"/>
      <c r="AH759" s="3"/>
    </row>
    <row r="760" spans="1:34" x14ac:dyDescent="0.3">
      <c r="A760" s="11" t="s">
        <v>787</v>
      </c>
      <c r="B760" s="12" t="s">
        <v>788</v>
      </c>
      <c r="C760" s="12" t="s">
        <v>772</v>
      </c>
      <c r="D760" s="13" t="s">
        <v>745</v>
      </c>
      <c r="E760" s="6">
        <v>39251</v>
      </c>
      <c r="F760" s="3">
        <v>200826</v>
      </c>
      <c r="G760" s="3">
        <v>0</v>
      </c>
      <c r="H760" s="3" t="s">
        <v>5143</v>
      </c>
      <c r="I760" s="3" t="s">
        <v>738</v>
      </c>
      <c r="J760" s="3" t="s">
        <v>742</v>
      </c>
      <c r="K760" s="3" t="s">
        <v>773</v>
      </c>
      <c r="L760" s="3">
        <v>0.621</v>
      </c>
      <c r="M760" s="3">
        <v>0.72599999999999998</v>
      </c>
      <c r="N760" s="3">
        <v>7</v>
      </c>
      <c r="O760" s="8">
        <v>-6407</v>
      </c>
      <c r="P760" s="3">
        <v>1</v>
      </c>
      <c r="Q760" s="3">
        <v>0.189</v>
      </c>
      <c r="R760" s="3">
        <v>2.2000000000000001E-3</v>
      </c>
      <c r="S760" s="3">
        <v>0.78500000000000003</v>
      </c>
      <c r="T760" s="3">
        <v>0.64700000000000002</v>
      </c>
      <c r="U760" s="3">
        <v>0.38600000000000001</v>
      </c>
      <c r="V760" s="8">
        <v>116.95</v>
      </c>
      <c r="W760" s="3">
        <v>4</v>
      </c>
      <c r="X760" s="3" t="str">
        <f t="shared" si="48"/>
        <v>-HAPPY-</v>
      </c>
      <c r="Y760" s="3" t="str">
        <f t="shared" si="49"/>
        <v>-ENERGY-</v>
      </c>
      <c r="Z760" s="4" t="str">
        <f t="shared" si="50"/>
        <v>{"couname":"Phantom Pt. II","img":"https://i.scdn.co/image/ab67616d0000b2733258d5263985543e8648326e","pty":"0","artist":"Justice","genres":"house francés,new rave,rock electrónico","duration":"200826","spotId":"0HfnwR7f9RGZ6H3hg3fEMu","Items":["-HAPPY-","-ENERGY-","","","GN_FrenchElectro"]},</v>
      </c>
      <c r="AA760" s="5" t="s">
        <v>6100</v>
      </c>
      <c r="AB760" s="3" t="str">
        <f t="shared" si="51"/>
        <v>["-HAPPY-","-ENERGY-","","","GN_FrenchElectro"]</v>
      </c>
      <c r="AC760" s="3" t="str">
        <f>_xlfn.XLOOKUP(A760,Album!A:A,Album!J:J)</f>
        <v>https://i.scdn.co/image/ab67616d0000b2733258d5263985543e8648326e</v>
      </c>
      <c r="AD760" s="3"/>
      <c r="AE760" s="3"/>
      <c r="AF760" s="3"/>
      <c r="AG760" s="3"/>
      <c r="AH760" s="3"/>
    </row>
    <row r="761" spans="1:34" x14ac:dyDescent="0.3">
      <c r="A761" s="11" t="s">
        <v>789</v>
      </c>
      <c r="B761" s="12" t="s">
        <v>790</v>
      </c>
      <c r="C761" s="12" t="s">
        <v>786</v>
      </c>
      <c r="D761" s="13" t="s">
        <v>745</v>
      </c>
      <c r="E761" s="6">
        <v>40840</v>
      </c>
      <c r="F761" s="3">
        <v>254493</v>
      </c>
      <c r="G761" s="3">
        <v>0</v>
      </c>
      <c r="H761" s="3" t="s">
        <v>5142</v>
      </c>
      <c r="I761" s="3" t="s">
        <v>738</v>
      </c>
      <c r="J761" s="3" t="s">
        <v>742</v>
      </c>
      <c r="K761" s="3" t="s">
        <v>773</v>
      </c>
      <c r="L761" s="3">
        <v>0.45200000000000001</v>
      </c>
      <c r="M761" s="3">
        <v>0.84099999999999997</v>
      </c>
      <c r="N761" s="3">
        <v>4</v>
      </c>
      <c r="O761" s="8">
        <v>-5187</v>
      </c>
      <c r="P761" s="3">
        <v>1</v>
      </c>
      <c r="Q761" s="3">
        <v>8.2000000000000003E-2</v>
      </c>
      <c r="R761" s="3">
        <v>0.113</v>
      </c>
      <c r="S761" s="3">
        <v>2.3199999999999998E-2</v>
      </c>
      <c r="T761" s="3">
        <v>0.14299999999999999</v>
      </c>
      <c r="U761" s="3">
        <v>0.26100000000000001</v>
      </c>
      <c r="V761" s="8">
        <v>126967</v>
      </c>
      <c r="W761" s="3">
        <v>4</v>
      </c>
      <c r="X761" s="3" t="str">
        <f t="shared" si="48"/>
        <v>-SADNE-</v>
      </c>
      <c r="Y761" s="3" t="str">
        <f t="shared" si="49"/>
        <v>-ENERGY-</v>
      </c>
      <c r="Z761" s="4" t="str">
        <f t="shared" si="50"/>
        <v>{"couname":"New Lands","img":"https://i.scdn.co/image/ab67616d0000b273373f689f56bb0a0fae48d57a","pty":"0","artist":"Justice","genres":"house francés,new rave,rock electrónico","duration":"254493","spotId":"69M2K57uFNovg9S5XdVRiZ","Items":["-SADNE-","-ENERGY-","","","GN_FrenchElectro"]},</v>
      </c>
      <c r="AA761" s="5" t="s">
        <v>6100</v>
      </c>
      <c r="AB761" s="3" t="str">
        <f t="shared" si="51"/>
        <v>["-SADNE-","-ENERGY-","","","GN_FrenchElectro"]</v>
      </c>
      <c r="AC761" s="3" t="str">
        <f>_xlfn.XLOOKUP(A761,Album!A:A,Album!J:J)</f>
        <v>https://i.scdn.co/image/ab67616d0000b273373f689f56bb0a0fae48d57a</v>
      </c>
      <c r="AD761" s="3"/>
      <c r="AE761" s="3"/>
      <c r="AF761" s="3"/>
      <c r="AG761" s="3"/>
      <c r="AH761" s="3"/>
    </row>
    <row r="762" spans="1:34" x14ac:dyDescent="0.3">
      <c r="A762" s="11" t="s">
        <v>795</v>
      </c>
      <c r="B762" s="12" t="s">
        <v>796</v>
      </c>
      <c r="C762" s="12" t="s">
        <v>772</v>
      </c>
      <c r="D762" s="13" t="s">
        <v>745</v>
      </c>
      <c r="E762" s="6">
        <v>39251</v>
      </c>
      <c r="F762" s="3">
        <v>236546</v>
      </c>
      <c r="G762" s="3">
        <v>0</v>
      </c>
      <c r="H762" s="3" t="s">
        <v>5141</v>
      </c>
      <c r="I762" s="3" t="s">
        <v>738</v>
      </c>
      <c r="J762" s="3" t="s">
        <v>742</v>
      </c>
      <c r="K762" s="3" t="s">
        <v>773</v>
      </c>
      <c r="L762" s="3">
        <v>0.66</v>
      </c>
      <c r="M762" s="3">
        <v>0.92400000000000004</v>
      </c>
      <c r="N762" s="3">
        <v>8</v>
      </c>
      <c r="O762" s="8">
        <v>-3908</v>
      </c>
      <c r="P762" s="3">
        <v>1</v>
      </c>
      <c r="Q762" s="3">
        <v>0.30199999999999999</v>
      </c>
      <c r="R762" s="3">
        <v>1.0500000000000001E-2</v>
      </c>
      <c r="S762" s="3">
        <v>6.5300000000000004E-4</v>
      </c>
      <c r="T762" s="3">
        <v>0.26200000000000001</v>
      </c>
      <c r="U762" s="3">
        <v>0.67200000000000004</v>
      </c>
      <c r="V762" s="8">
        <v>119877</v>
      </c>
      <c r="W762" s="3">
        <v>4</v>
      </c>
      <c r="X762" s="3" t="str">
        <f t="shared" si="48"/>
        <v>-HAPPY-</v>
      </c>
      <c r="Y762" s="3" t="str">
        <f t="shared" si="49"/>
        <v>-ENERGY-</v>
      </c>
      <c r="Z762" s="4" t="str">
        <f t="shared" si="50"/>
        <v>{"couname":"DVNO","img":"https://i.scdn.co/image/ab67616d0000b2733258d5263985543e8648326e","pty":"0","artist":"Justice","genres":"house francés,new rave,rock electrónico","duration":"236546","spotId":"57QoP2UP5AtmqSmrwcj0r6","Items":["-HAPPY-","-ENERGY-","","","GN_FrenchElectro"]},</v>
      </c>
      <c r="AA762" s="5" t="s">
        <v>6100</v>
      </c>
      <c r="AB762" s="3" t="str">
        <f t="shared" si="51"/>
        <v>["-HAPPY-","-ENERGY-","","","GN_FrenchElectro"]</v>
      </c>
      <c r="AC762" s="3" t="str">
        <f>_xlfn.XLOOKUP(A762,Album!A:A,Album!J:J)</f>
        <v>https://i.scdn.co/image/ab67616d0000b2733258d5263985543e8648326e</v>
      </c>
      <c r="AD762" s="3"/>
      <c r="AE762" s="3"/>
      <c r="AF762" s="3"/>
      <c r="AG762" s="3"/>
      <c r="AH762" s="3"/>
    </row>
    <row r="763" spans="1:34" x14ac:dyDescent="0.3">
      <c r="A763" s="11" t="s">
        <v>797</v>
      </c>
      <c r="B763" s="12" t="s">
        <v>798</v>
      </c>
      <c r="C763" s="12" t="s">
        <v>780</v>
      </c>
      <c r="D763" s="13" t="s">
        <v>745</v>
      </c>
      <c r="E763" s="6">
        <v>42692</v>
      </c>
      <c r="F763" s="3">
        <v>334224</v>
      </c>
      <c r="G763" s="3">
        <v>0</v>
      </c>
      <c r="H763" s="3" t="s">
        <v>5140</v>
      </c>
      <c r="I763" s="3" t="s">
        <v>738</v>
      </c>
      <c r="J763" s="3" t="s">
        <v>742</v>
      </c>
      <c r="K763" s="3" t="s">
        <v>781</v>
      </c>
      <c r="L763" s="3">
        <v>0.58399999999999996</v>
      </c>
      <c r="M763" s="3">
        <v>0.66</v>
      </c>
      <c r="N763" s="3">
        <v>7</v>
      </c>
      <c r="O763" s="8">
        <v>-5.91</v>
      </c>
      <c r="P763" s="3">
        <v>0</v>
      </c>
      <c r="Q763" s="3">
        <v>2.7799999999999998E-2</v>
      </c>
      <c r="R763" s="3">
        <v>6.6399999999999999E-4</v>
      </c>
      <c r="S763" s="3">
        <v>0</v>
      </c>
      <c r="T763" s="3">
        <v>0.30299999999999999</v>
      </c>
      <c r="U763" s="3">
        <v>0.50800000000000001</v>
      </c>
      <c r="V763" s="8">
        <v>113046</v>
      </c>
      <c r="W763" s="3">
        <v>4</v>
      </c>
      <c r="X763" s="3" t="str">
        <f t="shared" si="48"/>
        <v>-HAPPY-</v>
      </c>
      <c r="Y763" s="3" t="str">
        <f t="shared" si="49"/>
        <v>-ENERGY-</v>
      </c>
      <c r="Z763" s="4" t="str">
        <f t="shared" si="50"/>
        <v>{"couname":"Fire","img":"https://i.scdn.co/image/ab67616d0000b273d94d9ef197ddb9e06ba1f315","pty":"0","artist":"Justice","genres":"house francés,new rave,rock electrónico","duration":"334224","spotId":"2CPnSfkS5EhJzKvAQgIyaz","Items":["-HAPPY-","-ENERGY-","","","GN_FrenchElectro"]},</v>
      </c>
      <c r="AA763" s="5" t="s">
        <v>6100</v>
      </c>
      <c r="AB763" s="3" t="str">
        <f t="shared" si="51"/>
        <v>["-HAPPY-","-ENERGY-","","","GN_FrenchElectro"]</v>
      </c>
      <c r="AC763" s="3" t="str">
        <f>_xlfn.XLOOKUP(A763,Album!A:A,Album!J:J)</f>
        <v>https://i.scdn.co/image/ab67616d0000b273d94d9ef197ddb9e06ba1f315</v>
      </c>
      <c r="AD763" s="3"/>
      <c r="AE763" s="3"/>
      <c r="AF763" s="3"/>
      <c r="AG763" s="3"/>
      <c r="AH763" s="3"/>
    </row>
    <row r="764" spans="1:34" x14ac:dyDescent="0.3">
      <c r="A764" s="11" t="s">
        <v>799</v>
      </c>
      <c r="B764" s="12" t="s">
        <v>800</v>
      </c>
      <c r="C764" s="12" t="s">
        <v>772</v>
      </c>
      <c r="D764" s="13" t="s">
        <v>745</v>
      </c>
      <c r="E764" s="6">
        <v>39251</v>
      </c>
      <c r="F764" s="3">
        <v>298573</v>
      </c>
      <c r="G764" s="3">
        <v>0</v>
      </c>
      <c r="H764" s="3" t="s">
        <v>5139</v>
      </c>
      <c r="I764" s="3" t="s">
        <v>738</v>
      </c>
      <c r="J764" s="3" t="s">
        <v>742</v>
      </c>
      <c r="K764" s="3" t="s">
        <v>773</v>
      </c>
      <c r="L764" s="3">
        <v>0.51800000000000002</v>
      </c>
      <c r="M764" s="3">
        <v>0.92200000000000004</v>
      </c>
      <c r="N764" s="3">
        <v>1</v>
      </c>
      <c r="O764" s="8">
        <v>-5817</v>
      </c>
      <c r="P764" s="3">
        <v>1</v>
      </c>
      <c r="Q764" s="3">
        <v>0.114</v>
      </c>
      <c r="R764" s="3">
        <v>2.5699999999999998E-3</v>
      </c>
      <c r="S764" s="3">
        <v>0.83599999999999997</v>
      </c>
      <c r="T764" s="3">
        <v>0.30299999999999999</v>
      </c>
      <c r="U764" s="3">
        <v>0.27100000000000002</v>
      </c>
      <c r="V764" s="8">
        <v>126954</v>
      </c>
      <c r="W764" s="3">
        <v>4</v>
      </c>
      <c r="X764" s="3" t="str">
        <f t="shared" si="48"/>
        <v>-SADNE-</v>
      </c>
      <c r="Y764" s="3" t="str">
        <f t="shared" si="49"/>
        <v>-ENERGY-</v>
      </c>
      <c r="Z764" s="4" t="str">
        <f t="shared" si="50"/>
        <v>{"couname":"Stress","img":"https://i.scdn.co/image/ab67616d0000b2733258d5263985543e8648326e","pty":"0","artist":"Justice","genres":"house francés,new rave,rock electrónico","duration":"298573","spotId":"6AxPSKRlKIZEItFu5IjP11","Items":["-SADNE-","-ENERGY-","","","GN_FrenchElectro"]},</v>
      </c>
      <c r="AA764" s="5" t="s">
        <v>6100</v>
      </c>
      <c r="AB764" s="3" t="str">
        <f t="shared" si="51"/>
        <v>["-SADNE-","-ENERGY-","","","GN_FrenchElectro"]</v>
      </c>
      <c r="AC764" s="3" t="str">
        <f>_xlfn.XLOOKUP(A764,Album!A:A,Album!J:J)</f>
        <v>https://i.scdn.co/image/ab67616d0000b2733258d5263985543e8648326e</v>
      </c>
      <c r="AD764" s="3"/>
      <c r="AE764" s="3"/>
      <c r="AF764" s="3"/>
      <c r="AG764" s="3"/>
      <c r="AH764" s="3"/>
    </row>
    <row r="765" spans="1:34" x14ac:dyDescent="0.3">
      <c r="A765" s="11" t="s">
        <v>801</v>
      </c>
      <c r="B765" s="12" t="s">
        <v>802</v>
      </c>
      <c r="C765" s="12" t="s">
        <v>745</v>
      </c>
      <c r="D765" s="13" t="s">
        <v>745</v>
      </c>
      <c r="E765" s="6">
        <v>39244</v>
      </c>
      <c r="F765" s="3">
        <v>265173</v>
      </c>
      <c r="G765" s="3">
        <v>0</v>
      </c>
      <c r="H765" s="3" t="s">
        <v>5138</v>
      </c>
      <c r="I765" s="3" t="s">
        <v>738</v>
      </c>
      <c r="J765" s="3" t="s">
        <v>742</v>
      </c>
      <c r="K765" s="3" t="s">
        <v>773</v>
      </c>
      <c r="L765" s="3">
        <v>0.60299999999999998</v>
      </c>
      <c r="M765" s="3">
        <v>0.83499999999999996</v>
      </c>
      <c r="N765" s="3">
        <v>2</v>
      </c>
      <c r="O765" s="8">
        <v>-5097</v>
      </c>
      <c r="P765" s="3">
        <v>1</v>
      </c>
      <c r="Q765" s="3">
        <v>7.5499999999999998E-2</v>
      </c>
      <c r="R765" s="3">
        <v>5.1499999999999998E-5</v>
      </c>
      <c r="S765" s="3">
        <v>0.94</v>
      </c>
      <c r="T765" s="3">
        <v>0.54600000000000004</v>
      </c>
      <c r="U765" s="3">
        <v>3.6200000000000003E-2</v>
      </c>
      <c r="V765" s="8">
        <v>123929</v>
      </c>
      <c r="W765" s="3">
        <v>4</v>
      </c>
      <c r="X765" s="3" t="str">
        <f t="shared" si="48"/>
        <v>-SADNE-</v>
      </c>
      <c r="Y765" s="3" t="str">
        <f t="shared" si="49"/>
        <v>-ENERGY-</v>
      </c>
      <c r="Z765" s="4" t="str">
        <f t="shared" si="50"/>
        <v>{"couname":"Waters Of Nazareth","img":"https://i.scdn.co/image/ab67616d0000b273da779c39883f757acf57f560","pty":"0","artist":"Justice","genres":"house francés,new rave,rock electrónico","duration":"265173","spotId":"0AsWm6xS5rhejl5GqhO1GP","Items":["-SADNE-","-ENERGY-","","","GN_FrenchElectro"]},</v>
      </c>
      <c r="AA765" s="5" t="s">
        <v>6100</v>
      </c>
      <c r="AB765" s="3" t="str">
        <f t="shared" si="51"/>
        <v>["-SADNE-","-ENERGY-","","","GN_FrenchElectro"]</v>
      </c>
      <c r="AC765" s="3" t="str">
        <f>_xlfn.XLOOKUP(A765,Album!A:A,Album!J:J)</f>
        <v>https://i.scdn.co/image/ab67616d0000b273da779c39883f757acf57f560</v>
      </c>
      <c r="AD765" s="3"/>
      <c r="AE765" s="3"/>
      <c r="AF765" s="3"/>
      <c r="AG765" s="3"/>
      <c r="AH765" s="3"/>
    </row>
    <row r="766" spans="1:34" x14ac:dyDescent="0.3">
      <c r="A766" s="11" t="s">
        <v>812</v>
      </c>
      <c r="B766" s="12" t="s">
        <v>813</v>
      </c>
      <c r="C766" s="12" t="s">
        <v>780</v>
      </c>
      <c r="D766" s="13" t="s">
        <v>745</v>
      </c>
      <c r="E766" s="6">
        <v>42692</v>
      </c>
      <c r="F766" s="3">
        <v>311490</v>
      </c>
      <c r="G766" s="3">
        <v>0</v>
      </c>
      <c r="H766" s="3" t="s">
        <v>5137</v>
      </c>
      <c r="I766" s="3" t="s">
        <v>738</v>
      </c>
      <c r="J766" s="3" t="s">
        <v>742</v>
      </c>
      <c r="K766" s="3" t="s">
        <v>781</v>
      </c>
      <c r="L766" s="3">
        <v>0.57999999999999996</v>
      </c>
      <c r="M766" s="3">
        <v>0.79600000000000004</v>
      </c>
      <c r="N766" s="3">
        <v>4</v>
      </c>
      <c r="O766" s="8">
        <v>-7303</v>
      </c>
      <c r="P766" s="3">
        <v>1</v>
      </c>
      <c r="Q766" s="3">
        <v>4.2799999999999998E-2</v>
      </c>
      <c r="R766" s="3">
        <v>2.4499999999999999E-4</v>
      </c>
      <c r="S766" s="3">
        <v>0.84899999999999998</v>
      </c>
      <c r="T766" s="3">
        <v>0.17299999999999999</v>
      </c>
      <c r="U766" s="3">
        <v>0.154</v>
      </c>
      <c r="V766" s="8">
        <v>118.99</v>
      </c>
      <c r="W766" s="3">
        <v>4</v>
      </c>
      <c r="X766" s="3" t="str">
        <f t="shared" si="48"/>
        <v>-SADNE-</v>
      </c>
      <c r="Y766" s="3" t="str">
        <f t="shared" si="49"/>
        <v>-ENERGY-</v>
      </c>
      <c r="Z766" s="4" t="str">
        <f t="shared" si="50"/>
        <v>{"couname":"Alakazam !","img":"https://i.scdn.co/image/ab67616d0000b273d94d9ef197ddb9e06ba1f315","pty":"0","artist":"Justice","genres":"house francés,new rave,rock electrónico","duration":"311490","spotId":"0ma6IAmnvlik8oxgf8HUQg","Items":["-SADNE-","-ENERGY-","","","GN_FrenchElectro"]},</v>
      </c>
      <c r="AA766" s="5" t="s">
        <v>6100</v>
      </c>
      <c r="AB766" s="3" t="str">
        <f t="shared" si="51"/>
        <v>["-SADNE-","-ENERGY-","","","GN_FrenchElectro"]</v>
      </c>
      <c r="AC766" s="3" t="str">
        <f>_xlfn.XLOOKUP(A766,Album!A:A,Album!J:J)</f>
        <v>https://i.scdn.co/image/ab67616d0000b273d94d9ef197ddb9e06ba1f315</v>
      </c>
      <c r="AD766" s="3"/>
      <c r="AE766" s="3"/>
      <c r="AF766" s="3"/>
      <c r="AG766" s="3"/>
      <c r="AH766" s="3"/>
    </row>
    <row r="767" spans="1:34" x14ac:dyDescent="0.3">
      <c r="A767" s="11" t="s">
        <v>814</v>
      </c>
      <c r="B767" s="12" t="s">
        <v>786</v>
      </c>
      <c r="C767" s="12" t="s">
        <v>786</v>
      </c>
      <c r="D767" s="13" t="s">
        <v>745</v>
      </c>
      <c r="E767" s="6">
        <v>40840</v>
      </c>
      <c r="F767" s="3">
        <v>292360</v>
      </c>
      <c r="G767" s="3">
        <v>0</v>
      </c>
      <c r="H767" s="3" t="s">
        <v>5136</v>
      </c>
      <c r="I767" s="3" t="s">
        <v>738</v>
      </c>
      <c r="J767" s="3" t="s">
        <v>742</v>
      </c>
      <c r="K767" s="3" t="s">
        <v>773</v>
      </c>
      <c r="L767" s="3">
        <v>0.38200000000000001</v>
      </c>
      <c r="M767" s="3">
        <v>0.84399999999999997</v>
      </c>
      <c r="N767" s="3">
        <v>9</v>
      </c>
      <c r="O767" s="8">
        <v>-7148</v>
      </c>
      <c r="P767" s="3">
        <v>1</v>
      </c>
      <c r="Q767" s="3">
        <v>3.8100000000000002E-2</v>
      </c>
      <c r="R767" s="3">
        <v>3.48E-3</v>
      </c>
      <c r="S767" s="3">
        <v>0.39200000000000002</v>
      </c>
      <c r="T767" s="3">
        <v>0.36199999999999999</v>
      </c>
      <c r="U767" s="3">
        <v>0.17299999999999999</v>
      </c>
      <c r="V767" s="8">
        <v>152028</v>
      </c>
      <c r="W767" s="3">
        <v>4</v>
      </c>
      <c r="X767" s="3" t="str">
        <f t="shared" si="48"/>
        <v>-SADNE-</v>
      </c>
      <c r="Y767" s="3" t="str">
        <f t="shared" si="49"/>
        <v>-ENERGY-</v>
      </c>
      <c r="Z767" s="4" t="str">
        <f t="shared" si="50"/>
        <v>{"couname":"Audio, Video, Disco.","img":"https://i.scdn.co/image/ab67616d0000b273373f689f56bb0a0fae48d57a","pty":"0","artist":"Justice","genres":"house francés,new rave,rock electrónico","duration":"292360","spotId":"7HHOdafzGMkXhwbdLGaNDp","Items":["-SADNE-","-ENERGY-","","","GN_FrenchElectro"]},</v>
      </c>
      <c r="AA767" s="5" t="s">
        <v>6100</v>
      </c>
      <c r="AB767" s="3" t="str">
        <f t="shared" si="51"/>
        <v>["-SADNE-","-ENERGY-","","","GN_FrenchElectro"]</v>
      </c>
      <c r="AC767" s="3" t="str">
        <f>_xlfn.XLOOKUP(A767,Album!A:A,Album!J:J)</f>
        <v>https://i.scdn.co/image/ab67616d0000b273373f689f56bb0a0fae48d57a</v>
      </c>
      <c r="AD767" s="3"/>
      <c r="AE767" s="3"/>
      <c r="AF767" s="3"/>
      <c r="AG767" s="3"/>
      <c r="AH767" s="3"/>
    </row>
    <row r="768" spans="1:34" x14ac:dyDescent="0.3">
      <c r="A768" s="11" t="s">
        <v>815</v>
      </c>
      <c r="B768" s="12" t="s">
        <v>816</v>
      </c>
      <c r="C768" s="12" t="s">
        <v>786</v>
      </c>
      <c r="D768" s="13" t="s">
        <v>745</v>
      </c>
      <c r="E768" s="6">
        <v>40840</v>
      </c>
      <c r="F768" s="3">
        <v>271247</v>
      </c>
      <c r="G768" s="3">
        <v>0</v>
      </c>
      <c r="H768" s="3" t="s">
        <v>5135</v>
      </c>
      <c r="I768" s="3" t="s">
        <v>738</v>
      </c>
      <c r="J768" s="3" t="s">
        <v>742</v>
      </c>
      <c r="K768" s="3" t="s">
        <v>773</v>
      </c>
      <c r="L768" s="3">
        <v>0.66</v>
      </c>
      <c r="M768" s="3">
        <v>0.86199999999999999</v>
      </c>
      <c r="N768" s="3">
        <v>7</v>
      </c>
      <c r="O768" s="8">
        <v>-5602</v>
      </c>
      <c r="P768" s="3">
        <v>1</v>
      </c>
      <c r="Q768" s="3">
        <v>3.7100000000000001E-2</v>
      </c>
      <c r="R768" s="3">
        <v>1.32E-2</v>
      </c>
      <c r="S768" s="3">
        <v>0.59799999999999998</v>
      </c>
      <c r="T768" s="3">
        <v>8.6400000000000005E-2</v>
      </c>
      <c r="U768" s="3">
        <v>0.254</v>
      </c>
      <c r="V768" s="8">
        <v>116972</v>
      </c>
      <c r="W768" s="3">
        <v>4</v>
      </c>
      <c r="X768" s="3" t="str">
        <f t="shared" si="48"/>
        <v>-SADNE-</v>
      </c>
      <c r="Y768" s="3" t="str">
        <f t="shared" si="49"/>
        <v>-ENERGY-</v>
      </c>
      <c r="Z768" s="4" t="str">
        <f t="shared" si="50"/>
        <v>{"couname":"Helix","img":"https://i.scdn.co/image/ab67616d0000b273373f689f56bb0a0fae48d57a","pty":"0","artist":"Justice","genres":"house francés,new rave,rock electrónico","duration":"271247","spotId":"0N6BmMvOpSwfnaYLqDO2JE","Items":["-SADNE-","-ENERGY-","","","GN_FrenchElectro"]},</v>
      </c>
      <c r="AA768" s="5" t="s">
        <v>6100</v>
      </c>
      <c r="AB768" s="3" t="str">
        <f t="shared" si="51"/>
        <v>["-SADNE-","-ENERGY-","","","GN_FrenchElectro"]</v>
      </c>
      <c r="AC768" s="3" t="str">
        <f>_xlfn.XLOOKUP(A768,Album!A:A,Album!J:J)</f>
        <v>https://i.scdn.co/image/ab67616d0000b273373f689f56bb0a0fae48d57a</v>
      </c>
      <c r="AD768" s="3"/>
      <c r="AE768" s="3"/>
      <c r="AF768" s="3"/>
      <c r="AG768" s="3"/>
      <c r="AH768" s="3"/>
    </row>
    <row r="769" spans="1:34" x14ac:dyDescent="0.3">
      <c r="A769" s="11" t="s">
        <v>829</v>
      </c>
      <c r="B769" s="12" t="s">
        <v>830</v>
      </c>
      <c r="C769" s="12" t="s">
        <v>780</v>
      </c>
      <c r="D769" s="13" t="s">
        <v>745</v>
      </c>
      <c r="E769" s="6">
        <v>42692</v>
      </c>
      <c r="F769" s="3">
        <v>303823</v>
      </c>
      <c r="G769" s="3">
        <v>0</v>
      </c>
      <c r="H769" s="3" t="s">
        <v>5134</v>
      </c>
      <c r="I769" s="3" t="s">
        <v>738</v>
      </c>
      <c r="J769" s="3" t="s">
        <v>742</v>
      </c>
      <c r="K769" s="3" t="s">
        <v>781</v>
      </c>
      <c r="L769" s="3">
        <v>0.185</v>
      </c>
      <c r="M769" s="3">
        <v>0.71799999999999997</v>
      </c>
      <c r="N769" s="3">
        <v>10</v>
      </c>
      <c r="O769" s="8">
        <v>-5791</v>
      </c>
      <c r="P769" s="3">
        <v>1</v>
      </c>
      <c r="Q769" s="3">
        <v>4.6800000000000001E-2</v>
      </c>
      <c r="R769" s="3">
        <v>3.6200000000000003E-2</v>
      </c>
      <c r="S769" s="3">
        <v>2.2299999999999998E-6</v>
      </c>
      <c r="T769" s="3">
        <v>0.16600000000000001</v>
      </c>
      <c r="U769" s="3">
        <v>4.8800000000000003E-2</v>
      </c>
      <c r="V769" s="8">
        <v>113136</v>
      </c>
      <c r="W769" s="3">
        <v>4</v>
      </c>
      <c r="X769" s="3" t="str">
        <f t="shared" si="48"/>
        <v>-SADNE-</v>
      </c>
      <c r="Y769" s="3" t="str">
        <f t="shared" si="49"/>
        <v>-ENERGY-</v>
      </c>
      <c r="Z769" s="4" t="str">
        <f t="shared" si="50"/>
        <v>{"couname":"Love S.O.S","img":"https://i.scdn.co/image/ab67616d0000b273d94d9ef197ddb9e06ba1f315","pty":"0","artist":"Justice","genres":"house francés,new rave,rock electrónico","duration":"303823","spotId":"3K3gJEbDUQPUIhw15MytrL","Items":["-SADNE-","-ENERGY-","","","GN_FrenchElectro"]},</v>
      </c>
      <c r="AA769" s="5" t="s">
        <v>6100</v>
      </c>
      <c r="AB769" s="3" t="str">
        <f t="shared" si="51"/>
        <v>["-SADNE-","-ENERGY-","","","GN_FrenchElectro"]</v>
      </c>
      <c r="AC769" s="3" t="str">
        <f>_xlfn.XLOOKUP(A769,Album!A:A,Album!J:J)</f>
        <v>https://i.scdn.co/image/ab67616d0000b273d94d9ef197ddb9e06ba1f315</v>
      </c>
      <c r="AD769" s="3"/>
      <c r="AE769" s="3"/>
      <c r="AF769" s="3"/>
      <c r="AG769" s="3"/>
      <c r="AH769" s="3"/>
    </row>
    <row r="770" spans="1:34" x14ac:dyDescent="0.3">
      <c r="A770" s="11" t="s">
        <v>1553</v>
      </c>
      <c r="B770" s="12" t="s">
        <v>1554</v>
      </c>
      <c r="C770" s="12" t="s">
        <v>1554</v>
      </c>
      <c r="D770" s="13" t="s">
        <v>4192</v>
      </c>
      <c r="E770" s="6">
        <v>43196</v>
      </c>
      <c r="F770" s="3">
        <v>236800</v>
      </c>
      <c r="G770" s="3">
        <v>0</v>
      </c>
      <c r="H770" s="3" t="s">
        <v>5133</v>
      </c>
      <c r="I770" s="3" t="s">
        <v>1463</v>
      </c>
      <c r="J770" s="3" t="s">
        <v>1555</v>
      </c>
      <c r="K770" s="3" t="s">
        <v>1556</v>
      </c>
      <c r="L770" s="3">
        <v>0.625</v>
      </c>
      <c r="M770" s="3">
        <v>0.99</v>
      </c>
      <c r="N770" s="3">
        <v>9</v>
      </c>
      <c r="O770" s="8">
        <v>-0.83899999999999997</v>
      </c>
      <c r="P770" s="3">
        <v>1</v>
      </c>
      <c r="Q770" s="3">
        <v>0.17799999999999999</v>
      </c>
      <c r="R770" s="3">
        <v>5.7200000000000003E-3</v>
      </c>
      <c r="S770" s="3">
        <v>0.58099999999999996</v>
      </c>
      <c r="T770" s="3">
        <v>0.13500000000000001</v>
      </c>
      <c r="U770" s="3">
        <v>0.59399999999999997</v>
      </c>
      <c r="V770" s="8">
        <v>74999</v>
      </c>
      <c r="W770" s="3">
        <v>4</v>
      </c>
      <c r="X770" s="3" t="str">
        <f t="shared" si="48"/>
        <v>-HAPPY-</v>
      </c>
      <c r="Y770" s="3" t="str">
        <f t="shared" si="49"/>
        <v>-ENERGY-</v>
      </c>
      <c r="Z770" s="4" t="str">
        <f t="shared" si="50"/>
        <v>{"couname":"Gassed Up","img":"https://i.scdn.co/image/ab67616d0000b27384af9f0b22f63203ba935645","pty":"0","artist":"Jauz, DJ Snake","genres":"bass house,edm,future house,dubstep,electro house,bassline","duration":"236800","spotId":"4nDGkRGsh7kZKWPFZnbqZN","Items":["-HAPPY-","-ENERGY-","","","GN_FrenchElectro"]},</v>
      </c>
      <c r="AA770" s="5" t="s">
        <v>6100</v>
      </c>
      <c r="AB770" s="3" t="str">
        <f t="shared" si="51"/>
        <v>["-HAPPY-","-ENERGY-","","","GN_FrenchElectro"]</v>
      </c>
      <c r="AC770" s="3" t="str">
        <f>_xlfn.XLOOKUP(A770,Album!A:A,Album!J:J)</f>
        <v>https://i.scdn.co/image/ab67616d0000b27384af9f0b22f63203ba935645</v>
      </c>
      <c r="AD770" s="3"/>
      <c r="AE770" s="3"/>
      <c r="AF770" s="3"/>
      <c r="AG770" s="3"/>
      <c r="AH770" s="3"/>
    </row>
    <row r="771" spans="1:34" x14ac:dyDescent="0.3">
      <c r="A771" s="11" t="s">
        <v>1626</v>
      </c>
      <c r="B771" s="12" t="s">
        <v>1627</v>
      </c>
      <c r="C771" s="12" t="s">
        <v>1627</v>
      </c>
      <c r="D771" s="13" t="s">
        <v>4214</v>
      </c>
      <c r="E771" s="6">
        <v>43546</v>
      </c>
      <c r="F771" s="3">
        <v>252800</v>
      </c>
      <c r="G771" s="3">
        <v>0</v>
      </c>
      <c r="H771" s="3" t="s">
        <v>5132</v>
      </c>
      <c r="I771" s="3" t="s">
        <v>1463</v>
      </c>
      <c r="J771" s="3" t="s">
        <v>1568</v>
      </c>
      <c r="K771" s="3" t="s">
        <v>1476</v>
      </c>
      <c r="L771" s="3">
        <v>0.57099999999999995</v>
      </c>
      <c r="M771" s="3">
        <v>0.94</v>
      </c>
      <c r="N771" s="3">
        <v>1</v>
      </c>
      <c r="O771" s="8">
        <v>-3638</v>
      </c>
      <c r="P771" s="3">
        <v>1</v>
      </c>
      <c r="Q771" s="3">
        <v>9.1999999999999998E-2</v>
      </c>
      <c r="R771" s="3">
        <v>1.15E-2</v>
      </c>
      <c r="S771" s="3">
        <v>1.2800000000000001E-2</v>
      </c>
      <c r="T771" s="3">
        <v>0.58299999999999996</v>
      </c>
      <c r="U771" s="3">
        <v>0.53700000000000003</v>
      </c>
      <c r="V771" s="8">
        <v>149924</v>
      </c>
      <c r="W771" s="3">
        <v>4</v>
      </c>
      <c r="X771" s="3" t="str">
        <f t="shared" ref="X771:X774" si="52">IF(OR(U771&lt;0.301, AND(U771&lt;0.4, P771=0)), "-SADNE-", "-HAPPY-")</f>
        <v>-HAPPY-</v>
      </c>
      <c r="Y771" s="3" t="str">
        <f t="shared" ref="Y771:Y774" si="53">IF(OR(AND(L771&lt;0.5,M771&lt;0.5),AND(L771&lt;0.45,V771&lt;100),AND(M771&lt;0.45,V771&lt;100),AND(U771&lt;0.39,V771&lt;100)),"-SLOWSS-","-ENERGY-")</f>
        <v>-ENERGY-</v>
      </c>
      <c r="Z771" s="4" t="str">
        <f t="shared" ref="Z771:Z774" si="54">"{"&amp;CHAR(34)&amp;"couname"&amp;CHAR(34)&amp;":"&amp;CHAR(34)&amp;B771&amp;CHAR(34)&amp;","&amp;CHAR(34)&amp;"img"&amp;CHAR(34)&amp;":"&amp;CHAR(34)&amp;AC771&amp;CHAR(34)&amp;","&amp;CHAR(34)&amp;"pty"&amp;CHAR(34)&amp;":"&amp;CHAR(34)&amp;G771&amp;CHAR(34)&amp;","&amp;CHAR(34)&amp;"artist"&amp;CHAR(34)&amp;":"&amp;CHAR(34)&amp;D771&amp;CHAR(34)&amp;","&amp;CHAR(34)&amp;"genres"&amp;CHAR(34)&amp;":"&amp;CHAR(34)&amp;J771&amp;CHAR(34)&amp;","&amp;CHAR(34)&amp;"duration"&amp;CHAR(34)&amp;":"&amp;CHAR(34)&amp;F771&amp;CHAR(34)&amp;","&amp;CHAR(34)&amp;"spotId"&amp;CHAR(34)&amp;":"&amp;CHAR(34)&amp;A771&amp;CHAR(34)&amp;","&amp;CHAR(34)&amp;"Items"&amp;CHAR(34)&amp;":"&amp;AB771&amp;"},"</f>
        <v>{"couname":"SouthSide","img":"https://i.scdn.co/image/ab67616d0000b2735ae02cbd541d87ddb656ddf6","pty":"0","artist":"DJ Snake, Eptic","genres":"dubstep,riddim,bass music,deathstep,bass house,dub","duration":"252800","spotId":"60AUuYrFbCBnPvDfofMfVF","Items":["-HAPPY-","-ENERGY-","","","GN_FrenchElectro"]},</v>
      </c>
      <c r="AA771" s="5" t="s">
        <v>6100</v>
      </c>
      <c r="AB771" s="3" t="str">
        <f t="shared" ref="AB771:AB774" si="55" xml:space="preserve"> "[" &amp; _xlfn.TEXTJOIN(",",TRUE,CHAR(34) &amp; X771&amp; CHAR(34), CHAR(34) &amp; Y771 &amp; CHAR(34),  CHAR(34) &amp; AF771 &amp; CHAR(34), CHAR(34) &amp;AG771 &amp; CHAR(34), CHAR(34) &amp; AA771 &amp; CHAR(34)) &amp; "]"</f>
        <v>["-HAPPY-","-ENERGY-","","","GN_FrenchElectro"]</v>
      </c>
      <c r="AC771" s="3" t="str">
        <f>_xlfn.XLOOKUP(A771,Album!A:A,Album!J:J)</f>
        <v>https://i.scdn.co/image/ab67616d0000b2735ae02cbd541d87ddb656ddf6</v>
      </c>
      <c r="AD771" s="3"/>
      <c r="AE771" s="3"/>
      <c r="AF771" s="3"/>
      <c r="AG771" s="3"/>
      <c r="AH771" s="3"/>
    </row>
    <row r="772" spans="1:34" x14ac:dyDescent="0.3">
      <c r="A772" s="11" t="s">
        <v>1647</v>
      </c>
      <c r="B772" s="12" t="s">
        <v>1648</v>
      </c>
      <c r="C772" s="12" t="s">
        <v>1648</v>
      </c>
      <c r="D772" s="13" t="s">
        <v>1649</v>
      </c>
      <c r="E772" s="6">
        <v>2010</v>
      </c>
      <c r="F772" s="3">
        <v>258413</v>
      </c>
      <c r="G772" s="3">
        <v>0</v>
      </c>
      <c r="H772" s="3" t="s">
        <v>5131</v>
      </c>
      <c r="I772" s="3" t="s">
        <v>1650</v>
      </c>
      <c r="J772" s="3" t="s">
        <v>1651</v>
      </c>
      <c r="K772" s="3" t="s">
        <v>1652</v>
      </c>
      <c r="L772" s="3">
        <v>0.53200000000000003</v>
      </c>
      <c r="M772" s="3">
        <v>0.874</v>
      </c>
      <c r="N772" s="3">
        <v>9</v>
      </c>
      <c r="O772" s="8">
        <v>-5183</v>
      </c>
      <c r="P772" s="3">
        <v>0</v>
      </c>
      <c r="Q772" s="3">
        <v>4.82E-2</v>
      </c>
      <c r="R772" s="3">
        <v>8.4200000000000004E-3</v>
      </c>
      <c r="S772" s="3">
        <v>1.2E-2</v>
      </c>
      <c r="T772" s="3">
        <v>0.45200000000000001</v>
      </c>
      <c r="U772" s="3">
        <v>0.36099999999999999</v>
      </c>
      <c r="V772" s="8">
        <v>91038</v>
      </c>
      <c r="W772" s="3">
        <v>4</v>
      </c>
      <c r="X772" s="3" t="str">
        <f t="shared" si="52"/>
        <v>-SADNE-</v>
      </c>
      <c r="Y772" s="3" t="str">
        <f t="shared" si="53"/>
        <v>-ENERGY-</v>
      </c>
      <c r="Z772" s="4" t="str">
        <f t="shared" si="54"/>
        <v>{"couname":"Nightcall","img":"https://i.scdn.co/image/ab67616d0000b27370ef0121b4602f45879dcc89","pty":"0","artist":"Kavinsky","genres":"synthwave,house francés","duration":"258413","spotId":"2GIfOOa8hAywfzZptFz3xK","Items":["-SADNE-","-ENERGY-","","","GN_FrenchElectro"]},</v>
      </c>
      <c r="AA772" s="5" t="s">
        <v>6100</v>
      </c>
      <c r="AB772" s="3" t="str">
        <f t="shared" si="55"/>
        <v>["-SADNE-","-ENERGY-","","","GN_FrenchElectro"]</v>
      </c>
      <c r="AC772" s="3" t="str">
        <f>_xlfn.XLOOKUP(A772,Album!A:A,Album!J:J)</f>
        <v>https://i.scdn.co/image/ab67616d0000b27370ef0121b4602f45879dcc89</v>
      </c>
      <c r="AD772" s="3"/>
      <c r="AE772" s="3"/>
      <c r="AF772" s="3"/>
      <c r="AG772" s="3"/>
      <c r="AH772" s="3"/>
    </row>
    <row r="773" spans="1:34" x14ac:dyDescent="0.3">
      <c r="A773" s="11" t="s">
        <v>1669</v>
      </c>
      <c r="B773" s="12" t="s">
        <v>1670</v>
      </c>
      <c r="C773" s="12" t="s">
        <v>1648</v>
      </c>
      <c r="D773" s="13" t="s">
        <v>1649</v>
      </c>
      <c r="E773" s="6">
        <v>2010</v>
      </c>
      <c r="F773" s="3">
        <v>344266</v>
      </c>
      <c r="G773" s="3">
        <v>0</v>
      </c>
      <c r="H773" s="3" t="s">
        <v>5130</v>
      </c>
      <c r="I773" s="3" t="s">
        <v>1650</v>
      </c>
      <c r="J773" s="3" t="s">
        <v>1651</v>
      </c>
      <c r="K773" s="3" t="s">
        <v>1652</v>
      </c>
      <c r="L773" s="3">
        <v>0.69</v>
      </c>
      <c r="M773" s="3">
        <v>0.82699999999999996</v>
      </c>
      <c r="N773" s="3">
        <v>8</v>
      </c>
      <c r="O773" s="8">
        <v>-7126</v>
      </c>
      <c r="P773" s="3">
        <v>1</v>
      </c>
      <c r="Q773" s="3">
        <v>4.1599999999999998E-2</v>
      </c>
      <c r="R773" s="3">
        <v>2.5600000000000002E-3</v>
      </c>
      <c r="S773" s="3">
        <v>0.52400000000000002</v>
      </c>
      <c r="T773" s="3">
        <v>0.121</v>
      </c>
      <c r="U773" s="3">
        <v>0.28000000000000003</v>
      </c>
      <c r="V773" s="8">
        <v>120021</v>
      </c>
      <c r="W773" s="3">
        <v>4</v>
      </c>
      <c r="X773" s="3" t="str">
        <f t="shared" si="52"/>
        <v>-SADNE-</v>
      </c>
      <c r="Y773" s="3" t="str">
        <f t="shared" si="53"/>
        <v>-ENERGY-</v>
      </c>
      <c r="Z773" s="4" t="str">
        <f t="shared" si="54"/>
        <v>{"couname":"Pacific Coast Highway","img":"https://i.scdn.co/image/ab67616d0000b27370ef0121b4602f45879dcc89","pty":"0","artist":"Kavinsky","genres":"synthwave,house francés","duration":"344266","spotId":"7gJKrxhUIg4CRda1nkq5aj","Items":["-SADNE-","-ENERGY-","","","GN_FrenchElectro"]},</v>
      </c>
      <c r="AA773" s="5" t="s">
        <v>6100</v>
      </c>
      <c r="AB773" s="3" t="str">
        <f t="shared" si="55"/>
        <v>["-SADNE-","-ENERGY-","","","GN_FrenchElectro"]</v>
      </c>
      <c r="AC773" s="3" t="str">
        <f>_xlfn.XLOOKUP(A773,Album!A:A,Album!J:J)</f>
        <v>https://i.scdn.co/image/ab67616d0000b27370ef0121b4602f45879dcc89</v>
      </c>
      <c r="AD773" s="3"/>
      <c r="AE773" s="3"/>
      <c r="AF773" s="3"/>
      <c r="AG773" s="3"/>
      <c r="AH773" s="3"/>
    </row>
    <row r="774" spans="1:34" x14ac:dyDescent="0.3">
      <c r="A774" s="11" t="s">
        <v>1887</v>
      </c>
      <c r="B774" s="12" t="s">
        <v>1888</v>
      </c>
      <c r="C774" s="12" t="s">
        <v>1876</v>
      </c>
      <c r="D774" s="13" t="s">
        <v>9</v>
      </c>
      <c r="E774" s="6">
        <v>38425</v>
      </c>
      <c r="F774" s="3">
        <v>19200</v>
      </c>
      <c r="G774" s="3">
        <v>0</v>
      </c>
      <c r="H774" s="3" t="s">
        <v>5129</v>
      </c>
      <c r="I774" s="3" t="s">
        <v>1809</v>
      </c>
      <c r="J774" s="3" t="s">
        <v>1810</v>
      </c>
      <c r="K774" s="3" t="s">
        <v>1811</v>
      </c>
      <c r="L774" s="3">
        <v>0.59699999999999998</v>
      </c>
      <c r="M774" s="3">
        <v>0.54</v>
      </c>
      <c r="N774" s="3">
        <v>8</v>
      </c>
      <c r="O774" s="8">
        <v>-15.07</v>
      </c>
      <c r="P774" s="3">
        <v>1</v>
      </c>
      <c r="Q774" s="3">
        <v>0.42499999999999999</v>
      </c>
      <c r="R774" s="3">
        <v>0.97399999999999998</v>
      </c>
      <c r="S774" s="3">
        <v>1.26E-5</v>
      </c>
      <c r="T774" s="3">
        <v>0.95299999999999996</v>
      </c>
      <c r="U774" s="3">
        <v>0.93</v>
      </c>
      <c r="V774" s="8">
        <v>67443</v>
      </c>
      <c r="W774" s="3">
        <v>1</v>
      </c>
      <c r="X774" s="3" t="str">
        <f t="shared" si="52"/>
        <v>-HAPPY-</v>
      </c>
      <c r="Y774" s="3" t="str">
        <f t="shared" si="53"/>
        <v>-ENERGY-</v>
      </c>
      <c r="Z774" s="4" t="str">
        <f t="shared" si="54"/>
        <v>{"couname":"On / Off","img":"https://i.scdn.co/image/ab67616d0000b273d8601e15fa1b4351fe1fc6ae","pty":"0","artist":"Daft Punk","genres":"house francés,electrónica,electro","duration":"19200","spotId":"0cV1dl2k19YoGbxTKDb0rH","Items":["-HAPPY-","-ENERGY-","","","GN_FrenchElectro"]},</v>
      </c>
      <c r="AA774" s="5" t="s">
        <v>6100</v>
      </c>
      <c r="AB774" s="3" t="str">
        <f t="shared" si="55"/>
        <v>["-HAPPY-","-ENERGY-","","","GN_FrenchElectro"]</v>
      </c>
      <c r="AC774" s="3" t="str">
        <f>_xlfn.XLOOKUP(A774,Album!A:A,Album!J:J)</f>
        <v>https://i.scdn.co/image/ab67616d0000b273d8601e15fa1b4351fe1fc6ae</v>
      </c>
      <c r="AD774" s="3"/>
      <c r="AE774" s="3"/>
      <c r="AF774" s="3"/>
      <c r="AG774" s="3"/>
      <c r="AH774" s="3"/>
    </row>
    <row r="775" spans="1:34" x14ac:dyDescent="0.3">
      <c r="A775" s="11"/>
      <c r="B775" s="12"/>
      <c r="C775" s="12"/>
      <c r="D775" s="13"/>
      <c r="E775" s="6"/>
      <c r="F775" s="3"/>
      <c r="G775" s="3"/>
      <c r="H775" s="3"/>
      <c r="I775" s="3"/>
      <c r="J775" s="3"/>
      <c r="K775" s="3"/>
      <c r="L775" s="3"/>
      <c r="M775" s="3"/>
      <c r="N775" s="3"/>
      <c r="O775" s="8"/>
      <c r="P775" s="3"/>
      <c r="Q775" s="3"/>
      <c r="R775" s="3"/>
      <c r="S775" s="3"/>
      <c r="T775" s="3"/>
      <c r="U775" s="3"/>
      <c r="V775" s="8"/>
      <c r="W775" s="3"/>
      <c r="X775" s="3"/>
      <c r="Y775" s="3"/>
      <c r="Z775" s="4"/>
      <c r="AA775" s="5"/>
      <c r="AB775" s="3"/>
      <c r="AC775" s="3"/>
      <c r="AD775" s="3"/>
      <c r="AE775" s="3"/>
      <c r="AF775" s="3"/>
      <c r="AG775" s="3"/>
      <c r="AH775" s="3"/>
    </row>
    <row r="776" spans="1:34" x14ac:dyDescent="0.3">
      <c r="A776" s="11"/>
      <c r="B776" s="12"/>
      <c r="C776" s="12"/>
      <c r="D776" s="13"/>
      <c r="E776" s="6"/>
      <c r="F776" s="3"/>
      <c r="G776" s="3"/>
      <c r="H776" s="3"/>
      <c r="I776" s="3"/>
      <c r="J776" s="3"/>
      <c r="K776" s="3"/>
      <c r="L776" s="3"/>
      <c r="M776" s="3"/>
      <c r="N776" s="3"/>
      <c r="O776" s="8"/>
      <c r="P776" s="3"/>
      <c r="Q776" s="3"/>
      <c r="R776" s="3"/>
      <c r="S776" s="3"/>
      <c r="T776" s="3"/>
      <c r="U776" s="3"/>
      <c r="V776" s="8"/>
      <c r="W776" s="3"/>
      <c r="X776" s="3"/>
      <c r="Y776" s="3"/>
      <c r="Z776" s="4"/>
      <c r="AA776" s="5"/>
      <c r="AB776" s="3"/>
      <c r="AC776" s="3"/>
      <c r="AD776" s="3"/>
      <c r="AE776" s="3"/>
      <c r="AF776" s="3"/>
      <c r="AG776" s="3"/>
      <c r="AH776" s="3"/>
    </row>
    <row r="777" spans="1:34" x14ac:dyDescent="0.3">
      <c r="A777" s="11"/>
      <c r="B777" s="12"/>
      <c r="C777" s="12"/>
      <c r="D777" s="13"/>
      <c r="E777" s="6"/>
      <c r="F777" s="3"/>
      <c r="G777" s="3"/>
      <c r="H777" s="3"/>
      <c r="I777" s="3"/>
      <c r="J777" s="3"/>
      <c r="K777" s="3"/>
      <c r="L777" s="3"/>
      <c r="M777" s="3"/>
      <c r="N777" s="3"/>
      <c r="O777" s="8"/>
      <c r="P777" s="3"/>
      <c r="Q777" s="3"/>
      <c r="R777" s="3"/>
      <c r="S777" s="3"/>
      <c r="T777" s="3"/>
      <c r="U777" s="3"/>
      <c r="V777" s="8"/>
      <c r="W777" s="3"/>
      <c r="X777" s="3"/>
      <c r="Y777" s="3"/>
      <c r="Z777" s="4"/>
      <c r="AA777" s="5"/>
      <c r="AB777" s="3"/>
      <c r="AC777" s="3"/>
      <c r="AD777" s="3"/>
      <c r="AE777" s="3"/>
      <c r="AF777" s="3"/>
      <c r="AG777" s="3"/>
      <c r="AH777" s="3"/>
    </row>
    <row r="778" spans="1:34" x14ac:dyDescent="0.3">
      <c r="A778" s="11"/>
      <c r="B778" s="12"/>
      <c r="C778" s="12"/>
      <c r="D778" s="13"/>
      <c r="E778" s="6"/>
      <c r="F778" s="3"/>
      <c r="G778" s="3"/>
      <c r="H778" s="3"/>
      <c r="I778" s="3"/>
      <c r="J778" s="3"/>
      <c r="K778" s="3"/>
      <c r="L778" s="3"/>
      <c r="M778" s="3"/>
      <c r="N778" s="3"/>
      <c r="O778" s="8"/>
      <c r="P778" s="3"/>
      <c r="Q778" s="3"/>
      <c r="R778" s="3"/>
      <c r="S778" s="3"/>
      <c r="T778" s="3"/>
      <c r="U778" s="3"/>
      <c r="V778" s="8"/>
      <c r="W778" s="3"/>
      <c r="X778" s="3"/>
      <c r="Y778" s="3"/>
      <c r="Z778" s="4"/>
      <c r="AA778" s="5"/>
      <c r="AB778" s="3"/>
      <c r="AC778" s="3"/>
      <c r="AD778" s="3"/>
      <c r="AE778" s="3"/>
      <c r="AF778" s="3"/>
      <c r="AG778" s="3"/>
      <c r="AH778" s="3"/>
    </row>
    <row r="779" spans="1:34" x14ac:dyDescent="0.3">
      <c r="A779" s="11"/>
      <c r="B779" s="12"/>
      <c r="C779" s="12"/>
      <c r="D779" s="13"/>
      <c r="E779" s="6"/>
      <c r="F779" s="3"/>
      <c r="G779" s="3"/>
      <c r="H779" s="3"/>
      <c r="I779" s="3"/>
      <c r="J779" s="3"/>
      <c r="K779" s="3"/>
      <c r="L779" s="3"/>
      <c r="M779" s="3"/>
      <c r="N779" s="3"/>
      <c r="O779" s="8"/>
      <c r="P779" s="3"/>
      <c r="Q779" s="3"/>
      <c r="R779" s="3"/>
      <c r="S779" s="3"/>
      <c r="T779" s="3"/>
      <c r="U779" s="3"/>
      <c r="V779" s="8"/>
      <c r="W779" s="3"/>
      <c r="X779" s="3"/>
      <c r="Y779" s="3"/>
      <c r="Z779" s="4"/>
      <c r="AA779" s="5"/>
      <c r="AB779" s="3"/>
      <c r="AC779" s="3"/>
      <c r="AD779" s="3"/>
      <c r="AE779" s="3"/>
      <c r="AF779" s="3"/>
      <c r="AG779" s="3"/>
      <c r="AH779" s="3"/>
    </row>
    <row r="780" spans="1:34" x14ac:dyDescent="0.3">
      <c r="A780" s="11"/>
      <c r="B780" s="12"/>
      <c r="C780" s="12"/>
      <c r="D780" s="13"/>
      <c r="E780" s="6"/>
      <c r="F780" s="3"/>
      <c r="G780" s="3"/>
      <c r="H780" s="3"/>
      <c r="I780" s="3"/>
      <c r="J780" s="3"/>
      <c r="K780" s="3"/>
      <c r="L780" s="3"/>
      <c r="M780" s="3"/>
      <c r="N780" s="3"/>
      <c r="O780" s="8"/>
      <c r="P780" s="3"/>
      <c r="Q780" s="3"/>
      <c r="R780" s="3"/>
      <c r="S780" s="3"/>
      <c r="T780" s="3"/>
      <c r="U780" s="3"/>
      <c r="V780" s="8"/>
      <c r="W780" s="3"/>
      <c r="X780" s="3"/>
      <c r="Y780" s="3"/>
      <c r="Z780" s="4"/>
      <c r="AA780" s="5"/>
      <c r="AB780" s="3"/>
      <c r="AC780" s="3"/>
      <c r="AD780" s="3"/>
      <c r="AE780" s="3"/>
      <c r="AF780" s="3"/>
      <c r="AG780" s="3"/>
      <c r="AH780" s="3"/>
    </row>
    <row r="781" spans="1:34" x14ac:dyDescent="0.3">
      <c r="A781" s="11"/>
      <c r="B781" s="12"/>
      <c r="C781" s="12"/>
      <c r="D781" s="13"/>
      <c r="E781" s="6"/>
      <c r="F781" s="3"/>
      <c r="G781" s="3"/>
      <c r="H781" s="3"/>
      <c r="I781" s="3"/>
      <c r="J781" s="3"/>
      <c r="K781" s="3"/>
      <c r="L781" s="3"/>
      <c r="M781" s="3"/>
      <c r="N781" s="3"/>
      <c r="O781" s="8"/>
      <c r="P781" s="3"/>
      <c r="Q781" s="3"/>
      <c r="R781" s="3"/>
      <c r="S781" s="3"/>
      <c r="T781" s="3"/>
      <c r="U781" s="3"/>
      <c r="V781" s="8"/>
      <c r="W781" s="3"/>
      <c r="X781" s="3"/>
      <c r="Y781" s="3"/>
      <c r="Z781" s="4"/>
      <c r="AA781" s="5"/>
      <c r="AB781" s="3"/>
      <c r="AC781" s="3"/>
      <c r="AD781" s="3"/>
      <c r="AE781" s="3"/>
      <c r="AF781" s="3"/>
      <c r="AG781" s="3"/>
      <c r="AH781" s="3"/>
    </row>
    <row r="782" spans="1:34" x14ac:dyDescent="0.3">
      <c r="A782" s="11"/>
      <c r="B782" s="12"/>
      <c r="C782" s="12"/>
      <c r="D782" s="13"/>
      <c r="E782" s="6"/>
      <c r="F782" s="3"/>
      <c r="G782" s="3"/>
      <c r="H782" s="3"/>
      <c r="I782" s="3"/>
      <c r="J782" s="3"/>
      <c r="K782" s="3"/>
      <c r="L782" s="3"/>
      <c r="M782" s="3"/>
      <c r="N782" s="3"/>
      <c r="O782" s="8"/>
      <c r="P782" s="3"/>
      <c r="Q782" s="3"/>
      <c r="R782" s="3"/>
      <c r="S782" s="3"/>
      <c r="T782" s="3"/>
      <c r="U782" s="3"/>
      <c r="V782" s="8"/>
      <c r="W782" s="3"/>
      <c r="X782" s="3"/>
      <c r="Y782" s="3"/>
      <c r="Z782" s="4"/>
      <c r="AA782" s="5"/>
      <c r="AB782" s="3"/>
      <c r="AC782" s="3"/>
      <c r="AD782" s="3"/>
      <c r="AE782" s="3"/>
      <c r="AF782" s="3"/>
      <c r="AG782" s="3"/>
      <c r="AH782" s="3"/>
    </row>
    <row r="783" spans="1:34" x14ac:dyDescent="0.3">
      <c r="A783" s="11"/>
      <c r="B783" s="12"/>
      <c r="C783" s="12"/>
      <c r="D783" s="13"/>
      <c r="E783" s="6"/>
      <c r="F783" s="3"/>
      <c r="G783" s="3"/>
      <c r="H783" s="3"/>
      <c r="I783" s="3"/>
      <c r="J783" s="3"/>
      <c r="K783" s="3"/>
      <c r="L783" s="3"/>
      <c r="M783" s="3"/>
      <c r="N783" s="3"/>
      <c r="O783" s="8"/>
      <c r="P783" s="3"/>
      <c r="Q783" s="3"/>
      <c r="R783" s="3"/>
      <c r="S783" s="3"/>
      <c r="T783" s="3"/>
      <c r="U783" s="3"/>
      <c r="V783" s="8"/>
      <c r="W783" s="3"/>
      <c r="X783" s="3"/>
      <c r="Y783" s="3"/>
      <c r="Z783" s="4"/>
      <c r="AA783" s="5"/>
      <c r="AB783" s="3"/>
      <c r="AC783" s="3"/>
      <c r="AD783" s="3"/>
      <c r="AE783" s="3"/>
      <c r="AF783" s="3"/>
      <c r="AG783" s="3"/>
      <c r="AH783" s="3"/>
    </row>
    <row r="784" spans="1:34" x14ac:dyDescent="0.3">
      <c r="A784" s="11"/>
      <c r="B784" s="12"/>
      <c r="C784" s="12"/>
      <c r="D784" s="13"/>
      <c r="E784" s="6"/>
      <c r="F784" s="3"/>
      <c r="G784" s="3"/>
      <c r="H784" s="3"/>
      <c r="I784" s="3"/>
      <c r="J784" s="3"/>
      <c r="K784" s="3"/>
      <c r="L784" s="3"/>
      <c r="M784" s="3"/>
      <c r="N784" s="3"/>
      <c r="O784" s="8"/>
      <c r="P784" s="3"/>
      <c r="Q784" s="3"/>
      <c r="R784" s="3"/>
      <c r="S784" s="3"/>
      <c r="T784" s="3"/>
      <c r="U784" s="3"/>
      <c r="V784" s="8"/>
      <c r="W784" s="3"/>
      <c r="X784" s="3"/>
      <c r="Y784" s="3"/>
      <c r="Z784" s="4"/>
      <c r="AA784" s="5"/>
      <c r="AB784" s="3"/>
      <c r="AC784" s="3"/>
      <c r="AD784" s="3"/>
      <c r="AE784" s="3"/>
      <c r="AF784" s="3"/>
      <c r="AG784" s="3"/>
      <c r="AH784" s="3"/>
    </row>
    <row r="785" spans="1:34" x14ac:dyDescent="0.3">
      <c r="A785" s="11"/>
      <c r="B785" s="12"/>
      <c r="C785" s="12"/>
      <c r="D785" s="13"/>
      <c r="E785" s="6"/>
      <c r="F785" s="3"/>
      <c r="G785" s="3"/>
      <c r="H785" s="3"/>
      <c r="I785" s="3"/>
      <c r="J785" s="3"/>
      <c r="K785" s="3"/>
      <c r="L785" s="3"/>
      <c r="M785" s="3"/>
      <c r="N785" s="3"/>
      <c r="O785" s="8"/>
      <c r="P785" s="3"/>
      <c r="Q785" s="3"/>
      <c r="R785" s="3"/>
      <c r="S785" s="3"/>
      <c r="T785" s="3"/>
      <c r="U785" s="3"/>
      <c r="V785" s="8"/>
      <c r="W785" s="3"/>
      <c r="X785" s="3"/>
      <c r="Y785" s="3"/>
      <c r="Z785" s="4"/>
      <c r="AA785" s="5"/>
      <c r="AB785" s="3"/>
      <c r="AC785" s="3"/>
      <c r="AD785" s="3"/>
      <c r="AE785" s="3"/>
      <c r="AF785" s="3"/>
      <c r="AG785" s="3"/>
      <c r="AH785" s="3"/>
    </row>
    <row r="786" spans="1:34" x14ac:dyDescent="0.3">
      <c r="A786" s="11"/>
      <c r="B786" s="12"/>
      <c r="C786" s="12"/>
      <c r="D786" s="13"/>
      <c r="E786" s="6"/>
      <c r="F786" s="3"/>
      <c r="G786" s="3"/>
      <c r="H786" s="3"/>
      <c r="I786" s="3"/>
      <c r="J786" s="3"/>
      <c r="K786" s="3"/>
      <c r="L786" s="3"/>
      <c r="M786" s="3"/>
      <c r="N786" s="3"/>
      <c r="O786" s="8"/>
      <c r="P786" s="3"/>
      <c r="Q786" s="3"/>
      <c r="R786" s="3"/>
      <c r="S786" s="3"/>
      <c r="T786" s="3"/>
      <c r="U786" s="3"/>
      <c r="V786" s="8"/>
      <c r="W786" s="3"/>
      <c r="X786" s="3"/>
      <c r="Y786" s="3"/>
      <c r="Z786" s="4"/>
      <c r="AA786" s="5"/>
      <c r="AB786" s="3"/>
      <c r="AC786" s="3"/>
      <c r="AD786" s="3"/>
      <c r="AE786" s="3"/>
      <c r="AF786" s="3"/>
      <c r="AG786" s="3"/>
      <c r="AH786" s="3"/>
    </row>
    <row r="787" spans="1:34" x14ac:dyDescent="0.3">
      <c r="A787" s="11"/>
      <c r="B787" s="12"/>
      <c r="C787" s="12"/>
      <c r="D787" s="13"/>
      <c r="E787" s="6"/>
      <c r="F787" s="3"/>
      <c r="G787" s="3"/>
      <c r="H787" s="3"/>
      <c r="I787" s="3"/>
      <c r="J787" s="3"/>
      <c r="K787" s="3"/>
      <c r="L787" s="3"/>
      <c r="M787" s="3"/>
      <c r="N787" s="3"/>
      <c r="O787" s="8"/>
      <c r="P787" s="3"/>
      <c r="Q787" s="3"/>
      <c r="R787" s="3"/>
      <c r="S787" s="3"/>
      <c r="T787" s="3"/>
      <c r="U787" s="3"/>
      <c r="V787" s="8"/>
      <c r="W787" s="3"/>
      <c r="X787" s="3"/>
      <c r="Y787" s="3"/>
      <c r="Z787" s="4"/>
      <c r="AA787" s="5"/>
      <c r="AB787" s="3"/>
      <c r="AC787" s="3"/>
      <c r="AD787" s="3"/>
      <c r="AE787" s="3"/>
      <c r="AF787" s="3"/>
      <c r="AG787" s="3"/>
      <c r="AH787" s="3"/>
    </row>
    <row r="788" spans="1:34" x14ac:dyDescent="0.3">
      <c r="A788" s="11"/>
      <c r="B788" s="12"/>
      <c r="C788" s="12"/>
      <c r="D788" s="13"/>
      <c r="E788" s="6"/>
      <c r="F788" s="3"/>
      <c r="G788" s="3"/>
      <c r="H788" s="3"/>
      <c r="I788" s="3"/>
      <c r="J788" s="3"/>
      <c r="K788" s="3"/>
      <c r="L788" s="3"/>
      <c r="M788" s="3"/>
      <c r="N788" s="3"/>
      <c r="O788" s="8"/>
      <c r="P788" s="3"/>
      <c r="Q788" s="3"/>
      <c r="R788" s="3"/>
      <c r="S788" s="3"/>
      <c r="T788" s="3"/>
      <c r="U788" s="3"/>
      <c r="V788" s="8"/>
      <c r="W788" s="3"/>
      <c r="X788" s="3"/>
      <c r="Y788" s="3"/>
      <c r="Z788" s="4"/>
      <c r="AA788" s="5"/>
      <c r="AB788" s="3"/>
      <c r="AC788" s="3"/>
      <c r="AD788" s="3"/>
      <c r="AE788" s="3"/>
      <c r="AF788" s="3"/>
      <c r="AG788" s="3"/>
      <c r="AH788" s="3"/>
    </row>
    <row r="789" spans="1:34" x14ac:dyDescent="0.3">
      <c r="A789" s="11"/>
      <c r="B789" s="12"/>
      <c r="C789" s="12"/>
      <c r="D789" s="13"/>
      <c r="E789" s="6"/>
      <c r="F789" s="3"/>
      <c r="G789" s="3"/>
      <c r="H789" s="3"/>
      <c r="I789" s="3"/>
      <c r="J789" s="3"/>
      <c r="K789" s="3"/>
      <c r="L789" s="3"/>
      <c r="M789" s="3"/>
      <c r="N789" s="3"/>
      <c r="O789" s="8"/>
      <c r="P789" s="3"/>
      <c r="Q789" s="3"/>
      <c r="R789" s="3"/>
      <c r="S789" s="3"/>
      <c r="T789" s="3"/>
      <c r="U789" s="3"/>
      <c r="V789" s="8"/>
      <c r="W789" s="3"/>
      <c r="X789" s="3"/>
      <c r="Y789" s="3"/>
      <c r="Z789" s="4"/>
      <c r="AA789" s="5"/>
      <c r="AB789" s="3"/>
      <c r="AC789" s="3"/>
      <c r="AD789" s="3"/>
      <c r="AE789" s="3"/>
      <c r="AF789" s="3"/>
      <c r="AG789" s="3"/>
      <c r="AH789" s="3"/>
    </row>
    <row r="790" spans="1:34" x14ac:dyDescent="0.3">
      <c r="A790" s="11"/>
      <c r="B790" s="12"/>
      <c r="C790" s="12"/>
      <c r="D790" s="13"/>
      <c r="E790" s="6"/>
      <c r="F790" s="3"/>
      <c r="G790" s="3"/>
      <c r="H790" s="3"/>
      <c r="I790" s="3"/>
      <c r="J790" s="3"/>
      <c r="K790" s="3"/>
      <c r="L790" s="3"/>
      <c r="M790" s="3"/>
      <c r="N790" s="3"/>
      <c r="O790" s="8"/>
      <c r="P790" s="3"/>
      <c r="Q790" s="3"/>
      <c r="R790" s="3"/>
      <c r="S790" s="3"/>
      <c r="T790" s="3"/>
      <c r="U790" s="3"/>
      <c r="V790" s="8"/>
      <c r="W790" s="3"/>
      <c r="X790" s="3"/>
      <c r="Y790" s="3"/>
      <c r="Z790" s="4"/>
      <c r="AA790" s="5"/>
      <c r="AB790" s="3"/>
      <c r="AC790" s="3"/>
      <c r="AD790" s="3"/>
      <c r="AE790" s="3"/>
      <c r="AF790" s="3"/>
      <c r="AG790" s="3"/>
      <c r="AH790" s="3"/>
    </row>
    <row r="791" spans="1:34" x14ac:dyDescent="0.3">
      <c r="A791" s="11"/>
      <c r="B791" s="12"/>
      <c r="C791" s="12"/>
      <c r="D791" s="13"/>
      <c r="E791" s="6"/>
      <c r="F791" s="3"/>
      <c r="G791" s="3"/>
      <c r="H791" s="3"/>
      <c r="I791" s="3"/>
      <c r="J791" s="3"/>
      <c r="K791" s="3"/>
      <c r="L791" s="3"/>
      <c r="M791" s="3"/>
      <c r="N791" s="3"/>
      <c r="O791" s="8"/>
      <c r="P791" s="3"/>
      <c r="Q791" s="3"/>
      <c r="R791" s="3"/>
      <c r="S791" s="3"/>
      <c r="T791" s="3"/>
      <c r="U791" s="3"/>
      <c r="V791" s="8"/>
      <c r="W791" s="3"/>
      <c r="X791" s="3"/>
      <c r="Y791" s="3"/>
      <c r="Z791" s="4"/>
      <c r="AA791" s="5"/>
      <c r="AB791" s="3"/>
      <c r="AC791" s="3"/>
      <c r="AD791" s="3"/>
      <c r="AE791" s="3"/>
      <c r="AF791" s="3"/>
      <c r="AG791" s="3"/>
      <c r="AH791" s="3"/>
    </row>
    <row r="792" spans="1:34" x14ac:dyDescent="0.3">
      <c r="A792" s="11"/>
      <c r="B792" s="12"/>
      <c r="C792" s="12"/>
      <c r="D792" s="13"/>
      <c r="E792" s="6"/>
      <c r="F792" s="3"/>
      <c r="G792" s="3"/>
      <c r="H792" s="3"/>
      <c r="I792" s="3"/>
      <c r="J792" s="3"/>
      <c r="K792" s="3"/>
      <c r="L792" s="3"/>
      <c r="M792" s="3"/>
      <c r="N792" s="3"/>
      <c r="O792" s="8"/>
      <c r="P792" s="3"/>
      <c r="Q792" s="3"/>
      <c r="R792" s="3"/>
      <c r="S792" s="3"/>
      <c r="T792" s="3"/>
      <c r="U792" s="3"/>
      <c r="V792" s="8"/>
      <c r="W792" s="3"/>
      <c r="X792" s="3"/>
      <c r="Y792" s="3"/>
      <c r="Z792" s="4"/>
      <c r="AA792" s="5"/>
      <c r="AB792" s="3"/>
      <c r="AC792" s="3"/>
      <c r="AD792" s="3"/>
      <c r="AE792" s="3"/>
      <c r="AF792" s="3"/>
      <c r="AG792" s="3"/>
      <c r="AH792" s="3"/>
    </row>
    <row r="793" spans="1:34" x14ac:dyDescent="0.3">
      <c r="A793" s="11"/>
      <c r="B793" s="12"/>
      <c r="C793" s="12"/>
      <c r="D793" s="13"/>
      <c r="E793" s="6"/>
      <c r="F793" s="3"/>
      <c r="G793" s="3"/>
      <c r="H793" s="3"/>
      <c r="I793" s="3"/>
      <c r="J793" s="3"/>
      <c r="K793" s="3"/>
      <c r="L793" s="3"/>
      <c r="M793" s="3"/>
      <c r="N793" s="3"/>
      <c r="O793" s="8"/>
      <c r="P793" s="3"/>
      <c r="Q793" s="3"/>
      <c r="R793" s="3"/>
      <c r="S793" s="3"/>
      <c r="T793" s="3"/>
      <c r="U793" s="3"/>
      <c r="V793" s="8"/>
      <c r="W793" s="3"/>
      <c r="X793" s="3"/>
      <c r="Y793" s="3"/>
      <c r="Z793" s="4"/>
      <c r="AA793" s="5"/>
      <c r="AB793" s="3"/>
      <c r="AC793" s="3"/>
      <c r="AD793" s="3"/>
      <c r="AE793" s="3"/>
      <c r="AF793" s="3"/>
      <c r="AG793" s="3"/>
      <c r="AH793" s="3"/>
    </row>
    <row r="794" spans="1:34" x14ac:dyDescent="0.3">
      <c r="A794" s="11"/>
      <c r="B794" s="12"/>
      <c r="C794" s="12"/>
      <c r="D794" s="13"/>
      <c r="E794" s="6"/>
      <c r="F794" s="3"/>
      <c r="G794" s="3"/>
      <c r="H794" s="3"/>
      <c r="I794" s="3"/>
      <c r="J794" s="3"/>
      <c r="K794" s="3"/>
      <c r="L794" s="3"/>
      <c r="M794" s="3"/>
      <c r="N794" s="3"/>
      <c r="O794" s="8"/>
      <c r="P794" s="3"/>
      <c r="Q794" s="3"/>
      <c r="R794" s="3"/>
      <c r="S794" s="3"/>
      <c r="T794" s="3"/>
      <c r="U794" s="3"/>
      <c r="V794" s="8"/>
      <c r="W794" s="3"/>
      <c r="X794" s="3"/>
      <c r="Y794" s="3"/>
      <c r="Z794" s="4"/>
      <c r="AA794" s="5"/>
      <c r="AB794" s="3"/>
      <c r="AC794" s="3"/>
      <c r="AD794" s="3"/>
      <c r="AE794" s="3"/>
      <c r="AF794" s="3"/>
      <c r="AG794" s="3"/>
      <c r="AH794" s="3"/>
    </row>
    <row r="795" spans="1:34" x14ac:dyDescent="0.3">
      <c r="A795" s="11"/>
      <c r="B795" s="12"/>
      <c r="C795" s="12"/>
      <c r="D795" s="13"/>
      <c r="E795" s="6"/>
      <c r="F795" s="3"/>
      <c r="G795" s="3"/>
      <c r="H795" s="3"/>
      <c r="I795" s="3"/>
      <c r="J795" s="3"/>
      <c r="K795" s="3"/>
      <c r="L795" s="3"/>
      <c r="M795" s="3"/>
      <c r="N795" s="3"/>
      <c r="O795" s="8"/>
      <c r="P795" s="3"/>
      <c r="Q795" s="3"/>
      <c r="R795" s="3"/>
      <c r="S795" s="3"/>
      <c r="T795" s="3"/>
      <c r="U795" s="3"/>
      <c r="V795" s="8"/>
      <c r="W795" s="3"/>
      <c r="X795" s="3"/>
      <c r="Y795" s="3"/>
      <c r="Z795" s="4"/>
      <c r="AA795" s="5"/>
      <c r="AB795" s="3"/>
      <c r="AC795" s="3"/>
      <c r="AD795" s="3"/>
      <c r="AE795" s="3"/>
      <c r="AF795" s="3"/>
      <c r="AG795" s="3"/>
      <c r="AH795" s="3"/>
    </row>
    <row r="796" spans="1:34" x14ac:dyDescent="0.3">
      <c r="A796" s="11"/>
      <c r="B796" s="12"/>
      <c r="C796" s="12"/>
      <c r="D796" s="13"/>
      <c r="E796" s="6"/>
      <c r="F796" s="3"/>
      <c r="G796" s="3"/>
      <c r="H796" s="3"/>
      <c r="I796" s="3"/>
      <c r="J796" s="3"/>
      <c r="K796" s="3"/>
      <c r="L796" s="3"/>
      <c r="M796" s="3"/>
      <c r="N796" s="3"/>
      <c r="O796" s="8"/>
      <c r="P796" s="3"/>
      <c r="Q796" s="3"/>
      <c r="R796" s="3"/>
      <c r="S796" s="3"/>
      <c r="T796" s="3"/>
      <c r="U796" s="3"/>
      <c r="V796" s="8"/>
      <c r="W796" s="3"/>
      <c r="X796" s="3"/>
      <c r="Y796" s="3"/>
      <c r="Z796" s="4"/>
      <c r="AA796" s="5"/>
      <c r="AB796" s="3"/>
      <c r="AC796" s="3"/>
      <c r="AD796" s="3"/>
      <c r="AE796" s="3"/>
      <c r="AF796" s="3"/>
      <c r="AG796" s="3"/>
      <c r="AH796" s="3"/>
    </row>
    <row r="797" spans="1:34" x14ac:dyDescent="0.3">
      <c r="A797" s="11"/>
      <c r="B797" s="12"/>
      <c r="C797" s="12"/>
      <c r="D797" s="13"/>
      <c r="E797" s="6"/>
      <c r="F797" s="3"/>
      <c r="G797" s="3"/>
      <c r="H797" s="3"/>
      <c r="I797" s="3"/>
      <c r="J797" s="3"/>
      <c r="K797" s="3"/>
      <c r="L797" s="3"/>
      <c r="M797" s="3"/>
      <c r="N797" s="3"/>
      <c r="O797" s="8"/>
      <c r="P797" s="3"/>
      <c r="Q797" s="3"/>
      <c r="R797" s="3"/>
      <c r="S797" s="3"/>
      <c r="T797" s="3"/>
      <c r="U797" s="3"/>
      <c r="V797" s="8"/>
      <c r="W797" s="3"/>
      <c r="X797" s="3"/>
      <c r="Y797" s="3"/>
      <c r="Z797" s="4"/>
      <c r="AA797" s="5"/>
      <c r="AB797" s="3"/>
      <c r="AC797" s="3"/>
      <c r="AD797" s="3"/>
      <c r="AE797" s="3"/>
      <c r="AF797" s="3"/>
      <c r="AG797" s="3"/>
      <c r="AH797" s="3"/>
    </row>
    <row r="798" spans="1:34" x14ac:dyDescent="0.3">
      <c r="A798" s="11"/>
      <c r="B798" s="12"/>
      <c r="C798" s="12"/>
      <c r="D798" s="13"/>
      <c r="E798" s="6"/>
      <c r="F798" s="3"/>
      <c r="G798" s="3"/>
      <c r="H798" s="3"/>
      <c r="I798" s="3"/>
      <c r="J798" s="3"/>
      <c r="K798" s="3"/>
      <c r="L798" s="3"/>
      <c r="M798" s="3"/>
      <c r="N798" s="3"/>
      <c r="O798" s="8"/>
      <c r="P798" s="3"/>
      <c r="Q798" s="3"/>
      <c r="R798" s="3"/>
      <c r="S798" s="3"/>
      <c r="T798" s="3"/>
      <c r="U798" s="3"/>
      <c r="V798" s="8"/>
      <c r="W798" s="3"/>
      <c r="X798" s="3"/>
      <c r="Y798" s="3"/>
      <c r="Z798" s="4"/>
      <c r="AA798" s="5"/>
      <c r="AB798" s="3"/>
      <c r="AC798" s="3"/>
      <c r="AD798" s="3"/>
      <c r="AE798" s="3"/>
      <c r="AF798" s="3"/>
      <c r="AG798" s="3"/>
      <c r="AH798" s="3"/>
    </row>
    <row r="799" spans="1:34" x14ac:dyDescent="0.3">
      <c r="A799" s="11"/>
      <c r="B799" s="12"/>
      <c r="C799" s="12"/>
      <c r="D799" s="13"/>
      <c r="E799" s="6"/>
      <c r="F799" s="3"/>
      <c r="G799" s="3"/>
      <c r="H799" s="3"/>
      <c r="I799" s="3"/>
      <c r="J799" s="3"/>
      <c r="K799" s="3"/>
      <c r="L799" s="3"/>
      <c r="M799" s="3"/>
      <c r="N799" s="3"/>
      <c r="O799" s="8"/>
      <c r="P799" s="3"/>
      <c r="Q799" s="3"/>
      <c r="R799" s="3"/>
      <c r="S799" s="3"/>
      <c r="T799" s="3"/>
      <c r="U799" s="3"/>
      <c r="V799" s="8"/>
      <c r="W799" s="3"/>
      <c r="X799" s="3"/>
      <c r="Y799" s="3"/>
      <c r="Z799" s="4"/>
      <c r="AA799" s="5"/>
      <c r="AB799" s="3"/>
      <c r="AC799" s="3"/>
      <c r="AD799" s="3"/>
      <c r="AE799" s="3"/>
      <c r="AF799" s="3"/>
      <c r="AG799" s="3"/>
      <c r="AH799" s="3"/>
    </row>
    <row r="800" spans="1:34" x14ac:dyDescent="0.3">
      <c r="A800" s="11"/>
      <c r="B800" s="12"/>
      <c r="C800" s="12"/>
      <c r="D800" s="13"/>
      <c r="E800" s="6"/>
      <c r="F800" s="3"/>
      <c r="G800" s="3"/>
      <c r="H800" s="3"/>
      <c r="I800" s="3"/>
      <c r="J800" s="3"/>
      <c r="K800" s="3"/>
      <c r="L800" s="3"/>
      <c r="M800" s="3"/>
      <c r="N800" s="3"/>
      <c r="O800" s="8"/>
      <c r="P800" s="3"/>
      <c r="Q800" s="3"/>
      <c r="R800" s="3"/>
      <c r="S800" s="3"/>
      <c r="T800" s="3"/>
      <c r="U800" s="3"/>
      <c r="V800" s="8"/>
      <c r="W800" s="3"/>
      <c r="X800" s="3"/>
      <c r="Y800" s="3"/>
      <c r="Z800" s="4"/>
      <c r="AA800" s="5"/>
      <c r="AB800" s="3"/>
      <c r="AC800" s="3"/>
      <c r="AD800" s="3"/>
      <c r="AE800" s="3"/>
      <c r="AF800" s="3"/>
      <c r="AG800" s="3"/>
      <c r="AH800" s="3"/>
    </row>
    <row r="801" spans="1:34" x14ac:dyDescent="0.3">
      <c r="A801" s="11"/>
      <c r="B801" s="12"/>
      <c r="C801" s="12"/>
      <c r="D801" s="13"/>
      <c r="E801" s="6"/>
      <c r="F801" s="3"/>
      <c r="G801" s="3"/>
      <c r="H801" s="3"/>
      <c r="I801" s="3"/>
      <c r="J801" s="3"/>
      <c r="K801" s="3"/>
      <c r="L801" s="3"/>
      <c r="M801" s="3"/>
      <c r="N801" s="3"/>
      <c r="O801" s="8"/>
      <c r="P801" s="3"/>
      <c r="Q801" s="3"/>
      <c r="R801" s="3"/>
      <c r="S801" s="3"/>
      <c r="T801" s="3"/>
      <c r="U801" s="3"/>
      <c r="V801" s="8"/>
      <c r="W801" s="3"/>
      <c r="X801" s="3"/>
      <c r="Y801" s="3"/>
      <c r="Z801" s="4"/>
      <c r="AA801" s="5"/>
      <c r="AB801" s="3"/>
      <c r="AC801" s="3"/>
      <c r="AD801" s="3"/>
      <c r="AE801" s="3"/>
      <c r="AF801" s="3"/>
      <c r="AG801" s="3"/>
      <c r="AH801" s="3"/>
    </row>
    <row r="802" spans="1:34" x14ac:dyDescent="0.3">
      <c r="A802" s="11"/>
      <c r="B802" s="12"/>
      <c r="C802" s="12"/>
      <c r="D802" s="13"/>
      <c r="E802" s="6"/>
      <c r="F802" s="3"/>
      <c r="G802" s="3"/>
      <c r="H802" s="3"/>
      <c r="I802" s="3"/>
      <c r="J802" s="3"/>
      <c r="K802" s="3"/>
      <c r="L802" s="3"/>
      <c r="M802" s="3"/>
      <c r="N802" s="3"/>
      <c r="O802" s="8"/>
      <c r="P802" s="3"/>
      <c r="Q802" s="3"/>
      <c r="R802" s="3"/>
      <c r="S802" s="3"/>
      <c r="T802" s="3"/>
      <c r="U802" s="3"/>
      <c r="V802" s="8"/>
      <c r="W802" s="3"/>
      <c r="X802" s="3"/>
      <c r="Y802" s="3"/>
      <c r="Z802" s="4"/>
      <c r="AA802" s="5"/>
      <c r="AB802" s="3"/>
      <c r="AC802" s="3"/>
      <c r="AD802" s="3"/>
      <c r="AE802" s="3"/>
      <c r="AF802" s="3"/>
      <c r="AG802" s="3"/>
      <c r="AH802" s="3"/>
    </row>
    <row r="803" spans="1:34" x14ac:dyDescent="0.3">
      <c r="A803" s="11"/>
      <c r="B803" s="12"/>
      <c r="C803" s="12"/>
      <c r="D803" s="13"/>
      <c r="E803" s="6"/>
      <c r="F803" s="3"/>
      <c r="G803" s="3"/>
      <c r="H803" s="3"/>
      <c r="I803" s="3"/>
      <c r="J803" s="3"/>
      <c r="K803" s="3"/>
      <c r="L803" s="3"/>
      <c r="M803" s="3"/>
      <c r="N803" s="3"/>
      <c r="O803" s="8"/>
      <c r="P803" s="3"/>
      <c r="Q803" s="3"/>
      <c r="R803" s="3"/>
      <c r="S803" s="3"/>
      <c r="T803" s="3"/>
      <c r="U803" s="3"/>
      <c r="V803" s="8"/>
      <c r="W803" s="3"/>
      <c r="X803" s="3"/>
      <c r="Y803" s="3"/>
      <c r="Z803" s="4"/>
      <c r="AA803" s="5"/>
      <c r="AB803" s="3"/>
      <c r="AC803" s="3"/>
      <c r="AD803" s="3"/>
      <c r="AE803" s="3"/>
      <c r="AF803" s="3"/>
      <c r="AG803" s="3"/>
      <c r="AH803" s="3"/>
    </row>
    <row r="804" spans="1:34" x14ac:dyDescent="0.3">
      <c r="A804" s="11"/>
      <c r="B804" s="12"/>
      <c r="C804" s="12"/>
      <c r="D804" s="13"/>
      <c r="E804" s="6"/>
      <c r="F804" s="3"/>
      <c r="G804" s="3"/>
      <c r="H804" s="3"/>
      <c r="I804" s="3"/>
      <c r="J804" s="3"/>
      <c r="K804" s="3"/>
      <c r="L804" s="3"/>
      <c r="M804" s="3"/>
      <c r="N804" s="3"/>
      <c r="O804" s="8"/>
      <c r="P804" s="3"/>
      <c r="Q804" s="3"/>
      <c r="R804" s="3"/>
      <c r="S804" s="3"/>
      <c r="T804" s="3"/>
      <c r="U804" s="3"/>
      <c r="V804" s="8"/>
      <c r="W804" s="3"/>
      <c r="X804" s="3"/>
      <c r="Y804" s="3"/>
      <c r="Z804" s="4"/>
      <c r="AA804" s="5"/>
      <c r="AB804" s="3"/>
      <c r="AC804" s="3"/>
      <c r="AD804" s="3"/>
      <c r="AE804" s="3"/>
      <c r="AF804" s="3"/>
      <c r="AG804" s="3"/>
      <c r="AH804" s="3"/>
    </row>
    <row r="805" spans="1:34" x14ac:dyDescent="0.3">
      <c r="A805" s="11"/>
      <c r="B805" s="12"/>
      <c r="C805" s="12"/>
      <c r="D805" s="13"/>
      <c r="E805" s="6"/>
      <c r="F805" s="3"/>
      <c r="G805" s="3"/>
      <c r="H805" s="3"/>
      <c r="I805" s="3"/>
      <c r="J805" s="3"/>
      <c r="K805" s="3"/>
      <c r="L805" s="3"/>
      <c r="M805" s="3"/>
      <c r="N805" s="3"/>
      <c r="O805" s="8"/>
      <c r="P805" s="3"/>
      <c r="Q805" s="3"/>
      <c r="R805" s="3"/>
      <c r="S805" s="3"/>
      <c r="T805" s="3"/>
      <c r="U805" s="3"/>
      <c r="V805" s="8"/>
      <c r="W805" s="3"/>
      <c r="X805" s="3"/>
      <c r="Y805" s="3"/>
      <c r="Z805" s="4"/>
      <c r="AA805" s="5"/>
      <c r="AB805" s="3"/>
      <c r="AC805" s="3"/>
      <c r="AD805" s="3"/>
      <c r="AE805" s="3"/>
      <c r="AF805" s="3"/>
      <c r="AG805" s="3"/>
      <c r="AH805" s="3"/>
    </row>
    <row r="806" spans="1:34" x14ac:dyDescent="0.3">
      <c r="A806" s="11"/>
      <c r="B806" s="12"/>
      <c r="C806" s="12"/>
      <c r="D806" s="13"/>
      <c r="E806" s="6"/>
      <c r="F806" s="3"/>
      <c r="G806" s="3"/>
      <c r="H806" s="3"/>
      <c r="I806" s="3"/>
      <c r="J806" s="3"/>
      <c r="K806" s="3"/>
      <c r="L806" s="3"/>
      <c r="M806" s="3"/>
      <c r="N806" s="3"/>
      <c r="O806" s="8"/>
      <c r="P806" s="3"/>
      <c r="Q806" s="3"/>
      <c r="R806" s="3"/>
      <c r="S806" s="3"/>
      <c r="T806" s="3"/>
      <c r="U806" s="3"/>
      <c r="V806" s="8"/>
      <c r="W806" s="3"/>
      <c r="X806" s="3"/>
      <c r="Y806" s="3"/>
      <c r="Z806" s="4"/>
      <c r="AA806" s="5"/>
      <c r="AB806" s="3"/>
      <c r="AC806" s="3"/>
      <c r="AD806" s="3"/>
      <c r="AE806" s="3"/>
      <c r="AF806" s="3"/>
      <c r="AG806" s="3"/>
      <c r="AH806" s="3"/>
    </row>
    <row r="807" spans="1:34" x14ac:dyDescent="0.3">
      <c r="A807" s="11"/>
      <c r="B807" s="12"/>
      <c r="C807" s="12"/>
      <c r="D807" s="13"/>
      <c r="E807" s="6"/>
      <c r="F807" s="3"/>
      <c r="G807" s="3"/>
      <c r="H807" s="3"/>
      <c r="I807" s="3"/>
      <c r="J807" s="3"/>
      <c r="K807" s="3"/>
      <c r="L807" s="3"/>
      <c r="M807" s="3"/>
      <c r="N807" s="3"/>
      <c r="O807" s="8"/>
      <c r="P807" s="3"/>
      <c r="Q807" s="3"/>
      <c r="R807" s="3"/>
      <c r="S807" s="3"/>
      <c r="T807" s="3"/>
      <c r="U807" s="3"/>
      <c r="V807" s="8"/>
      <c r="W807" s="3"/>
      <c r="X807" s="3"/>
      <c r="Y807" s="3"/>
      <c r="Z807" s="4"/>
      <c r="AA807" s="5"/>
      <c r="AB807" s="3"/>
      <c r="AC807" s="3"/>
      <c r="AD807" s="3"/>
      <c r="AE807" s="3"/>
      <c r="AF807" s="3"/>
      <c r="AG807" s="3"/>
      <c r="AH807" s="3"/>
    </row>
    <row r="808" spans="1:34" x14ac:dyDescent="0.3">
      <c r="A808" s="11"/>
      <c r="B808" s="12"/>
      <c r="C808" s="12"/>
      <c r="D808" s="13"/>
      <c r="E808" s="6"/>
      <c r="F808" s="3"/>
      <c r="G808" s="3"/>
      <c r="H808" s="3"/>
      <c r="I808" s="3"/>
      <c r="J808" s="3"/>
      <c r="K808" s="3"/>
      <c r="L808" s="3"/>
      <c r="M808" s="3"/>
      <c r="N808" s="3"/>
      <c r="O808" s="8"/>
      <c r="P808" s="3"/>
      <c r="Q808" s="3"/>
      <c r="R808" s="3"/>
      <c r="S808" s="3"/>
      <c r="T808" s="3"/>
      <c r="U808" s="3"/>
      <c r="V808" s="8"/>
      <c r="W808" s="3"/>
      <c r="X808" s="3"/>
      <c r="Y808" s="3"/>
      <c r="Z808" s="4"/>
      <c r="AA808" s="5"/>
      <c r="AB808" s="3"/>
      <c r="AC808" s="3"/>
      <c r="AD808" s="3"/>
      <c r="AE808" s="3"/>
      <c r="AF808" s="3"/>
      <c r="AG808" s="3"/>
      <c r="AH808" s="3"/>
    </row>
    <row r="809" spans="1:34" x14ac:dyDescent="0.3">
      <c r="A809" s="11"/>
      <c r="B809" s="12"/>
      <c r="C809" s="12"/>
      <c r="D809" s="13"/>
      <c r="E809" s="6"/>
      <c r="F809" s="3"/>
      <c r="G809" s="3"/>
      <c r="H809" s="3"/>
      <c r="I809" s="3"/>
      <c r="J809" s="3"/>
      <c r="K809" s="3"/>
      <c r="L809" s="3"/>
      <c r="M809" s="3"/>
      <c r="N809" s="3"/>
      <c r="O809" s="8"/>
      <c r="P809" s="3"/>
      <c r="Q809" s="3"/>
      <c r="R809" s="3"/>
      <c r="S809" s="3"/>
      <c r="T809" s="3"/>
      <c r="U809" s="3"/>
      <c r="V809" s="8"/>
      <c r="W809" s="3"/>
      <c r="X809" s="3"/>
      <c r="Y809" s="3"/>
      <c r="Z809" s="4"/>
      <c r="AA809" s="5"/>
      <c r="AB809" s="3"/>
      <c r="AC809" s="3"/>
      <c r="AD809" s="3"/>
      <c r="AE809" s="3"/>
      <c r="AF809" s="3"/>
      <c r="AG809" s="3"/>
      <c r="AH809" s="3"/>
    </row>
    <row r="810" spans="1:34" x14ac:dyDescent="0.3">
      <c r="A810" s="11"/>
      <c r="B810" s="12"/>
      <c r="C810" s="12"/>
      <c r="D810" s="13"/>
      <c r="E810" s="6"/>
      <c r="F810" s="3"/>
      <c r="G810" s="3"/>
      <c r="H810" s="3"/>
      <c r="I810" s="3"/>
      <c r="J810" s="3"/>
      <c r="K810" s="3"/>
      <c r="L810" s="3"/>
      <c r="M810" s="3"/>
      <c r="N810" s="3"/>
      <c r="O810" s="8"/>
      <c r="P810" s="3"/>
      <c r="Q810" s="3"/>
      <c r="R810" s="3"/>
      <c r="S810" s="3"/>
      <c r="T810" s="3"/>
      <c r="U810" s="3"/>
      <c r="V810" s="8"/>
      <c r="W810" s="3"/>
      <c r="X810" s="3"/>
      <c r="Y810" s="3"/>
      <c r="Z810" s="4"/>
      <c r="AA810" s="5"/>
      <c r="AB810" s="3"/>
      <c r="AC810" s="3"/>
      <c r="AD810" s="3"/>
      <c r="AE810" s="3"/>
      <c r="AF810" s="3"/>
      <c r="AG810" s="3"/>
      <c r="AH810" s="3"/>
    </row>
    <row r="811" spans="1:34" x14ac:dyDescent="0.3">
      <c r="A811" s="11"/>
      <c r="B811" s="12"/>
      <c r="C811" s="12"/>
      <c r="D811" s="13"/>
      <c r="E811" s="6"/>
      <c r="F811" s="3"/>
      <c r="G811" s="3"/>
      <c r="H811" s="3"/>
      <c r="I811" s="3"/>
      <c r="J811" s="3"/>
      <c r="K811" s="3"/>
      <c r="L811" s="3"/>
      <c r="M811" s="3"/>
      <c r="N811" s="3"/>
      <c r="O811" s="8"/>
      <c r="P811" s="3"/>
      <c r="Q811" s="3"/>
      <c r="R811" s="3"/>
      <c r="S811" s="3"/>
      <c r="T811" s="3"/>
      <c r="U811" s="3"/>
      <c r="V811" s="8"/>
      <c r="W811" s="3"/>
      <c r="X811" s="3"/>
      <c r="Y811" s="3"/>
      <c r="Z811" s="4"/>
      <c r="AA811" s="5"/>
      <c r="AB811" s="3"/>
      <c r="AC811" s="3"/>
      <c r="AD811" s="3"/>
      <c r="AE811" s="3"/>
      <c r="AF811" s="3"/>
      <c r="AG811" s="3"/>
      <c r="AH811" s="3"/>
    </row>
    <row r="812" spans="1:34" x14ac:dyDescent="0.3">
      <c r="A812" s="11"/>
      <c r="B812" s="12"/>
      <c r="C812" s="12"/>
      <c r="D812" s="13"/>
      <c r="E812" s="6"/>
      <c r="F812" s="3"/>
      <c r="G812" s="3"/>
      <c r="H812" s="3"/>
      <c r="I812" s="3"/>
      <c r="J812" s="3"/>
      <c r="K812" s="3"/>
      <c r="L812" s="3"/>
      <c r="M812" s="3"/>
      <c r="N812" s="3"/>
      <c r="O812" s="8"/>
      <c r="P812" s="3"/>
      <c r="Q812" s="3"/>
      <c r="R812" s="3"/>
      <c r="S812" s="3"/>
      <c r="T812" s="3"/>
      <c r="U812" s="3"/>
      <c r="V812" s="8"/>
      <c r="W812" s="3"/>
      <c r="X812" s="3"/>
      <c r="Y812" s="3"/>
      <c r="Z812" s="4"/>
      <c r="AA812" s="5"/>
      <c r="AB812" s="3"/>
      <c r="AC812" s="3"/>
      <c r="AD812" s="3"/>
      <c r="AE812" s="3"/>
      <c r="AF812" s="3"/>
      <c r="AG812" s="3"/>
      <c r="AH812" s="3"/>
    </row>
    <row r="813" spans="1:34" x14ac:dyDescent="0.3">
      <c r="A813" s="11"/>
      <c r="B813" s="12"/>
      <c r="C813" s="12"/>
      <c r="D813" s="13"/>
      <c r="E813" s="6"/>
      <c r="F813" s="3"/>
      <c r="G813" s="3"/>
      <c r="H813" s="3"/>
      <c r="I813" s="3"/>
      <c r="J813" s="3"/>
      <c r="K813" s="3"/>
      <c r="L813" s="3"/>
      <c r="M813" s="3"/>
      <c r="N813" s="3"/>
      <c r="O813" s="8"/>
      <c r="P813" s="3"/>
      <c r="Q813" s="3"/>
      <c r="R813" s="3"/>
      <c r="S813" s="3"/>
      <c r="T813" s="3"/>
      <c r="U813" s="3"/>
      <c r="V813" s="8"/>
      <c r="W813" s="3"/>
      <c r="X813" s="3"/>
      <c r="Y813" s="3"/>
      <c r="Z813" s="4"/>
      <c r="AA813" s="5"/>
      <c r="AB813" s="3"/>
      <c r="AC813" s="3"/>
      <c r="AD813" s="3"/>
      <c r="AE813" s="3"/>
      <c r="AF813" s="3"/>
      <c r="AG813" s="3"/>
      <c r="AH813" s="3"/>
    </row>
    <row r="814" spans="1:34" x14ac:dyDescent="0.3">
      <c r="A814" s="11"/>
      <c r="B814" s="12"/>
      <c r="C814" s="12"/>
      <c r="D814" s="13"/>
      <c r="E814" s="6"/>
      <c r="F814" s="3"/>
      <c r="G814" s="3"/>
      <c r="H814" s="3"/>
      <c r="I814" s="3"/>
      <c r="J814" s="3"/>
      <c r="K814" s="3"/>
      <c r="L814" s="3"/>
      <c r="M814" s="3"/>
      <c r="N814" s="3"/>
      <c r="O814" s="8"/>
      <c r="P814" s="3"/>
      <c r="Q814" s="3"/>
      <c r="R814" s="3"/>
      <c r="S814" s="3"/>
      <c r="T814" s="3"/>
      <c r="U814" s="3"/>
      <c r="V814" s="8"/>
      <c r="W814" s="3"/>
      <c r="X814" s="3"/>
      <c r="Y814" s="3"/>
      <c r="Z814" s="4"/>
      <c r="AA814" s="5"/>
      <c r="AB814" s="3"/>
      <c r="AC814" s="3"/>
      <c r="AD814" s="3"/>
      <c r="AE814" s="3"/>
      <c r="AF814" s="3"/>
      <c r="AG814" s="3"/>
      <c r="AH814" s="3"/>
    </row>
    <row r="815" spans="1:34" x14ac:dyDescent="0.3">
      <c r="A815" s="11"/>
      <c r="B815" s="12"/>
      <c r="C815" s="12"/>
      <c r="D815" s="13"/>
      <c r="E815" s="6"/>
      <c r="F815" s="3"/>
      <c r="G815" s="3"/>
      <c r="H815" s="3"/>
      <c r="I815" s="3"/>
      <c r="J815" s="3"/>
      <c r="K815" s="3"/>
      <c r="L815" s="3"/>
      <c r="M815" s="3"/>
      <c r="N815" s="3"/>
      <c r="O815" s="8"/>
      <c r="P815" s="3"/>
      <c r="Q815" s="3"/>
      <c r="R815" s="3"/>
      <c r="S815" s="3"/>
      <c r="T815" s="3"/>
      <c r="U815" s="3"/>
      <c r="V815" s="8"/>
      <c r="W815" s="3"/>
      <c r="X815" s="3"/>
      <c r="Y815" s="3"/>
      <c r="Z815" s="4"/>
      <c r="AA815" s="5"/>
      <c r="AB815" s="3"/>
      <c r="AC815" s="3"/>
      <c r="AD815" s="3"/>
      <c r="AE815" s="3"/>
      <c r="AF815" s="3"/>
      <c r="AG815" s="3"/>
      <c r="AH815" s="3"/>
    </row>
    <row r="816" spans="1:34" x14ac:dyDescent="0.3">
      <c r="A816" s="11"/>
      <c r="B816" s="12"/>
      <c r="C816" s="12"/>
      <c r="D816" s="13"/>
      <c r="E816" s="6"/>
      <c r="F816" s="3"/>
      <c r="G816" s="3"/>
      <c r="H816" s="3"/>
      <c r="I816" s="3"/>
      <c r="J816" s="3"/>
      <c r="K816" s="3"/>
      <c r="L816" s="3"/>
      <c r="M816" s="3"/>
      <c r="N816" s="3"/>
      <c r="O816" s="8"/>
      <c r="P816" s="3"/>
      <c r="Q816" s="3"/>
      <c r="R816" s="3"/>
      <c r="S816" s="3"/>
      <c r="T816" s="3"/>
      <c r="U816" s="3"/>
      <c r="V816" s="8"/>
      <c r="W816" s="3"/>
      <c r="X816" s="3"/>
      <c r="Y816" s="3"/>
      <c r="Z816" s="4"/>
      <c r="AA816" s="5"/>
      <c r="AB816" s="3"/>
      <c r="AC816" s="3"/>
      <c r="AD816" s="3"/>
      <c r="AE816" s="3"/>
      <c r="AF816" s="3"/>
      <c r="AG816" s="3"/>
      <c r="AH816" s="3"/>
    </row>
    <row r="817" spans="1:34" x14ac:dyDescent="0.3">
      <c r="A817" s="11"/>
      <c r="B817" s="12"/>
      <c r="C817" s="12"/>
      <c r="D817" s="13"/>
      <c r="E817" s="6"/>
      <c r="F817" s="3"/>
      <c r="G817" s="3"/>
      <c r="H817" s="3"/>
      <c r="I817" s="3"/>
      <c r="J817" s="3"/>
      <c r="K817" s="3"/>
      <c r="L817" s="3"/>
      <c r="M817" s="3"/>
      <c r="N817" s="3"/>
      <c r="O817" s="8"/>
      <c r="P817" s="3"/>
      <c r="Q817" s="3"/>
      <c r="R817" s="3"/>
      <c r="S817" s="3"/>
      <c r="T817" s="3"/>
      <c r="U817" s="3"/>
      <c r="V817" s="8"/>
      <c r="W817" s="3"/>
      <c r="X817" s="3"/>
      <c r="Y817" s="3"/>
      <c r="Z817" s="4"/>
      <c r="AA817" s="5"/>
      <c r="AB817" s="3"/>
      <c r="AC817" s="3"/>
      <c r="AD817" s="3"/>
      <c r="AE817" s="3"/>
      <c r="AF817" s="3"/>
      <c r="AG817" s="3"/>
      <c r="AH817" s="3"/>
    </row>
    <row r="818" spans="1:34" x14ac:dyDescent="0.3">
      <c r="A818" s="11"/>
      <c r="B818" s="12"/>
      <c r="C818" s="12"/>
      <c r="D818" s="13"/>
      <c r="E818" s="6"/>
      <c r="F818" s="3"/>
      <c r="G818" s="3"/>
      <c r="H818" s="3"/>
      <c r="I818" s="3"/>
      <c r="J818" s="3"/>
      <c r="K818" s="3"/>
      <c r="L818" s="3"/>
      <c r="M818" s="3"/>
      <c r="N818" s="3"/>
      <c r="O818" s="8"/>
      <c r="P818" s="3"/>
      <c r="Q818" s="3"/>
      <c r="R818" s="3"/>
      <c r="S818" s="3"/>
      <c r="T818" s="3"/>
      <c r="U818" s="3"/>
      <c r="V818" s="8"/>
      <c r="W818" s="3"/>
      <c r="X818" s="3"/>
      <c r="Y818" s="3"/>
      <c r="Z818" s="4"/>
      <c r="AA818" s="5"/>
      <c r="AB818" s="3"/>
      <c r="AC818" s="3"/>
      <c r="AD818" s="3"/>
      <c r="AE818" s="3"/>
      <c r="AF818" s="3"/>
      <c r="AG818" s="3"/>
      <c r="AH818" s="3"/>
    </row>
    <row r="819" spans="1:34" x14ac:dyDescent="0.3">
      <c r="A819" s="11"/>
      <c r="B819" s="12"/>
      <c r="C819" s="12"/>
      <c r="D819" s="13"/>
      <c r="E819" s="6"/>
      <c r="F819" s="3"/>
      <c r="G819" s="3"/>
      <c r="H819" s="3"/>
      <c r="I819" s="3"/>
      <c r="J819" s="3"/>
      <c r="K819" s="3"/>
      <c r="L819" s="3"/>
      <c r="M819" s="3"/>
      <c r="N819" s="3"/>
      <c r="O819" s="8"/>
      <c r="P819" s="3"/>
      <c r="Q819" s="3"/>
      <c r="R819" s="3"/>
      <c r="S819" s="3"/>
      <c r="T819" s="3"/>
      <c r="U819" s="3"/>
      <c r="V819" s="8"/>
      <c r="W819" s="3"/>
      <c r="X819" s="3"/>
      <c r="Y819" s="3"/>
      <c r="Z819" s="4"/>
      <c r="AA819" s="5"/>
      <c r="AB819" s="3"/>
      <c r="AC819" s="3"/>
      <c r="AD819" s="3"/>
      <c r="AE819" s="3"/>
      <c r="AF819" s="3"/>
      <c r="AG819" s="3"/>
      <c r="AH819" s="3"/>
    </row>
    <row r="820" spans="1:34" x14ac:dyDescent="0.3">
      <c r="A820" s="11"/>
      <c r="B820" s="12"/>
      <c r="C820" s="12"/>
      <c r="D820" s="13"/>
      <c r="E820" s="6"/>
      <c r="F820" s="3"/>
      <c r="G820" s="3"/>
      <c r="H820" s="3"/>
      <c r="I820" s="3"/>
      <c r="J820" s="3"/>
      <c r="K820" s="3"/>
      <c r="L820" s="3"/>
      <c r="M820" s="3"/>
      <c r="N820" s="3"/>
      <c r="O820" s="8"/>
      <c r="P820" s="3"/>
      <c r="Q820" s="3"/>
      <c r="R820" s="3"/>
      <c r="S820" s="3"/>
      <c r="T820" s="3"/>
      <c r="U820" s="3"/>
      <c r="V820" s="8"/>
      <c r="W820" s="3"/>
      <c r="X820" s="3"/>
      <c r="Y820" s="3"/>
      <c r="Z820" s="4"/>
      <c r="AA820" s="5"/>
      <c r="AB820" s="3"/>
      <c r="AC820" s="3"/>
      <c r="AD820" s="3"/>
      <c r="AE820" s="3"/>
      <c r="AF820" s="3"/>
      <c r="AG820" s="3"/>
      <c r="AH820" s="3"/>
    </row>
    <row r="821" spans="1:34" x14ac:dyDescent="0.3">
      <c r="A821" s="11"/>
      <c r="B821" s="12"/>
      <c r="C821" s="12"/>
      <c r="D821" s="13"/>
      <c r="E821" s="6"/>
      <c r="F821" s="3"/>
      <c r="G821" s="3"/>
      <c r="H821" s="3"/>
      <c r="I821" s="3"/>
      <c r="J821" s="3"/>
      <c r="K821" s="3"/>
      <c r="L821" s="3"/>
      <c r="M821" s="3"/>
      <c r="N821" s="3"/>
      <c r="O821" s="8"/>
      <c r="P821" s="3"/>
      <c r="Q821" s="3"/>
      <c r="R821" s="3"/>
      <c r="S821" s="3"/>
      <c r="T821" s="3"/>
      <c r="U821" s="3"/>
      <c r="V821" s="8"/>
      <c r="W821" s="3"/>
      <c r="X821" s="3"/>
      <c r="Y821" s="3"/>
      <c r="Z821" s="4"/>
      <c r="AA821" s="5"/>
      <c r="AB821" s="3"/>
      <c r="AC821" s="3"/>
      <c r="AD821" s="3"/>
      <c r="AE821" s="3"/>
      <c r="AF821" s="3"/>
      <c r="AG821" s="3"/>
      <c r="AH821" s="3"/>
    </row>
    <row r="822" spans="1:34" x14ac:dyDescent="0.3">
      <c r="A822" s="11"/>
      <c r="B822" s="12"/>
      <c r="C822" s="12"/>
      <c r="D822" s="13"/>
      <c r="E822" s="6"/>
      <c r="F822" s="3"/>
      <c r="G822" s="3"/>
      <c r="H822" s="3"/>
      <c r="I822" s="3"/>
      <c r="J822" s="3"/>
      <c r="K822" s="3"/>
      <c r="L822" s="3"/>
      <c r="M822" s="3"/>
      <c r="N822" s="3"/>
      <c r="O822" s="8"/>
      <c r="P822" s="3"/>
      <c r="Q822" s="3"/>
      <c r="R822" s="3"/>
      <c r="S822" s="3"/>
      <c r="T822" s="3"/>
      <c r="U822" s="3"/>
      <c r="V822" s="8"/>
      <c r="W822" s="3"/>
      <c r="X822" s="3"/>
      <c r="Y822" s="3"/>
      <c r="Z822" s="4"/>
      <c r="AA822" s="5"/>
      <c r="AB822" s="3"/>
      <c r="AC822" s="3"/>
      <c r="AD822" s="3"/>
      <c r="AE822" s="3"/>
      <c r="AF822" s="3"/>
      <c r="AG822" s="3"/>
      <c r="AH822" s="3"/>
    </row>
    <row r="823" spans="1:34" x14ac:dyDescent="0.3">
      <c r="A823" s="11"/>
      <c r="B823" s="12"/>
      <c r="C823" s="12"/>
      <c r="D823" s="13"/>
      <c r="E823" s="6"/>
      <c r="F823" s="3"/>
      <c r="G823" s="3"/>
      <c r="H823" s="3"/>
      <c r="I823" s="3"/>
      <c r="J823" s="3"/>
      <c r="K823" s="3"/>
      <c r="L823" s="3"/>
      <c r="M823" s="3"/>
      <c r="N823" s="3"/>
      <c r="O823" s="8"/>
      <c r="P823" s="3"/>
      <c r="Q823" s="3"/>
      <c r="R823" s="3"/>
      <c r="S823" s="3"/>
      <c r="T823" s="3"/>
      <c r="U823" s="3"/>
      <c r="V823" s="8"/>
      <c r="W823" s="3"/>
      <c r="X823" s="3"/>
      <c r="Y823" s="3"/>
      <c r="Z823" s="4"/>
      <c r="AA823" s="5"/>
      <c r="AB823" s="3"/>
      <c r="AC823" s="3"/>
      <c r="AD823" s="3"/>
      <c r="AE823" s="3"/>
      <c r="AF823" s="3"/>
      <c r="AG823" s="3"/>
      <c r="AH823" s="3"/>
    </row>
    <row r="824" spans="1:34" x14ac:dyDescent="0.3">
      <c r="A824" s="11"/>
      <c r="B824" s="12"/>
      <c r="C824" s="12"/>
      <c r="D824" s="13"/>
      <c r="E824" s="6"/>
      <c r="F824" s="3"/>
      <c r="G824" s="3"/>
      <c r="H824" s="3"/>
      <c r="I824" s="3"/>
      <c r="J824" s="3"/>
      <c r="K824" s="3"/>
      <c r="L824" s="3"/>
      <c r="M824" s="3"/>
      <c r="N824" s="3"/>
      <c r="O824" s="8"/>
      <c r="P824" s="3"/>
      <c r="Q824" s="3"/>
      <c r="R824" s="3"/>
      <c r="S824" s="3"/>
      <c r="T824" s="3"/>
      <c r="U824" s="3"/>
      <c r="V824" s="8"/>
      <c r="W824" s="3"/>
      <c r="X824" s="3"/>
      <c r="Y824" s="3"/>
      <c r="Z824" s="4"/>
      <c r="AA824" s="5"/>
      <c r="AB824" s="3"/>
      <c r="AC824" s="3"/>
      <c r="AD824" s="3"/>
      <c r="AE824" s="3"/>
      <c r="AF824" s="3"/>
      <c r="AG824" s="3"/>
      <c r="AH824" s="3"/>
    </row>
    <row r="825" spans="1:34" x14ac:dyDescent="0.3">
      <c r="A825" s="11"/>
      <c r="B825" s="12"/>
      <c r="C825" s="12"/>
      <c r="D825" s="13"/>
      <c r="E825" s="6"/>
      <c r="F825" s="3"/>
      <c r="G825" s="3"/>
      <c r="H825" s="3"/>
      <c r="I825" s="3"/>
      <c r="J825" s="3"/>
      <c r="K825" s="3"/>
      <c r="L825" s="3"/>
      <c r="M825" s="3"/>
      <c r="N825" s="3"/>
      <c r="O825" s="8"/>
      <c r="P825" s="3"/>
      <c r="Q825" s="3"/>
      <c r="R825" s="3"/>
      <c r="S825" s="3"/>
      <c r="T825" s="3"/>
      <c r="U825" s="3"/>
      <c r="V825" s="8"/>
      <c r="W825" s="3"/>
      <c r="X825" s="3"/>
      <c r="Y825" s="3"/>
      <c r="Z825" s="4"/>
      <c r="AA825" s="5"/>
      <c r="AB825" s="3"/>
      <c r="AC825" s="3"/>
      <c r="AD825" s="3"/>
      <c r="AE825" s="3"/>
      <c r="AF825" s="3"/>
      <c r="AG825" s="3"/>
      <c r="AH825" s="3"/>
    </row>
    <row r="826" spans="1:34" x14ac:dyDescent="0.3">
      <c r="A826" s="11"/>
      <c r="B826" s="12"/>
      <c r="C826" s="12"/>
      <c r="D826" s="13"/>
      <c r="E826" s="6"/>
      <c r="F826" s="3"/>
      <c r="G826" s="3"/>
      <c r="H826" s="3"/>
      <c r="I826" s="3"/>
      <c r="J826" s="3"/>
      <c r="K826" s="3"/>
      <c r="L826" s="3"/>
      <c r="M826" s="3"/>
      <c r="N826" s="3"/>
      <c r="O826" s="8"/>
      <c r="P826" s="3"/>
      <c r="Q826" s="3"/>
      <c r="R826" s="3"/>
      <c r="S826" s="3"/>
      <c r="T826" s="3"/>
      <c r="U826" s="3"/>
      <c r="V826" s="8"/>
      <c r="W826" s="3"/>
      <c r="X826" s="3"/>
      <c r="Y826" s="3"/>
      <c r="Z826" s="4"/>
      <c r="AA826" s="5"/>
      <c r="AB826" s="3"/>
      <c r="AC826" s="3"/>
      <c r="AD826" s="3"/>
      <c r="AE826" s="3"/>
      <c r="AF826" s="3"/>
      <c r="AG826" s="3"/>
      <c r="AH826" s="3"/>
    </row>
    <row r="827" spans="1:34" x14ac:dyDescent="0.3">
      <c r="A827" s="11"/>
      <c r="B827" s="12"/>
      <c r="C827" s="12"/>
      <c r="D827" s="13"/>
      <c r="E827" s="6"/>
      <c r="F827" s="3"/>
      <c r="G827" s="3"/>
      <c r="H827" s="3"/>
      <c r="I827" s="3"/>
      <c r="J827" s="3"/>
      <c r="K827" s="3"/>
      <c r="L827" s="3"/>
      <c r="M827" s="3"/>
      <c r="N827" s="3"/>
      <c r="O827" s="8"/>
      <c r="P827" s="3"/>
      <c r="Q827" s="3"/>
      <c r="R827" s="3"/>
      <c r="S827" s="3"/>
      <c r="T827" s="3"/>
      <c r="U827" s="3"/>
      <c r="V827" s="8"/>
      <c r="W827" s="3"/>
      <c r="X827" s="3"/>
      <c r="Y827" s="3"/>
      <c r="Z827" s="4"/>
      <c r="AA827" s="5"/>
      <c r="AB827" s="3"/>
      <c r="AC827" s="3"/>
      <c r="AD827" s="3"/>
      <c r="AE827" s="3"/>
      <c r="AF827" s="3"/>
      <c r="AG827" s="3"/>
      <c r="AH827" s="3"/>
    </row>
    <row r="828" spans="1:34" x14ac:dyDescent="0.3">
      <c r="A828" s="11"/>
      <c r="B828" s="12"/>
      <c r="C828" s="12"/>
      <c r="D828" s="13"/>
      <c r="E828" s="6"/>
      <c r="F828" s="3"/>
      <c r="G828" s="3"/>
      <c r="H828" s="3"/>
      <c r="I828" s="3"/>
      <c r="J828" s="3"/>
      <c r="K828" s="3"/>
      <c r="L828" s="3"/>
      <c r="M828" s="3"/>
      <c r="N828" s="3"/>
      <c r="O828" s="8"/>
      <c r="P828" s="3"/>
      <c r="Q828" s="3"/>
      <c r="R828" s="3"/>
      <c r="S828" s="3"/>
      <c r="T828" s="3"/>
      <c r="U828" s="3"/>
      <c r="V828" s="8"/>
      <c r="W828" s="3"/>
      <c r="X828" s="3"/>
      <c r="Y828" s="3"/>
      <c r="Z828" s="4"/>
      <c r="AA828" s="5"/>
      <c r="AB828" s="3"/>
      <c r="AC828" s="3"/>
      <c r="AD828" s="3"/>
      <c r="AE828" s="3"/>
      <c r="AF828" s="3"/>
      <c r="AG828" s="3"/>
      <c r="AH828" s="3"/>
    </row>
    <row r="829" spans="1:34" x14ac:dyDescent="0.3">
      <c r="A829" s="11"/>
      <c r="B829" s="12"/>
      <c r="C829" s="12"/>
      <c r="D829" s="13"/>
      <c r="E829" s="6"/>
      <c r="F829" s="3"/>
      <c r="G829" s="3"/>
      <c r="H829" s="3"/>
      <c r="I829" s="3"/>
      <c r="J829" s="3"/>
      <c r="K829" s="3"/>
      <c r="L829" s="3"/>
      <c r="M829" s="3"/>
      <c r="N829" s="3"/>
      <c r="O829" s="8"/>
      <c r="P829" s="3"/>
      <c r="Q829" s="3"/>
      <c r="R829" s="3"/>
      <c r="S829" s="3"/>
      <c r="T829" s="3"/>
      <c r="U829" s="3"/>
      <c r="V829" s="8"/>
      <c r="W829" s="3"/>
      <c r="X829" s="3"/>
      <c r="Y829" s="3"/>
      <c r="Z829" s="4"/>
      <c r="AA829" s="5"/>
      <c r="AB829" s="3"/>
      <c r="AC829" s="3"/>
      <c r="AD829" s="3"/>
      <c r="AE829" s="3"/>
      <c r="AF829" s="3"/>
      <c r="AG829" s="3"/>
      <c r="AH829" s="3"/>
    </row>
    <row r="830" spans="1:34" x14ac:dyDescent="0.3">
      <c r="A830" s="11"/>
      <c r="B830" s="12"/>
      <c r="C830" s="12"/>
      <c r="D830" s="13"/>
      <c r="E830" s="6"/>
      <c r="F830" s="3"/>
      <c r="G830" s="3"/>
      <c r="H830" s="3"/>
      <c r="I830" s="3"/>
      <c r="J830" s="3"/>
      <c r="K830" s="3"/>
      <c r="L830" s="3"/>
      <c r="M830" s="3"/>
      <c r="N830" s="3"/>
      <c r="O830" s="8"/>
      <c r="P830" s="3"/>
      <c r="Q830" s="3"/>
      <c r="R830" s="3"/>
      <c r="S830" s="3"/>
      <c r="T830" s="3"/>
      <c r="U830" s="3"/>
      <c r="V830" s="8"/>
      <c r="W830" s="3"/>
      <c r="X830" s="3"/>
      <c r="Y830" s="3"/>
      <c r="Z830" s="4"/>
      <c r="AA830" s="5"/>
      <c r="AB830" s="3"/>
      <c r="AC830" s="3"/>
      <c r="AD830" s="3"/>
      <c r="AE830" s="3"/>
      <c r="AF830" s="3"/>
      <c r="AG830" s="3"/>
      <c r="AH830" s="3"/>
    </row>
    <row r="831" spans="1:34" x14ac:dyDescent="0.3">
      <c r="A831" s="11"/>
      <c r="B831" s="12"/>
      <c r="C831" s="12"/>
      <c r="D831" s="13"/>
      <c r="E831" s="6"/>
      <c r="F831" s="3"/>
      <c r="G831" s="3"/>
      <c r="H831" s="3"/>
      <c r="I831" s="3"/>
      <c r="J831" s="3"/>
      <c r="K831" s="3"/>
      <c r="L831" s="3"/>
      <c r="M831" s="3"/>
      <c r="N831" s="3"/>
      <c r="O831" s="8"/>
      <c r="P831" s="3"/>
      <c r="Q831" s="3"/>
      <c r="R831" s="3"/>
      <c r="S831" s="3"/>
      <c r="T831" s="3"/>
      <c r="U831" s="3"/>
      <c r="V831" s="8"/>
      <c r="W831" s="3"/>
      <c r="X831" s="3"/>
      <c r="Y831" s="3"/>
      <c r="Z831" s="4"/>
      <c r="AA831" s="5"/>
      <c r="AB831" s="3"/>
      <c r="AC831" s="3"/>
      <c r="AD831" s="3"/>
      <c r="AE831" s="3"/>
      <c r="AF831" s="3"/>
      <c r="AG831" s="3"/>
      <c r="AH831" s="3"/>
    </row>
    <row r="832" spans="1:34" x14ac:dyDescent="0.3">
      <c r="A832" s="11"/>
      <c r="B832" s="12"/>
      <c r="C832" s="12"/>
      <c r="D832" s="13"/>
      <c r="E832" s="6"/>
      <c r="F832" s="3"/>
      <c r="G832" s="3"/>
      <c r="H832" s="3"/>
      <c r="I832" s="3"/>
      <c r="J832" s="3"/>
      <c r="K832" s="3"/>
      <c r="L832" s="3"/>
      <c r="M832" s="3"/>
      <c r="N832" s="3"/>
      <c r="O832" s="8"/>
      <c r="P832" s="3"/>
      <c r="Q832" s="3"/>
      <c r="R832" s="3"/>
      <c r="S832" s="3"/>
      <c r="T832" s="3"/>
      <c r="U832" s="3"/>
      <c r="V832" s="8"/>
      <c r="W832" s="3"/>
      <c r="X832" s="3"/>
      <c r="Y832" s="3"/>
      <c r="Z832" s="4"/>
      <c r="AA832" s="5"/>
      <c r="AB832" s="3"/>
      <c r="AC832" s="3"/>
      <c r="AD832" s="3"/>
      <c r="AE832" s="3"/>
      <c r="AF832" s="3"/>
      <c r="AG832" s="3"/>
      <c r="AH832" s="3"/>
    </row>
    <row r="833" spans="1:34" x14ac:dyDescent="0.3">
      <c r="A833" s="11"/>
      <c r="B833" s="12"/>
      <c r="C833" s="12"/>
      <c r="D833" s="13"/>
      <c r="E833" s="6"/>
      <c r="F833" s="3"/>
      <c r="G833" s="3"/>
      <c r="H833" s="3"/>
      <c r="I833" s="3"/>
      <c r="J833" s="3"/>
      <c r="K833" s="3"/>
      <c r="L833" s="3"/>
      <c r="M833" s="3"/>
      <c r="N833" s="3"/>
      <c r="O833" s="8"/>
      <c r="P833" s="3"/>
      <c r="Q833" s="3"/>
      <c r="R833" s="3"/>
      <c r="S833" s="3"/>
      <c r="T833" s="3"/>
      <c r="U833" s="3"/>
      <c r="V833" s="8"/>
      <c r="W833" s="3"/>
      <c r="X833" s="3"/>
      <c r="Y833" s="3"/>
      <c r="Z833" s="4"/>
      <c r="AA833" s="5"/>
      <c r="AB833" s="3"/>
      <c r="AC833" s="3"/>
      <c r="AD833" s="3"/>
      <c r="AE833" s="3"/>
      <c r="AF833" s="3"/>
      <c r="AG833" s="3"/>
      <c r="AH833" s="3"/>
    </row>
    <row r="834" spans="1:34" x14ac:dyDescent="0.3">
      <c r="A834" s="11"/>
      <c r="B834" s="12"/>
      <c r="C834" s="12"/>
      <c r="D834" s="13"/>
      <c r="E834" s="6"/>
      <c r="F834" s="3"/>
      <c r="G834" s="3"/>
      <c r="H834" s="3"/>
      <c r="I834" s="3"/>
      <c r="J834" s="3"/>
      <c r="K834" s="3"/>
      <c r="L834" s="3"/>
      <c r="M834" s="3"/>
      <c r="N834" s="3"/>
      <c r="O834" s="8"/>
      <c r="P834" s="3"/>
      <c r="Q834" s="3"/>
      <c r="R834" s="3"/>
      <c r="S834" s="3"/>
      <c r="T834" s="3"/>
      <c r="U834" s="3"/>
      <c r="V834" s="8"/>
      <c r="W834" s="3"/>
      <c r="X834" s="3"/>
      <c r="Y834" s="3"/>
      <c r="Z834" s="4"/>
      <c r="AA834" s="5"/>
      <c r="AB834" s="3"/>
      <c r="AC834" s="3"/>
      <c r="AD834" s="3"/>
      <c r="AE834" s="3"/>
      <c r="AF834" s="3"/>
      <c r="AG834" s="3"/>
      <c r="AH834" s="3"/>
    </row>
    <row r="835" spans="1:34" x14ac:dyDescent="0.3">
      <c r="A835" s="11"/>
      <c r="B835" s="12"/>
      <c r="C835" s="12"/>
      <c r="D835" s="13"/>
      <c r="E835" s="6"/>
      <c r="F835" s="3"/>
      <c r="G835" s="3"/>
      <c r="H835" s="3"/>
      <c r="I835" s="3"/>
      <c r="J835" s="3"/>
      <c r="K835" s="3"/>
      <c r="L835" s="3"/>
      <c r="M835" s="3"/>
      <c r="N835" s="3"/>
      <c r="O835" s="8"/>
      <c r="P835" s="3"/>
      <c r="Q835" s="3"/>
      <c r="R835" s="3"/>
      <c r="S835" s="3"/>
      <c r="T835" s="3"/>
      <c r="U835" s="3"/>
      <c r="V835" s="8"/>
      <c r="W835" s="3"/>
      <c r="X835" s="3"/>
      <c r="Y835" s="3"/>
      <c r="Z835" s="4"/>
      <c r="AA835" s="5"/>
      <c r="AB835" s="3"/>
      <c r="AC835" s="3"/>
      <c r="AD835" s="3"/>
      <c r="AE835" s="3"/>
      <c r="AF835" s="3"/>
      <c r="AG835" s="3"/>
      <c r="AH835" s="3"/>
    </row>
    <row r="836" spans="1:34" x14ac:dyDescent="0.3">
      <c r="A836" s="11"/>
      <c r="B836" s="12"/>
      <c r="C836" s="12"/>
      <c r="D836" s="13"/>
      <c r="E836" s="6"/>
      <c r="F836" s="3"/>
      <c r="G836" s="3"/>
      <c r="H836" s="3"/>
      <c r="I836" s="3"/>
      <c r="J836" s="3"/>
      <c r="K836" s="3"/>
      <c r="L836" s="3"/>
      <c r="M836" s="3"/>
      <c r="N836" s="3"/>
      <c r="O836" s="8"/>
      <c r="P836" s="3"/>
      <c r="Q836" s="3"/>
      <c r="R836" s="3"/>
      <c r="S836" s="3"/>
      <c r="T836" s="3"/>
      <c r="U836" s="3"/>
      <c r="V836" s="8"/>
      <c r="W836" s="3"/>
      <c r="X836" s="3"/>
      <c r="Y836" s="3"/>
      <c r="Z836" s="4"/>
      <c r="AA836" s="5"/>
      <c r="AB836" s="3"/>
      <c r="AC836" s="3"/>
      <c r="AD836" s="3"/>
      <c r="AE836" s="3"/>
      <c r="AF836" s="3"/>
      <c r="AG836" s="3"/>
      <c r="AH836" s="3"/>
    </row>
    <row r="837" spans="1:34" x14ac:dyDescent="0.3">
      <c r="A837" s="11"/>
      <c r="B837" s="12"/>
      <c r="C837" s="12"/>
      <c r="D837" s="13"/>
      <c r="E837" s="6"/>
      <c r="F837" s="3"/>
      <c r="G837" s="3"/>
      <c r="H837" s="3"/>
      <c r="I837" s="3"/>
      <c r="J837" s="3"/>
      <c r="K837" s="3"/>
      <c r="L837" s="3"/>
      <c r="M837" s="3"/>
      <c r="N837" s="3"/>
      <c r="O837" s="8"/>
      <c r="P837" s="3"/>
      <c r="Q837" s="3"/>
      <c r="R837" s="3"/>
      <c r="S837" s="3"/>
      <c r="T837" s="3"/>
      <c r="U837" s="3"/>
      <c r="V837" s="8"/>
      <c r="W837" s="3"/>
      <c r="X837" s="3"/>
      <c r="Y837" s="3"/>
      <c r="Z837" s="4"/>
      <c r="AA837" s="5"/>
      <c r="AB837" s="3"/>
      <c r="AC837" s="3"/>
      <c r="AD837" s="3"/>
      <c r="AE837" s="3"/>
      <c r="AF837" s="3"/>
      <c r="AG837" s="3"/>
      <c r="AH837" s="3"/>
    </row>
    <row r="838" spans="1:34" x14ac:dyDescent="0.3">
      <c r="A838" s="11"/>
      <c r="B838" s="12"/>
      <c r="C838" s="12"/>
      <c r="D838" s="13"/>
      <c r="E838" s="6"/>
      <c r="F838" s="3"/>
      <c r="G838" s="3"/>
      <c r="H838" s="3"/>
      <c r="I838" s="3"/>
      <c r="J838" s="3"/>
      <c r="K838" s="3"/>
      <c r="L838" s="3"/>
      <c r="M838" s="3"/>
      <c r="N838" s="3"/>
      <c r="O838" s="8"/>
      <c r="P838" s="3"/>
      <c r="Q838" s="3"/>
      <c r="R838" s="3"/>
      <c r="S838" s="3"/>
      <c r="T838" s="3"/>
      <c r="U838" s="3"/>
      <c r="V838" s="8"/>
      <c r="W838" s="3"/>
      <c r="X838" s="3"/>
      <c r="Y838" s="3"/>
      <c r="Z838" s="4"/>
      <c r="AA838" s="5"/>
      <c r="AB838" s="3"/>
      <c r="AC838" s="3"/>
      <c r="AD838" s="3"/>
      <c r="AE838" s="3"/>
      <c r="AF838" s="3"/>
      <c r="AG838" s="3"/>
      <c r="AH838" s="3"/>
    </row>
    <row r="839" spans="1:34" x14ac:dyDescent="0.3">
      <c r="A839" s="11"/>
      <c r="B839" s="12"/>
      <c r="C839" s="12"/>
      <c r="D839" s="13"/>
      <c r="E839" s="6"/>
      <c r="F839" s="3"/>
      <c r="G839" s="3"/>
      <c r="H839" s="3"/>
      <c r="I839" s="3"/>
      <c r="J839" s="3"/>
      <c r="K839" s="3"/>
      <c r="L839" s="3"/>
      <c r="M839" s="3"/>
      <c r="N839" s="3"/>
      <c r="O839" s="8"/>
      <c r="P839" s="3"/>
      <c r="Q839" s="3"/>
      <c r="R839" s="3"/>
      <c r="S839" s="3"/>
      <c r="T839" s="3"/>
      <c r="U839" s="3"/>
      <c r="V839" s="8"/>
      <c r="W839" s="3"/>
      <c r="X839" s="3"/>
      <c r="Y839" s="3"/>
      <c r="Z839" s="4"/>
      <c r="AA839" s="5"/>
      <c r="AB839" s="3"/>
      <c r="AC839" s="3"/>
      <c r="AD839" s="3"/>
      <c r="AE839" s="3"/>
      <c r="AF839" s="3"/>
      <c r="AG839" s="3"/>
      <c r="AH839" s="3"/>
    </row>
    <row r="840" spans="1:34" x14ac:dyDescent="0.3">
      <c r="A840" s="11"/>
      <c r="B840" s="12"/>
      <c r="C840" s="12"/>
      <c r="D840" s="13"/>
      <c r="E840" s="6"/>
      <c r="F840" s="3"/>
      <c r="G840" s="3"/>
      <c r="H840" s="3"/>
      <c r="I840" s="3"/>
      <c r="J840" s="3"/>
      <c r="K840" s="3"/>
      <c r="L840" s="3"/>
      <c r="M840" s="3"/>
      <c r="N840" s="3"/>
      <c r="O840" s="8"/>
      <c r="P840" s="3"/>
      <c r="Q840" s="3"/>
      <c r="R840" s="3"/>
      <c r="S840" s="3"/>
      <c r="T840" s="3"/>
      <c r="U840" s="3"/>
      <c r="V840" s="8"/>
      <c r="W840" s="3"/>
      <c r="X840" s="3"/>
      <c r="Y840" s="3"/>
      <c r="Z840" s="4"/>
      <c r="AA840" s="5"/>
      <c r="AB840" s="3"/>
      <c r="AC840" s="3"/>
      <c r="AD840" s="3"/>
      <c r="AE840" s="3"/>
      <c r="AF840" s="3"/>
      <c r="AG840" s="3"/>
      <c r="AH840" s="3"/>
    </row>
    <row r="841" spans="1:34" x14ac:dyDescent="0.3">
      <c r="A841" s="11"/>
      <c r="B841" s="12"/>
      <c r="C841" s="12"/>
      <c r="D841" s="13"/>
      <c r="E841" s="6"/>
      <c r="F841" s="3"/>
      <c r="G841" s="3"/>
      <c r="H841" s="3"/>
      <c r="I841" s="3"/>
      <c r="J841" s="3"/>
      <c r="K841" s="3"/>
      <c r="L841" s="3"/>
      <c r="M841" s="3"/>
      <c r="N841" s="3"/>
      <c r="O841" s="8"/>
      <c r="P841" s="3"/>
      <c r="Q841" s="3"/>
      <c r="R841" s="3"/>
      <c r="S841" s="3"/>
      <c r="T841" s="3"/>
      <c r="U841" s="3"/>
      <c r="V841" s="8"/>
      <c r="W841" s="3"/>
      <c r="X841" s="3"/>
      <c r="Y841" s="3"/>
      <c r="Z841" s="4"/>
      <c r="AA841" s="5"/>
      <c r="AB841" s="3"/>
      <c r="AC841" s="3"/>
      <c r="AD841" s="3"/>
      <c r="AE841" s="3"/>
      <c r="AF841" s="3"/>
      <c r="AG841" s="3"/>
      <c r="AH841" s="3"/>
    </row>
    <row r="842" spans="1:34" x14ac:dyDescent="0.3">
      <c r="A842" s="11"/>
      <c r="B842" s="12"/>
      <c r="C842" s="12"/>
      <c r="D842" s="13"/>
      <c r="E842" s="6"/>
      <c r="F842" s="3"/>
      <c r="G842" s="3"/>
      <c r="H842" s="3"/>
      <c r="I842" s="3"/>
      <c r="J842" s="3"/>
      <c r="K842" s="3"/>
      <c r="L842" s="3"/>
      <c r="M842" s="3"/>
      <c r="N842" s="3"/>
      <c r="O842" s="8"/>
      <c r="P842" s="3"/>
      <c r="Q842" s="3"/>
      <c r="R842" s="3"/>
      <c r="S842" s="3"/>
      <c r="T842" s="3"/>
      <c r="U842" s="3"/>
      <c r="V842" s="8"/>
      <c r="W842" s="3"/>
      <c r="X842" s="3"/>
      <c r="Y842" s="3"/>
      <c r="Z842" s="4"/>
      <c r="AA842" s="5"/>
      <c r="AB842" s="3"/>
      <c r="AC842" s="3"/>
      <c r="AD842" s="3"/>
      <c r="AE842" s="3"/>
      <c r="AF842" s="3"/>
      <c r="AG842" s="3"/>
      <c r="AH842" s="3"/>
    </row>
    <row r="843" spans="1:34" x14ac:dyDescent="0.3">
      <c r="A843" s="11"/>
      <c r="B843" s="12"/>
      <c r="C843" s="12"/>
      <c r="D843" s="13"/>
      <c r="E843" s="6"/>
      <c r="F843" s="3"/>
      <c r="G843" s="3"/>
      <c r="H843" s="3"/>
      <c r="I843" s="3"/>
      <c r="J843" s="3"/>
      <c r="K843" s="3"/>
      <c r="L843" s="3"/>
      <c r="M843" s="3"/>
      <c r="N843" s="3"/>
      <c r="O843" s="8"/>
      <c r="P843" s="3"/>
      <c r="Q843" s="3"/>
      <c r="R843" s="3"/>
      <c r="S843" s="3"/>
      <c r="T843" s="3"/>
      <c r="U843" s="3"/>
      <c r="V843" s="8"/>
      <c r="W843" s="3"/>
      <c r="X843" s="3"/>
      <c r="Y843" s="3"/>
      <c r="Z843" s="4"/>
      <c r="AA843" s="5"/>
      <c r="AB843" s="3"/>
      <c r="AC843" s="3"/>
      <c r="AD843" s="3"/>
      <c r="AE843" s="3"/>
      <c r="AF843" s="3"/>
      <c r="AG843" s="3"/>
      <c r="AH843" s="3"/>
    </row>
    <row r="844" spans="1:34" x14ac:dyDescent="0.3">
      <c r="A844" s="11"/>
      <c r="B844" s="12"/>
      <c r="C844" s="12"/>
      <c r="D844" s="13"/>
      <c r="E844" s="6"/>
      <c r="F844" s="3"/>
      <c r="G844" s="3"/>
      <c r="H844" s="3"/>
      <c r="I844" s="3"/>
      <c r="J844" s="3"/>
      <c r="K844" s="3"/>
      <c r="L844" s="3"/>
      <c r="M844" s="3"/>
      <c r="N844" s="3"/>
      <c r="O844" s="8"/>
      <c r="P844" s="3"/>
      <c r="Q844" s="3"/>
      <c r="R844" s="3"/>
      <c r="S844" s="3"/>
      <c r="T844" s="3"/>
      <c r="U844" s="3"/>
      <c r="V844" s="8"/>
      <c r="W844" s="3"/>
      <c r="X844" s="3"/>
      <c r="Y844" s="3"/>
      <c r="Z844" s="4"/>
      <c r="AA844" s="5"/>
      <c r="AB844" s="3"/>
      <c r="AC844" s="3"/>
      <c r="AD844" s="3"/>
      <c r="AE844" s="3"/>
      <c r="AF844" s="3"/>
      <c r="AG844" s="3"/>
      <c r="AH844" s="3"/>
    </row>
    <row r="845" spans="1:34" x14ac:dyDescent="0.3">
      <c r="A845" s="11"/>
      <c r="B845" s="12"/>
      <c r="C845" s="12"/>
      <c r="D845" s="13"/>
      <c r="E845" s="6"/>
      <c r="F845" s="3"/>
      <c r="G845" s="3"/>
      <c r="H845" s="3"/>
      <c r="I845" s="3"/>
      <c r="J845" s="3"/>
      <c r="K845" s="3"/>
      <c r="L845" s="3"/>
      <c r="M845" s="3"/>
      <c r="N845" s="3"/>
      <c r="O845" s="8"/>
      <c r="P845" s="3"/>
      <c r="Q845" s="3"/>
      <c r="R845" s="3"/>
      <c r="S845" s="3"/>
      <c r="T845" s="3"/>
      <c r="U845" s="3"/>
      <c r="V845" s="8"/>
      <c r="W845" s="3"/>
      <c r="X845" s="3"/>
      <c r="Y845" s="3"/>
      <c r="Z845" s="4"/>
      <c r="AA845" s="5"/>
      <c r="AB845" s="3"/>
      <c r="AC845" s="3"/>
      <c r="AD845" s="3"/>
      <c r="AE845" s="3"/>
      <c r="AF845" s="3"/>
      <c r="AG845" s="3"/>
      <c r="AH845" s="3"/>
    </row>
    <row r="846" spans="1:34" x14ac:dyDescent="0.3">
      <c r="A846" s="11"/>
      <c r="B846" s="12"/>
      <c r="C846" s="12"/>
      <c r="D846" s="13"/>
      <c r="E846" s="6"/>
      <c r="F846" s="3"/>
      <c r="G846" s="3"/>
      <c r="H846" s="3"/>
      <c r="I846" s="3"/>
      <c r="J846" s="3"/>
      <c r="K846" s="3"/>
      <c r="L846" s="3"/>
      <c r="M846" s="3"/>
      <c r="N846" s="3"/>
      <c r="O846" s="8"/>
      <c r="P846" s="3"/>
      <c r="Q846" s="3"/>
      <c r="R846" s="3"/>
      <c r="S846" s="3"/>
      <c r="T846" s="3"/>
      <c r="U846" s="3"/>
      <c r="V846" s="8"/>
      <c r="W846" s="3"/>
      <c r="X846" s="3"/>
      <c r="Y846" s="3"/>
      <c r="Z846" s="4"/>
      <c r="AA846" s="5"/>
      <c r="AB846" s="3"/>
      <c r="AC846" s="3"/>
      <c r="AD846" s="3"/>
      <c r="AE846" s="3"/>
      <c r="AF846" s="3"/>
      <c r="AG846" s="3"/>
      <c r="AH846" s="3"/>
    </row>
    <row r="847" spans="1:34" x14ac:dyDescent="0.3">
      <c r="A847" s="11"/>
      <c r="B847" s="12"/>
      <c r="C847" s="12"/>
      <c r="D847" s="13"/>
      <c r="E847" s="6"/>
      <c r="F847" s="3"/>
      <c r="G847" s="3"/>
      <c r="H847" s="3"/>
      <c r="I847" s="3"/>
      <c r="J847" s="3"/>
      <c r="K847" s="3"/>
      <c r="L847" s="3"/>
      <c r="M847" s="3"/>
      <c r="N847" s="3"/>
      <c r="O847" s="8"/>
      <c r="P847" s="3"/>
      <c r="Q847" s="3"/>
      <c r="R847" s="3"/>
      <c r="S847" s="3"/>
      <c r="T847" s="3"/>
      <c r="U847" s="3"/>
      <c r="V847" s="8"/>
      <c r="W847" s="3"/>
      <c r="X847" s="3"/>
      <c r="Y847" s="3"/>
      <c r="Z847" s="4"/>
      <c r="AA847" s="5"/>
      <c r="AB847" s="3"/>
      <c r="AC847" s="3"/>
      <c r="AD847" s="3"/>
      <c r="AE847" s="3"/>
      <c r="AF847" s="3"/>
      <c r="AG847" s="3"/>
      <c r="AH847" s="3"/>
    </row>
    <row r="848" spans="1:34" x14ac:dyDescent="0.3">
      <c r="A848" s="11"/>
      <c r="B848" s="12"/>
      <c r="C848" s="12"/>
      <c r="D848" s="13"/>
      <c r="E848" s="6"/>
      <c r="F848" s="3"/>
      <c r="G848" s="3"/>
      <c r="H848" s="3"/>
      <c r="I848" s="3"/>
      <c r="J848" s="3"/>
      <c r="K848" s="3"/>
      <c r="L848" s="3"/>
      <c r="M848" s="3"/>
      <c r="N848" s="3"/>
      <c r="O848" s="8"/>
      <c r="P848" s="3"/>
      <c r="Q848" s="3"/>
      <c r="R848" s="3"/>
      <c r="S848" s="3"/>
      <c r="T848" s="3"/>
      <c r="U848" s="3"/>
      <c r="V848" s="8"/>
      <c r="W848" s="3"/>
      <c r="X848" s="3"/>
      <c r="Y848" s="3"/>
      <c r="Z848" s="4"/>
      <c r="AA848" s="5"/>
      <c r="AB848" s="3"/>
      <c r="AC848" s="3"/>
      <c r="AD848" s="3"/>
      <c r="AE848" s="3"/>
      <c r="AF848" s="3"/>
      <c r="AG848" s="3"/>
      <c r="AH848" s="3"/>
    </row>
    <row r="849" spans="1:34" x14ac:dyDescent="0.3">
      <c r="A849" s="11"/>
      <c r="B849" s="12"/>
      <c r="C849" s="12"/>
      <c r="D849" s="13"/>
      <c r="E849" s="6"/>
      <c r="F849" s="3"/>
      <c r="G849" s="3"/>
      <c r="H849" s="3"/>
      <c r="I849" s="3"/>
      <c r="J849" s="3"/>
      <c r="K849" s="3"/>
      <c r="L849" s="3"/>
      <c r="M849" s="3"/>
      <c r="N849" s="3"/>
      <c r="O849" s="8"/>
      <c r="P849" s="3"/>
      <c r="Q849" s="3"/>
      <c r="R849" s="3"/>
      <c r="S849" s="3"/>
      <c r="T849" s="3"/>
      <c r="U849" s="3"/>
      <c r="V849" s="8"/>
      <c r="W849" s="3"/>
      <c r="X849" s="3"/>
      <c r="Y849" s="3"/>
      <c r="Z849" s="4"/>
      <c r="AA849" s="5"/>
      <c r="AB849" s="3"/>
      <c r="AC849" s="3"/>
      <c r="AD849" s="3"/>
      <c r="AE849" s="3"/>
      <c r="AF849" s="3"/>
      <c r="AG849" s="3"/>
      <c r="AH849" s="3"/>
    </row>
    <row r="850" spans="1:34" x14ac:dyDescent="0.3">
      <c r="A850" s="11"/>
      <c r="B850" s="12"/>
      <c r="C850" s="12"/>
      <c r="D850" s="13"/>
      <c r="E850" s="6"/>
      <c r="F850" s="3"/>
      <c r="G850" s="3"/>
      <c r="H850" s="3"/>
      <c r="I850" s="3"/>
      <c r="J850" s="3"/>
      <c r="K850" s="3"/>
      <c r="L850" s="3"/>
      <c r="M850" s="3"/>
      <c r="N850" s="3"/>
      <c r="O850" s="8"/>
      <c r="P850" s="3"/>
      <c r="Q850" s="3"/>
      <c r="R850" s="3"/>
      <c r="S850" s="3"/>
      <c r="T850" s="3"/>
      <c r="U850" s="3"/>
      <c r="V850" s="8"/>
      <c r="W850" s="3"/>
      <c r="X850" s="3"/>
      <c r="Y850" s="3"/>
      <c r="Z850" s="4"/>
      <c r="AA850" s="5"/>
      <c r="AB850" s="3"/>
      <c r="AC850" s="3"/>
      <c r="AD850" s="3"/>
      <c r="AE850" s="3"/>
      <c r="AF850" s="3"/>
      <c r="AG850" s="3"/>
      <c r="AH850" s="3"/>
    </row>
    <row r="851" spans="1:34" x14ac:dyDescent="0.3">
      <c r="A851" s="11"/>
      <c r="B851" s="12"/>
      <c r="C851" s="12"/>
      <c r="D851" s="13"/>
      <c r="E851" s="6"/>
      <c r="F851" s="3"/>
      <c r="G851" s="3"/>
      <c r="H851" s="3"/>
      <c r="I851" s="3"/>
      <c r="J851" s="3"/>
      <c r="K851" s="3"/>
      <c r="L851" s="3"/>
      <c r="M851" s="3"/>
      <c r="N851" s="3"/>
      <c r="O851" s="8"/>
      <c r="P851" s="3"/>
      <c r="Q851" s="3"/>
      <c r="R851" s="3"/>
      <c r="S851" s="3"/>
      <c r="T851" s="3"/>
      <c r="U851" s="3"/>
      <c r="V851" s="8"/>
      <c r="W851" s="3"/>
      <c r="X851" s="3"/>
      <c r="Y851" s="3"/>
      <c r="Z851" s="4"/>
      <c r="AA851" s="5"/>
      <c r="AB851" s="3"/>
      <c r="AC851" s="3"/>
      <c r="AD851" s="3"/>
      <c r="AE851" s="3"/>
      <c r="AF851" s="3"/>
      <c r="AG851" s="3"/>
      <c r="AH851" s="3"/>
    </row>
    <row r="852" spans="1:34" x14ac:dyDescent="0.3">
      <c r="A852" s="11"/>
      <c r="B852" s="12"/>
      <c r="C852" s="12"/>
      <c r="D852" s="13"/>
      <c r="E852" s="6"/>
      <c r="F852" s="3"/>
      <c r="G852" s="3"/>
      <c r="H852" s="3"/>
      <c r="I852" s="3"/>
      <c r="J852" s="3"/>
      <c r="K852" s="3"/>
      <c r="L852" s="3"/>
      <c r="M852" s="3"/>
      <c r="N852" s="3"/>
      <c r="O852" s="8"/>
      <c r="P852" s="3"/>
      <c r="Q852" s="3"/>
      <c r="R852" s="3"/>
      <c r="S852" s="3"/>
      <c r="T852" s="3"/>
      <c r="U852" s="3"/>
      <c r="V852" s="8"/>
      <c r="W852" s="3"/>
      <c r="X852" s="3"/>
      <c r="Y852" s="3"/>
      <c r="Z852" s="4"/>
      <c r="AA852" s="5"/>
      <c r="AB852" s="3"/>
      <c r="AC852" s="3"/>
      <c r="AD852" s="3"/>
      <c r="AE852" s="3"/>
      <c r="AF852" s="3"/>
      <c r="AG852" s="3"/>
      <c r="AH852" s="3"/>
    </row>
    <row r="853" spans="1:34" x14ac:dyDescent="0.3">
      <c r="A853" s="11"/>
      <c r="B853" s="12"/>
      <c r="C853" s="12"/>
      <c r="D853" s="13"/>
      <c r="E853" s="6"/>
      <c r="F853" s="3"/>
      <c r="G853" s="3"/>
      <c r="H853" s="3"/>
      <c r="I853" s="3"/>
      <c r="J853" s="3"/>
      <c r="K853" s="3"/>
      <c r="L853" s="3"/>
      <c r="M853" s="3"/>
      <c r="N853" s="3"/>
      <c r="O853" s="8"/>
      <c r="P853" s="3"/>
      <c r="Q853" s="3"/>
      <c r="R853" s="3"/>
      <c r="S853" s="3"/>
      <c r="T853" s="3"/>
      <c r="U853" s="3"/>
      <c r="V853" s="8"/>
      <c r="W853" s="3"/>
      <c r="X853" s="3"/>
      <c r="Y853" s="3"/>
      <c r="Z853" s="4"/>
      <c r="AA853" s="5"/>
      <c r="AB853" s="3"/>
      <c r="AC853" s="3"/>
      <c r="AD853" s="3"/>
      <c r="AE853" s="3"/>
      <c r="AF853" s="3"/>
      <c r="AG853" s="3"/>
      <c r="AH853" s="3"/>
    </row>
    <row r="854" spans="1:34" x14ac:dyDescent="0.3">
      <c r="A854" s="11"/>
      <c r="B854" s="12"/>
      <c r="C854" s="12"/>
      <c r="D854" s="13"/>
      <c r="E854" s="6"/>
      <c r="F854" s="3"/>
      <c r="G854" s="3"/>
      <c r="H854" s="3"/>
      <c r="I854" s="3"/>
      <c r="J854" s="3"/>
      <c r="K854" s="3"/>
      <c r="L854" s="3"/>
      <c r="M854" s="3"/>
      <c r="N854" s="3"/>
      <c r="O854" s="8"/>
      <c r="P854" s="3"/>
      <c r="Q854" s="3"/>
      <c r="R854" s="3"/>
      <c r="S854" s="3"/>
      <c r="T854" s="3"/>
      <c r="U854" s="3"/>
      <c r="V854" s="8"/>
      <c r="W854" s="3"/>
      <c r="X854" s="3"/>
      <c r="Y854" s="3"/>
      <c r="Z854" s="4"/>
      <c r="AA854" s="5"/>
      <c r="AB854" s="3"/>
      <c r="AC854" s="3"/>
      <c r="AD854" s="3"/>
      <c r="AE854" s="3"/>
      <c r="AF854" s="3"/>
      <c r="AG854" s="3"/>
      <c r="AH854" s="3"/>
    </row>
    <row r="855" spans="1:34" x14ac:dyDescent="0.3">
      <c r="A855" s="11"/>
      <c r="B855" s="12"/>
      <c r="C855" s="12"/>
      <c r="D855" s="13"/>
      <c r="E855" s="6"/>
      <c r="F855" s="3"/>
      <c r="G855" s="3"/>
      <c r="H855" s="3"/>
      <c r="I855" s="3"/>
      <c r="J855" s="3"/>
      <c r="K855" s="3"/>
      <c r="L855" s="3"/>
      <c r="M855" s="3"/>
      <c r="N855" s="3"/>
      <c r="O855" s="8"/>
      <c r="P855" s="3"/>
      <c r="Q855" s="3"/>
      <c r="R855" s="3"/>
      <c r="S855" s="3"/>
      <c r="T855" s="3"/>
      <c r="U855" s="3"/>
      <c r="V855" s="8"/>
      <c r="W855" s="3"/>
      <c r="X855" s="3"/>
      <c r="Y855" s="3"/>
      <c r="Z855" s="4"/>
      <c r="AA855" s="5"/>
      <c r="AB855" s="3"/>
      <c r="AC855" s="3"/>
      <c r="AD855" s="3"/>
      <c r="AE855" s="3"/>
      <c r="AF855" s="3"/>
      <c r="AG855" s="3"/>
      <c r="AH855" s="3"/>
    </row>
    <row r="856" spans="1:34" x14ac:dyDescent="0.3">
      <c r="A856" s="11"/>
      <c r="B856" s="12"/>
      <c r="C856" s="12"/>
      <c r="D856" s="13"/>
      <c r="E856" s="6"/>
      <c r="F856" s="3"/>
      <c r="G856" s="3"/>
      <c r="H856" s="3"/>
      <c r="I856" s="3"/>
      <c r="J856" s="3"/>
      <c r="K856" s="3"/>
      <c r="L856" s="3"/>
      <c r="M856" s="3"/>
      <c r="N856" s="3"/>
      <c r="O856" s="8"/>
      <c r="P856" s="3"/>
      <c r="Q856" s="3"/>
      <c r="R856" s="3"/>
      <c r="S856" s="3"/>
      <c r="T856" s="3"/>
      <c r="U856" s="3"/>
      <c r="V856" s="8"/>
      <c r="W856" s="3"/>
      <c r="X856" s="3"/>
      <c r="Y856" s="3"/>
      <c r="Z856" s="4"/>
      <c r="AA856" s="5"/>
      <c r="AB856" s="3"/>
      <c r="AC856" s="3"/>
      <c r="AD856" s="3"/>
      <c r="AE856" s="3"/>
      <c r="AF856" s="3"/>
      <c r="AG856" s="3"/>
      <c r="AH856" s="3"/>
    </row>
    <row r="857" spans="1:34" x14ac:dyDescent="0.3">
      <c r="A857" s="11"/>
      <c r="B857" s="12"/>
      <c r="C857" s="12"/>
      <c r="D857" s="13"/>
      <c r="E857" s="6"/>
      <c r="F857" s="3"/>
      <c r="G857" s="3"/>
      <c r="H857" s="3"/>
      <c r="I857" s="3"/>
      <c r="J857" s="3"/>
      <c r="K857" s="3"/>
      <c r="L857" s="3"/>
      <c r="M857" s="3"/>
      <c r="N857" s="3"/>
      <c r="O857" s="8"/>
      <c r="P857" s="3"/>
      <c r="Q857" s="3"/>
      <c r="R857" s="3"/>
      <c r="S857" s="3"/>
      <c r="T857" s="3"/>
      <c r="U857" s="3"/>
      <c r="V857" s="8"/>
      <c r="W857" s="3"/>
      <c r="X857" s="3"/>
      <c r="Y857" s="3"/>
      <c r="Z857" s="4"/>
      <c r="AA857" s="5"/>
      <c r="AB857" s="3"/>
      <c r="AC857" s="3"/>
      <c r="AD857" s="3"/>
      <c r="AE857" s="3"/>
      <c r="AF857" s="3"/>
      <c r="AG857" s="3"/>
      <c r="AH857" s="3"/>
    </row>
    <row r="858" spans="1:34" x14ac:dyDescent="0.3">
      <c r="A858" s="11"/>
      <c r="B858" s="12"/>
      <c r="C858" s="12"/>
      <c r="D858" s="13"/>
      <c r="E858" s="6"/>
      <c r="F858" s="3"/>
      <c r="G858" s="3"/>
      <c r="H858" s="3"/>
      <c r="I858" s="3"/>
      <c r="J858" s="3"/>
      <c r="K858" s="3"/>
      <c r="L858" s="3"/>
      <c r="M858" s="3"/>
      <c r="N858" s="3"/>
      <c r="O858" s="8"/>
      <c r="P858" s="3"/>
      <c r="Q858" s="3"/>
      <c r="R858" s="3"/>
      <c r="S858" s="3"/>
      <c r="T858" s="3"/>
      <c r="U858" s="3"/>
      <c r="V858" s="8"/>
      <c r="W858" s="3"/>
      <c r="X858" s="3"/>
      <c r="Y858" s="3"/>
      <c r="Z858" s="4"/>
      <c r="AA858" s="5"/>
      <c r="AB858" s="3"/>
      <c r="AC858" s="3"/>
      <c r="AD858" s="3"/>
      <c r="AE858" s="3"/>
      <c r="AF858" s="3"/>
      <c r="AG858" s="3"/>
      <c r="AH858" s="3"/>
    </row>
    <row r="859" spans="1:34" x14ac:dyDescent="0.3">
      <c r="A859" s="11"/>
      <c r="B859" s="12"/>
      <c r="C859" s="12"/>
      <c r="D859" s="13"/>
      <c r="E859" s="6"/>
      <c r="F859" s="3"/>
      <c r="G859" s="3"/>
      <c r="H859" s="3"/>
      <c r="I859" s="3"/>
      <c r="J859" s="3"/>
      <c r="K859" s="3"/>
      <c r="L859" s="3"/>
      <c r="M859" s="3"/>
      <c r="N859" s="3"/>
      <c r="O859" s="8"/>
      <c r="P859" s="3"/>
      <c r="Q859" s="3"/>
      <c r="R859" s="3"/>
      <c r="S859" s="3"/>
      <c r="T859" s="3"/>
      <c r="U859" s="3"/>
      <c r="V859" s="8"/>
      <c r="W859" s="3"/>
      <c r="X859" s="3"/>
      <c r="Y859" s="3"/>
      <c r="Z859" s="4"/>
      <c r="AA859" s="5"/>
      <c r="AB859" s="3"/>
      <c r="AC859" s="3"/>
      <c r="AD859" s="3"/>
      <c r="AE859" s="3"/>
      <c r="AF859" s="3"/>
      <c r="AG859" s="3"/>
      <c r="AH859" s="3"/>
    </row>
    <row r="860" spans="1:34" x14ac:dyDescent="0.3">
      <c r="A860" s="11"/>
      <c r="B860" s="12"/>
      <c r="C860" s="12"/>
      <c r="D860" s="13"/>
      <c r="E860" s="6"/>
      <c r="F860" s="3"/>
      <c r="G860" s="3"/>
      <c r="H860" s="3"/>
      <c r="I860" s="3"/>
      <c r="J860" s="3"/>
      <c r="K860" s="3"/>
      <c r="L860" s="3"/>
      <c r="M860" s="3"/>
      <c r="N860" s="3"/>
      <c r="O860" s="8"/>
      <c r="P860" s="3"/>
      <c r="Q860" s="3"/>
      <c r="R860" s="3"/>
      <c r="S860" s="3"/>
      <c r="T860" s="3"/>
      <c r="U860" s="3"/>
      <c r="V860" s="8"/>
      <c r="W860" s="3"/>
      <c r="X860" s="3"/>
      <c r="Y860" s="3"/>
      <c r="Z860" s="4"/>
      <c r="AA860" s="5"/>
      <c r="AB860" s="3"/>
      <c r="AC860" s="3"/>
      <c r="AD860" s="3"/>
      <c r="AE860" s="3"/>
      <c r="AF860" s="3"/>
      <c r="AG860" s="3"/>
      <c r="AH860" s="3"/>
    </row>
    <row r="861" spans="1:34" x14ac:dyDescent="0.3">
      <c r="A861" s="11"/>
      <c r="B861" s="12"/>
      <c r="C861" s="12"/>
      <c r="D861" s="13"/>
      <c r="E861" s="6"/>
      <c r="F861" s="3"/>
      <c r="G861" s="3"/>
      <c r="H861" s="3"/>
      <c r="I861" s="3"/>
      <c r="J861" s="3"/>
      <c r="K861" s="3"/>
      <c r="L861" s="3"/>
      <c r="M861" s="3"/>
      <c r="N861" s="3"/>
      <c r="O861" s="8"/>
      <c r="P861" s="3"/>
      <c r="Q861" s="3"/>
      <c r="R861" s="3"/>
      <c r="S861" s="3"/>
      <c r="T861" s="3"/>
      <c r="U861" s="3"/>
      <c r="V861" s="8"/>
      <c r="W861" s="3"/>
      <c r="X861" s="3"/>
      <c r="Y861" s="3"/>
      <c r="Z861" s="4"/>
      <c r="AA861" s="5"/>
      <c r="AB861" s="3"/>
      <c r="AC861" s="3"/>
      <c r="AD861" s="3"/>
      <c r="AE861" s="3"/>
      <c r="AF861" s="3"/>
      <c r="AG861" s="3"/>
      <c r="AH861" s="3"/>
    </row>
    <row r="862" spans="1:34" x14ac:dyDescent="0.3">
      <c r="A862" s="11"/>
      <c r="B862" s="12"/>
      <c r="C862" s="12"/>
      <c r="D862" s="13"/>
      <c r="E862" s="6"/>
      <c r="F862" s="3"/>
      <c r="G862" s="3"/>
      <c r="H862" s="3"/>
      <c r="I862" s="3"/>
      <c r="J862" s="3"/>
      <c r="K862" s="3"/>
      <c r="L862" s="3"/>
      <c r="M862" s="3"/>
      <c r="N862" s="3"/>
      <c r="O862" s="8"/>
      <c r="P862" s="3"/>
      <c r="Q862" s="3"/>
      <c r="R862" s="3"/>
      <c r="S862" s="3"/>
      <c r="T862" s="3"/>
      <c r="U862" s="3"/>
      <c r="V862" s="8"/>
      <c r="W862" s="3"/>
      <c r="X862" s="3"/>
      <c r="Y862" s="3"/>
      <c r="Z862" s="4"/>
      <c r="AA862" s="5"/>
      <c r="AB862" s="3"/>
      <c r="AC862" s="3"/>
      <c r="AD862" s="3"/>
      <c r="AE862" s="3"/>
      <c r="AF862" s="3"/>
      <c r="AG862" s="3"/>
      <c r="AH862" s="3"/>
    </row>
    <row r="863" spans="1:34" x14ac:dyDescent="0.3">
      <c r="A863" s="11"/>
      <c r="B863" s="12"/>
      <c r="C863" s="12"/>
      <c r="D863" s="13"/>
      <c r="E863" s="6"/>
      <c r="F863" s="3"/>
      <c r="G863" s="3"/>
      <c r="H863" s="3"/>
      <c r="I863" s="3"/>
      <c r="J863" s="3"/>
      <c r="K863" s="3"/>
      <c r="L863" s="3"/>
      <c r="M863" s="3"/>
      <c r="N863" s="3"/>
      <c r="O863" s="8"/>
      <c r="P863" s="3"/>
      <c r="Q863" s="3"/>
      <c r="R863" s="3"/>
      <c r="S863" s="3"/>
      <c r="T863" s="3"/>
      <c r="U863" s="3"/>
      <c r="V863" s="8"/>
      <c r="W863" s="3"/>
      <c r="X863" s="3"/>
      <c r="Y863" s="3"/>
      <c r="Z863" s="4"/>
      <c r="AA863" s="5"/>
      <c r="AB863" s="3"/>
      <c r="AC863" s="3"/>
      <c r="AD863" s="3"/>
      <c r="AE863" s="3"/>
      <c r="AF863" s="3"/>
      <c r="AG863" s="3"/>
      <c r="AH863" s="3"/>
    </row>
    <row r="864" spans="1:34" x14ac:dyDescent="0.3">
      <c r="A864" s="11"/>
      <c r="B864" s="12"/>
      <c r="C864" s="12"/>
      <c r="D864" s="13"/>
      <c r="E864" s="6"/>
      <c r="F864" s="3"/>
      <c r="G864" s="3"/>
      <c r="H864" s="3"/>
      <c r="I864" s="3"/>
      <c r="J864" s="3"/>
      <c r="K864" s="3"/>
      <c r="L864" s="3"/>
      <c r="M864" s="3"/>
      <c r="N864" s="3"/>
      <c r="O864" s="8"/>
      <c r="P864" s="3"/>
      <c r="Q864" s="3"/>
      <c r="R864" s="3"/>
      <c r="S864" s="3"/>
      <c r="T864" s="3"/>
      <c r="U864" s="3"/>
      <c r="V864" s="8"/>
      <c r="W864" s="3"/>
      <c r="X864" s="3"/>
      <c r="Y864" s="3"/>
      <c r="Z864" s="4"/>
      <c r="AA864" s="5"/>
      <c r="AB864" s="3"/>
      <c r="AC864" s="3"/>
      <c r="AD864" s="3"/>
      <c r="AE864" s="3"/>
      <c r="AF864" s="3"/>
      <c r="AG864" s="3"/>
      <c r="AH864" s="3"/>
    </row>
    <row r="865" spans="1:34" x14ac:dyDescent="0.3">
      <c r="A865" s="11"/>
      <c r="B865" s="12"/>
      <c r="C865" s="12"/>
      <c r="D865" s="13"/>
      <c r="E865" s="6"/>
      <c r="F865" s="3"/>
      <c r="G865" s="3"/>
      <c r="H865" s="3"/>
      <c r="I865" s="3"/>
      <c r="J865" s="3"/>
      <c r="K865" s="3"/>
      <c r="L865" s="3"/>
      <c r="M865" s="3"/>
      <c r="N865" s="3"/>
      <c r="O865" s="8"/>
      <c r="P865" s="3"/>
      <c r="Q865" s="3"/>
      <c r="R865" s="3"/>
      <c r="S865" s="3"/>
      <c r="T865" s="3"/>
      <c r="U865" s="3"/>
      <c r="V865" s="8"/>
      <c r="W865" s="3"/>
      <c r="X865" s="3"/>
      <c r="Y865" s="3"/>
      <c r="Z865" s="4"/>
      <c r="AA865" s="5"/>
      <c r="AB865" s="3"/>
      <c r="AC865" s="3"/>
      <c r="AD865" s="3"/>
      <c r="AE865" s="3"/>
      <c r="AF865" s="3"/>
      <c r="AG865" s="3"/>
      <c r="AH865" s="3"/>
    </row>
    <row r="866" spans="1:34" x14ac:dyDescent="0.3">
      <c r="A866" s="11"/>
      <c r="B866" s="12"/>
      <c r="C866" s="12"/>
      <c r="D866" s="13"/>
      <c r="E866" s="6"/>
      <c r="F866" s="3"/>
      <c r="G866" s="3"/>
      <c r="H866" s="3"/>
      <c r="I866" s="3"/>
      <c r="J866" s="3"/>
      <c r="K866" s="3"/>
      <c r="L866" s="3"/>
      <c r="M866" s="3"/>
      <c r="N866" s="3"/>
      <c r="O866" s="8"/>
      <c r="P866" s="3"/>
      <c r="Q866" s="3"/>
      <c r="R866" s="3"/>
      <c r="S866" s="3"/>
      <c r="T866" s="3"/>
      <c r="U866" s="3"/>
      <c r="V866" s="8"/>
      <c r="W866" s="3"/>
      <c r="X866" s="3"/>
      <c r="Y866" s="3"/>
      <c r="Z866" s="4"/>
      <c r="AA866" s="5"/>
      <c r="AB866" s="3"/>
      <c r="AC866" s="3"/>
      <c r="AD866" s="3"/>
      <c r="AE866" s="3"/>
      <c r="AF866" s="3"/>
      <c r="AG866" s="3"/>
      <c r="AH866" s="3"/>
    </row>
    <row r="867" spans="1:34" x14ac:dyDescent="0.3">
      <c r="A867" s="11"/>
      <c r="B867" s="12"/>
      <c r="C867" s="12"/>
      <c r="D867" s="13"/>
      <c r="E867" s="6"/>
      <c r="F867" s="3"/>
      <c r="G867" s="3"/>
      <c r="H867" s="3"/>
      <c r="I867" s="3"/>
      <c r="J867" s="3"/>
      <c r="K867" s="3"/>
      <c r="L867" s="3"/>
      <c r="M867" s="3"/>
      <c r="N867" s="3"/>
      <c r="O867" s="8"/>
      <c r="P867" s="3"/>
      <c r="Q867" s="3"/>
      <c r="R867" s="3"/>
      <c r="S867" s="3"/>
      <c r="T867" s="3"/>
      <c r="U867" s="3"/>
      <c r="V867" s="8"/>
      <c r="W867" s="3"/>
      <c r="X867" s="3"/>
      <c r="Y867" s="3"/>
      <c r="Z867" s="4"/>
      <c r="AA867" s="5"/>
      <c r="AB867" s="3"/>
      <c r="AC867" s="3"/>
      <c r="AD867" s="3"/>
      <c r="AE867" s="3"/>
      <c r="AF867" s="3"/>
      <c r="AG867" s="3"/>
      <c r="AH867" s="3"/>
    </row>
    <row r="868" spans="1:34" x14ac:dyDescent="0.3">
      <c r="A868" s="11"/>
      <c r="B868" s="12"/>
      <c r="C868" s="12"/>
      <c r="D868" s="13"/>
      <c r="E868" s="6"/>
      <c r="F868" s="3"/>
      <c r="G868" s="3"/>
      <c r="H868" s="3"/>
      <c r="I868" s="3"/>
      <c r="J868" s="3"/>
      <c r="K868" s="3"/>
      <c r="L868" s="3"/>
      <c r="M868" s="3"/>
      <c r="N868" s="3"/>
      <c r="O868" s="8"/>
      <c r="P868" s="3"/>
      <c r="Q868" s="3"/>
      <c r="R868" s="3"/>
      <c r="S868" s="3"/>
      <c r="T868" s="3"/>
      <c r="U868" s="3"/>
      <c r="V868" s="8"/>
      <c r="W868" s="3"/>
      <c r="X868" s="3"/>
      <c r="Y868" s="3"/>
      <c r="Z868" s="4"/>
      <c r="AA868" s="5"/>
      <c r="AB868" s="3"/>
      <c r="AC868" s="3"/>
      <c r="AD868" s="3"/>
      <c r="AE868" s="3"/>
      <c r="AF868" s="3"/>
      <c r="AG868" s="3"/>
      <c r="AH868" s="3"/>
    </row>
    <row r="869" spans="1:34" x14ac:dyDescent="0.3">
      <c r="A869" s="11"/>
      <c r="B869" s="12"/>
      <c r="C869" s="12"/>
      <c r="D869" s="13"/>
      <c r="E869" s="6"/>
      <c r="F869" s="3"/>
      <c r="G869" s="3"/>
      <c r="H869" s="3"/>
      <c r="I869" s="3"/>
      <c r="J869" s="3"/>
      <c r="K869" s="3"/>
      <c r="L869" s="3"/>
      <c r="M869" s="3"/>
      <c r="N869" s="3"/>
      <c r="O869" s="8"/>
      <c r="P869" s="3"/>
      <c r="Q869" s="3"/>
      <c r="R869" s="3"/>
      <c r="S869" s="3"/>
      <c r="T869" s="3"/>
      <c r="U869" s="3"/>
      <c r="V869" s="8"/>
      <c r="W869" s="3"/>
      <c r="X869" s="3"/>
      <c r="Y869" s="3"/>
      <c r="Z869" s="4"/>
      <c r="AA869" s="5"/>
      <c r="AB869" s="3"/>
      <c r="AC869" s="3"/>
      <c r="AD869" s="3"/>
      <c r="AE869" s="3"/>
      <c r="AF869" s="3"/>
      <c r="AG869" s="3"/>
      <c r="AH869" s="3"/>
    </row>
    <row r="870" spans="1:34" x14ac:dyDescent="0.3">
      <c r="A870" s="11"/>
      <c r="B870" s="12"/>
      <c r="C870" s="12"/>
      <c r="D870" s="13"/>
      <c r="E870" s="6"/>
      <c r="F870" s="3"/>
      <c r="G870" s="3"/>
      <c r="H870" s="3"/>
      <c r="I870" s="3"/>
      <c r="J870" s="3"/>
      <c r="K870" s="3"/>
      <c r="L870" s="3"/>
      <c r="M870" s="3"/>
      <c r="N870" s="3"/>
      <c r="O870" s="8"/>
      <c r="P870" s="3"/>
      <c r="Q870" s="3"/>
      <c r="R870" s="3"/>
      <c r="S870" s="3"/>
      <c r="T870" s="3"/>
      <c r="U870" s="3"/>
      <c r="V870" s="8"/>
      <c r="W870" s="3"/>
      <c r="X870" s="3"/>
      <c r="Y870" s="3"/>
      <c r="Z870" s="4"/>
      <c r="AA870" s="5"/>
      <c r="AB870" s="3"/>
      <c r="AC870" s="3"/>
      <c r="AD870" s="3"/>
      <c r="AE870" s="3"/>
      <c r="AF870" s="3"/>
      <c r="AG870" s="3"/>
      <c r="AH870" s="3"/>
    </row>
    <row r="871" spans="1:34" x14ac:dyDescent="0.3">
      <c r="A871" s="11"/>
      <c r="B871" s="12"/>
      <c r="C871" s="12"/>
      <c r="D871" s="13"/>
      <c r="E871" s="6"/>
      <c r="F871" s="3"/>
      <c r="G871" s="3"/>
      <c r="H871" s="3"/>
      <c r="I871" s="3"/>
      <c r="J871" s="3"/>
      <c r="K871" s="3"/>
      <c r="L871" s="3"/>
      <c r="M871" s="3"/>
      <c r="N871" s="3"/>
      <c r="O871" s="8"/>
      <c r="P871" s="3"/>
      <c r="Q871" s="3"/>
      <c r="R871" s="3"/>
      <c r="S871" s="3"/>
      <c r="T871" s="3"/>
      <c r="U871" s="3"/>
      <c r="V871" s="8"/>
      <c r="W871" s="3"/>
      <c r="X871" s="3"/>
      <c r="Y871" s="3"/>
      <c r="Z871" s="4"/>
      <c r="AA871" s="5"/>
      <c r="AB871" s="3"/>
      <c r="AC871" s="3"/>
      <c r="AD871" s="3"/>
      <c r="AE871" s="3"/>
      <c r="AF871" s="3"/>
      <c r="AG871" s="3"/>
      <c r="AH871" s="3"/>
    </row>
    <row r="872" spans="1:34" x14ac:dyDescent="0.3">
      <c r="A872" s="11"/>
      <c r="B872" s="12"/>
      <c r="C872" s="12"/>
      <c r="D872" s="13"/>
      <c r="E872" s="6"/>
      <c r="F872" s="3"/>
      <c r="G872" s="3"/>
      <c r="H872" s="3"/>
      <c r="I872" s="3"/>
      <c r="J872" s="3"/>
      <c r="K872" s="3"/>
      <c r="L872" s="3"/>
      <c r="M872" s="3"/>
      <c r="N872" s="3"/>
      <c r="O872" s="8"/>
      <c r="P872" s="3"/>
      <c r="Q872" s="3"/>
      <c r="R872" s="3"/>
      <c r="S872" s="3"/>
      <c r="T872" s="3"/>
      <c r="U872" s="3"/>
      <c r="V872" s="8"/>
      <c r="W872" s="3"/>
      <c r="X872" s="3"/>
      <c r="Y872" s="3"/>
      <c r="Z872" s="4"/>
      <c r="AA872" s="5"/>
      <c r="AB872" s="3"/>
      <c r="AC872" s="3"/>
      <c r="AD872" s="3"/>
      <c r="AE872" s="3"/>
      <c r="AF872" s="3"/>
      <c r="AG872" s="3"/>
      <c r="AH872" s="3"/>
    </row>
    <row r="873" spans="1:34" x14ac:dyDescent="0.3">
      <c r="A873" s="11"/>
      <c r="B873" s="12"/>
      <c r="C873" s="12"/>
      <c r="D873" s="13"/>
      <c r="E873" s="6"/>
      <c r="F873" s="3"/>
      <c r="G873" s="3"/>
      <c r="H873" s="3"/>
      <c r="I873" s="3"/>
      <c r="J873" s="3"/>
      <c r="K873" s="3"/>
      <c r="L873" s="3"/>
      <c r="M873" s="3"/>
      <c r="N873" s="3"/>
      <c r="O873" s="8"/>
      <c r="P873" s="3"/>
      <c r="Q873" s="3"/>
      <c r="R873" s="3"/>
      <c r="S873" s="3"/>
      <c r="T873" s="3"/>
      <c r="U873" s="3"/>
      <c r="V873" s="8"/>
      <c r="W873" s="3"/>
      <c r="X873" s="3"/>
      <c r="Y873" s="3"/>
      <c r="Z873" s="4"/>
      <c r="AA873" s="5"/>
      <c r="AB873" s="3"/>
      <c r="AC873" s="3"/>
      <c r="AD873" s="3"/>
      <c r="AE873" s="3"/>
      <c r="AF873" s="3"/>
      <c r="AG873" s="3"/>
      <c r="AH873" s="3"/>
    </row>
    <row r="874" spans="1:34" x14ac:dyDescent="0.3">
      <c r="A874" s="11"/>
      <c r="B874" s="12"/>
      <c r="C874" s="12"/>
      <c r="D874" s="13"/>
      <c r="E874" s="6"/>
      <c r="F874" s="3"/>
      <c r="G874" s="3"/>
      <c r="H874" s="3"/>
      <c r="I874" s="3"/>
      <c r="J874" s="3"/>
      <c r="K874" s="3"/>
      <c r="L874" s="3"/>
      <c r="M874" s="3"/>
      <c r="N874" s="3"/>
      <c r="O874" s="8"/>
      <c r="P874" s="3"/>
      <c r="Q874" s="3"/>
      <c r="R874" s="3"/>
      <c r="S874" s="3"/>
      <c r="T874" s="3"/>
      <c r="U874" s="3"/>
      <c r="V874" s="8"/>
      <c r="W874" s="3"/>
      <c r="X874" s="3"/>
      <c r="Y874" s="3"/>
      <c r="Z874" s="4"/>
      <c r="AA874" s="5"/>
      <c r="AB874" s="3"/>
      <c r="AC874" s="3"/>
      <c r="AD874" s="3"/>
      <c r="AE874" s="3"/>
      <c r="AF874" s="3"/>
      <c r="AG874" s="3"/>
      <c r="AH874" s="3"/>
    </row>
    <row r="875" spans="1:34" x14ac:dyDescent="0.3">
      <c r="A875" s="11"/>
      <c r="B875" s="12"/>
      <c r="C875" s="12"/>
      <c r="D875" s="13"/>
      <c r="E875" s="6"/>
      <c r="F875" s="3"/>
      <c r="G875" s="3"/>
      <c r="H875" s="3"/>
      <c r="I875" s="3"/>
      <c r="J875" s="3"/>
      <c r="K875" s="3"/>
      <c r="L875" s="3"/>
      <c r="M875" s="3"/>
      <c r="N875" s="3"/>
      <c r="O875" s="8"/>
      <c r="P875" s="3"/>
      <c r="Q875" s="3"/>
      <c r="R875" s="3"/>
      <c r="S875" s="3"/>
      <c r="T875" s="3"/>
      <c r="U875" s="3"/>
      <c r="V875" s="8"/>
      <c r="W875" s="3"/>
      <c r="X875" s="3"/>
      <c r="Y875" s="3"/>
      <c r="Z875" s="4"/>
      <c r="AA875" s="5"/>
      <c r="AB875" s="3"/>
      <c r="AC875" s="3"/>
      <c r="AD875" s="3"/>
      <c r="AE875" s="3"/>
      <c r="AF875" s="3"/>
      <c r="AG875" s="3"/>
      <c r="AH875" s="3"/>
    </row>
    <row r="876" spans="1:34" x14ac:dyDescent="0.3">
      <c r="A876" s="11"/>
      <c r="B876" s="12"/>
      <c r="C876" s="12"/>
      <c r="D876" s="13"/>
      <c r="E876" s="6"/>
      <c r="F876" s="3"/>
      <c r="G876" s="3"/>
      <c r="H876" s="3"/>
      <c r="I876" s="3"/>
      <c r="J876" s="3"/>
      <c r="K876" s="3"/>
      <c r="L876" s="3"/>
      <c r="M876" s="3"/>
      <c r="N876" s="3"/>
      <c r="O876" s="8"/>
      <c r="P876" s="3"/>
      <c r="Q876" s="3"/>
      <c r="R876" s="3"/>
      <c r="S876" s="3"/>
      <c r="T876" s="3"/>
      <c r="U876" s="3"/>
      <c r="V876" s="8"/>
      <c r="W876" s="3"/>
      <c r="X876" s="3"/>
      <c r="Y876" s="3"/>
      <c r="Z876" s="4"/>
      <c r="AA876" s="5"/>
      <c r="AB876" s="3"/>
      <c r="AC876" s="3"/>
      <c r="AD876" s="3"/>
      <c r="AE876" s="3"/>
      <c r="AF876" s="3"/>
      <c r="AG876" s="3"/>
      <c r="AH876" s="3"/>
    </row>
    <row r="877" spans="1:34" x14ac:dyDescent="0.3">
      <c r="A877" s="11"/>
      <c r="B877" s="12"/>
      <c r="C877" s="12"/>
      <c r="D877" s="13"/>
      <c r="E877" s="6"/>
      <c r="F877" s="3"/>
      <c r="G877" s="3"/>
      <c r="H877" s="3"/>
      <c r="I877" s="3"/>
      <c r="J877" s="3"/>
      <c r="K877" s="3"/>
      <c r="L877" s="3"/>
      <c r="M877" s="3"/>
      <c r="N877" s="3"/>
      <c r="O877" s="8"/>
      <c r="P877" s="3"/>
      <c r="Q877" s="3"/>
      <c r="R877" s="3"/>
      <c r="S877" s="3"/>
      <c r="T877" s="3"/>
      <c r="U877" s="3"/>
      <c r="V877" s="8"/>
      <c r="W877" s="3"/>
      <c r="X877" s="3"/>
      <c r="Y877" s="3"/>
      <c r="Z877" s="4"/>
      <c r="AA877" s="5"/>
      <c r="AB877" s="3"/>
      <c r="AC877" s="3"/>
      <c r="AD877" s="3"/>
      <c r="AE877" s="3"/>
      <c r="AF877" s="3"/>
      <c r="AG877" s="3"/>
      <c r="AH877" s="3"/>
    </row>
    <row r="878" spans="1:34" x14ac:dyDescent="0.3">
      <c r="A878" s="11"/>
      <c r="B878" s="12"/>
      <c r="C878" s="12"/>
      <c r="D878" s="13"/>
      <c r="E878" s="6"/>
      <c r="F878" s="3"/>
      <c r="G878" s="3"/>
      <c r="H878" s="3"/>
      <c r="I878" s="3"/>
      <c r="J878" s="3"/>
      <c r="K878" s="3"/>
      <c r="L878" s="3"/>
      <c r="M878" s="3"/>
      <c r="N878" s="3"/>
      <c r="O878" s="8"/>
      <c r="P878" s="3"/>
      <c r="Q878" s="3"/>
      <c r="R878" s="3"/>
      <c r="S878" s="3"/>
      <c r="T878" s="3"/>
      <c r="U878" s="3"/>
      <c r="V878" s="8"/>
      <c r="W878" s="3"/>
      <c r="X878" s="3"/>
      <c r="Y878" s="3"/>
      <c r="Z878" s="4"/>
      <c r="AA878" s="5"/>
      <c r="AB878" s="3"/>
      <c r="AC878" s="3"/>
      <c r="AD878" s="3"/>
      <c r="AE878" s="3"/>
      <c r="AF878" s="3"/>
      <c r="AG878" s="3"/>
      <c r="AH878" s="3"/>
    </row>
    <row r="879" spans="1:34" x14ac:dyDescent="0.3">
      <c r="A879" s="11"/>
      <c r="B879" s="12"/>
      <c r="C879" s="12"/>
      <c r="D879" s="13"/>
      <c r="E879" s="6"/>
      <c r="F879" s="3"/>
      <c r="G879" s="3"/>
      <c r="H879" s="3"/>
      <c r="I879" s="3"/>
      <c r="J879" s="3"/>
      <c r="K879" s="3"/>
      <c r="L879" s="3"/>
      <c r="M879" s="3"/>
      <c r="N879" s="3"/>
      <c r="O879" s="8"/>
      <c r="P879" s="3"/>
      <c r="Q879" s="3"/>
      <c r="R879" s="3"/>
      <c r="S879" s="3"/>
      <c r="T879" s="3"/>
      <c r="U879" s="3"/>
      <c r="V879" s="8"/>
      <c r="W879" s="3"/>
      <c r="X879" s="3"/>
      <c r="Y879" s="3"/>
      <c r="Z879" s="4"/>
      <c r="AA879" s="5"/>
      <c r="AB879" s="3"/>
      <c r="AC879" s="3"/>
      <c r="AD879" s="3"/>
      <c r="AE879" s="3"/>
      <c r="AF879" s="3"/>
      <c r="AG879" s="3"/>
      <c r="AH879" s="3"/>
    </row>
    <row r="880" spans="1:34" x14ac:dyDescent="0.3">
      <c r="A880" s="11"/>
      <c r="B880" s="12"/>
      <c r="C880" s="12"/>
      <c r="D880" s="13"/>
      <c r="E880" s="6"/>
      <c r="F880" s="3"/>
      <c r="G880" s="3"/>
      <c r="H880" s="3"/>
      <c r="I880" s="3"/>
      <c r="J880" s="3"/>
      <c r="K880" s="3"/>
      <c r="L880" s="3"/>
      <c r="M880" s="3"/>
      <c r="N880" s="3"/>
      <c r="O880" s="8"/>
      <c r="P880" s="3"/>
      <c r="Q880" s="3"/>
      <c r="R880" s="3"/>
      <c r="S880" s="3"/>
      <c r="T880" s="3"/>
      <c r="U880" s="3"/>
      <c r="V880" s="8"/>
      <c r="W880" s="3"/>
      <c r="X880" s="3"/>
      <c r="Y880" s="3"/>
      <c r="Z880" s="4"/>
      <c r="AA880" s="5"/>
      <c r="AB880" s="3"/>
      <c r="AC880" s="3"/>
      <c r="AD880" s="3"/>
      <c r="AE880" s="3"/>
      <c r="AF880" s="3"/>
      <c r="AG880" s="3"/>
      <c r="AH880" s="3"/>
    </row>
    <row r="881" spans="1:34" x14ac:dyDescent="0.3">
      <c r="A881" s="11"/>
      <c r="B881" s="12"/>
      <c r="C881" s="12"/>
      <c r="D881" s="13"/>
      <c r="E881" s="6"/>
      <c r="F881" s="3"/>
      <c r="G881" s="3"/>
      <c r="H881" s="3"/>
      <c r="I881" s="3"/>
      <c r="J881" s="3"/>
      <c r="K881" s="3"/>
      <c r="L881" s="3"/>
      <c r="M881" s="3"/>
      <c r="N881" s="3"/>
      <c r="O881" s="8"/>
      <c r="P881" s="3"/>
      <c r="Q881" s="3"/>
      <c r="R881" s="3"/>
      <c r="S881" s="3"/>
      <c r="T881" s="3"/>
      <c r="U881" s="3"/>
      <c r="V881" s="8"/>
      <c r="W881" s="3"/>
      <c r="X881" s="3"/>
      <c r="Y881" s="3"/>
      <c r="Z881" s="4"/>
      <c r="AA881" s="5"/>
      <c r="AB881" s="3"/>
      <c r="AC881" s="3"/>
      <c r="AD881" s="3"/>
      <c r="AE881" s="3"/>
      <c r="AF881" s="3"/>
      <c r="AG881" s="3"/>
      <c r="AH881" s="3"/>
    </row>
    <row r="882" spans="1:34" x14ac:dyDescent="0.3">
      <c r="A882" s="11"/>
      <c r="B882" s="12"/>
      <c r="C882" s="12"/>
      <c r="D882" s="13"/>
      <c r="E882" s="6"/>
      <c r="F882" s="3"/>
      <c r="G882" s="3"/>
      <c r="H882" s="3"/>
      <c r="I882" s="3"/>
      <c r="J882" s="3"/>
      <c r="K882" s="3"/>
      <c r="L882" s="3"/>
      <c r="M882" s="3"/>
      <c r="N882" s="3"/>
      <c r="O882" s="8"/>
      <c r="P882" s="3"/>
      <c r="Q882" s="3"/>
      <c r="R882" s="3"/>
      <c r="S882" s="3"/>
      <c r="T882" s="3"/>
      <c r="U882" s="3"/>
      <c r="V882" s="8"/>
      <c r="W882" s="3"/>
      <c r="X882" s="3"/>
      <c r="Y882" s="3"/>
      <c r="Z882" s="4"/>
      <c r="AA882" s="5"/>
      <c r="AB882" s="3"/>
      <c r="AC882" s="3"/>
      <c r="AD882" s="3"/>
      <c r="AE882" s="3"/>
      <c r="AF882" s="3"/>
      <c r="AG882" s="3"/>
      <c r="AH882" s="3"/>
    </row>
    <row r="883" spans="1:34" x14ac:dyDescent="0.3">
      <c r="A883" s="11"/>
      <c r="B883" s="12"/>
      <c r="C883" s="12"/>
      <c r="D883" s="13"/>
      <c r="E883" s="6"/>
      <c r="F883" s="3"/>
      <c r="G883" s="3"/>
      <c r="H883" s="3"/>
      <c r="I883" s="3"/>
      <c r="J883" s="3"/>
      <c r="K883" s="3"/>
      <c r="L883" s="3"/>
      <c r="M883" s="3"/>
      <c r="N883" s="3"/>
      <c r="O883" s="8"/>
      <c r="P883" s="3"/>
      <c r="Q883" s="3"/>
      <c r="R883" s="3"/>
      <c r="S883" s="3"/>
      <c r="T883" s="3"/>
      <c r="U883" s="3"/>
      <c r="V883" s="8"/>
      <c r="W883" s="3"/>
      <c r="X883" s="3"/>
      <c r="Y883" s="3"/>
      <c r="Z883" s="4"/>
      <c r="AA883" s="5"/>
      <c r="AB883" s="3"/>
      <c r="AC883" s="3"/>
      <c r="AD883" s="3"/>
      <c r="AE883" s="3"/>
      <c r="AF883" s="3"/>
      <c r="AG883" s="3"/>
      <c r="AH883" s="3"/>
    </row>
    <row r="884" spans="1:34" x14ac:dyDescent="0.3">
      <c r="A884" s="11"/>
      <c r="B884" s="12"/>
      <c r="C884" s="12"/>
      <c r="D884" s="13"/>
      <c r="E884" s="6"/>
      <c r="F884" s="3"/>
      <c r="G884" s="3"/>
      <c r="H884" s="3"/>
      <c r="I884" s="3"/>
      <c r="J884" s="3"/>
      <c r="K884" s="3"/>
      <c r="L884" s="3"/>
      <c r="M884" s="3"/>
      <c r="N884" s="3"/>
      <c r="O884" s="8"/>
      <c r="P884" s="3"/>
      <c r="Q884" s="3"/>
      <c r="R884" s="3"/>
      <c r="S884" s="3"/>
      <c r="T884" s="3"/>
      <c r="U884" s="3"/>
      <c r="V884" s="8"/>
      <c r="W884" s="3"/>
      <c r="X884" s="3"/>
      <c r="Y884" s="3"/>
      <c r="Z884" s="4"/>
      <c r="AA884" s="5"/>
      <c r="AB884" s="3"/>
      <c r="AC884" s="3"/>
      <c r="AD884" s="3"/>
      <c r="AE884" s="3"/>
      <c r="AF884" s="3"/>
      <c r="AG884" s="3"/>
      <c r="AH884" s="3"/>
    </row>
    <row r="885" spans="1:34" x14ac:dyDescent="0.3">
      <c r="A885" s="11"/>
      <c r="B885" s="12"/>
      <c r="C885" s="12"/>
      <c r="D885" s="13"/>
      <c r="E885" s="6"/>
      <c r="F885" s="3"/>
      <c r="G885" s="3"/>
      <c r="H885" s="3"/>
      <c r="I885" s="3"/>
      <c r="J885" s="3"/>
      <c r="K885" s="3"/>
      <c r="L885" s="3"/>
      <c r="M885" s="3"/>
      <c r="N885" s="3"/>
      <c r="O885" s="8"/>
      <c r="P885" s="3"/>
      <c r="Q885" s="3"/>
      <c r="R885" s="3"/>
      <c r="S885" s="3"/>
      <c r="T885" s="3"/>
      <c r="U885" s="3"/>
      <c r="V885" s="8"/>
      <c r="W885" s="3"/>
      <c r="X885" s="3"/>
      <c r="Y885" s="3"/>
      <c r="Z885" s="4"/>
      <c r="AA885" s="5"/>
      <c r="AB885" s="3"/>
      <c r="AC885" s="3"/>
      <c r="AD885" s="3"/>
      <c r="AE885" s="3"/>
      <c r="AF885" s="3"/>
      <c r="AG885" s="3"/>
      <c r="AH885" s="3"/>
    </row>
    <row r="886" spans="1:34" x14ac:dyDescent="0.3">
      <c r="A886" s="11"/>
      <c r="B886" s="12"/>
      <c r="C886" s="12"/>
      <c r="D886" s="13"/>
      <c r="E886" s="6"/>
      <c r="F886" s="3"/>
      <c r="G886" s="3"/>
      <c r="H886" s="3"/>
      <c r="I886" s="3"/>
      <c r="J886" s="3"/>
      <c r="K886" s="3"/>
      <c r="L886" s="3"/>
      <c r="M886" s="3"/>
      <c r="N886" s="3"/>
      <c r="O886" s="8"/>
      <c r="P886" s="3"/>
      <c r="Q886" s="3"/>
      <c r="R886" s="3"/>
      <c r="S886" s="3"/>
      <c r="T886" s="3"/>
      <c r="U886" s="3"/>
      <c r="V886" s="8"/>
      <c r="W886" s="3"/>
      <c r="X886" s="3"/>
      <c r="Y886" s="3"/>
      <c r="Z886" s="4"/>
      <c r="AA886" s="5"/>
      <c r="AB886" s="3"/>
      <c r="AC886" s="3"/>
      <c r="AD886" s="3"/>
      <c r="AE886" s="3"/>
      <c r="AF886" s="3"/>
      <c r="AG886" s="3"/>
      <c r="AH886" s="3"/>
    </row>
    <row r="887" spans="1:34" x14ac:dyDescent="0.3">
      <c r="A887" s="11"/>
      <c r="B887" s="12"/>
      <c r="C887" s="12"/>
      <c r="D887" s="13"/>
      <c r="E887" s="6"/>
      <c r="F887" s="3"/>
      <c r="G887" s="3"/>
      <c r="H887" s="3"/>
      <c r="I887" s="3"/>
      <c r="J887" s="3"/>
      <c r="K887" s="3"/>
      <c r="L887" s="3"/>
      <c r="M887" s="3"/>
      <c r="N887" s="3"/>
      <c r="O887" s="8"/>
      <c r="P887" s="3"/>
      <c r="Q887" s="3"/>
      <c r="R887" s="3"/>
      <c r="S887" s="3"/>
      <c r="T887" s="3"/>
      <c r="U887" s="3"/>
      <c r="V887" s="8"/>
      <c r="W887" s="3"/>
      <c r="X887" s="3"/>
      <c r="Y887" s="3"/>
      <c r="Z887" s="4"/>
      <c r="AA887" s="5"/>
      <c r="AB887" s="3"/>
      <c r="AC887" s="3"/>
      <c r="AD887" s="3"/>
      <c r="AE887" s="3"/>
      <c r="AF887" s="3"/>
      <c r="AG887" s="3"/>
      <c r="AH887" s="3"/>
    </row>
    <row r="888" spans="1:34" x14ac:dyDescent="0.3">
      <c r="A888" s="11"/>
      <c r="B888" s="12"/>
      <c r="C888" s="12"/>
      <c r="D888" s="13"/>
      <c r="E888" s="6"/>
      <c r="F888" s="3"/>
      <c r="G888" s="3"/>
      <c r="H888" s="3"/>
      <c r="I888" s="3"/>
      <c r="J888" s="3"/>
      <c r="K888" s="3"/>
      <c r="L888" s="3"/>
      <c r="M888" s="3"/>
      <c r="N888" s="3"/>
      <c r="O888" s="8"/>
      <c r="P888" s="3"/>
      <c r="Q888" s="3"/>
      <c r="R888" s="3"/>
      <c r="S888" s="3"/>
      <c r="T888" s="3"/>
      <c r="U888" s="3"/>
      <c r="V888" s="8"/>
      <c r="W888" s="3"/>
      <c r="X888" s="3"/>
      <c r="Y888" s="3"/>
      <c r="Z888" s="4"/>
      <c r="AA888" s="5"/>
      <c r="AB888" s="3"/>
      <c r="AC888" s="3"/>
      <c r="AD888" s="3"/>
      <c r="AE888" s="3"/>
      <c r="AF888" s="3"/>
      <c r="AG888" s="3"/>
      <c r="AH888" s="3"/>
    </row>
    <row r="889" spans="1:34" x14ac:dyDescent="0.3">
      <c r="A889" s="11"/>
      <c r="B889" s="12"/>
      <c r="C889" s="12"/>
      <c r="D889" s="13"/>
      <c r="E889" s="6"/>
      <c r="F889" s="3"/>
      <c r="G889" s="3"/>
      <c r="H889" s="3"/>
      <c r="I889" s="3"/>
      <c r="J889" s="3"/>
      <c r="K889" s="3"/>
      <c r="L889" s="3"/>
      <c r="M889" s="3"/>
      <c r="N889" s="3"/>
      <c r="O889" s="8"/>
      <c r="P889" s="3"/>
      <c r="Q889" s="3"/>
      <c r="R889" s="3"/>
      <c r="S889" s="3"/>
      <c r="T889" s="3"/>
      <c r="U889" s="3"/>
      <c r="V889" s="8"/>
      <c r="W889" s="3"/>
      <c r="X889" s="3"/>
      <c r="Y889" s="3"/>
      <c r="Z889" s="4"/>
      <c r="AA889" s="5"/>
      <c r="AB889" s="3"/>
      <c r="AC889" s="3"/>
      <c r="AD889" s="3"/>
      <c r="AE889" s="3"/>
      <c r="AF889" s="3"/>
      <c r="AG889" s="3"/>
      <c r="AH889" s="3"/>
    </row>
    <row r="890" spans="1:34" x14ac:dyDescent="0.3">
      <c r="A890" s="11"/>
      <c r="B890" s="12"/>
      <c r="C890" s="12"/>
      <c r="D890" s="13"/>
      <c r="E890" s="6"/>
      <c r="F890" s="3"/>
      <c r="G890" s="3"/>
      <c r="H890" s="3"/>
      <c r="I890" s="3"/>
      <c r="J890" s="3"/>
      <c r="K890" s="3"/>
      <c r="L890" s="3"/>
      <c r="M890" s="3"/>
      <c r="N890" s="3"/>
      <c r="O890" s="8"/>
      <c r="P890" s="3"/>
      <c r="Q890" s="3"/>
      <c r="R890" s="3"/>
      <c r="S890" s="3"/>
      <c r="T890" s="3"/>
      <c r="U890" s="3"/>
      <c r="V890" s="8"/>
      <c r="W890" s="3"/>
      <c r="X890" s="3"/>
      <c r="Y890" s="3"/>
      <c r="Z890" s="4"/>
      <c r="AA890" s="5"/>
      <c r="AB890" s="3"/>
      <c r="AC890" s="3"/>
      <c r="AD890" s="3"/>
      <c r="AE890" s="3"/>
      <c r="AF890" s="3"/>
      <c r="AG890" s="3"/>
      <c r="AH890" s="3"/>
    </row>
    <row r="891" spans="1:34" x14ac:dyDescent="0.3">
      <c r="A891" s="11"/>
      <c r="B891" s="12"/>
      <c r="C891" s="12"/>
      <c r="D891" s="13"/>
      <c r="E891" s="6"/>
      <c r="F891" s="3"/>
      <c r="G891" s="3"/>
      <c r="H891" s="3"/>
      <c r="I891" s="3"/>
      <c r="J891" s="3"/>
      <c r="K891" s="3"/>
      <c r="L891" s="3"/>
      <c r="M891" s="3"/>
      <c r="N891" s="3"/>
      <c r="O891" s="8"/>
      <c r="P891" s="3"/>
      <c r="Q891" s="3"/>
      <c r="R891" s="3"/>
      <c r="S891" s="3"/>
      <c r="T891" s="3"/>
      <c r="U891" s="3"/>
      <c r="V891" s="8"/>
      <c r="W891" s="3"/>
      <c r="X891" s="3"/>
      <c r="Y891" s="3"/>
      <c r="Z891" s="4"/>
      <c r="AA891" s="5"/>
      <c r="AB891" s="3"/>
      <c r="AC891" s="3"/>
      <c r="AD891" s="3"/>
      <c r="AE891" s="3"/>
      <c r="AF891" s="3"/>
      <c r="AG891" s="3"/>
      <c r="AH891" s="3"/>
    </row>
    <row r="892" spans="1:34" x14ac:dyDescent="0.3">
      <c r="A892" s="11"/>
      <c r="B892" s="12"/>
      <c r="C892" s="12"/>
      <c r="D892" s="13"/>
      <c r="E892" s="6"/>
      <c r="F892" s="3"/>
      <c r="G892" s="3"/>
      <c r="H892" s="3"/>
      <c r="I892" s="3"/>
      <c r="J892" s="3"/>
      <c r="K892" s="3"/>
      <c r="L892" s="3"/>
      <c r="M892" s="3"/>
      <c r="N892" s="3"/>
      <c r="O892" s="8"/>
      <c r="P892" s="3"/>
      <c r="Q892" s="3"/>
      <c r="R892" s="3"/>
      <c r="S892" s="3"/>
      <c r="T892" s="3"/>
      <c r="U892" s="3"/>
      <c r="V892" s="8"/>
      <c r="W892" s="3"/>
      <c r="X892" s="3"/>
      <c r="Y892" s="3"/>
      <c r="Z892" s="4"/>
      <c r="AA892" s="5"/>
      <c r="AB892" s="3"/>
      <c r="AC892" s="3"/>
      <c r="AD892" s="3"/>
      <c r="AE892" s="3"/>
      <c r="AF892" s="3"/>
      <c r="AG892" s="3"/>
      <c r="AH892" s="3"/>
    </row>
    <row r="893" spans="1:34" x14ac:dyDescent="0.3">
      <c r="A893" s="11"/>
      <c r="B893" s="12"/>
      <c r="C893" s="12"/>
      <c r="D893" s="13"/>
      <c r="E893" s="6"/>
      <c r="F893" s="3"/>
      <c r="G893" s="3"/>
      <c r="H893" s="3"/>
      <c r="I893" s="3"/>
      <c r="J893" s="3"/>
      <c r="K893" s="3"/>
      <c r="L893" s="3"/>
      <c r="M893" s="3"/>
      <c r="N893" s="3"/>
      <c r="O893" s="8"/>
      <c r="P893" s="3"/>
      <c r="Q893" s="3"/>
      <c r="R893" s="3"/>
      <c r="S893" s="3"/>
      <c r="T893" s="3"/>
      <c r="U893" s="3"/>
      <c r="V893" s="8"/>
      <c r="W893" s="3"/>
      <c r="X893" s="3"/>
      <c r="Y893" s="3"/>
      <c r="Z893" s="4"/>
      <c r="AA893" s="5"/>
      <c r="AB893" s="3"/>
      <c r="AC893" s="3"/>
      <c r="AD893" s="3"/>
      <c r="AE893" s="3"/>
      <c r="AF893" s="3"/>
      <c r="AG893" s="3"/>
      <c r="AH893" s="3"/>
    </row>
    <row r="894" spans="1:34" x14ac:dyDescent="0.3">
      <c r="A894" s="11"/>
      <c r="B894" s="12"/>
      <c r="C894" s="12"/>
      <c r="D894" s="13"/>
      <c r="E894" s="6"/>
      <c r="F894" s="3"/>
      <c r="G894" s="3"/>
      <c r="H894" s="3"/>
      <c r="I894" s="3"/>
      <c r="J894" s="3"/>
      <c r="K894" s="3"/>
      <c r="L894" s="3"/>
      <c r="M894" s="3"/>
      <c r="N894" s="3"/>
      <c r="O894" s="8"/>
      <c r="P894" s="3"/>
      <c r="Q894" s="3"/>
      <c r="R894" s="3"/>
      <c r="S894" s="3"/>
      <c r="T894" s="3"/>
      <c r="U894" s="3"/>
      <c r="V894" s="8"/>
      <c r="W894" s="3"/>
      <c r="X894" s="3"/>
      <c r="Y894" s="3"/>
      <c r="Z894" s="4"/>
      <c r="AA894" s="5"/>
      <c r="AB894" s="3"/>
      <c r="AC894" s="3"/>
      <c r="AD894" s="3"/>
      <c r="AE894" s="3"/>
      <c r="AF894" s="3"/>
      <c r="AG894" s="3"/>
      <c r="AH894" s="3"/>
    </row>
    <row r="895" spans="1:34" x14ac:dyDescent="0.3">
      <c r="A895" s="11"/>
      <c r="B895" s="12"/>
      <c r="C895" s="12"/>
      <c r="D895" s="13"/>
      <c r="E895" s="6"/>
      <c r="F895" s="3"/>
      <c r="G895" s="3"/>
      <c r="H895" s="3"/>
      <c r="I895" s="3"/>
      <c r="J895" s="3"/>
      <c r="K895" s="3"/>
      <c r="L895" s="3"/>
      <c r="M895" s="3"/>
      <c r="N895" s="3"/>
      <c r="O895" s="8"/>
      <c r="P895" s="3"/>
      <c r="Q895" s="3"/>
      <c r="R895" s="3"/>
      <c r="S895" s="3"/>
      <c r="T895" s="3"/>
      <c r="U895" s="3"/>
      <c r="V895" s="8"/>
      <c r="W895" s="3"/>
      <c r="X895" s="3"/>
      <c r="Y895" s="3"/>
      <c r="Z895" s="4"/>
      <c r="AA895" s="5"/>
      <c r="AB895" s="3"/>
      <c r="AC895" s="3"/>
      <c r="AD895" s="3"/>
      <c r="AE895" s="3"/>
      <c r="AF895" s="3"/>
      <c r="AG895" s="3"/>
      <c r="AH895" s="3"/>
    </row>
    <row r="896" spans="1:34" x14ac:dyDescent="0.3">
      <c r="A896" s="11"/>
      <c r="B896" s="12"/>
      <c r="C896" s="12"/>
      <c r="D896" s="13"/>
      <c r="E896" s="6"/>
      <c r="F896" s="3"/>
      <c r="G896" s="3"/>
      <c r="H896" s="3"/>
      <c r="I896" s="3"/>
      <c r="J896" s="3"/>
      <c r="K896" s="3"/>
      <c r="L896" s="3"/>
      <c r="M896" s="3"/>
      <c r="N896" s="3"/>
      <c r="O896" s="8"/>
      <c r="P896" s="3"/>
      <c r="Q896" s="3"/>
      <c r="R896" s="3"/>
      <c r="S896" s="3"/>
      <c r="T896" s="3"/>
      <c r="U896" s="3"/>
      <c r="V896" s="8"/>
      <c r="W896" s="3"/>
      <c r="X896" s="3"/>
      <c r="Y896" s="3"/>
      <c r="Z896" s="4"/>
      <c r="AA896" s="5"/>
      <c r="AB896" s="3"/>
      <c r="AC896" s="3"/>
      <c r="AD896" s="3"/>
      <c r="AE896" s="3"/>
      <c r="AF896" s="3"/>
      <c r="AG896" s="3"/>
      <c r="AH896" s="3"/>
    </row>
    <row r="897" spans="1:34" x14ac:dyDescent="0.3">
      <c r="A897" s="11"/>
      <c r="B897" s="12"/>
      <c r="C897" s="12"/>
      <c r="D897" s="13"/>
      <c r="E897" s="6"/>
      <c r="F897" s="3"/>
      <c r="G897" s="3"/>
      <c r="H897" s="3"/>
      <c r="I897" s="3"/>
      <c r="J897" s="3"/>
      <c r="K897" s="3"/>
      <c r="L897" s="3"/>
      <c r="M897" s="3"/>
      <c r="N897" s="3"/>
      <c r="O897" s="8"/>
      <c r="P897" s="3"/>
      <c r="Q897" s="3"/>
      <c r="R897" s="3"/>
      <c r="S897" s="3"/>
      <c r="T897" s="3"/>
      <c r="U897" s="3"/>
      <c r="V897" s="8"/>
      <c r="W897" s="3"/>
      <c r="X897" s="3"/>
      <c r="Y897" s="3"/>
      <c r="Z897" s="4"/>
      <c r="AA897" s="5"/>
      <c r="AB897" s="3"/>
      <c r="AC897" s="3"/>
      <c r="AD897" s="3"/>
      <c r="AE897" s="3"/>
      <c r="AF897" s="3"/>
      <c r="AG897" s="3"/>
      <c r="AH897" s="3"/>
    </row>
    <row r="898" spans="1:34" x14ac:dyDescent="0.3">
      <c r="A898" s="11"/>
      <c r="B898" s="12"/>
      <c r="C898" s="12"/>
      <c r="D898" s="13"/>
      <c r="E898" s="6"/>
      <c r="F898" s="3"/>
      <c r="G898" s="3"/>
      <c r="H898" s="3"/>
      <c r="I898" s="3"/>
      <c r="J898" s="3"/>
      <c r="K898" s="3"/>
      <c r="L898" s="3"/>
      <c r="M898" s="3"/>
      <c r="N898" s="3"/>
      <c r="O898" s="8"/>
      <c r="P898" s="3"/>
      <c r="Q898" s="3"/>
      <c r="R898" s="3"/>
      <c r="S898" s="3"/>
      <c r="T898" s="3"/>
      <c r="U898" s="3"/>
      <c r="V898" s="8"/>
      <c r="W898" s="3"/>
      <c r="X898" s="3"/>
      <c r="Y898" s="3"/>
      <c r="Z898" s="4"/>
      <c r="AA898" s="5"/>
      <c r="AB898" s="3"/>
      <c r="AC898" s="3"/>
      <c r="AD898" s="3"/>
      <c r="AE898" s="3"/>
      <c r="AF898" s="3"/>
      <c r="AG898" s="3"/>
      <c r="AH898" s="3"/>
    </row>
    <row r="899" spans="1:34" x14ac:dyDescent="0.3">
      <c r="A899" s="11"/>
      <c r="B899" s="12"/>
      <c r="C899" s="12"/>
      <c r="D899" s="13"/>
      <c r="E899" s="6"/>
      <c r="F899" s="3"/>
      <c r="G899" s="3"/>
      <c r="H899" s="3"/>
      <c r="I899" s="3"/>
      <c r="J899" s="3"/>
      <c r="K899" s="3"/>
      <c r="L899" s="3"/>
      <c r="M899" s="3"/>
      <c r="N899" s="3"/>
      <c r="O899" s="8"/>
      <c r="P899" s="3"/>
      <c r="Q899" s="3"/>
      <c r="R899" s="3"/>
      <c r="S899" s="3"/>
      <c r="T899" s="3"/>
      <c r="U899" s="3"/>
      <c r="V899" s="8"/>
      <c r="W899" s="3"/>
      <c r="X899" s="3"/>
      <c r="Y899" s="3"/>
      <c r="Z899" s="4"/>
      <c r="AA899" s="5"/>
      <c r="AB899" s="3"/>
      <c r="AC899" s="3"/>
      <c r="AD899" s="3"/>
      <c r="AE899" s="3"/>
      <c r="AF899" s="3"/>
      <c r="AG899" s="3"/>
      <c r="AH899" s="3"/>
    </row>
    <row r="900" spans="1:34" x14ac:dyDescent="0.3">
      <c r="A900" s="11"/>
      <c r="B900" s="12"/>
      <c r="C900" s="12"/>
      <c r="D900" s="13"/>
      <c r="E900" s="6"/>
      <c r="F900" s="3"/>
      <c r="G900" s="3"/>
      <c r="H900" s="3"/>
      <c r="I900" s="3"/>
      <c r="J900" s="3"/>
      <c r="K900" s="3"/>
      <c r="L900" s="3"/>
      <c r="M900" s="3"/>
      <c r="N900" s="3"/>
      <c r="O900" s="8"/>
      <c r="P900" s="3"/>
      <c r="Q900" s="3"/>
      <c r="R900" s="3"/>
      <c r="S900" s="3"/>
      <c r="T900" s="3"/>
      <c r="U900" s="3"/>
      <c r="V900" s="8"/>
      <c r="W900" s="3"/>
      <c r="X900" s="3"/>
      <c r="Y900" s="3"/>
      <c r="Z900" s="4"/>
      <c r="AA900" s="5"/>
      <c r="AB900" s="3"/>
      <c r="AC900" s="3"/>
      <c r="AD900" s="3"/>
      <c r="AE900" s="3"/>
      <c r="AF900" s="3"/>
      <c r="AG900" s="3"/>
      <c r="AH900" s="3"/>
    </row>
    <row r="901" spans="1:34" x14ac:dyDescent="0.3">
      <c r="A901" s="11"/>
      <c r="B901" s="12"/>
      <c r="C901" s="12"/>
      <c r="D901" s="13"/>
      <c r="E901" s="6"/>
      <c r="F901" s="3"/>
      <c r="G901" s="3"/>
      <c r="H901" s="3"/>
      <c r="I901" s="3"/>
      <c r="J901" s="3"/>
      <c r="K901" s="3"/>
      <c r="L901" s="3"/>
      <c r="M901" s="3"/>
      <c r="N901" s="3"/>
      <c r="O901" s="8"/>
      <c r="P901" s="3"/>
      <c r="Q901" s="3"/>
      <c r="R901" s="3"/>
      <c r="S901" s="3"/>
      <c r="T901" s="3"/>
      <c r="U901" s="3"/>
      <c r="V901" s="8"/>
      <c r="W901" s="3"/>
      <c r="X901" s="3"/>
      <c r="Y901" s="3"/>
      <c r="Z901" s="4"/>
      <c r="AA901" s="5"/>
      <c r="AB901" s="3"/>
      <c r="AC901" s="3"/>
      <c r="AD901" s="3"/>
      <c r="AE901" s="3"/>
      <c r="AF901" s="3"/>
      <c r="AG901" s="3"/>
      <c r="AH901" s="3"/>
    </row>
    <row r="902" spans="1:34" x14ac:dyDescent="0.3">
      <c r="A902" s="11"/>
      <c r="B902" s="12"/>
      <c r="C902" s="12"/>
      <c r="D902" s="13"/>
      <c r="E902" s="6"/>
      <c r="F902" s="3"/>
      <c r="G902" s="3"/>
      <c r="H902" s="3"/>
      <c r="I902" s="3"/>
      <c r="J902" s="3"/>
      <c r="K902" s="3"/>
      <c r="L902" s="3"/>
      <c r="M902" s="3"/>
      <c r="N902" s="3"/>
      <c r="O902" s="8"/>
      <c r="P902" s="3"/>
      <c r="Q902" s="3"/>
      <c r="R902" s="3"/>
      <c r="S902" s="3"/>
      <c r="T902" s="3"/>
      <c r="U902" s="3"/>
      <c r="V902" s="8"/>
      <c r="W902" s="3"/>
      <c r="X902" s="3"/>
      <c r="Y902" s="3"/>
      <c r="Z902" s="4"/>
      <c r="AA902" s="5"/>
      <c r="AB902" s="3"/>
      <c r="AC902" s="3"/>
      <c r="AD902" s="3"/>
      <c r="AE902" s="3"/>
      <c r="AF902" s="3"/>
      <c r="AG902" s="3"/>
      <c r="AH902" s="3"/>
    </row>
    <row r="903" spans="1:34" x14ac:dyDescent="0.3">
      <c r="A903" s="11"/>
      <c r="B903" s="12"/>
      <c r="C903" s="12"/>
      <c r="D903" s="13"/>
      <c r="E903" s="6"/>
      <c r="F903" s="3"/>
      <c r="G903" s="3"/>
      <c r="H903" s="3"/>
      <c r="I903" s="3"/>
      <c r="J903" s="3"/>
      <c r="K903" s="3"/>
      <c r="L903" s="3"/>
      <c r="M903" s="3"/>
      <c r="N903" s="3"/>
      <c r="O903" s="8"/>
      <c r="P903" s="3"/>
      <c r="Q903" s="3"/>
      <c r="R903" s="3"/>
      <c r="S903" s="3"/>
      <c r="T903" s="3"/>
      <c r="U903" s="3"/>
      <c r="V903" s="8"/>
      <c r="W903" s="3"/>
      <c r="X903" s="3"/>
      <c r="Y903" s="3"/>
      <c r="Z903" s="4"/>
      <c r="AA903" s="5"/>
      <c r="AB903" s="3"/>
      <c r="AC903" s="3"/>
      <c r="AD903" s="3"/>
      <c r="AE903" s="3"/>
      <c r="AF903" s="3"/>
      <c r="AG903" s="3"/>
      <c r="AH903" s="3"/>
    </row>
    <row r="904" spans="1:34" x14ac:dyDescent="0.3">
      <c r="A904" s="11"/>
      <c r="B904" s="12"/>
      <c r="C904" s="12"/>
      <c r="D904" s="13"/>
      <c r="E904" s="6"/>
      <c r="F904" s="3"/>
      <c r="G904" s="3"/>
      <c r="H904" s="3"/>
      <c r="I904" s="3"/>
      <c r="J904" s="3"/>
      <c r="K904" s="3"/>
      <c r="L904" s="3"/>
      <c r="M904" s="3"/>
      <c r="N904" s="3"/>
      <c r="O904" s="8"/>
      <c r="P904" s="3"/>
      <c r="Q904" s="3"/>
      <c r="R904" s="3"/>
      <c r="S904" s="3"/>
      <c r="T904" s="3"/>
      <c r="U904" s="3"/>
      <c r="V904" s="8"/>
      <c r="W904" s="3"/>
      <c r="X904" s="3"/>
      <c r="Y904" s="3"/>
      <c r="Z904" s="4"/>
      <c r="AA904" s="5"/>
      <c r="AB904" s="3"/>
      <c r="AC904" s="3"/>
      <c r="AD904" s="3"/>
      <c r="AE904" s="3"/>
      <c r="AF904" s="3"/>
      <c r="AG904" s="3"/>
      <c r="AH904" s="3"/>
    </row>
    <row r="905" spans="1:34" x14ac:dyDescent="0.3">
      <c r="A905" s="11"/>
      <c r="B905" s="12"/>
      <c r="C905" s="12"/>
      <c r="D905" s="13"/>
      <c r="E905" s="6"/>
      <c r="F905" s="3"/>
      <c r="G905" s="3"/>
      <c r="H905" s="3"/>
      <c r="I905" s="3"/>
      <c r="J905" s="3"/>
      <c r="K905" s="3"/>
      <c r="L905" s="3"/>
      <c r="M905" s="3"/>
      <c r="N905" s="3"/>
      <c r="O905" s="8"/>
      <c r="P905" s="3"/>
      <c r="Q905" s="3"/>
      <c r="R905" s="3"/>
      <c r="S905" s="3"/>
      <c r="T905" s="3"/>
      <c r="U905" s="3"/>
      <c r="V905" s="8"/>
      <c r="W905" s="3"/>
      <c r="X905" s="3"/>
      <c r="Y905" s="3"/>
      <c r="Z905" s="4"/>
      <c r="AA905" s="5"/>
      <c r="AB905" s="3"/>
      <c r="AC905" s="3"/>
      <c r="AD905" s="3"/>
      <c r="AE905" s="3"/>
      <c r="AF905" s="3"/>
      <c r="AG905" s="3"/>
      <c r="AH905" s="3"/>
    </row>
    <row r="906" spans="1:34" x14ac:dyDescent="0.3">
      <c r="A906" s="11"/>
      <c r="B906" s="12"/>
      <c r="C906" s="12"/>
      <c r="D906" s="13"/>
      <c r="E906" s="6"/>
      <c r="F906" s="3"/>
      <c r="G906" s="3"/>
      <c r="H906" s="3"/>
      <c r="I906" s="3"/>
      <c r="J906" s="3"/>
      <c r="K906" s="3"/>
      <c r="L906" s="3"/>
      <c r="M906" s="3"/>
      <c r="N906" s="3"/>
      <c r="O906" s="8"/>
      <c r="P906" s="3"/>
      <c r="Q906" s="3"/>
      <c r="R906" s="3"/>
      <c r="S906" s="3"/>
      <c r="T906" s="3"/>
      <c r="U906" s="3"/>
      <c r="V906" s="8"/>
      <c r="W906" s="3"/>
      <c r="X906" s="3"/>
      <c r="Y906" s="3"/>
      <c r="Z906" s="4"/>
      <c r="AA906" s="5"/>
      <c r="AB906" s="3"/>
      <c r="AC906" s="3"/>
      <c r="AD906" s="3"/>
      <c r="AE906" s="3"/>
      <c r="AF906" s="3"/>
      <c r="AG906" s="3"/>
      <c r="AH906" s="3"/>
    </row>
    <row r="907" spans="1:34" x14ac:dyDescent="0.3">
      <c r="A907" s="11"/>
      <c r="B907" s="12"/>
      <c r="C907" s="12"/>
      <c r="D907" s="13"/>
      <c r="E907" s="6"/>
      <c r="F907" s="3"/>
      <c r="G907" s="3"/>
      <c r="H907" s="3"/>
      <c r="I907" s="3"/>
      <c r="J907" s="3"/>
      <c r="K907" s="3"/>
      <c r="L907" s="3"/>
      <c r="M907" s="3"/>
      <c r="N907" s="3"/>
      <c r="O907" s="8"/>
      <c r="P907" s="3"/>
      <c r="Q907" s="3"/>
      <c r="R907" s="3"/>
      <c r="S907" s="3"/>
      <c r="T907" s="3"/>
      <c r="U907" s="3"/>
      <c r="V907" s="8"/>
      <c r="W907" s="3"/>
      <c r="X907" s="3"/>
      <c r="Y907" s="3"/>
      <c r="Z907" s="4"/>
      <c r="AA907" s="5"/>
      <c r="AB907" s="3"/>
      <c r="AC907" s="3"/>
      <c r="AD907" s="3"/>
      <c r="AE907" s="3"/>
      <c r="AF907" s="3"/>
      <c r="AG907" s="3"/>
      <c r="AH907" s="3"/>
    </row>
    <row r="908" spans="1:34" x14ac:dyDescent="0.3">
      <c r="A908" s="11"/>
      <c r="B908" s="12"/>
      <c r="C908" s="12"/>
      <c r="D908" s="13"/>
      <c r="E908" s="6"/>
      <c r="F908" s="3"/>
      <c r="G908" s="3"/>
      <c r="H908" s="3"/>
      <c r="I908" s="3"/>
      <c r="J908" s="3"/>
      <c r="K908" s="3"/>
      <c r="L908" s="3"/>
      <c r="M908" s="3"/>
      <c r="N908" s="3"/>
      <c r="O908" s="8"/>
      <c r="P908" s="3"/>
      <c r="Q908" s="3"/>
      <c r="R908" s="3"/>
      <c r="S908" s="3"/>
      <c r="T908" s="3"/>
      <c r="U908" s="3"/>
      <c r="V908" s="8"/>
      <c r="W908" s="3"/>
      <c r="X908" s="3"/>
      <c r="Y908" s="3"/>
      <c r="Z908" s="4"/>
      <c r="AA908" s="5"/>
      <c r="AB908" s="3"/>
      <c r="AC908" s="3"/>
      <c r="AD908" s="3"/>
      <c r="AE908" s="3"/>
      <c r="AF908" s="3"/>
      <c r="AG908" s="3"/>
      <c r="AH908" s="3"/>
    </row>
    <row r="909" spans="1:34" x14ac:dyDescent="0.3">
      <c r="A909" s="11"/>
      <c r="B909" s="12"/>
      <c r="C909" s="12"/>
      <c r="D909" s="13"/>
      <c r="E909" s="6"/>
      <c r="F909" s="3"/>
      <c r="G909" s="3"/>
      <c r="H909" s="3"/>
      <c r="I909" s="3"/>
      <c r="J909" s="3"/>
      <c r="K909" s="3"/>
      <c r="L909" s="3"/>
      <c r="M909" s="3"/>
      <c r="N909" s="3"/>
      <c r="O909" s="8"/>
      <c r="P909" s="3"/>
      <c r="Q909" s="3"/>
      <c r="R909" s="3"/>
      <c r="S909" s="3"/>
      <c r="T909" s="3"/>
      <c r="U909" s="3"/>
      <c r="V909" s="8"/>
      <c r="W909" s="3"/>
      <c r="X909" s="3"/>
      <c r="Y909" s="3"/>
      <c r="Z909" s="4"/>
      <c r="AA909" s="5"/>
      <c r="AB909" s="3"/>
      <c r="AC909" s="3"/>
      <c r="AD909" s="3"/>
      <c r="AE909" s="3"/>
      <c r="AF909" s="3"/>
      <c r="AG909" s="3"/>
      <c r="AH909" s="3"/>
    </row>
    <row r="910" spans="1:34" x14ac:dyDescent="0.3">
      <c r="A910" s="11"/>
      <c r="B910" s="12"/>
      <c r="C910" s="12"/>
      <c r="D910" s="13"/>
      <c r="E910" s="6"/>
      <c r="F910" s="3"/>
      <c r="G910" s="3"/>
      <c r="H910" s="3"/>
      <c r="I910" s="3"/>
      <c r="J910" s="3"/>
      <c r="K910" s="3"/>
      <c r="L910" s="3"/>
      <c r="M910" s="3"/>
      <c r="N910" s="3"/>
      <c r="O910" s="8"/>
      <c r="P910" s="3"/>
      <c r="Q910" s="3"/>
      <c r="R910" s="3"/>
      <c r="S910" s="3"/>
      <c r="T910" s="3"/>
      <c r="U910" s="3"/>
      <c r="V910" s="8"/>
      <c r="W910" s="3"/>
      <c r="X910" s="3"/>
      <c r="Y910" s="3"/>
      <c r="Z910" s="4"/>
      <c r="AA910" s="5"/>
      <c r="AB910" s="3"/>
      <c r="AC910" s="3"/>
      <c r="AD910" s="3"/>
      <c r="AE910" s="3"/>
      <c r="AF910" s="3"/>
      <c r="AG910" s="3"/>
      <c r="AH910" s="3"/>
    </row>
    <row r="911" spans="1:34" x14ac:dyDescent="0.3">
      <c r="A911" s="11"/>
      <c r="B911" s="12"/>
      <c r="C911" s="12"/>
      <c r="D911" s="13"/>
      <c r="E911" s="6"/>
      <c r="F911" s="3"/>
      <c r="G911" s="3"/>
      <c r="H911" s="3"/>
      <c r="I911" s="3"/>
      <c r="J911" s="3"/>
      <c r="K911" s="3"/>
      <c r="L911" s="3"/>
      <c r="M911" s="3"/>
      <c r="N911" s="3"/>
      <c r="O911" s="8"/>
      <c r="P911" s="3"/>
      <c r="Q911" s="3"/>
      <c r="R911" s="3"/>
      <c r="S911" s="3"/>
      <c r="T911" s="3"/>
      <c r="U911" s="3"/>
      <c r="V911" s="8"/>
      <c r="W911" s="3"/>
      <c r="X911" s="3"/>
      <c r="Y911" s="3"/>
      <c r="Z911" s="4"/>
      <c r="AA911" s="5"/>
      <c r="AB911" s="3"/>
      <c r="AC911" s="3"/>
      <c r="AD911" s="3"/>
      <c r="AE911" s="3"/>
      <c r="AF911" s="3"/>
      <c r="AG911" s="3"/>
      <c r="AH911" s="3"/>
    </row>
    <row r="912" spans="1:34" x14ac:dyDescent="0.3">
      <c r="A912" s="11"/>
      <c r="B912" s="12"/>
      <c r="C912" s="12"/>
      <c r="D912" s="13"/>
      <c r="E912" s="6"/>
      <c r="F912" s="3"/>
      <c r="G912" s="3"/>
      <c r="H912" s="3"/>
      <c r="I912" s="3"/>
      <c r="J912" s="3"/>
      <c r="K912" s="3"/>
      <c r="L912" s="3"/>
      <c r="M912" s="3"/>
      <c r="N912" s="3"/>
      <c r="O912" s="8"/>
      <c r="P912" s="3"/>
      <c r="Q912" s="3"/>
      <c r="R912" s="3"/>
      <c r="S912" s="3"/>
      <c r="T912" s="3"/>
      <c r="U912" s="3"/>
      <c r="V912" s="8"/>
      <c r="W912" s="3"/>
      <c r="X912" s="3"/>
      <c r="Y912" s="3"/>
      <c r="Z912" s="4"/>
      <c r="AA912" s="5"/>
      <c r="AB912" s="3"/>
      <c r="AC912" s="3"/>
      <c r="AD912" s="3"/>
      <c r="AE912" s="3"/>
      <c r="AF912" s="3"/>
      <c r="AG912" s="3"/>
      <c r="AH912" s="3"/>
    </row>
    <row r="913" spans="1:34" x14ac:dyDescent="0.3">
      <c r="A913" s="11"/>
      <c r="B913" s="12"/>
      <c r="C913" s="12"/>
      <c r="D913" s="13"/>
      <c r="E913" s="6"/>
      <c r="F913" s="3"/>
      <c r="G913" s="3"/>
      <c r="H913" s="3"/>
      <c r="I913" s="3"/>
      <c r="J913" s="3"/>
      <c r="K913" s="3"/>
      <c r="L913" s="3"/>
      <c r="M913" s="3"/>
      <c r="N913" s="3"/>
      <c r="O913" s="8"/>
      <c r="P913" s="3"/>
      <c r="Q913" s="3"/>
      <c r="R913" s="3"/>
      <c r="S913" s="3"/>
      <c r="T913" s="3"/>
      <c r="U913" s="3"/>
      <c r="V913" s="8"/>
      <c r="W913" s="3"/>
      <c r="X913" s="3"/>
      <c r="Y913" s="3"/>
      <c r="Z913" s="4"/>
      <c r="AA913" s="5"/>
      <c r="AB913" s="3"/>
      <c r="AC913" s="3"/>
      <c r="AD913" s="3"/>
      <c r="AE913" s="3"/>
      <c r="AF913" s="3"/>
      <c r="AG913" s="3"/>
      <c r="AH913" s="3"/>
    </row>
    <row r="914" spans="1:34" x14ac:dyDescent="0.3">
      <c r="A914" s="11"/>
      <c r="B914" s="12"/>
      <c r="C914" s="12"/>
      <c r="D914" s="13"/>
      <c r="E914" s="6"/>
      <c r="F914" s="3"/>
      <c r="G914" s="3"/>
      <c r="H914" s="3"/>
      <c r="I914" s="3"/>
      <c r="J914" s="3"/>
      <c r="K914" s="3"/>
      <c r="L914" s="3"/>
      <c r="M914" s="3"/>
      <c r="N914" s="3"/>
      <c r="O914" s="8"/>
      <c r="P914" s="3"/>
      <c r="Q914" s="3"/>
      <c r="R914" s="3"/>
      <c r="S914" s="3"/>
      <c r="T914" s="3"/>
      <c r="U914" s="3"/>
      <c r="V914" s="8"/>
      <c r="W914" s="3"/>
      <c r="X914" s="3"/>
      <c r="Y914" s="3"/>
      <c r="Z914" s="4"/>
      <c r="AA914" s="5"/>
      <c r="AB914" s="3"/>
      <c r="AC914" s="3"/>
      <c r="AD914" s="3"/>
      <c r="AE914" s="3"/>
      <c r="AF914" s="3"/>
      <c r="AG914" s="3"/>
      <c r="AH914" s="3"/>
    </row>
    <row r="915" spans="1:34" x14ac:dyDescent="0.3">
      <c r="A915" s="11"/>
      <c r="B915" s="12"/>
      <c r="C915" s="12"/>
      <c r="D915" s="13"/>
      <c r="E915" s="6"/>
      <c r="F915" s="3"/>
      <c r="G915" s="3"/>
      <c r="H915" s="3"/>
      <c r="I915" s="3"/>
      <c r="J915" s="3"/>
      <c r="K915" s="3"/>
      <c r="L915" s="3"/>
      <c r="M915" s="3"/>
      <c r="N915" s="3"/>
      <c r="O915" s="8"/>
      <c r="P915" s="3"/>
      <c r="Q915" s="3"/>
      <c r="R915" s="3"/>
      <c r="S915" s="3"/>
      <c r="T915" s="3"/>
      <c r="U915" s="3"/>
      <c r="V915" s="8"/>
      <c r="W915" s="3"/>
      <c r="X915" s="3"/>
      <c r="Y915" s="3"/>
      <c r="Z915" s="4"/>
      <c r="AA915" s="5"/>
      <c r="AB915" s="3"/>
      <c r="AC915" s="3"/>
      <c r="AD915" s="3"/>
      <c r="AE915" s="3"/>
      <c r="AF915" s="3"/>
      <c r="AG915" s="3"/>
      <c r="AH915" s="3"/>
    </row>
    <row r="916" spans="1:34" x14ac:dyDescent="0.3">
      <c r="A916" s="11"/>
      <c r="B916" s="12"/>
      <c r="C916" s="12"/>
      <c r="D916" s="13"/>
      <c r="E916" s="6"/>
      <c r="F916" s="3"/>
      <c r="G916" s="3"/>
      <c r="H916" s="3"/>
      <c r="I916" s="3"/>
      <c r="J916" s="3"/>
      <c r="K916" s="3"/>
      <c r="L916" s="3"/>
      <c r="M916" s="3"/>
      <c r="N916" s="3"/>
      <c r="O916" s="8"/>
      <c r="P916" s="3"/>
      <c r="Q916" s="3"/>
      <c r="R916" s="3"/>
      <c r="S916" s="3"/>
      <c r="T916" s="3"/>
      <c r="U916" s="3"/>
      <c r="V916" s="8"/>
      <c r="W916" s="3"/>
      <c r="X916" s="3"/>
      <c r="Y916" s="3"/>
      <c r="Z916" s="4"/>
      <c r="AA916" s="5"/>
      <c r="AB916" s="3"/>
      <c r="AC916" s="3"/>
      <c r="AD916" s="3"/>
      <c r="AE916" s="3"/>
      <c r="AF916" s="3"/>
      <c r="AG916" s="3"/>
      <c r="AH916" s="3"/>
    </row>
    <row r="917" spans="1:34" x14ac:dyDescent="0.3">
      <c r="A917" s="11"/>
      <c r="B917" s="12"/>
      <c r="C917" s="12"/>
      <c r="D917" s="13"/>
      <c r="E917" s="6"/>
      <c r="F917" s="3"/>
      <c r="G917" s="3"/>
      <c r="H917" s="3"/>
      <c r="I917" s="3"/>
      <c r="J917" s="3"/>
      <c r="K917" s="3"/>
      <c r="L917" s="3"/>
      <c r="M917" s="3"/>
      <c r="N917" s="3"/>
      <c r="O917" s="8"/>
      <c r="P917" s="3"/>
      <c r="Q917" s="3"/>
      <c r="R917" s="3"/>
      <c r="S917" s="3"/>
      <c r="T917" s="3"/>
      <c r="U917" s="3"/>
      <c r="V917" s="8"/>
      <c r="W917" s="3"/>
      <c r="X917" s="3"/>
      <c r="Y917" s="3"/>
      <c r="Z917" s="4"/>
      <c r="AA917" s="5"/>
      <c r="AB917" s="3"/>
      <c r="AC917" s="3"/>
      <c r="AD917" s="3"/>
      <c r="AE917" s="3"/>
      <c r="AF917" s="3"/>
      <c r="AG917" s="3"/>
      <c r="AH917" s="3"/>
    </row>
    <row r="918" spans="1:34" x14ac:dyDescent="0.3">
      <c r="A918" s="11"/>
      <c r="B918" s="12"/>
      <c r="C918" s="12"/>
      <c r="D918" s="13"/>
      <c r="E918" s="6"/>
      <c r="F918" s="3"/>
      <c r="G918" s="3"/>
      <c r="H918" s="3"/>
      <c r="I918" s="3"/>
      <c r="J918" s="3"/>
      <c r="K918" s="3"/>
      <c r="L918" s="3"/>
      <c r="M918" s="3"/>
      <c r="N918" s="3"/>
      <c r="O918" s="8"/>
      <c r="P918" s="3"/>
      <c r="Q918" s="3"/>
      <c r="R918" s="3"/>
      <c r="S918" s="3"/>
      <c r="T918" s="3"/>
      <c r="U918" s="3"/>
      <c r="V918" s="8"/>
      <c r="W918" s="3"/>
      <c r="X918" s="3"/>
      <c r="Y918" s="3"/>
      <c r="Z918" s="4"/>
      <c r="AA918" s="5"/>
      <c r="AB918" s="3"/>
      <c r="AC918" s="3"/>
      <c r="AD918" s="3"/>
      <c r="AE918" s="3"/>
      <c r="AF918" s="3"/>
      <c r="AG918" s="3"/>
      <c r="AH918" s="3"/>
    </row>
    <row r="919" spans="1:34" x14ac:dyDescent="0.3">
      <c r="A919" s="11"/>
      <c r="B919" s="12"/>
      <c r="C919" s="12"/>
      <c r="D919" s="13"/>
      <c r="E919" s="6"/>
      <c r="F919" s="3"/>
      <c r="G919" s="3"/>
      <c r="H919" s="3"/>
      <c r="I919" s="3"/>
      <c r="J919" s="3"/>
      <c r="K919" s="3"/>
      <c r="L919" s="3"/>
      <c r="M919" s="3"/>
      <c r="N919" s="3"/>
      <c r="O919" s="8"/>
      <c r="P919" s="3"/>
      <c r="Q919" s="3"/>
      <c r="R919" s="3"/>
      <c r="S919" s="3"/>
      <c r="T919" s="3"/>
      <c r="U919" s="3"/>
      <c r="V919" s="8"/>
      <c r="W919" s="3"/>
      <c r="X919" s="3"/>
      <c r="Y919" s="3"/>
      <c r="Z919" s="4"/>
      <c r="AA919" s="5"/>
      <c r="AB919" s="3"/>
      <c r="AC919" s="3"/>
      <c r="AD919" s="3"/>
      <c r="AE919" s="3"/>
      <c r="AF919" s="3"/>
      <c r="AG919" s="3"/>
      <c r="AH919" s="3"/>
    </row>
    <row r="920" spans="1:34" x14ac:dyDescent="0.3">
      <c r="A920" s="11"/>
      <c r="B920" s="12"/>
      <c r="C920" s="12"/>
      <c r="D920" s="13"/>
      <c r="E920" s="6"/>
      <c r="F920" s="3"/>
      <c r="G920" s="3"/>
      <c r="H920" s="3"/>
      <c r="I920" s="3"/>
      <c r="J920" s="3"/>
      <c r="K920" s="3"/>
      <c r="L920" s="3"/>
      <c r="M920" s="3"/>
      <c r="N920" s="3"/>
      <c r="O920" s="8"/>
      <c r="P920" s="3"/>
      <c r="Q920" s="3"/>
      <c r="R920" s="3"/>
      <c r="S920" s="3"/>
      <c r="T920" s="3"/>
      <c r="U920" s="3"/>
      <c r="V920" s="8"/>
      <c r="W920" s="3"/>
      <c r="X920" s="3"/>
      <c r="Y920" s="3"/>
      <c r="Z920" s="4"/>
      <c r="AA920" s="5"/>
      <c r="AB920" s="3"/>
      <c r="AC920" s="3"/>
      <c r="AD920" s="3"/>
      <c r="AE920" s="3"/>
      <c r="AF920" s="3"/>
      <c r="AG920" s="3"/>
      <c r="AH920" s="3"/>
    </row>
    <row r="921" spans="1:34" x14ac:dyDescent="0.3">
      <c r="A921" s="11"/>
      <c r="B921" s="12"/>
      <c r="C921" s="12"/>
      <c r="D921" s="13"/>
      <c r="E921" s="6"/>
      <c r="F921" s="3"/>
      <c r="G921" s="3"/>
      <c r="H921" s="3"/>
      <c r="I921" s="3"/>
      <c r="J921" s="3"/>
      <c r="K921" s="3"/>
      <c r="L921" s="3"/>
      <c r="M921" s="3"/>
      <c r="N921" s="3"/>
      <c r="O921" s="8"/>
      <c r="P921" s="3"/>
      <c r="Q921" s="3"/>
      <c r="R921" s="3"/>
      <c r="S921" s="3"/>
      <c r="T921" s="3"/>
      <c r="U921" s="3"/>
      <c r="V921" s="8"/>
      <c r="W921" s="3"/>
      <c r="X921" s="3"/>
      <c r="Y921" s="3"/>
      <c r="Z921" s="4"/>
      <c r="AA921" s="5"/>
      <c r="AB921" s="3"/>
      <c r="AC921" s="3"/>
      <c r="AD921" s="3"/>
      <c r="AE921" s="3"/>
      <c r="AF921" s="3"/>
      <c r="AG921" s="3"/>
      <c r="AH921" s="3"/>
    </row>
    <row r="922" spans="1:34" x14ac:dyDescent="0.3">
      <c r="A922" s="11"/>
      <c r="B922" s="12"/>
      <c r="C922" s="12"/>
      <c r="D922" s="13"/>
      <c r="E922" s="6"/>
      <c r="F922" s="3"/>
      <c r="G922" s="3"/>
      <c r="H922" s="3"/>
      <c r="I922" s="3"/>
      <c r="J922" s="3"/>
      <c r="K922" s="3"/>
      <c r="L922" s="3"/>
      <c r="M922" s="3"/>
      <c r="N922" s="3"/>
      <c r="O922" s="8"/>
      <c r="P922" s="3"/>
      <c r="Q922" s="3"/>
      <c r="R922" s="3"/>
      <c r="S922" s="3"/>
      <c r="T922" s="3"/>
      <c r="U922" s="3"/>
      <c r="V922" s="8"/>
      <c r="W922" s="3"/>
      <c r="X922" s="3"/>
      <c r="Y922" s="3"/>
      <c r="Z922" s="4"/>
      <c r="AA922" s="5"/>
      <c r="AB922" s="3"/>
      <c r="AC922" s="3"/>
      <c r="AD922" s="3"/>
      <c r="AE922" s="3"/>
      <c r="AF922" s="3"/>
      <c r="AG922" s="3"/>
      <c r="AH922" s="3"/>
    </row>
    <row r="923" spans="1:34" x14ac:dyDescent="0.3">
      <c r="A923" s="11"/>
      <c r="B923" s="12"/>
      <c r="C923" s="12"/>
      <c r="D923" s="13"/>
      <c r="E923" s="6"/>
      <c r="F923" s="3"/>
      <c r="G923" s="3"/>
      <c r="H923" s="3"/>
      <c r="I923" s="3"/>
      <c r="J923" s="3"/>
      <c r="K923" s="3"/>
      <c r="L923" s="3"/>
      <c r="M923" s="3"/>
      <c r="N923" s="3"/>
      <c r="O923" s="8"/>
      <c r="P923" s="3"/>
      <c r="Q923" s="3"/>
      <c r="R923" s="3"/>
      <c r="S923" s="3"/>
      <c r="T923" s="3"/>
      <c r="U923" s="3"/>
      <c r="V923" s="8"/>
      <c r="W923" s="3"/>
      <c r="X923" s="3"/>
      <c r="Y923" s="3"/>
      <c r="Z923" s="4"/>
      <c r="AA923" s="5"/>
      <c r="AB923" s="3"/>
      <c r="AC923" s="3"/>
      <c r="AD923" s="3"/>
      <c r="AE923" s="3"/>
      <c r="AF923" s="3"/>
      <c r="AG923" s="3"/>
      <c r="AH923" s="3"/>
    </row>
    <row r="924" spans="1:34" x14ac:dyDescent="0.3">
      <c r="A924" s="11"/>
      <c r="B924" s="12"/>
      <c r="C924" s="12"/>
      <c r="D924" s="13"/>
      <c r="E924" s="6"/>
      <c r="F924" s="3"/>
      <c r="G924" s="3"/>
      <c r="H924" s="3"/>
      <c r="I924" s="3"/>
      <c r="J924" s="3"/>
      <c r="K924" s="3"/>
      <c r="L924" s="3"/>
      <c r="M924" s="3"/>
      <c r="N924" s="3"/>
      <c r="O924" s="8"/>
      <c r="P924" s="3"/>
      <c r="Q924" s="3"/>
      <c r="R924" s="3"/>
      <c r="S924" s="3"/>
      <c r="T924" s="3"/>
      <c r="U924" s="3"/>
      <c r="V924" s="8"/>
      <c r="W924" s="3"/>
      <c r="X924" s="3"/>
      <c r="Y924" s="3"/>
      <c r="Z924" s="4"/>
      <c r="AA924" s="5"/>
      <c r="AB924" s="3"/>
      <c r="AC924" s="3"/>
      <c r="AD924" s="3"/>
      <c r="AE924" s="3"/>
      <c r="AF924" s="3"/>
      <c r="AG924" s="3"/>
      <c r="AH924" s="3"/>
    </row>
    <row r="925" spans="1:34" x14ac:dyDescent="0.3">
      <c r="A925" s="11"/>
      <c r="B925" s="12"/>
      <c r="C925" s="12"/>
      <c r="D925" s="13"/>
      <c r="E925" s="6"/>
      <c r="F925" s="3"/>
      <c r="G925" s="3"/>
      <c r="H925" s="3"/>
      <c r="I925" s="3"/>
      <c r="J925" s="3"/>
      <c r="K925" s="3"/>
      <c r="L925" s="3"/>
      <c r="M925" s="3"/>
      <c r="N925" s="3"/>
      <c r="O925" s="8"/>
      <c r="P925" s="3"/>
      <c r="Q925" s="3"/>
      <c r="R925" s="3"/>
      <c r="S925" s="3"/>
      <c r="T925" s="3"/>
      <c r="U925" s="3"/>
      <c r="V925" s="8"/>
      <c r="W925" s="3"/>
      <c r="X925" s="3"/>
      <c r="Y925" s="3"/>
      <c r="Z925" s="4"/>
      <c r="AA925" s="5"/>
      <c r="AB925" s="3"/>
      <c r="AC925" s="3"/>
      <c r="AD925" s="3"/>
      <c r="AE925" s="3"/>
      <c r="AF925" s="3"/>
      <c r="AG925" s="3"/>
      <c r="AH925" s="3"/>
    </row>
    <row r="926" spans="1:34" x14ac:dyDescent="0.3">
      <c r="A926" s="11"/>
      <c r="B926" s="12"/>
      <c r="C926" s="12"/>
      <c r="D926" s="13"/>
      <c r="E926" s="6"/>
      <c r="F926" s="3"/>
      <c r="G926" s="3"/>
      <c r="H926" s="3"/>
      <c r="I926" s="3"/>
      <c r="J926" s="3"/>
      <c r="K926" s="3"/>
      <c r="L926" s="3"/>
      <c r="M926" s="3"/>
      <c r="N926" s="3"/>
      <c r="O926" s="8"/>
      <c r="P926" s="3"/>
      <c r="Q926" s="3"/>
      <c r="R926" s="3"/>
      <c r="S926" s="3"/>
      <c r="T926" s="3"/>
      <c r="U926" s="3"/>
      <c r="V926" s="8"/>
      <c r="W926" s="3"/>
      <c r="X926" s="3"/>
      <c r="Y926" s="3"/>
      <c r="Z926" s="4"/>
      <c r="AA926" s="5"/>
      <c r="AB926" s="3"/>
      <c r="AC926" s="3"/>
      <c r="AD926" s="3"/>
      <c r="AE926" s="3"/>
      <c r="AF926" s="3"/>
      <c r="AG926" s="3"/>
      <c r="AH926" s="3"/>
    </row>
    <row r="927" spans="1:34" x14ac:dyDescent="0.3">
      <c r="A927" s="11"/>
      <c r="B927" s="12"/>
      <c r="C927" s="12"/>
      <c r="D927" s="13"/>
      <c r="E927" s="6"/>
      <c r="F927" s="3"/>
      <c r="G927" s="3"/>
      <c r="H927" s="3"/>
      <c r="I927" s="3"/>
      <c r="J927" s="3"/>
      <c r="K927" s="3"/>
      <c r="L927" s="3"/>
      <c r="M927" s="3"/>
      <c r="N927" s="3"/>
      <c r="O927" s="8"/>
      <c r="P927" s="3"/>
      <c r="Q927" s="3"/>
      <c r="R927" s="3"/>
      <c r="S927" s="3"/>
      <c r="T927" s="3"/>
      <c r="U927" s="3"/>
      <c r="V927" s="8"/>
      <c r="W927" s="3"/>
      <c r="X927" s="3"/>
      <c r="Y927" s="3"/>
      <c r="Z927" s="4"/>
      <c r="AA927" s="5"/>
      <c r="AB927" s="3"/>
      <c r="AC927" s="3"/>
      <c r="AD927" s="3"/>
      <c r="AE927" s="3"/>
      <c r="AF927" s="3"/>
      <c r="AG927" s="3"/>
      <c r="AH927" s="3"/>
    </row>
    <row r="928" spans="1:34" x14ac:dyDescent="0.3">
      <c r="A928" s="11"/>
      <c r="B928" s="12"/>
      <c r="C928" s="12"/>
      <c r="D928" s="13"/>
      <c r="E928" s="6"/>
      <c r="F928" s="3"/>
      <c r="G928" s="3"/>
      <c r="H928" s="3"/>
      <c r="I928" s="3"/>
      <c r="J928" s="3"/>
      <c r="K928" s="3"/>
      <c r="L928" s="3"/>
      <c r="M928" s="3"/>
      <c r="N928" s="3"/>
      <c r="O928" s="8"/>
      <c r="P928" s="3"/>
      <c r="Q928" s="3"/>
      <c r="R928" s="3"/>
      <c r="S928" s="3"/>
      <c r="T928" s="3"/>
      <c r="U928" s="3"/>
      <c r="V928" s="8"/>
      <c r="W928" s="3"/>
      <c r="X928" s="3"/>
      <c r="Y928" s="3"/>
      <c r="Z928" s="4"/>
      <c r="AA928" s="5"/>
      <c r="AB928" s="3"/>
      <c r="AC928" s="3"/>
      <c r="AD928" s="3"/>
      <c r="AE928" s="3"/>
      <c r="AF928" s="3"/>
      <c r="AG928" s="3"/>
      <c r="AH928" s="3"/>
    </row>
    <row r="929" spans="1:34" x14ac:dyDescent="0.3">
      <c r="A929" s="11"/>
      <c r="B929" s="12"/>
      <c r="C929" s="12"/>
      <c r="D929" s="13"/>
      <c r="E929" s="6"/>
      <c r="F929" s="3"/>
      <c r="G929" s="3"/>
      <c r="H929" s="3"/>
      <c r="I929" s="3"/>
      <c r="J929" s="3"/>
      <c r="K929" s="3"/>
      <c r="L929" s="3"/>
      <c r="M929" s="3"/>
      <c r="N929" s="3"/>
      <c r="O929" s="8"/>
      <c r="P929" s="3"/>
      <c r="Q929" s="3"/>
      <c r="R929" s="3"/>
      <c r="S929" s="3"/>
      <c r="T929" s="3"/>
      <c r="U929" s="3"/>
      <c r="V929" s="8"/>
      <c r="W929" s="3"/>
      <c r="X929" s="3"/>
      <c r="Y929" s="3"/>
      <c r="Z929" s="4"/>
      <c r="AA929" s="5"/>
      <c r="AB929" s="3"/>
      <c r="AC929" s="3"/>
      <c r="AD929" s="3"/>
      <c r="AE929" s="3"/>
      <c r="AF929" s="3"/>
      <c r="AG929" s="3"/>
      <c r="AH929" s="3"/>
    </row>
    <row r="930" spans="1:34" x14ac:dyDescent="0.3">
      <c r="A930" s="11"/>
      <c r="B930" s="12"/>
      <c r="C930" s="12"/>
      <c r="D930" s="13"/>
      <c r="E930" s="6"/>
      <c r="F930" s="3"/>
      <c r="G930" s="3"/>
      <c r="H930" s="3"/>
      <c r="I930" s="3"/>
      <c r="J930" s="3"/>
      <c r="K930" s="3"/>
      <c r="L930" s="3"/>
      <c r="M930" s="3"/>
      <c r="N930" s="3"/>
      <c r="O930" s="8"/>
      <c r="P930" s="3"/>
      <c r="Q930" s="3"/>
      <c r="R930" s="3"/>
      <c r="S930" s="3"/>
      <c r="T930" s="3"/>
      <c r="U930" s="3"/>
      <c r="V930" s="8"/>
      <c r="W930" s="3"/>
      <c r="X930" s="3"/>
      <c r="Y930" s="3"/>
      <c r="Z930" s="4"/>
      <c r="AA930" s="5"/>
      <c r="AB930" s="3"/>
      <c r="AC930" s="3"/>
      <c r="AD930" s="3"/>
      <c r="AE930" s="3"/>
      <c r="AF930" s="3"/>
      <c r="AG930" s="3"/>
      <c r="AH930" s="3"/>
    </row>
    <row r="931" spans="1:34" x14ac:dyDescent="0.3">
      <c r="A931" s="11"/>
      <c r="B931" s="12"/>
      <c r="C931" s="12"/>
      <c r="D931" s="13"/>
      <c r="E931" s="6"/>
      <c r="F931" s="3"/>
      <c r="G931" s="3"/>
      <c r="H931" s="3"/>
      <c r="I931" s="3"/>
      <c r="J931" s="3"/>
      <c r="K931" s="3"/>
      <c r="L931" s="3"/>
      <c r="M931" s="3"/>
      <c r="N931" s="3"/>
      <c r="O931" s="8"/>
      <c r="P931" s="3"/>
      <c r="Q931" s="3"/>
      <c r="R931" s="3"/>
      <c r="S931" s="3"/>
      <c r="T931" s="3"/>
      <c r="U931" s="3"/>
      <c r="V931" s="8"/>
      <c r="W931" s="3"/>
      <c r="X931" s="3"/>
      <c r="Y931" s="3"/>
      <c r="Z931" s="4"/>
      <c r="AA931" s="5"/>
      <c r="AB931" s="3"/>
      <c r="AC931" s="3"/>
      <c r="AD931" s="3"/>
      <c r="AE931" s="3"/>
      <c r="AF931" s="3"/>
      <c r="AG931" s="3"/>
      <c r="AH931" s="3"/>
    </row>
    <row r="932" spans="1:34" x14ac:dyDescent="0.3">
      <c r="A932" s="11"/>
      <c r="B932" s="12"/>
      <c r="C932" s="12"/>
      <c r="D932" s="13"/>
      <c r="E932" s="6"/>
      <c r="F932" s="3"/>
      <c r="G932" s="3"/>
      <c r="H932" s="3"/>
      <c r="I932" s="3"/>
      <c r="J932" s="3"/>
      <c r="K932" s="3"/>
      <c r="L932" s="3"/>
      <c r="M932" s="3"/>
      <c r="N932" s="3"/>
      <c r="O932" s="8"/>
      <c r="P932" s="3"/>
      <c r="Q932" s="3"/>
      <c r="R932" s="3"/>
      <c r="S932" s="3"/>
      <c r="T932" s="3"/>
      <c r="U932" s="3"/>
      <c r="V932" s="8"/>
      <c r="W932" s="3"/>
      <c r="X932" s="3"/>
      <c r="Y932" s="3"/>
      <c r="Z932" s="4"/>
      <c r="AA932" s="5"/>
      <c r="AB932" s="3"/>
      <c r="AC932" s="3"/>
      <c r="AD932" s="3"/>
      <c r="AE932" s="3"/>
      <c r="AF932" s="3"/>
      <c r="AG932" s="3"/>
      <c r="AH932" s="3"/>
    </row>
    <row r="933" spans="1:34" x14ac:dyDescent="0.3">
      <c r="A933" s="11"/>
      <c r="B933" s="12"/>
      <c r="C933" s="12"/>
      <c r="D933" s="13"/>
      <c r="E933" s="6"/>
      <c r="F933" s="3"/>
      <c r="G933" s="3"/>
      <c r="H933" s="3"/>
      <c r="I933" s="3"/>
      <c r="J933" s="3"/>
      <c r="K933" s="3"/>
      <c r="L933" s="3"/>
      <c r="M933" s="3"/>
      <c r="N933" s="3"/>
      <c r="O933" s="8"/>
      <c r="P933" s="3"/>
      <c r="Q933" s="3"/>
      <c r="R933" s="3"/>
      <c r="S933" s="3"/>
      <c r="T933" s="3"/>
      <c r="U933" s="3"/>
      <c r="V933" s="8"/>
      <c r="W933" s="3"/>
      <c r="X933" s="3"/>
      <c r="Y933" s="3"/>
      <c r="Z933" s="4"/>
      <c r="AA933" s="5"/>
      <c r="AB933" s="3"/>
      <c r="AC933" s="3"/>
      <c r="AD933" s="3"/>
      <c r="AE933" s="3"/>
      <c r="AF933" s="3"/>
      <c r="AG933" s="3"/>
      <c r="AH933" s="3"/>
    </row>
    <row r="934" spans="1:34" x14ac:dyDescent="0.3">
      <c r="A934" s="11"/>
      <c r="B934" s="12"/>
      <c r="C934" s="12"/>
      <c r="D934" s="13"/>
      <c r="E934" s="6"/>
      <c r="F934" s="3"/>
      <c r="G934" s="3"/>
      <c r="H934" s="3"/>
      <c r="I934" s="3"/>
      <c r="J934" s="3"/>
      <c r="K934" s="3"/>
      <c r="L934" s="3"/>
      <c r="M934" s="3"/>
      <c r="N934" s="3"/>
      <c r="O934" s="8"/>
      <c r="P934" s="3"/>
      <c r="Q934" s="3"/>
      <c r="R934" s="3"/>
      <c r="S934" s="3"/>
      <c r="T934" s="3"/>
      <c r="U934" s="3"/>
      <c r="V934" s="8"/>
      <c r="W934" s="3"/>
      <c r="X934" s="3"/>
      <c r="Y934" s="3"/>
      <c r="Z934" s="4"/>
      <c r="AA934" s="5"/>
      <c r="AB934" s="3"/>
      <c r="AC934" s="3"/>
      <c r="AD934" s="3"/>
      <c r="AE934" s="3"/>
      <c r="AF934" s="3"/>
      <c r="AG934" s="3"/>
      <c r="AH934" s="3"/>
    </row>
    <row r="935" spans="1:34" x14ac:dyDescent="0.3">
      <c r="A935" s="11"/>
      <c r="B935" s="12"/>
      <c r="C935" s="12"/>
      <c r="D935" s="13"/>
      <c r="E935" s="6"/>
      <c r="F935" s="3"/>
      <c r="G935" s="3"/>
      <c r="H935" s="3"/>
      <c r="I935" s="3"/>
      <c r="J935" s="3"/>
      <c r="K935" s="3"/>
      <c r="L935" s="3"/>
      <c r="M935" s="3"/>
      <c r="N935" s="3"/>
      <c r="O935" s="8"/>
      <c r="P935" s="3"/>
      <c r="Q935" s="3"/>
      <c r="R935" s="3"/>
      <c r="S935" s="3"/>
      <c r="T935" s="3"/>
      <c r="U935" s="3"/>
      <c r="V935" s="8"/>
      <c r="W935" s="3"/>
      <c r="X935" s="3"/>
      <c r="Y935" s="3"/>
      <c r="Z935" s="4"/>
      <c r="AA935" s="5"/>
      <c r="AB935" s="3"/>
      <c r="AC935" s="3"/>
      <c r="AD935" s="3"/>
      <c r="AE935" s="3"/>
      <c r="AF935" s="3"/>
      <c r="AG935" s="3"/>
      <c r="AH935" s="3"/>
    </row>
    <row r="936" spans="1:34" x14ac:dyDescent="0.3">
      <c r="A936" s="11"/>
      <c r="B936" s="12"/>
      <c r="C936" s="12"/>
      <c r="D936" s="13"/>
      <c r="E936" s="6"/>
      <c r="F936" s="3"/>
      <c r="G936" s="3"/>
      <c r="H936" s="3"/>
      <c r="I936" s="3"/>
      <c r="J936" s="3"/>
      <c r="K936" s="3"/>
      <c r="L936" s="3"/>
      <c r="M936" s="3"/>
      <c r="N936" s="3"/>
      <c r="O936" s="8"/>
      <c r="P936" s="3"/>
      <c r="Q936" s="3"/>
      <c r="R936" s="3"/>
      <c r="S936" s="3"/>
      <c r="T936" s="3"/>
      <c r="U936" s="3"/>
      <c r="V936" s="8"/>
      <c r="W936" s="3"/>
      <c r="X936" s="3"/>
      <c r="Y936" s="3"/>
      <c r="Z936" s="4"/>
      <c r="AA936" s="5"/>
      <c r="AB936" s="3"/>
      <c r="AC936" s="3"/>
      <c r="AD936" s="3"/>
      <c r="AE936" s="3"/>
      <c r="AF936" s="3"/>
      <c r="AG936" s="3"/>
      <c r="AH936" s="3"/>
    </row>
    <row r="937" spans="1:34" x14ac:dyDescent="0.3">
      <c r="A937" s="11"/>
      <c r="B937" s="12"/>
      <c r="C937" s="12"/>
      <c r="D937" s="13"/>
      <c r="E937" s="6"/>
      <c r="F937" s="3"/>
      <c r="G937" s="3"/>
      <c r="H937" s="3"/>
      <c r="I937" s="3"/>
      <c r="J937" s="3"/>
      <c r="K937" s="3"/>
      <c r="L937" s="3"/>
      <c r="M937" s="3"/>
      <c r="N937" s="3"/>
      <c r="O937" s="8"/>
      <c r="P937" s="3"/>
      <c r="Q937" s="3"/>
      <c r="R937" s="3"/>
      <c r="S937" s="3"/>
      <c r="T937" s="3"/>
      <c r="U937" s="3"/>
      <c r="V937" s="8"/>
      <c r="W937" s="3"/>
      <c r="X937" s="3"/>
      <c r="Y937" s="3"/>
      <c r="Z937" s="4"/>
      <c r="AA937" s="5"/>
      <c r="AB937" s="3"/>
      <c r="AC937" s="3"/>
      <c r="AD937" s="3"/>
      <c r="AE937" s="3"/>
      <c r="AF937" s="3"/>
      <c r="AG937" s="3"/>
      <c r="AH937" s="3"/>
    </row>
    <row r="938" spans="1:34" x14ac:dyDescent="0.3">
      <c r="A938" s="11"/>
      <c r="B938" s="12"/>
      <c r="C938" s="12"/>
      <c r="D938" s="13"/>
      <c r="E938" s="6"/>
      <c r="F938" s="3"/>
      <c r="G938" s="3"/>
      <c r="H938" s="3"/>
      <c r="I938" s="3"/>
      <c r="J938" s="3"/>
      <c r="K938" s="3"/>
      <c r="L938" s="3"/>
      <c r="M938" s="3"/>
      <c r="N938" s="3"/>
      <c r="O938" s="8"/>
      <c r="P938" s="3"/>
      <c r="Q938" s="3"/>
      <c r="R938" s="3"/>
      <c r="S938" s="3"/>
      <c r="T938" s="3"/>
      <c r="U938" s="3"/>
      <c r="V938" s="8"/>
      <c r="W938" s="3"/>
      <c r="X938" s="3"/>
      <c r="Y938" s="3"/>
      <c r="Z938" s="4"/>
      <c r="AA938" s="5"/>
      <c r="AB938" s="3"/>
      <c r="AC938" s="3"/>
      <c r="AD938" s="3"/>
      <c r="AE938" s="3"/>
      <c r="AF938" s="3"/>
      <c r="AG938" s="3"/>
      <c r="AH938" s="3"/>
    </row>
    <row r="939" spans="1:34" x14ac:dyDescent="0.3">
      <c r="A939" s="11"/>
      <c r="B939" s="12"/>
      <c r="C939" s="12"/>
      <c r="D939" s="13"/>
      <c r="E939" s="6"/>
      <c r="F939" s="3"/>
      <c r="G939" s="3"/>
      <c r="H939" s="3"/>
      <c r="I939" s="3"/>
      <c r="J939" s="3"/>
      <c r="K939" s="3"/>
      <c r="L939" s="3"/>
      <c r="M939" s="3"/>
      <c r="N939" s="3"/>
      <c r="O939" s="8"/>
      <c r="P939" s="3"/>
      <c r="Q939" s="3"/>
      <c r="R939" s="3"/>
      <c r="S939" s="3"/>
      <c r="T939" s="3"/>
      <c r="U939" s="3"/>
      <c r="V939" s="8"/>
      <c r="W939" s="3"/>
      <c r="X939" s="3"/>
      <c r="Y939" s="3"/>
      <c r="Z939" s="4"/>
      <c r="AA939" s="5"/>
      <c r="AB939" s="3"/>
      <c r="AC939" s="3"/>
      <c r="AD939" s="3"/>
      <c r="AE939" s="3"/>
      <c r="AF939" s="3"/>
      <c r="AG939" s="3"/>
      <c r="AH939" s="3"/>
    </row>
    <row r="940" spans="1:34" x14ac:dyDescent="0.3">
      <c r="A940" s="11"/>
      <c r="B940" s="12"/>
      <c r="C940" s="12"/>
      <c r="D940" s="13"/>
      <c r="E940" s="6"/>
      <c r="F940" s="3"/>
      <c r="G940" s="3"/>
      <c r="H940" s="3"/>
      <c r="I940" s="3"/>
      <c r="J940" s="3"/>
      <c r="K940" s="3"/>
      <c r="L940" s="3"/>
      <c r="M940" s="3"/>
      <c r="N940" s="3"/>
      <c r="O940" s="8"/>
      <c r="P940" s="3"/>
      <c r="Q940" s="3"/>
      <c r="R940" s="3"/>
      <c r="S940" s="3"/>
      <c r="T940" s="3"/>
      <c r="U940" s="3"/>
      <c r="V940" s="8"/>
      <c r="W940" s="3"/>
      <c r="X940" s="3"/>
      <c r="Y940" s="3"/>
      <c r="Z940" s="4"/>
      <c r="AA940" s="5"/>
      <c r="AB940" s="3"/>
      <c r="AC940" s="3"/>
      <c r="AD940" s="3"/>
      <c r="AE940" s="3"/>
      <c r="AF940" s="3"/>
      <c r="AG940" s="3"/>
      <c r="AH940" s="3"/>
    </row>
    <row r="941" spans="1:34" x14ac:dyDescent="0.3">
      <c r="A941" s="11"/>
      <c r="B941" s="12"/>
      <c r="C941" s="12"/>
      <c r="D941" s="13"/>
      <c r="E941" s="6"/>
      <c r="F941" s="3"/>
      <c r="G941" s="3"/>
      <c r="H941" s="3"/>
      <c r="I941" s="3"/>
      <c r="J941" s="3"/>
      <c r="K941" s="3"/>
      <c r="L941" s="3"/>
      <c r="M941" s="3"/>
      <c r="N941" s="3"/>
      <c r="O941" s="8"/>
      <c r="P941" s="3"/>
      <c r="Q941" s="3"/>
      <c r="R941" s="3"/>
      <c r="S941" s="3"/>
      <c r="T941" s="3"/>
      <c r="U941" s="3"/>
      <c r="V941" s="8"/>
      <c r="W941" s="3"/>
      <c r="X941" s="3"/>
      <c r="Y941" s="3"/>
      <c r="Z941" s="4"/>
      <c r="AA941" s="5"/>
      <c r="AB941" s="3"/>
      <c r="AC941" s="3"/>
      <c r="AD941" s="3"/>
      <c r="AE941" s="3"/>
      <c r="AF941" s="3"/>
      <c r="AG941" s="3"/>
      <c r="AH941" s="3"/>
    </row>
    <row r="942" spans="1:34" x14ac:dyDescent="0.3">
      <c r="A942" s="11"/>
      <c r="B942" s="12"/>
      <c r="C942" s="12"/>
      <c r="D942" s="13"/>
      <c r="E942" s="6"/>
      <c r="F942" s="3"/>
      <c r="G942" s="3"/>
      <c r="H942" s="3"/>
      <c r="I942" s="3"/>
      <c r="J942" s="3"/>
      <c r="K942" s="3"/>
      <c r="L942" s="3"/>
      <c r="M942" s="3"/>
      <c r="N942" s="3"/>
      <c r="O942" s="8"/>
      <c r="P942" s="3"/>
      <c r="Q942" s="3"/>
      <c r="R942" s="3"/>
      <c r="S942" s="3"/>
      <c r="T942" s="3"/>
      <c r="U942" s="3"/>
      <c r="V942" s="8"/>
      <c r="W942" s="3"/>
      <c r="X942" s="3"/>
      <c r="Y942" s="3"/>
      <c r="Z942" s="4"/>
      <c r="AA942" s="5"/>
      <c r="AB942" s="3"/>
      <c r="AC942" s="3"/>
      <c r="AD942" s="3"/>
      <c r="AE942" s="3"/>
      <c r="AF942" s="3"/>
      <c r="AG942" s="3"/>
      <c r="AH942" s="3"/>
    </row>
    <row r="943" spans="1:34" x14ac:dyDescent="0.3">
      <c r="A943" s="11"/>
      <c r="B943" s="12"/>
      <c r="C943" s="12"/>
      <c r="D943" s="13"/>
      <c r="E943" s="6"/>
      <c r="F943" s="3"/>
      <c r="G943" s="3"/>
      <c r="H943" s="3"/>
      <c r="I943" s="3"/>
      <c r="J943" s="3"/>
      <c r="K943" s="3"/>
      <c r="L943" s="3"/>
      <c r="M943" s="3"/>
      <c r="N943" s="3"/>
      <c r="O943" s="8"/>
      <c r="P943" s="3"/>
      <c r="Q943" s="3"/>
      <c r="R943" s="3"/>
      <c r="S943" s="3"/>
      <c r="T943" s="3"/>
      <c r="U943" s="3"/>
      <c r="V943" s="8"/>
      <c r="W943" s="3"/>
      <c r="X943" s="3"/>
      <c r="Y943" s="3"/>
      <c r="Z943" s="4"/>
      <c r="AA943" s="5"/>
      <c r="AB943" s="3"/>
      <c r="AC943" s="3"/>
      <c r="AD943" s="3"/>
      <c r="AE943" s="3"/>
      <c r="AF943" s="3"/>
      <c r="AG943" s="3"/>
      <c r="AH943" s="3"/>
    </row>
    <row r="944" spans="1:34" x14ac:dyDescent="0.3">
      <c r="A944" s="11"/>
      <c r="B944" s="12"/>
      <c r="C944" s="12"/>
      <c r="D944" s="13"/>
      <c r="E944" s="6"/>
      <c r="F944" s="3"/>
      <c r="G944" s="3"/>
      <c r="H944" s="3"/>
      <c r="I944" s="3"/>
      <c r="J944" s="3"/>
      <c r="K944" s="3"/>
      <c r="L944" s="3"/>
      <c r="M944" s="3"/>
      <c r="N944" s="3"/>
      <c r="O944" s="8"/>
      <c r="P944" s="3"/>
      <c r="Q944" s="3"/>
      <c r="R944" s="3"/>
      <c r="S944" s="3"/>
      <c r="T944" s="3"/>
      <c r="U944" s="3"/>
      <c r="V944" s="8"/>
      <c r="W944" s="3"/>
      <c r="X944" s="3"/>
      <c r="Y944" s="3"/>
      <c r="Z944" s="4"/>
      <c r="AA944" s="5"/>
      <c r="AB944" s="3"/>
      <c r="AC944" s="3"/>
      <c r="AD944" s="3"/>
      <c r="AE944" s="3"/>
      <c r="AF944" s="3"/>
      <c r="AG944" s="3"/>
      <c r="AH944" s="3"/>
    </row>
    <row r="945" spans="1:34" x14ac:dyDescent="0.3">
      <c r="A945" s="11"/>
      <c r="B945" s="12"/>
      <c r="C945" s="12"/>
      <c r="D945" s="13"/>
      <c r="E945" s="6"/>
      <c r="F945" s="3"/>
      <c r="G945" s="3"/>
      <c r="H945" s="3"/>
      <c r="I945" s="3"/>
      <c r="J945" s="3"/>
      <c r="K945" s="3"/>
      <c r="L945" s="3"/>
      <c r="M945" s="3"/>
      <c r="N945" s="3"/>
      <c r="O945" s="8"/>
      <c r="P945" s="3"/>
      <c r="Q945" s="3"/>
      <c r="R945" s="3"/>
      <c r="S945" s="3"/>
      <c r="T945" s="3"/>
      <c r="U945" s="3"/>
      <c r="V945" s="8"/>
      <c r="W945" s="3"/>
      <c r="X945" s="3"/>
      <c r="Y945" s="3"/>
      <c r="Z945" s="4"/>
      <c r="AA945" s="5"/>
      <c r="AB945" s="3"/>
      <c r="AC945" s="3"/>
      <c r="AD945" s="3"/>
      <c r="AE945" s="3"/>
      <c r="AF945" s="3"/>
      <c r="AG945" s="3"/>
      <c r="AH945" s="3"/>
    </row>
    <row r="946" spans="1:34" x14ac:dyDescent="0.3">
      <c r="A946" s="11"/>
      <c r="B946" s="12"/>
      <c r="C946" s="12"/>
      <c r="D946" s="13"/>
      <c r="E946" s="6"/>
      <c r="F946" s="3"/>
      <c r="G946" s="3"/>
      <c r="H946" s="3"/>
      <c r="I946" s="3"/>
      <c r="J946" s="3"/>
      <c r="K946" s="3"/>
      <c r="L946" s="3"/>
      <c r="M946" s="3"/>
      <c r="N946" s="3"/>
      <c r="O946" s="8"/>
      <c r="P946" s="3"/>
      <c r="Q946" s="3"/>
      <c r="R946" s="3"/>
      <c r="S946" s="3"/>
      <c r="T946" s="3"/>
      <c r="U946" s="3"/>
      <c r="V946" s="8"/>
      <c r="W946" s="3"/>
      <c r="X946" s="3"/>
      <c r="Y946" s="3"/>
      <c r="Z946" s="4"/>
      <c r="AA946" s="5"/>
      <c r="AB946" s="3"/>
      <c r="AC946" s="3"/>
      <c r="AD946" s="3"/>
      <c r="AE946" s="3"/>
      <c r="AF946" s="3"/>
      <c r="AG946" s="3"/>
      <c r="AH946" s="3"/>
    </row>
    <row r="947" spans="1:34" x14ac:dyDescent="0.3">
      <c r="A947" s="11"/>
      <c r="B947" s="12"/>
      <c r="C947" s="12"/>
      <c r="D947" s="13"/>
      <c r="E947" s="6"/>
      <c r="F947" s="3"/>
      <c r="G947" s="3"/>
      <c r="H947" s="3"/>
      <c r="I947" s="3"/>
      <c r="J947" s="3"/>
      <c r="K947" s="3"/>
      <c r="L947" s="3"/>
      <c r="M947" s="3"/>
      <c r="N947" s="3"/>
      <c r="O947" s="8"/>
      <c r="P947" s="3"/>
      <c r="Q947" s="3"/>
      <c r="R947" s="3"/>
      <c r="S947" s="3"/>
      <c r="T947" s="3"/>
      <c r="U947" s="3"/>
      <c r="V947" s="8"/>
      <c r="W947" s="3"/>
      <c r="X947" s="3"/>
      <c r="Y947" s="3"/>
      <c r="Z947" s="4"/>
      <c r="AA947" s="5"/>
      <c r="AB947" s="3"/>
      <c r="AC947" s="3"/>
      <c r="AD947" s="3"/>
      <c r="AE947" s="3"/>
      <c r="AF947" s="3"/>
      <c r="AG947" s="3"/>
      <c r="AH947" s="3"/>
    </row>
    <row r="948" spans="1:34" x14ac:dyDescent="0.3">
      <c r="A948" s="11"/>
      <c r="B948" s="12"/>
      <c r="C948" s="12"/>
      <c r="D948" s="13"/>
      <c r="E948" s="6"/>
      <c r="F948" s="3"/>
      <c r="G948" s="3"/>
      <c r="H948" s="3"/>
      <c r="I948" s="3"/>
      <c r="J948" s="3"/>
      <c r="K948" s="3"/>
      <c r="L948" s="3"/>
      <c r="M948" s="3"/>
      <c r="N948" s="3"/>
      <c r="O948" s="8"/>
      <c r="P948" s="3"/>
      <c r="Q948" s="3"/>
      <c r="R948" s="3"/>
      <c r="S948" s="3"/>
      <c r="T948" s="3"/>
      <c r="U948" s="3"/>
      <c r="V948" s="8"/>
      <c r="W948" s="3"/>
      <c r="X948" s="3"/>
      <c r="Y948" s="3"/>
      <c r="Z948" s="4"/>
      <c r="AA948" s="5"/>
      <c r="AB948" s="3"/>
      <c r="AC948" s="3"/>
      <c r="AD948" s="3"/>
      <c r="AE948" s="3"/>
      <c r="AF948" s="3"/>
      <c r="AG948" s="3"/>
      <c r="AH948" s="3"/>
    </row>
    <row r="949" spans="1:34" x14ac:dyDescent="0.3">
      <c r="A949" s="11"/>
      <c r="B949" s="12"/>
      <c r="C949" s="12"/>
      <c r="D949" s="13"/>
      <c r="E949" s="6"/>
      <c r="F949" s="3"/>
      <c r="G949" s="3"/>
      <c r="H949" s="3"/>
      <c r="I949" s="3"/>
      <c r="J949" s="3"/>
      <c r="K949" s="3"/>
      <c r="L949" s="3"/>
      <c r="M949" s="3"/>
      <c r="N949" s="3"/>
      <c r="O949" s="8"/>
      <c r="P949" s="3"/>
      <c r="Q949" s="3"/>
      <c r="R949" s="3"/>
      <c r="S949" s="3"/>
      <c r="T949" s="3"/>
      <c r="U949" s="3"/>
      <c r="V949" s="8"/>
      <c r="W949" s="3"/>
      <c r="X949" s="3"/>
      <c r="Y949" s="3"/>
      <c r="Z949" s="4"/>
      <c r="AA949" s="5"/>
      <c r="AB949" s="3"/>
      <c r="AC949" s="3"/>
      <c r="AD949" s="3"/>
      <c r="AE949" s="3"/>
      <c r="AF949" s="3"/>
      <c r="AG949" s="3"/>
      <c r="AH949" s="3"/>
    </row>
    <row r="950" spans="1:34" x14ac:dyDescent="0.3">
      <c r="A950" s="11"/>
      <c r="B950" s="12"/>
      <c r="C950" s="12"/>
      <c r="D950" s="13"/>
      <c r="E950" s="6"/>
      <c r="F950" s="3"/>
      <c r="G950" s="3"/>
      <c r="H950" s="3"/>
      <c r="I950" s="3"/>
      <c r="J950" s="3"/>
      <c r="K950" s="3"/>
      <c r="L950" s="3"/>
      <c r="M950" s="3"/>
      <c r="N950" s="3"/>
      <c r="O950" s="8"/>
      <c r="P950" s="3"/>
      <c r="Q950" s="3"/>
      <c r="R950" s="3"/>
      <c r="S950" s="3"/>
      <c r="T950" s="3"/>
      <c r="U950" s="3"/>
      <c r="V950" s="8"/>
      <c r="W950" s="3"/>
      <c r="X950" s="3"/>
      <c r="Y950" s="3"/>
      <c r="Z950" s="4"/>
      <c r="AA950" s="5"/>
      <c r="AB950" s="3"/>
      <c r="AC950" s="3"/>
      <c r="AD950" s="3"/>
      <c r="AE950" s="3"/>
      <c r="AF950" s="3"/>
      <c r="AG950" s="3"/>
      <c r="AH950" s="3"/>
    </row>
    <row r="951" spans="1:34" x14ac:dyDescent="0.3">
      <c r="A951" s="11"/>
      <c r="B951" s="12"/>
      <c r="C951" s="12"/>
      <c r="D951" s="13"/>
      <c r="E951" s="6"/>
      <c r="F951" s="3"/>
      <c r="G951" s="3"/>
      <c r="H951" s="3"/>
      <c r="I951" s="3"/>
      <c r="J951" s="3"/>
      <c r="K951" s="3"/>
      <c r="L951" s="3"/>
      <c r="M951" s="3"/>
      <c r="N951" s="3"/>
      <c r="O951" s="8"/>
      <c r="P951" s="3"/>
      <c r="Q951" s="3"/>
      <c r="R951" s="3"/>
      <c r="S951" s="3"/>
      <c r="T951" s="3"/>
      <c r="U951" s="3"/>
      <c r="V951" s="8"/>
      <c r="W951" s="3"/>
      <c r="X951" s="3"/>
      <c r="Y951" s="3"/>
      <c r="Z951" s="4"/>
      <c r="AA951" s="5"/>
      <c r="AB951" s="3"/>
      <c r="AC951" s="3"/>
      <c r="AD951" s="3"/>
      <c r="AE951" s="3"/>
      <c r="AF951" s="3"/>
      <c r="AG951" s="3"/>
      <c r="AH951" s="3"/>
    </row>
    <row r="952" spans="1:34" x14ac:dyDescent="0.3">
      <c r="A952" s="11"/>
      <c r="B952" s="12"/>
      <c r="C952" s="12"/>
      <c r="D952" s="13"/>
      <c r="E952" s="6"/>
      <c r="F952" s="3"/>
      <c r="G952" s="3"/>
      <c r="H952" s="3"/>
      <c r="I952" s="3"/>
      <c r="J952" s="3"/>
      <c r="K952" s="3"/>
      <c r="L952" s="3"/>
      <c r="M952" s="3"/>
      <c r="N952" s="3"/>
      <c r="O952" s="8"/>
      <c r="P952" s="3"/>
      <c r="Q952" s="3"/>
      <c r="R952" s="3"/>
      <c r="S952" s="3"/>
      <c r="T952" s="3"/>
      <c r="U952" s="3"/>
      <c r="V952" s="8"/>
      <c r="W952" s="3"/>
      <c r="X952" s="3"/>
      <c r="Y952" s="3"/>
      <c r="Z952" s="4"/>
      <c r="AA952" s="5"/>
      <c r="AB952" s="3"/>
      <c r="AC952" s="3"/>
      <c r="AD952" s="3"/>
      <c r="AE952" s="3"/>
      <c r="AF952" s="3"/>
      <c r="AG952" s="3"/>
      <c r="AH952" s="3"/>
    </row>
    <row r="953" spans="1:34" x14ac:dyDescent="0.3">
      <c r="A953" s="11"/>
      <c r="B953" s="12"/>
      <c r="C953" s="12"/>
      <c r="D953" s="13"/>
      <c r="E953" s="6"/>
      <c r="F953" s="3"/>
      <c r="G953" s="3"/>
      <c r="H953" s="3"/>
      <c r="I953" s="3"/>
      <c r="J953" s="3"/>
      <c r="K953" s="3"/>
      <c r="L953" s="3"/>
      <c r="M953" s="3"/>
      <c r="N953" s="3"/>
      <c r="O953" s="8"/>
      <c r="P953" s="3"/>
      <c r="Q953" s="3"/>
      <c r="R953" s="3"/>
      <c r="S953" s="3"/>
      <c r="T953" s="3"/>
      <c r="U953" s="3"/>
      <c r="V953" s="8"/>
      <c r="W953" s="3"/>
      <c r="X953" s="3"/>
      <c r="Y953" s="3"/>
      <c r="Z953" s="4"/>
      <c r="AA953" s="5"/>
      <c r="AB953" s="3"/>
      <c r="AC953" s="3"/>
      <c r="AD953" s="3"/>
      <c r="AE953" s="3"/>
      <c r="AF953" s="3"/>
      <c r="AG953" s="3"/>
      <c r="AH953" s="3"/>
    </row>
    <row r="954" spans="1:34" x14ac:dyDescent="0.3">
      <c r="A954" s="11"/>
      <c r="B954" s="12"/>
      <c r="C954" s="12"/>
      <c r="D954" s="13"/>
      <c r="E954" s="6"/>
      <c r="F954" s="3"/>
      <c r="G954" s="3"/>
      <c r="H954" s="3"/>
      <c r="I954" s="3"/>
      <c r="J954" s="3"/>
      <c r="K954" s="3"/>
      <c r="L954" s="3"/>
      <c r="M954" s="3"/>
      <c r="N954" s="3"/>
      <c r="O954" s="8"/>
      <c r="P954" s="3"/>
      <c r="Q954" s="3"/>
      <c r="R954" s="3"/>
      <c r="S954" s="3"/>
      <c r="T954" s="3"/>
      <c r="U954" s="3"/>
      <c r="V954" s="8"/>
      <c r="W954" s="3"/>
      <c r="X954" s="3"/>
      <c r="Y954" s="3"/>
      <c r="Z954" s="4"/>
      <c r="AA954" s="5"/>
      <c r="AB954" s="3"/>
      <c r="AC954" s="3"/>
      <c r="AD954" s="3"/>
      <c r="AE954" s="3"/>
      <c r="AF954" s="3"/>
      <c r="AG954" s="3"/>
      <c r="AH954" s="3"/>
    </row>
    <row r="955" spans="1:34" x14ac:dyDescent="0.3">
      <c r="A955" s="11"/>
      <c r="B955" s="12"/>
      <c r="C955" s="12"/>
      <c r="D955" s="13"/>
      <c r="E955" s="6"/>
      <c r="F955" s="3"/>
      <c r="G955" s="3"/>
      <c r="H955" s="3"/>
      <c r="I955" s="3"/>
      <c r="J955" s="3"/>
      <c r="K955" s="3"/>
      <c r="L955" s="3"/>
      <c r="M955" s="3"/>
      <c r="N955" s="3"/>
      <c r="O955" s="8"/>
      <c r="P955" s="3"/>
      <c r="Q955" s="3"/>
      <c r="R955" s="3"/>
      <c r="S955" s="3"/>
      <c r="T955" s="3"/>
      <c r="U955" s="3"/>
      <c r="V955" s="8"/>
      <c r="W955" s="3"/>
      <c r="X955" s="3"/>
      <c r="Y955" s="3"/>
      <c r="Z955" s="4"/>
      <c r="AA955" s="5"/>
      <c r="AB955" s="3"/>
      <c r="AC955" s="3"/>
      <c r="AD955" s="3"/>
      <c r="AE955" s="3"/>
      <c r="AF955" s="3"/>
      <c r="AG955" s="3"/>
      <c r="AH955" s="3"/>
    </row>
    <row r="956" spans="1:34" x14ac:dyDescent="0.3">
      <c r="A956" s="11"/>
      <c r="B956" s="12"/>
      <c r="C956" s="12"/>
      <c r="D956" s="13"/>
      <c r="E956" s="6"/>
      <c r="F956" s="3"/>
      <c r="G956" s="3"/>
      <c r="H956" s="3"/>
      <c r="I956" s="3"/>
      <c r="J956" s="3"/>
      <c r="K956" s="3"/>
      <c r="L956" s="3"/>
      <c r="M956" s="3"/>
      <c r="N956" s="3"/>
      <c r="O956" s="8"/>
      <c r="P956" s="3"/>
      <c r="Q956" s="3"/>
      <c r="R956" s="3"/>
      <c r="S956" s="3"/>
      <c r="T956" s="3"/>
      <c r="U956" s="3"/>
      <c r="V956" s="8"/>
      <c r="W956" s="3"/>
      <c r="X956" s="3"/>
      <c r="Y956" s="3"/>
      <c r="Z956" s="4"/>
      <c r="AA956" s="5"/>
      <c r="AB956" s="3"/>
      <c r="AC956" s="3"/>
      <c r="AD956" s="3"/>
      <c r="AE956" s="3"/>
      <c r="AF956" s="3"/>
      <c r="AG956" s="3"/>
      <c r="AH956" s="3"/>
    </row>
    <row r="957" spans="1:34" x14ac:dyDescent="0.3">
      <c r="A957" s="11"/>
      <c r="B957" s="12"/>
      <c r="C957" s="12"/>
      <c r="D957" s="13"/>
      <c r="E957" s="6"/>
      <c r="F957" s="3"/>
      <c r="G957" s="3"/>
      <c r="H957" s="3"/>
      <c r="I957" s="3"/>
      <c r="J957" s="3"/>
      <c r="K957" s="3"/>
      <c r="L957" s="3"/>
      <c r="M957" s="3"/>
      <c r="N957" s="3"/>
      <c r="O957" s="8"/>
      <c r="P957" s="3"/>
      <c r="Q957" s="3"/>
      <c r="R957" s="3"/>
      <c r="S957" s="3"/>
      <c r="T957" s="3"/>
      <c r="U957" s="3"/>
      <c r="V957" s="8"/>
      <c r="W957" s="3"/>
      <c r="X957" s="3"/>
      <c r="Y957" s="3"/>
      <c r="Z957" s="4"/>
      <c r="AA957" s="5"/>
      <c r="AB957" s="3"/>
      <c r="AC957" s="3"/>
      <c r="AD957" s="3"/>
      <c r="AE957" s="3"/>
      <c r="AF957" s="3"/>
      <c r="AG957" s="3"/>
      <c r="AH957" s="3"/>
    </row>
    <row r="958" spans="1:34" x14ac:dyDescent="0.3">
      <c r="A958" s="11"/>
      <c r="B958" s="12"/>
      <c r="C958" s="12"/>
      <c r="D958" s="13"/>
      <c r="E958" s="6"/>
      <c r="F958" s="3"/>
      <c r="G958" s="3"/>
      <c r="H958" s="3"/>
      <c r="I958" s="3"/>
      <c r="J958" s="3"/>
      <c r="K958" s="3"/>
      <c r="L958" s="3"/>
      <c r="M958" s="3"/>
      <c r="N958" s="3"/>
      <c r="O958" s="8"/>
      <c r="P958" s="3"/>
      <c r="Q958" s="3"/>
      <c r="R958" s="3"/>
      <c r="S958" s="3"/>
      <c r="T958" s="3"/>
      <c r="U958" s="3"/>
      <c r="V958" s="8"/>
      <c r="W958" s="3"/>
      <c r="X958" s="3"/>
      <c r="Y958" s="3"/>
      <c r="Z958" s="4"/>
      <c r="AA958" s="5"/>
      <c r="AB958" s="3"/>
      <c r="AC958" s="3"/>
      <c r="AD958" s="3"/>
      <c r="AE958" s="3"/>
      <c r="AF958" s="3"/>
      <c r="AG958" s="3"/>
      <c r="AH958" s="3"/>
    </row>
    <row r="959" spans="1:34" x14ac:dyDescent="0.3">
      <c r="A959" s="11"/>
      <c r="B959" s="12"/>
      <c r="C959" s="12"/>
      <c r="D959" s="13"/>
      <c r="E959" s="6"/>
      <c r="F959" s="3"/>
      <c r="G959" s="3"/>
      <c r="H959" s="3"/>
      <c r="I959" s="3"/>
      <c r="J959" s="3"/>
      <c r="K959" s="3"/>
      <c r="L959" s="3"/>
      <c r="M959" s="3"/>
      <c r="N959" s="3"/>
      <c r="O959" s="8"/>
      <c r="P959" s="3"/>
      <c r="Q959" s="3"/>
      <c r="R959" s="3"/>
      <c r="S959" s="3"/>
      <c r="T959" s="3"/>
      <c r="U959" s="3"/>
      <c r="V959" s="8"/>
      <c r="W959" s="3"/>
      <c r="X959" s="3"/>
      <c r="Y959" s="3"/>
      <c r="Z959" s="4"/>
      <c r="AA959" s="5"/>
      <c r="AB959" s="3"/>
      <c r="AC959" s="3"/>
      <c r="AD959" s="3"/>
      <c r="AE959" s="3"/>
      <c r="AF959" s="3"/>
      <c r="AG959" s="3"/>
      <c r="AH959" s="3"/>
    </row>
    <row r="960" spans="1:34" x14ac:dyDescent="0.3">
      <c r="A960" s="11"/>
      <c r="B960" s="12"/>
      <c r="C960" s="12"/>
      <c r="D960" s="13"/>
      <c r="E960" s="6"/>
      <c r="F960" s="3"/>
      <c r="G960" s="3"/>
      <c r="H960" s="3"/>
      <c r="I960" s="3"/>
      <c r="J960" s="3"/>
      <c r="K960" s="3"/>
      <c r="L960" s="3"/>
      <c r="M960" s="3"/>
      <c r="N960" s="3"/>
      <c r="O960" s="8"/>
      <c r="P960" s="3"/>
      <c r="Q960" s="3"/>
      <c r="R960" s="3"/>
      <c r="S960" s="3"/>
      <c r="T960" s="3"/>
      <c r="U960" s="3"/>
      <c r="V960" s="8"/>
      <c r="W960" s="3"/>
      <c r="X960" s="3"/>
      <c r="Y960" s="3"/>
      <c r="Z960" s="4"/>
      <c r="AA960" s="5"/>
      <c r="AB960" s="3"/>
      <c r="AC960" s="3"/>
      <c r="AD960" s="3"/>
      <c r="AE960" s="3"/>
      <c r="AF960" s="3"/>
      <c r="AG960" s="3"/>
      <c r="AH960" s="3"/>
    </row>
    <row r="961" spans="1:34" x14ac:dyDescent="0.3">
      <c r="A961" s="11"/>
      <c r="B961" s="12"/>
      <c r="C961" s="12"/>
      <c r="D961" s="13"/>
      <c r="E961" s="6"/>
      <c r="F961" s="3"/>
      <c r="G961" s="3"/>
      <c r="H961" s="3"/>
      <c r="I961" s="3"/>
      <c r="J961" s="3"/>
      <c r="K961" s="3"/>
      <c r="L961" s="3"/>
      <c r="M961" s="3"/>
      <c r="N961" s="3"/>
      <c r="O961" s="8"/>
      <c r="P961" s="3"/>
      <c r="Q961" s="3"/>
      <c r="R961" s="3"/>
      <c r="S961" s="3"/>
      <c r="T961" s="3"/>
      <c r="U961" s="3"/>
      <c r="V961" s="8"/>
      <c r="W961" s="3"/>
      <c r="X961" s="3"/>
      <c r="Y961" s="3"/>
      <c r="Z961" s="4"/>
      <c r="AA961" s="5"/>
      <c r="AB961" s="3"/>
      <c r="AC961" s="3"/>
      <c r="AD961" s="3"/>
      <c r="AE961" s="3"/>
      <c r="AF961" s="3"/>
      <c r="AG961" s="3"/>
      <c r="AH961" s="3"/>
    </row>
    <row r="962" spans="1:34" x14ac:dyDescent="0.3">
      <c r="A962" s="11"/>
      <c r="B962" s="12"/>
      <c r="C962" s="12"/>
      <c r="D962" s="13"/>
      <c r="E962" s="6"/>
      <c r="F962" s="3"/>
      <c r="G962" s="3"/>
      <c r="H962" s="3"/>
      <c r="I962" s="3"/>
      <c r="J962" s="3"/>
      <c r="K962" s="3"/>
      <c r="L962" s="3"/>
      <c r="M962" s="3"/>
      <c r="N962" s="3"/>
      <c r="O962" s="8"/>
      <c r="P962" s="3"/>
      <c r="Q962" s="3"/>
      <c r="R962" s="3"/>
      <c r="S962" s="3"/>
      <c r="T962" s="3"/>
      <c r="U962" s="3"/>
      <c r="V962" s="8"/>
      <c r="W962" s="3"/>
      <c r="X962" s="3"/>
      <c r="Y962" s="3"/>
      <c r="Z962" s="4"/>
      <c r="AA962" s="5"/>
      <c r="AB962" s="3"/>
      <c r="AC962" s="3"/>
      <c r="AD962" s="3"/>
      <c r="AE962" s="3"/>
      <c r="AF962" s="3"/>
      <c r="AG962" s="3"/>
      <c r="AH962" s="3"/>
    </row>
    <row r="963" spans="1:34" x14ac:dyDescent="0.3">
      <c r="A963" s="11"/>
      <c r="B963" s="12"/>
      <c r="C963" s="12"/>
      <c r="D963" s="13"/>
      <c r="E963" s="6"/>
      <c r="F963" s="3"/>
      <c r="G963" s="3"/>
      <c r="H963" s="3"/>
      <c r="I963" s="3"/>
      <c r="J963" s="3"/>
      <c r="K963" s="3"/>
      <c r="L963" s="3"/>
      <c r="M963" s="3"/>
      <c r="N963" s="3"/>
      <c r="O963" s="8"/>
      <c r="P963" s="3"/>
      <c r="Q963" s="3"/>
      <c r="R963" s="3"/>
      <c r="S963" s="3"/>
      <c r="T963" s="3"/>
      <c r="U963" s="3"/>
      <c r="V963" s="8"/>
      <c r="W963" s="3"/>
      <c r="X963" s="3"/>
      <c r="Y963" s="3"/>
      <c r="Z963" s="4"/>
      <c r="AA963" s="5"/>
      <c r="AB963" s="3"/>
      <c r="AC963" s="3"/>
      <c r="AD963" s="3"/>
      <c r="AE963" s="3"/>
      <c r="AF963" s="3"/>
      <c r="AG963" s="3"/>
      <c r="AH963" s="3"/>
    </row>
    <row r="964" spans="1:34" x14ac:dyDescent="0.3">
      <c r="A964" s="11"/>
      <c r="B964" s="12"/>
      <c r="C964" s="12"/>
      <c r="D964" s="13"/>
      <c r="E964" s="6"/>
      <c r="F964" s="3"/>
      <c r="G964" s="3"/>
      <c r="H964" s="3"/>
      <c r="I964" s="3"/>
      <c r="J964" s="3"/>
      <c r="K964" s="3"/>
      <c r="L964" s="3"/>
      <c r="M964" s="3"/>
      <c r="N964" s="3"/>
      <c r="O964" s="8"/>
      <c r="P964" s="3"/>
      <c r="Q964" s="3"/>
      <c r="R964" s="3"/>
      <c r="S964" s="3"/>
      <c r="T964" s="3"/>
      <c r="U964" s="3"/>
      <c r="V964" s="8"/>
      <c r="W964" s="3"/>
      <c r="X964" s="3"/>
      <c r="Y964" s="3"/>
      <c r="Z964" s="4"/>
      <c r="AA964" s="5"/>
      <c r="AB964" s="3"/>
      <c r="AC964" s="3"/>
      <c r="AD964" s="3"/>
      <c r="AE964" s="3"/>
      <c r="AF964" s="3"/>
      <c r="AG964" s="3"/>
      <c r="AH964" s="3"/>
    </row>
    <row r="965" spans="1:34" x14ac:dyDescent="0.3">
      <c r="A965" s="11"/>
      <c r="B965" s="12"/>
      <c r="C965" s="12"/>
      <c r="D965" s="13"/>
      <c r="E965" s="6"/>
      <c r="F965" s="3"/>
      <c r="G965" s="3"/>
      <c r="H965" s="3"/>
      <c r="I965" s="3"/>
      <c r="J965" s="3"/>
      <c r="K965" s="3"/>
      <c r="L965" s="3"/>
      <c r="M965" s="3"/>
      <c r="N965" s="3"/>
      <c r="O965" s="8"/>
      <c r="P965" s="3"/>
      <c r="Q965" s="3"/>
      <c r="R965" s="3"/>
      <c r="S965" s="3"/>
      <c r="T965" s="3"/>
      <c r="U965" s="3"/>
      <c r="V965" s="8"/>
      <c r="W965" s="3"/>
      <c r="X965" s="3"/>
      <c r="Y965" s="3"/>
      <c r="Z965" s="4"/>
      <c r="AA965" s="5"/>
      <c r="AB965" s="3"/>
      <c r="AC965" s="3"/>
      <c r="AD965" s="3"/>
      <c r="AE965" s="3"/>
      <c r="AF965" s="3"/>
      <c r="AG965" s="3"/>
      <c r="AH965" s="3"/>
    </row>
    <row r="966" spans="1:34" x14ac:dyDescent="0.3">
      <c r="A966" s="11"/>
      <c r="B966" s="12"/>
      <c r="C966" s="12"/>
      <c r="D966" s="13"/>
      <c r="E966" s="6"/>
      <c r="F966" s="3"/>
      <c r="G966" s="3"/>
      <c r="H966" s="3"/>
      <c r="I966" s="3"/>
      <c r="J966" s="3"/>
      <c r="K966" s="3"/>
      <c r="L966" s="3"/>
      <c r="M966" s="3"/>
      <c r="N966" s="3"/>
      <c r="O966" s="8"/>
      <c r="P966" s="3"/>
      <c r="Q966" s="3"/>
      <c r="R966" s="3"/>
      <c r="S966" s="3"/>
      <c r="T966" s="3"/>
      <c r="U966" s="3"/>
      <c r="V966" s="8"/>
      <c r="W966" s="3"/>
      <c r="X966" s="3"/>
      <c r="Y966" s="3"/>
      <c r="Z966" s="4"/>
      <c r="AA966" s="5"/>
      <c r="AB966" s="3"/>
      <c r="AC966" s="3"/>
      <c r="AD966" s="3"/>
      <c r="AE966" s="3"/>
      <c r="AF966" s="3"/>
      <c r="AG966" s="3"/>
      <c r="AH966" s="3"/>
    </row>
    <row r="967" spans="1:34" x14ac:dyDescent="0.3">
      <c r="A967" s="11"/>
      <c r="B967" s="12"/>
      <c r="C967" s="12"/>
      <c r="D967" s="13"/>
      <c r="E967" s="6"/>
      <c r="F967" s="3"/>
      <c r="G967" s="3"/>
      <c r="H967" s="3"/>
      <c r="I967" s="3"/>
      <c r="J967" s="3"/>
      <c r="K967" s="3"/>
      <c r="L967" s="3"/>
      <c r="M967" s="3"/>
      <c r="N967" s="3"/>
      <c r="O967" s="8"/>
      <c r="P967" s="3"/>
      <c r="Q967" s="3"/>
      <c r="R967" s="3"/>
      <c r="S967" s="3"/>
      <c r="T967" s="3"/>
      <c r="U967" s="3"/>
      <c r="V967" s="8"/>
      <c r="W967" s="3"/>
      <c r="X967" s="3"/>
      <c r="Y967" s="3"/>
      <c r="Z967" s="4"/>
      <c r="AA967" s="5"/>
      <c r="AB967" s="3"/>
      <c r="AC967" s="3"/>
      <c r="AD967" s="3"/>
      <c r="AE967" s="3"/>
      <c r="AF967" s="3"/>
      <c r="AG967" s="3"/>
      <c r="AH967" s="3"/>
    </row>
    <row r="968" spans="1:34" x14ac:dyDescent="0.3">
      <c r="A968" s="11"/>
      <c r="B968" s="12"/>
      <c r="C968" s="12"/>
      <c r="D968" s="13"/>
      <c r="E968" s="6"/>
      <c r="F968" s="3"/>
      <c r="G968" s="3"/>
      <c r="H968" s="3"/>
      <c r="I968" s="3"/>
      <c r="J968" s="3"/>
      <c r="K968" s="3"/>
      <c r="L968" s="3"/>
      <c r="M968" s="3"/>
      <c r="N968" s="3"/>
      <c r="O968" s="8"/>
      <c r="P968" s="3"/>
      <c r="Q968" s="3"/>
      <c r="R968" s="3"/>
      <c r="S968" s="3"/>
      <c r="T968" s="3"/>
      <c r="U968" s="3"/>
      <c r="V968" s="8"/>
      <c r="W968" s="3"/>
      <c r="X968" s="3"/>
      <c r="Y968" s="3"/>
      <c r="Z968" s="4"/>
      <c r="AA968" s="5"/>
      <c r="AB968" s="3"/>
      <c r="AC968" s="3"/>
      <c r="AD968" s="3"/>
      <c r="AE968" s="3"/>
      <c r="AF968" s="3"/>
      <c r="AG968" s="3"/>
      <c r="AH968" s="3"/>
    </row>
    <row r="969" spans="1:34" x14ac:dyDescent="0.3">
      <c r="A969" s="11"/>
      <c r="B969" s="12"/>
      <c r="C969" s="12"/>
      <c r="D969" s="13"/>
      <c r="E969" s="6"/>
      <c r="F969" s="3"/>
      <c r="G969" s="3"/>
      <c r="H969" s="3"/>
      <c r="I969" s="3"/>
      <c r="J969" s="3"/>
      <c r="K969" s="3"/>
      <c r="L969" s="3"/>
      <c r="M969" s="3"/>
      <c r="N969" s="3"/>
      <c r="O969" s="8"/>
      <c r="P969" s="3"/>
      <c r="Q969" s="3"/>
      <c r="R969" s="3"/>
      <c r="S969" s="3"/>
      <c r="T969" s="3"/>
      <c r="U969" s="3"/>
      <c r="V969" s="8"/>
      <c r="W969" s="3"/>
      <c r="X969" s="3"/>
      <c r="Y969" s="3"/>
      <c r="Z969" s="4"/>
      <c r="AA969" s="5"/>
      <c r="AB969" s="3"/>
      <c r="AC969" s="3"/>
      <c r="AD969" s="3"/>
      <c r="AE969" s="3"/>
      <c r="AF969" s="3"/>
      <c r="AG969" s="3"/>
      <c r="AH969" s="3"/>
    </row>
    <row r="970" spans="1:34" x14ac:dyDescent="0.3">
      <c r="A970" s="11"/>
      <c r="B970" s="12"/>
      <c r="C970" s="12"/>
      <c r="D970" s="13"/>
      <c r="E970" s="6"/>
      <c r="F970" s="3"/>
      <c r="G970" s="3"/>
      <c r="H970" s="3"/>
      <c r="I970" s="3"/>
      <c r="J970" s="3"/>
      <c r="K970" s="3"/>
      <c r="L970" s="3"/>
      <c r="M970" s="3"/>
      <c r="N970" s="3"/>
      <c r="O970" s="8"/>
      <c r="P970" s="3"/>
      <c r="Q970" s="3"/>
      <c r="R970" s="3"/>
      <c r="S970" s="3"/>
      <c r="T970" s="3"/>
      <c r="U970" s="3"/>
      <c r="V970" s="8"/>
      <c r="W970" s="3"/>
      <c r="X970" s="3"/>
      <c r="Y970" s="3"/>
      <c r="Z970" s="4"/>
      <c r="AA970" s="5"/>
      <c r="AB970" s="3"/>
      <c r="AC970" s="3"/>
      <c r="AD970" s="3"/>
      <c r="AE970" s="3"/>
      <c r="AF970" s="3"/>
      <c r="AG970" s="3"/>
      <c r="AH970" s="3"/>
    </row>
    <row r="971" spans="1:34" x14ac:dyDescent="0.3">
      <c r="A971" s="11"/>
      <c r="B971" s="12"/>
      <c r="C971" s="12"/>
      <c r="D971" s="13"/>
      <c r="E971" s="6"/>
      <c r="F971" s="3"/>
      <c r="G971" s="3"/>
      <c r="H971" s="3"/>
      <c r="I971" s="3"/>
      <c r="J971" s="3"/>
      <c r="K971" s="3"/>
      <c r="L971" s="3"/>
      <c r="M971" s="3"/>
      <c r="N971" s="3"/>
      <c r="O971" s="8"/>
      <c r="P971" s="3"/>
      <c r="Q971" s="3"/>
      <c r="R971" s="3"/>
      <c r="S971" s="3"/>
      <c r="T971" s="3"/>
      <c r="U971" s="3"/>
      <c r="V971" s="8"/>
      <c r="W971" s="3"/>
      <c r="X971" s="3"/>
      <c r="Y971" s="3"/>
      <c r="Z971" s="4"/>
      <c r="AA971" s="5"/>
      <c r="AB971" s="3"/>
      <c r="AC971" s="3"/>
      <c r="AD971" s="3"/>
      <c r="AE971" s="3"/>
      <c r="AF971" s="3"/>
      <c r="AG971" s="3"/>
      <c r="AH971" s="3"/>
    </row>
    <row r="972" spans="1:34" x14ac:dyDescent="0.3">
      <c r="A972" s="11"/>
      <c r="B972" s="12"/>
      <c r="C972" s="12"/>
      <c r="D972" s="13"/>
      <c r="E972" s="6"/>
      <c r="F972" s="3"/>
      <c r="G972" s="3"/>
      <c r="H972" s="3"/>
      <c r="I972" s="3"/>
      <c r="J972" s="3"/>
      <c r="K972" s="3"/>
      <c r="L972" s="3"/>
      <c r="M972" s="3"/>
      <c r="N972" s="3"/>
      <c r="O972" s="8"/>
      <c r="P972" s="3"/>
      <c r="Q972" s="3"/>
      <c r="R972" s="3"/>
      <c r="S972" s="3"/>
      <c r="T972" s="3"/>
      <c r="U972" s="3"/>
      <c r="V972" s="8"/>
      <c r="W972" s="3"/>
      <c r="X972" s="3"/>
      <c r="Y972" s="3"/>
      <c r="Z972" s="4"/>
      <c r="AA972" s="5"/>
      <c r="AB972" s="3"/>
      <c r="AC972" s="3"/>
      <c r="AD972" s="3"/>
      <c r="AE972" s="3"/>
      <c r="AF972" s="3"/>
      <c r="AG972" s="3"/>
      <c r="AH972" s="3"/>
    </row>
    <row r="973" spans="1:34" x14ac:dyDescent="0.3">
      <c r="A973" s="11"/>
      <c r="B973" s="12"/>
      <c r="C973" s="12"/>
      <c r="D973" s="13"/>
      <c r="E973" s="6"/>
      <c r="F973" s="3"/>
      <c r="G973" s="3"/>
      <c r="H973" s="3"/>
      <c r="I973" s="3"/>
      <c r="J973" s="3"/>
      <c r="K973" s="3"/>
      <c r="L973" s="3"/>
      <c r="M973" s="3"/>
      <c r="N973" s="3"/>
      <c r="O973" s="8"/>
      <c r="P973" s="3"/>
      <c r="Q973" s="3"/>
      <c r="R973" s="3"/>
      <c r="S973" s="3"/>
      <c r="T973" s="3"/>
      <c r="U973" s="3"/>
      <c r="V973" s="8"/>
      <c r="W973" s="3"/>
      <c r="X973" s="3"/>
      <c r="Y973" s="3"/>
      <c r="Z973" s="4"/>
      <c r="AA973" s="5"/>
      <c r="AB973" s="3"/>
      <c r="AC973" s="3"/>
      <c r="AD973" s="3"/>
      <c r="AE973" s="3"/>
      <c r="AF973" s="3"/>
      <c r="AG973" s="3"/>
      <c r="AH973" s="3"/>
    </row>
    <row r="974" spans="1:34" x14ac:dyDescent="0.3">
      <c r="A974" s="11"/>
      <c r="B974" s="12"/>
      <c r="C974" s="12"/>
      <c r="D974" s="13"/>
      <c r="E974" s="6"/>
      <c r="F974" s="3"/>
      <c r="G974" s="3"/>
      <c r="H974" s="3"/>
      <c r="I974" s="3"/>
      <c r="J974" s="3"/>
      <c r="K974" s="3"/>
      <c r="L974" s="3"/>
      <c r="M974" s="3"/>
      <c r="N974" s="3"/>
      <c r="O974" s="8"/>
      <c r="P974" s="3"/>
      <c r="Q974" s="3"/>
      <c r="R974" s="3"/>
      <c r="S974" s="3"/>
      <c r="T974" s="3"/>
      <c r="U974" s="3"/>
      <c r="V974" s="8"/>
      <c r="W974" s="3"/>
      <c r="X974" s="3"/>
      <c r="Y974" s="3"/>
      <c r="Z974" s="4"/>
      <c r="AA974" s="5"/>
      <c r="AB974" s="3"/>
      <c r="AC974" s="3"/>
      <c r="AD974" s="3"/>
      <c r="AE974" s="3"/>
      <c r="AF974" s="3"/>
      <c r="AG974" s="3"/>
      <c r="AH974" s="3"/>
    </row>
    <row r="975" spans="1:34" x14ac:dyDescent="0.3">
      <c r="A975" s="11"/>
      <c r="B975" s="12"/>
      <c r="C975" s="12"/>
      <c r="D975" s="13"/>
      <c r="E975" s="6"/>
      <c r="F975" s="3"/>
      <c r="G975" s="3"/>
      <c r="H975" s="3"/>
      <c r="I975" s="3"/>
      <c r="J975" s="3"/>
      <c r="K975" s="3"/>
      <c r="L975" s="3"/>
      <c r="M975" s="3"/>
      <c r="N975" s="3"/>
      <c r="O975" s="8"/>
      <c r="P975" s="3"/>
      <c r="Q975" s="3"/>
      <c r="R975" s="3"/>
      <c r="S975" s="3"/>
      <c r="T975" s="3"/>
      <c r="U975" s="3"/>
      <c r="V975" s="8"/>
      <c r="W975" s="3"/>
      <c r="X975" s="3"/>
      <c r="Y975" s="3"/>
      <c r="Z975" s="4"/>
      <c r="AA975" s="5"/>
      <c r="AB975" s="3"/>
      <c r="AC975" s="3"/>
      <c r="AD975" s="3"/>
      <c r="AE975" s="3"/>
      <c r="AF975" s="3"/>
      <c r="AG975" s="3"/>
      <c r="AH975" s="3"/>
    </row>
    <row r="976" spans="1:34" x14ac:dyDescent="0.3">
      <c r="A976" s="11"/>
      <c r="B976" s="12"/>
      <c r="C976" s="12"/>
      <c r="D976" s="13"/>
      <c r="E976" s="6"/>
      <c r="F976" s="3"/>
      <c r="G976" s="3"/>
      <c r="H976" s="3"/>
      <c r="I976" s="3"/>
      <c r="J976" s="3"/>
      <c r="K976" s="3"/>
      <c r="L976" s="3"/>
      <c r="M976" s="3"/>
      <c r="N976" s="3"/>
      <c r="O976" s="8"/>
      <c r="P976" s="3"/>
      <c r="Q976" s="3"/>
      <c r="R976" s="3"/>
      <c r="S976" s="3"/>
      <c r="T976" s="3"/>
      <c r="U976" s="3"/>
      <c r="V976" s="8"/>
      <c r="W976" s="3"/>
      <c r="X976" s="3"/>
      <c r="Y976" s="3"/>
      <c r="Z976" s="4"/>
      <c r="AA976" s="5"/>
      <c r="AB976" s="3"/>
      <c r="AC976" s="3"/>
      <c r="AD976" s="3"/>
      <c r="AE976" s="3"/>
      <c r="AF976" s="3"/>
      <c r="AG976" s="3"/>
      <c r="AH976" s="3"/>
    </row>
    <row r="977" spans="1:34" x14ac:dyDescent="0.3">
      <c r="A977" s="11"/>
      <c r="B977" s="12"/>
      <c r="C977" s="12"/>
      <c r="D977" s="13"/>
      <c r="E977" s="6"/>
      <c r="F977" s="3"/>
      <c r="G977" s="3"/>
      <c r="H977" s="3"/>
      <c r="I977" s="3"/>
      <c r="J977" s="3"/>
      <c r="K977" s="3"/>
      <c r="L977" s="3"/>
      <c r="M977" s="3"/>
      <c r="N977" s="3"/>
      <c r="O977" s="8"/>
      <c r="P977" s="3"/>
      <c r="Q977" s="3"/>
      <c r="R977" s="3"/>
      <c r="S977" s="3"/>
      <c r="T977" s="3"/>
      <c r="U977" s="3"/>
      <c r="V977" s="8"/>
      <c r="W977" s="3"/>
      <c r="X977" s="3"/>
      <c r="Y977" s="3"/>
      <c r="Z977" s="4"/>
      <c r="AA977" s="5"/>
      <c r="AB977" s="3"/>
      <c r="AC977" s="3"/>
      <c r="AD977" s="3"/>
      <c r="AE977" s="3"/>
      <c r="AF977" s="3"/>
      <c r="AG977" s="3"/>
      <c r="AH977" s="3"/>
    </row>
    <row r="978" spans="1:34" x14ac:dyDescent="0.3">
      <c r="A978" s="11"/>
      <c r="B978" s="12"/>
      <c r="C978" s="12"/>
      <c r="D978" s="13"/>
      <c r="E978" s="6"/>
      <c r="F978" s="3"/>
      <c r="G978" s="3"/>
      <c r="H978" s="3"/>
      <c r="I978" s="3"/>
      <c r="J978" s="3"/>
      <c r="K978" s="3"/>
      <c r="L978" s="3"/>
      <c r="M978" s="3"/>
      <c r="N978" s="3"/>
      <c r="O978" s="8"/>
      <c r="P978" s="3"/>
      <c r="Q978" s="3"/>
      <c r="R978" s="3"/>
      <c r="S978" s="3"/>
      <c r="T978" s="3"/>
      <c r="U978" s="3"/>
      <c r="V978" s="8"/>
      <c r="W978" s="3"/>
      <c r="X978" s="3"/>
      <c r="Y978" s="3"/>
      <c r="Z978" s="4"/>
      <c r="AA978" s="5"/>
      <c r="AB978" s="3"/>
      <c r="AC978" s="3"/>
      <c r="AD978" s="3"/>
      <c r="AE978" s="3"/>
      <c r="AF978" s="3"/>
      <c r="AG978" s="3"/>
      <c r="AH978" s="3"/>
    </row>
    <row r="979" spans="1:34" x14ac:dyDescent="0.3">
      <c r="A979" s="11"/>
      <c r="B979" s="12"/>
      <c r="C979" s="12"/>
      <c r="D979" s="13"/>
      <c r="E979" s="6"/>
      <c r="F979" s="3"/>
      <c r="G979" s="3"/>
      <c r="H979" s="3"/>
      <c r="I979" s="3"/>
      <c r="J979" s="3"/>
      <c r="K979" s="3"/>
      <c r="L979" s="3"/>
      <c r="M979" s="3"/>
      <c r="N979" s="3"/>
      <c r="O979" s="8"/>
      <c r="P979" s="3"/>
      <c r="Q979" s="3"/>
      <c r="R979" s="3"/>
      <c r="S979" s="3"/>
      <c r="T979" s="3"/>
      <c r="U979" s="3"/>
      <c r="V979" s="8"/>
      <c r="W979" s="3"/>
      <c r="X979" s="3"/>
      <c r="Y979" s="3"/>
      <c r="Z979" s="4"/>
      <c r="AA979" s="5"/>
      <c r="AB979" s="3"/>
      <c r="AC979" s="3"/>
      <c r="AD979" s="3"/>
      <c r="AE979" s="3"/>
      <c r="AF979" s="3"/>
      <c r="AG979" s="3"/>
      <c r="AH979" s="3"/>
    </row>
    <row r="980" spans="1:34" x14ac:dyDescent="0.3">
      <c r="A980" s="11"/>
      <c r="B980" s="12"/>
      <c r="C980" s="12"/>
      <c r="D980" s="13"/>
      <c r="E980" s="6"/>
      <c r="F980" s="3"/>
      <c r="G980" s="3"/>
      <c r="H980" s="3"/>
      <c r="I980" s="3"/>
      <c r="J980" s="3"/>
      <c r="K980" s="3"/>
      <c r="L980" s="3"/>
      <c r="M980" s="3"/>
      <c r="N980" s="3"/>
      <c r="O980" s="8"/>
      <c r="P980" s="3"/>
      <c r="Q980" s="3"/>
      <c r="R980" s="3"/>
      <c r="S980" s="3"/>
      <c r="T980" s="3"/>
      <c r="U980" s="3"/>
      <c r="V980" s="8"/>
      <c r="W980" s="3"/>
      <c r="X980" s="3"/>
      <c r="Y980" s="3"/>
      <c r="Z980" s="4"/>
      <c r="AA980" s="5"/>
      <c r="AB980" s="3"/>
      <c r="AC980" s="3"/>
      <c r="AD980" s="3"/>
      <c r="AE980" s="3"/>
      <c r="AF980" s="3"/>
      <c r="AG980" s="3"/>
      <c r="AH980" s="3"/>
    </row>
    <row r="981" spans="1:34" x14ac:dyDescent="0.3">
      <c r="A981" s="11"/>
      <c r="B981" s="12"/>
      <c r="C981" s="12"/>
      <c r="D981" s="13"/>
      <c r="E981" s="6"/>
      <c r="F981" s="3"/>
      <c r="G981" s="3"/>
      <c r="H981" s="3"/>
      <c r="I981" s="3"/>
      <c r="J981" s="3"/>
      <c r="K981" s="3"/>
      <c r="L981" s="3"/>
      <c r="M981" s="3"/>
      <c r="N981" s="3"/>
      <c r="O981" s="8"/>
      <c r="P981" s="3"/>
      <c r="Q981" s="3"/>
      <c r="R981" s="3"/>
      <c r="S981" s="3"/>
      <c r="T981" s="3"/>
      <c r="U981" s="3"/>
      <c r="V981" s="8"/>
      <c r="W981" s="3"/>
      <c r="X981" s="3"/>
      <c r="Y981" s="3"/>
      <c r="Z981" s="4"/>
      <c r="AA981" s="5"/>
      <c r="AB981" s="3"/>
      <c r="AC981" s="3"/>
      <c r="AD981" s="3"/>
      <c r="AE981" s="3"/>
      <c r="AF981" s="3"/>
      <c r="AG981" s="3"/>
      <c r="AH981" s="3"/>
    </row>
    <row r="982" spans="1:34" x14ac:dyDescent="0.3">
      <c r="A982" s="11"/>
      <c r="B982" s="12"/>
      <c r="C982" s="12"/>
      <c r="D982" s="13"/>
      <c r="E982" s="6"/>
      <c r="F982" s="3"/>
      <c r="G982" s="3"/>
      <c r="H982" s="3"/>
      <c r="I982" s="3"/>
      <c r="J982" s="3"/>
      <c r="K982" s="3"/>
      <c r="L982" s="3"/>
      <c r="M982" s="3"/>
      <c r="N982" s="3"/>
      <c r="O982" s="8"/>
      <c r="P982" s="3"/>
      <c r="Q982" s="3"/>
      <c r="R982" s="3"/>
      <c r="S982" s="3"/>
      <c r="T982" s="3"/>
      <c r="U982" s="3"/>
      <c r="V982" s="8"/>
      <c r="W982" s="3"/>
      <c r="X982" s="3"/>
      <c r="Y982" s="3"/>
      <c r="Z982" s="4"/>
      <c r="AA982" s="5"/>
      <c r="AB982" s="3"/>
      <c r="AC982" s="3"/>
      <c r="AD982" s="3"/>
      <c r="AE982" s="3"/>
      <c r="AF982" s="3"/>
      <c r="AG982" s="3"/>
      <c r="AH982" s="3"/>
    </row>
    <row r="983" spans="1:34" x14ac:dyDescent="0.3">
      <c r="A983" s="11"/>
      <c r="B983" s="12"/>
      <c r="C983" s="12"/>
      <c r="D983" s="13"/>
      <c r="E983" s="6"/>
      <c r="F983" s="3"/>
      <c r="G983" s="3"/>
      <c r="H983" s="3"/>
      <c r="I983" s="3"/>
      <c r="J983" s="3"/>
      <c r="K983" s="3"/>
      <c r="L983" s="3"/>
      <c r="M983" s="3"/>
      <c r="N983" s="3"/>
      <c r="O983" s="8"/>
      <c r="P983" s="3"/>
      <c r="Q983" s="3"/>
      <c r="R983" s="3"/>
      <c r="S983" s="3"/>
      <c r="T983" s="3"/>
      <c r="U983" s="3"/>
      <c r="V983" s="8"/>
      <c r="W983" s="3"/>
      <c r="X983" s="3"/>
      <c r="Y983" s="3"/>
      <c r="Z983" s="4"/>
      <c r="AA983" s="5"/>
      <c r="AB983" s="3"/>
      <c r="AC983" s="3"/>
      <c r="AD983" s="3"/>
      <c r="AE983" s="3"/>
      <c r="AF983" s="3"/>
      <c r="AG983" s="3"/>
      <c r="AH983" s="3"/>
    </row>
    <row r="984" spans="1:34" x14ac:dyDescent="0.3">
      <c r="A984" s="11"/>
      <c r="B984" s="12"/>
      <c r="C984" s="12"/>
      <c r="D984" s="13"/>
      <c r="E984" s="6"/>
      <c r="F984" s="3"/>
      <c r="G984" s="3"/>
      <c r="H984" s="3"/>
      <c r="I984" s="3"/>
      <c r="J984" s="3"/>
      <c r="K984" s="3"/>
      <c r="L984" s="3"/>
      <c r="M984" s="3"/>
      <c r="N984" s="3"/>
      <c r="O984" s="8"/>
      <c r="P984" s="3"/>
      <c r="Q984" s="3"/>
      <c r="R984" s="3"/>
      <c r="S984" s="3"/>
      <c r="T984" s="3"/>
      <c r="U984" s="3"/>
      <c r="V984" s="8"/>
      <c r="W984" s="3"/>
      <c r="X984" s="3"/>
      <c r="Y984" s="3"/>
      <c r="Z984" s="4"/>
      <c r="AA984" s="5"/>
      <c r="AB984" s="3"/>
      <c r="AC984" s="3"/>
      <c r="AD984" s="3"/>
      <c r="AE984" s="3"/>
      <c r="AF984" s="3"/>
      <c r="AG984" s="3"/>
      <c r="AH984" s="3"/>
    </row>
    <row r="985" spans="1:34" x14ac:dyDescent="0.3">
      <c r="A985" s="11"/>
      <c r="B985" s="12"/>
      <c r="C985" s="12"/>
      <c r="D985" s="13"/>
      <c r="E985" s="6"/>
      <c r="F985" s="3"/>
      <c r="G985" s="3"/>
      <c r="H985" s="3"/>
      <c r="I985" s="3"/>
      <c r="J985" s="3"/>
      <c r="K985" s="3"/>
      <c r="L985" s="3"/>
      <c r="M985" s="3"/>
      <c r="N985" s="3"/>
      <c r="O985" s="8"/>
      <c r="P985" s="3"/>
      <c r="Q985" s="3"/>
      <c r="R985" s="3"/>
      <c r="S985" s="3"/>
      <c r="T985" s="3"/>
      <c r="U985" s="3"/>
      <c r="V985" s="8"/>
      <c r="W985" s="3"/>
      <c r="X985" s="3"/>
      <c r="Y985" s="3"/>
      <c r="Z985" s="4"/>
      <c r="AA985" s="5"/>
      <c r="AB985" s="3"/>
      <c r="AC985" s="3"/>
      <c r="AD985" s="3"/>
      <c r="AE985" s="3"/>
      <c r="AF985" s="3"/>
      <c r="AG985" s="3"/>
      <c r="AH985" s="3"/>
    </row>
    <row r="986" spans="1:34" x14ac:dyDescent="0.3">
      <c r="A986" s="11"/>
      <c r="B986" s="12"/>
      <c r="C986" s="12"/>
      <c r="D986" s="13"/>
      <c r="E986" s="6"/>
      <c r="F986" s="3"/>
      <c r="G986" s="3"/>
      <c r="H986" s="3"/>
      <c r="I986" s="3"/>
      <c r="J986" s="3"/>
      <c r="K986" s="3"/>
      <c r="L986" s="3"/>
      <c r="M986" s="3"/>
      <c r="N986" s="3"/>
      <c r="O986" s="8"/>
      <c r="P986" s="3"/>
      <c r="Q986" s="3"/>
      <c r="R986" s="3"/>
      <c r="S986" s="3"/>
      <c r="T986" s="3"/>
      <c r="U986" s="3"/>
      <c r="V986" s="8"/>
      <c r="W986" s="3"/>
      <c r="X986" s="3"/>
      <c r="Y986" s="3"/>
      <c r="Z986" s="4"/>
      <c r="AA986" s="5"/>
      <c r="AB986" s="3"/>
      <c r="AC986" s="3"/>
      <c r="AD986" s="3"/>
      <c r="AE986" s="3"/>
      <c r="AF986" s="3"/>
      <c r="AG986" s="3"/>
      <c r="AH986" s="3"/>
    </row>
    <row r="987" spans="1:34" x14ac:dyDescent="0.3">
      <c r="A987" s="11"/>
      <c r="B987" s="12"/>
      <c r="C987" s="12"/>
      <c r="D987" s="13"/>
      <c r="E987" s="6"/>
      <c r="F987" s="3"/>
      <c r="G987" s="3"/>
      <c r="H987" s="3"/>
      <c r="I987" s="3"/>
      <c r="J987" s="3"/>
      <c r="K987" s="3"/>
      <c r="L987" s="3"/>
      <c r="M987" s="3"/>
      <c r="N987" s="3"/>
      <c r="O987" s="8"/>
      <c r="P987" s="3"/>
      <c r="Q987" s="3"/>
      <c r="R987" s="3"/>
      <c r="S987" s="3"/>
      <c r="T987" s="3"/>
      <c r="U987" s="3"/>
      <c r="V987" s="8"/>
      <c r="W987" s="3"/>
      <c r="X987" s="3"/>
      <c r="Y987" s="3"/>
      <c r="Z987" s="4"/>
      <c r="AA987" s="5"/>
      <c r="AB987" s="3"/>
      <c r="AC987" s="3"/>
      <c r="AD987" s="3"/>
      <c r="AE987" s="3"/>
      <c r="AF987" s="3"/>
      <c r="AG987" s="3"/>
      <c r="AH987" s="3"/>
    </row>
    <row r="988" spans="1:34" x14ac:dyDescent="0.3">
      <c r="A988" s="11"/>
      <c r="B988" s="12"/>
      <c r="C988" s="12"/>
      <c r="D988" s="13"/>
      <c r="E988" s="6"/>
      <c r="F988" s="3"/>
      <c r="G988" s="3"/>
      <c r="H988" s="3"/>
      <c r="I988" s="3"/>
      <c r="J988" s="3"/>
      <c r="K988" s="3"/>
      <c r="L988" s="3"/>
      <c r="M988" s="3"/>
      <c r="N988" s="3"/>
      <c r="O988" s="8"/>
      <c r="P988" s="3"/>
      <c r="Q988" s="3"/>
      <c r="R988" s="3"/>
      <c r="S988" s="3"/>
      <c r="T988" s="3"/>
      <c r="U988" s="3"/>
      <c r="V988" s="8"/>
      <c r="W988" s="3"/>
      <c r="X988" s="3"/>
      <c r="Y988" s="3"/>
      <c r="Z988" s="4"/>
      <c r="AA988" s="5"/>
      <c r="AB988" s="3"/>
      <c r="AC988" s="3"/>
      <c r="AD988" s="3"/>
      <c r="AE988" s="3"/>
      <c r="AF988" s="3"/>
      <c r="AG988" s="3"/>
      <c r="AH988" s="3"/>
    </row>
    <row r="989" spans="1:34" x14ac:dyDescent="0.3">
      <c r="A989" s="11"/>
      <c r="B989" s="12"/>
      <c r="C989" s="12"/>
      <c r="D989" s="13"/>
      <c r="E989" s="6"/>
      <c r="F989" s="3"/>
      <c r="G989" s="3"/>
      <c r="H989" s="3"/>
      <c r="I989" s="3"/>
      <c r="J989" s="3"/>
      <c r="K989" s="3"/>
      <c r="L989" s="3"/>
      <c r="M989" s="3"/>
      <c r="N989" s="3"/>
      <c r="O989" s="8"/>
      <c r="P989" s="3"/>
      <c r="Q989" s="3"/>
      <c r="R989" s="3"/>
      <c r="S989" s="3"/>
      <c r="T989" s="3"/>
      <c r="U989" s="3"/>
      <c r="V989" s="8"/>
      <c r="W989" s="3"/>
      <c r="X989" s="3"/>
      <c r="Y989" s="3"/>
      <c r="Z989" s="4"/>
      <c r="AA989" s="5"/>
      <c r="AB989" s="3"/>
      <c r="AC989" s="3"/>
      <c r="AD989" s="3"/>
      <c r="AE989" s="3"/>
      <c r="AF989" s="3"/>
      <c r="AG989" s="3"/>
      <c r="AH989" s="3"/>
    </row>
    <row r="990" spans="1:34" x14ac:dyDescent="0.3">
      <c r="A990" s="11"/>
      <c r="B990" s="12"/>
      <c r="C990" s="12"/>
      <c r="D990" s="13"/>
      <c r="E990" s="6"/>
      <c r="F990" s="3"/>
      <c r="G990" s="3"/>
      <c r="H990" s="3"/>
      <c r="I990" s="3"/>
      <c r="J990" s="3"/>
      <c r="K990" s="3"/>
      <c r="L990" s="3"/>
      <c r="M990" s="3"/>
      <c r="N990" s="3"/>
      <c r="O990" s="8"/>
      <c r="P990" s="3"/>
      <c r="Q990" s="3"/>
      <c r="R990" s="3"/>
      <c r="S990" s="3"/>
      <c r="T990" s="3"/>
      <c r="U990" s="3"/>
      <c r="V990" s="8"/>
      <c r="W990" s="3"/>
      <c r="X990" s="3"/>
      <c r="Y990" s="3"/>
      <c r="Z990" s="4"/>
      <c r="AA990" s="5"/>
      <c r="AB990" s="3"/>
      <c r="AC990" s="3"/>
      <c r="AD990" s="3"/>
      <c r="AE990" s="3"/>
      <c r="AF990" s="3"/>
      <c r="AG990" s="3"/>
      <c r="AH990" s="3"/>
    </row>
    <row r="991" spans="1:34" x14ac:dyDescent="0.3">
      <c r="A991" s="11"/>
      <c r="B991" s="12"/>
      <c r="C991" s="12"/>
      <c r="D991" s="13"/>
      <c r="E991" s="6"/>
      <c r="F991" s="3"/>
      <c r="G991" s="3"/>
      <c r="H991" s="3"/>
      <c r="I991" s="3"/>
      <c r="J991" s="3"/>
      <c r="K991" s="3"/>
      <c r="L991" s="3"/>
      <c r="M991" s="3"/>
      <c r="N991" s="3"/>
      <c r="O991" s="8"/>
      <c r="P991" s="3"/>
      <c r="Q991" s="3"/>
      <c r="R991" s="3"/>
      <c r="S991" s="3"/>
      <c r="T991" s="3"/>
      <c r="U991" s="3"/>
      <c r="V991" s="8"/>
      <c r="W991" s="3"/>
      <c r="X991" s="3"/>
      <c r="Y991" s="3"/>
      <c r="Z991" s="4"/>
      <c r="AA991" s="5"/>
      <c r="AB991" s="3"/>
      <c r="AC991" s="3"/>
      <c r="AD991" s="3"/>
      <c r="AE991" s="3"/>
      <c r="AF991" s="3"/>
      <c r="AG991" s="3"/>
      <c r="AH991" s="3"/>
    </row>
    <row r="992" spans="1:34" x14ac:dyDescent="0.3">
      <c r="A992" s="11"/>
      <c r="B992" s="12"/>
      <c r="C992" s="12"/>
      <c r="D992" s="13"/>
      <c r="E992" s="6"/>
      <c r="F992" s="3"/>
      <c r="G992" s="3"/>
      <c r="H992" s="3"/>
      <c r="I992" s="3"/>
      <c r="J992" s="3"/>
      <c r="K992" s="3"/>
      <c r="L992" s="3"/>
      <c r="M992" s="3"/>
      <c r="N992" s="3"/>
      <c r="O992" s="8"/>
      <c r="P992" s="3"/>
      <c r="Q992" s="3"/>
      <c r="R992" s="3"/>
      <c r="S992" s="3"/>
      <c r="T992" s="3"/>
      <c r="U992" s="3"/>
      <c r="V992" s="8"/>
      <c r="W992" s="3"/>
      <c r="X992" s="3"/>
      <c r="Y992" s="3"/>
      <c r="Z992" s="4"/>
      <c r="AA992" s="5"/>
      <c r="AB992" s="3"/>
      <c r="AC992" s="3"/>
      <c r="AD992" s="3"/>
      <c r="AE992" s="3"/>
      <c r="AF992" s="3"/>
      <c r="AG992" s="3"/>
      <c r="AH992" s="3"/>
    </row>
    <row r="993" spans="1:34" x14ac:dyDescent="0.3">
      <c r="A993" s="11"/>
      <c r="B993" s="12"/>
      <c r="C993" s="12"/>
      <c r="D993" s="13"/>
      <c r="E993" s="6"/>
      <c r="F993" s="3"/>
      <c r="G993" s="3"/>
      <c r="H993" s="3"/>
      <c r="I993" s="3"/>
      <c r="J993" s="3"/>
      <c r="K993" s="3"/>
      <c r="L993" s="3"/>
      <c r="M993" s="3"/>
      <c r="N993" s="3"/>
      <c r="O993" s="8"/>
      <c r="P993" s="3"/>
      <c r="Q993" s="3"/>
      <c r="R993" s="3"/>
      <c r="S993" s="3"/>
      <c r="T993" s="3"/>
      <c r="U993" s="3"/>
      <c r="V993" s="8"/>
      <c r="W993" s="3"/>
      <c r="X993" s="3"/>
      <c r="Y993" s="3"/>
      <c r="Z993" s="4"/>
      <c r="AA993" s="5"/>
      <c r="AB993" s="3"/>
      <c r="AC993" s="3"/>
      <c r="AD993" s="3"/>
      <c r="AE993" s="3"/>
      <c r="AF993" s="3"/>
      <c r="AG993" s="3"/>
      <c r="AH993" s="3"/>
    </row>
    <row r="994" spans="1:34" x14ac:dyDescent="0.3">
      <c r="A994" s="11"/>
      <c r="B994" s="12"/>
      <c r="C994" s="12"/>
      <c r="D994" s="13"/>
      <c r="E994" s="6"/>
      <c r="F994" s="3"/>
      <c r="G994" s="3"/>
      <c r="H994" s="3"/>
      <c r="I994" s="3"/>
      <c r="J994" s="3"/>
      <c r="K994" s="3"/>
      <c r="L994" s="3"/>
      <c r="M994" s="3"/>
      <c r="N994" s="3"/>
      <c r="O994" s="8"/>
      <c r="P994" s="3"/>
      <c r="Q994" s="3"/>
      <c r="R994" s="3"/>
      <c r="S994" s="3"/>
      <c r="T994" s="3"/>
      <c r="U994" s="3"/>
      <c r="V994" s="8"/>
      <c r="W994" s="3"/>
      <c r="X994" s="3"/>
      <c r="Y994" s="3"/>
      <c r="Z994" s="4"/>
      <c r="AA994" s="5"/>
      <c r="AB994" s="3"/>
      <c r="AC994" s="3"/>
      <c r="AD994" s="3"/>
      <c r="AE994" s="3"/>
      <c r="AF994" s="3"/>
      <c r="AG994" s="3"/>
      <c r="AH994" s="3"/>
    </row>
    <row r="995" spans="1:34" x14ac:dyDescent="0.3">
      <c r="A995" s="11"/>
      <c r="B995" s="12"/>
      <c r="C995" s="12"/>
      <c r="D995" s="13"/>
      <c r="E995" s="6"/>
      <c r="F995" s="3"/>
      <c r="G995" s="3"/>
      <c r="H995" s="3"/>
      <c r="I995" s="3"/>
      <c r="J995" s="3"/>
      <c r="K995" s="3"/>
      <c r="L995" s="3"/>
      <c r="M995" s="3"/>
      <c r="N995" s="3"/>
      <c r="O995" s="8"/>
      <c r="P995" s="3"/>
      <c r="Q995" s="3"/>
      <c r="R995" s="3"/>
      <c r="S995" s="3"/>
      <c r="T995" s="3"/>
      <c r="U995" s="3"/>
      <c r="V995" s="8"/>
      <c r="W995" s="3"/>
      <c r="X995" s="3"/>
      <c r="Y995" s="3"/>
      <c r="Z995" s="4"/>
      <c r="AA995" s="5"/>
      <c r="AB995" s="3"/>
      <c r="AC995" s="3"/>
      <c r="AD995" s="3"/>
      <c r="AE995" s="3"/>
      <c r="AF995" s="3"/>
      <c r="AG995" s="3"/>
      <c r="AH995" s="3"/>
    </row>
    <row r="996" spans="1:34" x14ac:dyDescent="0.3">
      <c r="A996" s="11"/>
      <c r="B996" s="12"/>
      <c r="C996" s="12"/>
      <c r="D996" s="13"/>
      <c r="E996" s="6"/>
      <c r="F996" s="3"/>
      <c r="G996" s="3"/>
      <c r="H996" s="3"/>
      <c r="I996" s="3"/>
      <c r="J996" s="3"/>
      <c r="K996" s="3"/>
      <c r="L996" s="3"/>
      <c r="M996" s="3"/>
      <c r="N996" s="3"/>
      <c r="O996" s="8"/>
      <c r="P996" s="3"/>
      <c r="Q996" s="3"/>
      <c r="R996" s="3"/>
      <c r="S996" s="3"/>
      <c r="T996" s="3"/>
      <c r="U996" s="3"/>
      <c r="V996" s="8"/>
      <c r="W996" s="3"/>
      <c r="X996" s="3"/>
      <c r="Y996" s="3"/>
      <c r="Z996" s="4"/>
      <c r="AA996" s="5"/>
      <c r="AB996" s="3"/>
      <c r="AC996" s="3"/>
      <c r="AD996" s="3"/>
      <c r="AE996" s="3"/>
      <c r="AF996" s="3"/>
      <c r="AG996" s="3"/>
      <c r="AH996" s="3"/>
    </row>
    <row r="997" spans="1:34" x14ac:dyDescent="0.3">
      <c r="A997" s="11"/>
      <c r="B997" s="12"/>
      <c r="C997" s="12"/>
      <c r="D997" s="13"/>
      <c r="E997" s="6"/>
      <c r="F997" s="3"/>
      <c r="G997" s="3"/>
      <c r="H997" s="3"/>
      <c r="I997" s="3"/>
      <c r="J997" s="3"/>
      <c r="K997" s="3"/>
      <c r="L997" s="3"/>
      <c r="M997" s="3"/>
      <c r="N997" s="3"/>
      <c r="O997" s="8"/>
      <c r="P997" s="3"/>
      <c r="Q997" s="3"/>
      <c r="R997" s="3"/>
      <c r="S997" s="3"/>
      <c r="T997" s="3"/>
      <c r="U997" s="3"/>
      <c r="V997" s="8"/>
      <c r="W997" s="3"/>
      <c r="X997" s="3"/>
      <c r="Y997" s="3"/>
      <c r="Z997" s="4"/>
      <c r="AA997" s="5"/>
      <c r="AB997" s="3"/>
      <c r="AC997" s="3"/>
      <c r="AD997" s="3"/>
      <c r="AE997" s="3"/>
      <c r="AF997" s="3"/>
      <c r="AG997" s="3"/>
      <c r="AH997" s="3"/>
    </row>
    <row r="998" spans="1:34" x14ac:dyDescent="0.3">
      <c r="A998" s="11"/>
      <c r="B998" s="12"/>
      <c r="C998" s="12"/>
      <c r="D998" s="13"/>
      <c r="E998" s="6"/>
      <c r="F998" s="3"/>
      <c r="G998" s="3"/>
      <c r="H998" s="3"/>
      <c r="I998" s="3"/>
      <c r="J998" s="3"/>
      <c r="K998" s="3"/>
      <c r="L998" s="3"/>
      <c r="M998" s="3"/>
      <c r="N998" s="3"/>
      <c r="O998" s="8"/>
      <c r="P998" s="3"/>
      <c r="Q998" s="3"/>
      <c r="R998" s="3"/>
      <c r="S998" s="3"/>
      <c r="T998" s="3"/>
      <c r="U998" s="3"/>
      <c r="V998" s="8"/>
      <c r="W998" s="3"/>
      <c r="X998" s="3"/>
      <c r="Y998" s="3"/>
      <c r="Z998" s="4"/>
      <c r="AA998" s="5"/>
      <c r="AB998" s="3"/>
      <c r="AC998" s="3"/>
      <c r="AD998" s="3"/>
      <c r="AE998" s="3"/>
      <c r="AF998" s="3"/>
      <c r="AG998" s="3"/>
      <c r="AH998" s="3"/>
    </row>
    <row r="999" spans="1:34" x14ac:dyDescent="0.3">
      <c r="A999" s="11"/>
      <c r="B999" s="12"/>
      <c r="C999" s="12"/>
      <c r="D999" s="13"/>
      <c r="E999" s="6"/>
      <c r="F999" s="3"/>
      <c r="G999" s="3"/>
      <c r="H999" s="3"/>
      <c r="I999" s="3"/>
      <c r="J999" s="3"/>
      <c r="K999" s="3"/>
      <c r="L999" s="3"/>
      <c r="M999" s="3"/>
      <c r="N999" s="3"/>
      <c r="O999" s="8"/>
      <c r="P999" s="3"/>
      <c r="Q999" s="3"/>
      <c r="R999" s="3"/>
      <c r="S999" s="3"/>
      <c r="T999" s="3"/>
      <c r="U999" s="3"/>
      <c r="V999" s="8"/>
      <c r="W999" s="3"/>
      <c r="X999" s="3"/>
      <c r="Y999" s="3"/>
      <c r="Z999" s="4"/>
      <c r="AA999" s="5"/>
      <c r="AB999" s="3"/>
      <c r="AC999" s="3"/>
      <c r="AD999" s="3"/>
      <c r="AE999" s="3"/>
      <c r="AF999" s="3"/>
      <c r="AG999" s="3"/>
      <c r="AH999" s="3"/>
    </row>
    <row r="1000" spans="1:34" x14ac:dyDescent="0.3">
      <c r="A1000" s="11"/>
      <c r="B1000" s="12"/>
      <c r="C1000" s="12"/>
      <c r="D1000" s="13"/>
      <c r="E1000" s="6"/>
      <c r="F1000" s="3"/>
      <c r="G1000" s="3"/>
      <c r="H1000" s="3"/>
      <c r="I1000" s="3"/>
      <c r="J1000" s="3"/>
      <c r="K1000" s="3"/>
      <c r="L1000" s="3"/>
      <c r="M1000" s="3"/>
      <c r="N1000" s="3"/>
      <c r="O1000" s="8"/>
      <c r="P1000" s="3"/>
      <c r="Q1000" s="3"/>
      <c r="R1000" s="3"/>
      <c r="S1000" s="3"/>
      <c r="T1000" s="3"/>
      <c r="U1000" s="3"/>
      <c r="V1000" s="8"/>
      <c r="W1000" s="3"/>
      <c r="X1000" s="3"/>
      <c r="Y1000" s="3"/>
      <c r="Z1000" s="4"/>
      <c r="AA1000" s="5"/>
      <c r="AB1000" s="3"/>
      <c r="AC1000" s="3"/>
      <c r="AD1000" s="3"/>
      <c r="AE1000" s="3"/>
      <c r="AF1000" s="3"/>
      <c r="AG1000" s="3"/>
      <c r="AH1000" s="3"/>
    </row>
    <row r="1001" spans="1:34" x14ac:dyDescent="0.3">
      <c r="A1001" s="11"/>
      <c r="B1001" s="12"/>
      <c r="C1001" s="12"/>
      <c r="D1001" s="13"/>
      <c r="E1001" s="6"/>
      <c r="F1001" s="3"/>
      <c r="G1001" s="3"/>
      <c r="H1001" s="3"/>
      <c r="I1001" s="3"/>
      <c r="J1001" s="3"/>
      <c r="K1001" s="3"/>
      <c r="L1001" s="3"/>
      <c r="M1001" s="3"/>
      <c r="N1001" s="3"/>
      <c r="O1001" s="8"/>
      <c r="P1001" s="3"/>
      <c r="Q1001" s="3"/>
      <c r="R1001" s="3"/>
      <c r="S1001" s="3"/>
      <c r="T1001" s="3"/>
      <c r="U1001" s="3"/>
      <c r="V1001" s="8"/>
      <c r="W1001" s="3"/>
      <c r="X1001" s="3"/>
      <c r="Y1001" s="3"/>
      <c r="Z1001" s="4"/>
      <c r="AA1001" s="5"/>
      <c r="AB1001" s="3"/>
      <c r="AC1001" s="3"/>
      <c r="AD1001" s="3"/>
      <c r="AE1001" s="3"/>
      <c r="AF1001" s="3"/>
      <c r="AG1001" s="3"/>
      <c r="AH1001" s="3"/>
    </row>
    <row r="1002" spans="1:34" x14ac:dyDescent="0.3">
      <c r="A1002" s="11"/>
      <c r="B1002" s="12"/>
      <c r="C1002" s="12"/>
      <c r="D1002" s="13"/>
      <c r="E1002" s="6"/>
      <c r="F1002" s="3"/>
      <c r="G1002" s="3"/>
      <c r="H1002" s="3"/>
      <c r="I1002" s="3"/>
      <c r="J1002" s="3"/>
      <c r="K1002" s="3"/>
      <c r="L1002" s="3"/>
      <c r="M1002" s="3"/>
      <c r="N1002" s="3"/>
      <c r="O1002" s="8"/>
      <c r="P1002" s="3"/>
      <c r="Q1002" s="3"/>
      <c r="R1002" s="3"/>
      <c r="S1002" s="3"/>
      <c r="T1002" s="3"/>
      <c r="U1002" s="3"/>
      <c r="V1002" s="8"/>
      <c r="W1002" s="3"/>
      <c r="X1002" s="3"/>
      <c r="Y1002" s="3"/>
      <c r="Z1002" s="4"/>
      <c r="AA1002" s="5"/>
      <c r="AB1002" s="3"/>
      <c r="AC1002" s="3"/>
      <c r="AD1002" s="3"/>
      <c r="AE1002" s="3"/>
      <c r="AF1002" s="3"/>
      <c r="AG1002" s="3"/>
      <c r="AH1002" s="3"/>
    </row>
    <row r="1003" spans="1:34" x14ac:dyDescent="0.3">
      <c r="A1003" s="11"/>
      <c r="B1003" s="12"/>
      <c r="C1003" s="12"/>
      <c r="D1003" s="13"/>
      <c r="E1003" s="6"/>
      <c r="F1003" s="3"/>
      <c r="G1003" s="3"/>
      <c r="H1003" s="3"/>
      <c r="I1003" s="3"/>
      <c r="J1003" s="3"/>
      <c r="K1003" s="3"/>
      <c r="L1003" s="3"/>
      <c r="M1003" s="3"/>
      <c r="N1003" s="3"/>
      <c r="O1003" s="8"/>
      <c r="P1003" s="3"/>
      <c r="Q1003" s="3"/>
      <c r="R1003" s="3"/>
      <c r="S1003" s="3"/>
      <c r="T1003" s="3"/>
      <c r="U1003" s="3"/>
      <c r="V1003" s="8"/>
      <c r="W1003" s="3"/>
      <c r="X1003" s="3"/>
      <c r="Y1003" s="3"/>
      <c r="Z1003" s="4"/>
      <c r="AA1003" s="5"/>
      <c r="AB1003" s="3"/>
      <c r="AC1003" s="3"/>
      <c r="AD1003" s="3"/>
      <c r="AE1003" s="3"/>
      <c r="AF1003" s="3"/>
      <c r="AG1003" s="3"/>
      <c r="AH1003" s="3"/>
    </row>
    <row r="1004" spans="1:34" x14ac:dyDescent="0.3">
      <c r="A1004" s="11"/>
      <c r="B1004" s="12"/>
      <c r="C1004" s="12"/>
      <c r="D1004" s="13"/>
      <c r="E1004" s="6"/>
      <c r="F1004" s="3"/>
      <c r="G1004" s="3"/>
      <c r="H1004" s="3"/>
      <c r="I1004" s="3"/>
      <c r="J1004" s="3"/>
      <c r="K1004" s="3"/>
      <c r="L1004" s="3"/>
      <c r="M1004" s="3"/>
      <c r="N1004" s="3"/>
      <c r="O1004" s="8"/>
      <c r="P1004" s="3"/>
      <c r="Q1004" s="3"/>
      <c r="R1004" s="3"/>
      <c r="S1004" s="3"/>
      <c r="T1004" s="3"/>
      <c r="U1004" s="3"/>
      <c r="V1004" s="8"/>
      <c r="W1004" s="3"/>
      <c r="X1004" s="3"/>
      <c r="Y1004" s="3"/>
      <c r="Z1004" s="4"/>
      <c r="AA1004" s="5"/>
      <c r="AB1004" s="3"/>
      <c r="AC1004" s="3"/>
      <c r="AD1004" s="3"/>
      <c r="AE1004" s="3"/>
      <c r="AF1004" s="3"/>
      <c r="AG1004" s="3"/>
      <c r="AH1004" s="3"/>
    </row>
    <row r="1005" spans="1:34" x14ac:dyDescent="0.3">
      <c r="A1005" s="11"/>
      <c r="B1005" s="12"/>
      <c r="C1005" s="12"/>
      <c r="D1005" s="13"/>
      <c r="E1005" s="6"/>
      <c r="F1005" s="3"/>
      <c r="G1005" s="3"/>
      <c r="H1005" s="3"/>
      <c r="I1005" s="3"/>
      <c r="J1005" s="3"/>
      <c r="K1005" s="3"/>
      <c r="L1005" s="3"/>
      <c r="M1005" s="3"/>
      <c r="N1005" s="3"/>
      <c r="O1005" s="8"/>
      <c r="P1005" s="3"/>
      <c r="Q1005" s="3"/>
      <c r="R1005" s="3"/>
      <c r="S1005" s="3"/>
      <c r="T1005" s="3"/>
      <c r="U1005" s="3"/>
      <c r="V1005" s="8"/>
      <c r="W1005" s="3"/>
      <c r="X1005" s="3"/>
      <c r="Y1005" s="3"/>
      <c r="Z1005" s="4"/>
      <c r="AA1005" s="5"/>
      <c r="AB1005" s="3"/>
      <c r="AC1005" s="3"/>
      <c r="AD1005" s="3"/>
      <c r="AE1005" s="3"/>
      <c r="AF1005" s="3"/>
      <c r="AG1005" s="3"/>
      <c r="AH1005" s="3"/>
    </row>
    <row r="1006" spans="1:34" x14ac:dyDescent="0.3">
      <c r="A1006" s="11"/>
      <c r="B1006" s="12"/>
      <c r="C1006" s="12"/>
      <c r="D1006" s="13"/>
      <c r="E1006" s="6"/>
      <c r="F1006" s="3"/>
      <c r="G1006" s="3"/>
      <c r="H1006" s="3"/>
      <c r="I1006" s="3"/>
      <c r="J1006" s="3"/>
      <c r="K1006" s="3"/>
      <c r="L1006" s="3"/>
      <c r="M1006" s="3"/>
      <c r="N1006" s="3"/>
      <c r="O1006" s="8"/>
      <c r="P1006" s="3"/>
      <c r="Q1006" s="3"/>
      <c r="R1006" s="3"/>
      <c r="S1006" s="3"/>
      <c r="T1006" s="3"/>
      <c r="U1006" s="3"/>
      <c r="V1006" s="8"/>
      <c r="W1006" s="3"/>
      <c r="X1006" s="3"/>
      <c r="Y1006" s="3"/>
      <c r="Z1006" s="4"/>
      <c r="AA1006" s="5"/>
      <c r="AB1006" s="3"/>
      <c r="AC1006" s="3"/>
      <c r="AD1006" s="3"/>
      <c r="AE1006" s="3"/>
      <c r="AF1006" s="3"/>
      <c r="AG1006" s="3"/>
      <c r="AH1006" s="3"/>
    </row>
    <row r="1007" spans="1:34" x14ac:dyDescent="0.3">
      <c r="A1007" s="11"/>
      <c r="B1007" s="12"/>
      <c r="C1007" s="12"/>
      <c r="D1007" s="13"/>
      <c r="E1007" s="6"/>
      <c r="F1007" s="3"/>
      <c r="G1007" s="3"/>
      <c r="H1007" s="3"/>
      <c r="I1007" s="3"/>
      <c r="J1007" s="3"/>
      <c r="K1007" s="3"/>
      <c r="L1007" s="3"/>
      <c r="M1007" s="3"/>
      <c r="N1007" s="3"/>
      <c r="O1007" s="8"/>
      <c r="P1007" s="3"/>
      <c r="Q1007" s="3"/>
      <c r="R1007" s="3"/>
      <c r="S1007" s="3"/>
      <c r="T1007" s="3"/>
      <c r="U1007" s="3"/>
      <c r="V1007" s="8"/>
      <c r="W1007" s="3"/>
      <c r="X1007" s="3"/>
      <c r="Y1007" s="3"/>
      <c r="Z1007" s="4"/>
      <c r="AA1007" s="5"/>
      <c r="AB1007" s="3"/>
      <c r="AC1007" s="3"/>
      <c r="AD1007" s="3"/>
      <c r="AE1007" s="3"/>
      <c r="AF1007" s="3"/>
      <c r="AG1007" s="3"/>
      <c r="AH1007" s="3"/>
    </row>
    <row r="1008" spans="1:34" x14ac:dyDescent="0.3">
      <c r="A1008" s="11"/>
      <c r="B1008" s="12"/>
      <c r="C1008" s="12"/>
      <c r="D1008" s="13"/>
      <c r="E1008" s="6"/>
      <c r="F1008" s="3"/>
      <c r="G1008" s="3"/>
      <c r="H1008" s="3"/>
      <c r="I1008" s="3"/>
      <c r="J1008" s="3"/>
      <c r="K1008" s="3"/>
      <c r="L1008" s="3"/>
      <c r="M1008" s="3"/>
      <c r="N1008" s="3"/>
      <c r="O1008" s="8"/>
      <c r="P1008" s="3"/>
      <c r="Q1008" s="3"/>
      <c r="R1008" s="3"/>
      <c r="S1008" s="3"/>
      <c r="T1008" s="3"/>
      <c r="U1008" s="3"/>
      <c r="V1008" s="8"/>
      <c r="W1008" s="3"/>
      <c r="X1008" s="3"/>
      <c r="Y1008" s="3"/>
      <c r="Z1008" s="4"/>
      <c r="AA1008" s="5"/>
      <c r="AB1008" s="3"/>
      <c r="AC1008" s="3"/>
      <c r="AD1008" s="3"/>
      <c r="AE1008" s="3"/>
      <c r="AF1008" s="3"/>
      <c r="AG1008" s="3"/>
      <c r="AH1008" s="3"/>
    </row>
    <row r="1009" spans="1:34" x14ac:dyDescent="0.3">
      <c r="A1009" s="11"/>
      <c r="B1009" s="12"/>
      <c r="C1009" s="12"/>
      <c r="D1009" s="13"/>
      <c r="E1009" s="6"/>
      <c r="F1009" s="3"/>
      <c r="G1009" s="3"/>
      <c r="H1009" s="3"/>
      <c r="I1009" s="3"/>
      <c r="J1009" s="3"/>
      <c r="K1009" s="3"/>
      <c r="L1009" s="3"/>
      <c r="M1009" s="3"/>
      <c r="N1009" s="3"/>
      <c r="O1009" s="8"/>
      <c r="P1009" s="3"/>
      <c r="Q1009" s="3"/>
      <c r="R1009" s="3"/>
      <c r="S1009" s="3"/>
      <c r="T1009" s="3"/>
      <c r="U1009" s="3"/>
      <c r="V1009" s="8"/>
      <c r="W1009" s="3"/>
      <c r="X1009" s="3"/>
      <c r="Y1009" s="3"/>
      <c r="Z1009" s="4"/>
      <c r="AA1009" s="5"/>
      <c r="AB1009" s="3"/>
      <c r="AC1009" s="3"/>
      <c r="AD1009" s="3"/>
      <c r="AE1009" s="3"/>
      <c r="AF1009" s="3"/>
      <c r="AG1009" s="3"/>
      <c r="AH1009" s="3"/>
    </row>
    <row r="1010" spans="1:34" x14ac:dyDescent="0.3">
      <c r="A1010" s="11"/>
      <c r="B1010" s="12"/>
      <c r="C1010" s="12"/>
      <c r="D1010" s="13"/>
      <c r="E1010" s="6"/>
      <c r="F1010" s="3"/>
      <c r="G1010" s="3"/>
      <c r="H1010" s="3"/>
      <c r="I1010" s="3"/>
      <c r="J1010" s="3"/>
      <c r="K1010" s="3"/>
      <c r="L1010" s="3"/>
      <c r="M1010" s="3"/>
      <c r="N1010" s="3"/>
      <c r="O1010" s="8"/>
      <c r="P1010" s="3"/>
      <c r="Q1010" s="3"/>
      <c r="R1010" s="3"/>
      <c r="S1010" s="3"/>
      <c r="T1010" s="3"/>
      <c r="U1010" s="3"/>
      <c r="V1010" s="8"/>
      <c r="W1010" s="3"/>
      <c r="X1010" s="3"/>
      <c r="Y1010" s="3"/>
      <c r="Z1010" s="4"/>
      <c r="AA1010" s="5"/>
      <c r="AB1010" s="3"/>
      <c r="AC1010" s="3"/>
      <c r="AD1010" s="3"/>
      <c r="AE1010" s="3"/>
      <c r="AF1010" s="3"/>
      <c r="AG1010" s="3"/>
      <c r="AH1010" s="3"/>
    </row>
    <row r="1011" spans="1:34" x14ac:dyDescent="0.3">
      <c r="A1011" s="11"/>
      <c r="B1011" s="12"/>
      <c r="C1011" s="12"/>
      <c r="D1011" s="13"/>
      <c r="E1011" s="6"/>
      <c r="F1011" s="3"/>
      <c r="G1011" s="3"/>
      <c r="H1011" s="3"/>
      <c r="I1011" s="3"/>
      <c r="J1011" s="3"/>
      <c r="K1011" s="3"/>
      <c r="L1011" s="3"/>
      <c r="M1011" s="3"/>
      <c r="N1011" s="3"/>
      <c r="O1011" s="8"/>
      <c r="P1011" s="3"/>
      <c r="Q1011" s="3"/>
      <c r="R1011" s="3"/>
      <c r="S1011" s="3"/>
      <c r="T1011" s="3"/>
      <c r="U1011" s="3"/>
      <c r="V1011" s="8"/>
      <c r="W1011" s="3"/>
      <c r="X1011" s="3"/>
      <c r="Y1011" s="3"/>
      <c r="Z1011" s="4"/>
      <c r="AA1011" s="5"/>
      <c r="AB1011" s="3"/>
      <c r="AC1011" s="3"/>
      <c r="AD1011" s="3"/>
      <c r="AE1011" s="3"/>
      <c r="AF1011" s="3"/>
      <c r="AG1011" s="3"/>
      <c r="AH1011" s="3"/>
    </row>
    <row r="1012" spans="1:34" x14ac:dyDescent="0.3">
      <c r="A1012" s="11"/>
      <c r="B1012" s="12"/>
      <c r="C1012" s="12"/>
      <c r="D1012" s="13"/>
      <c r="E1012" s="6"/>
      <c r="F1012" s="3"/>
      <c r="G1012" s="3"/>
      <c r="H1012" s="3"/>
      <c r="I1012" s="3"/>
      <c r="J1012" s="3"/>
      <c r="K1012" s="3"/>
      <c r="L1012" s="3"/>
      <c r="M1012" s="3"/>
      <c r="N1012" s="3"/>
      <c r="O1012" s="8"/>
      <c r="P1012" s="3"/>
      <c r="Q1012" s="3"/>
      <c r="R1012" s="3"/>
      <c r="S1012" s="3"/>
      <c r="T1012" s="3"/>
      <c r="U1012" s="3"/>
      <c r="V1012" s="8"/>
      <c r="W1012" s="3"/>
      <c r="X1012" s="3"/>
      <c r="Y1012" s="3"/>
      <c r="Z1012" s="4"/>
      <c r="AA1012" s="5"/>
      <c r="AB1012" s="3"/>
      <c r="AC1012" s="3"/>
      <c r="AD1012" s="3"/>
      <c r="AE1012" s="3"/>
      <c r="AF1012" s="3"/>
      <c r="AG1012" s="3"/>
      <c r="AH1012" s="3"/>
    </row>
    <row r="1013" spans="1:34" x14ac:dyDescent="0.3">
      <c r="A1013" s="11"/>
      <c r="B1013" s="12"/>
      <c r="C1013" s="12"/>
      <c r="D1013" s="13"/>
      <c r="E1013" s="6"/>
      <c r="F1013" s="3"/>
      <c r="G1013" s="3"/>
      <c r="H1013" s="3"/>
      <c r="I1013" s="3"/>
      <c r="J1013" s="3"/>
      <c r="K1013" s="3"/>
      <c r="L1013" s="3"/>
      <c r="M1013" s="3"/>
      <c r="N1013" s="3"/>
      <c r="O1013" s="8"/>
      <c r="P1013" s="3"/>
      <c r="Q1013" s="3"/>
      <c r="R1013" s="3"/>
      <c r="S1013" s="3"/>
      <c r="T1013" s="3"/>
      <c r="U1013" s="3"/>
      <c r="V1013" s="8"/>
      <c r="W1013" s="3"/>
      <c r="X1013" s="3"/>
      <c r="Y1013" s="3"/>
      <c r="Z1013" s="4"/>
      <c r="AA1013" s="5"/>
      <c r="AB1013" s="3"/>
      <c r="AC1013" s="3"/>
      <c r="AD1013" s="3"/>
      <c r="AE1013" s="3"/>
      <c r="AF1013" s="3"/>
      <c r="AG1013" s="3"/>
      <c r="AH1013" s="3"/>
    </row>
    <row r="1014" spans="1:34" x14ac:dyDescent="0.3">
      <c r="A1014" s="11"/>
      <c r="B1014" s="12"/>
      <c r="C1014" s="12"/>
      <c r="D1014" s="13"/>
      <c r="E1014" s="6"/>
      <c r="F1014" s="3"/>
      <c r="G1014" s="3"/>
      <c r="H1014" s="3"/>
      <c r="I1014" s="3"/>
      <c r="J1014" s="3"/>
      <c r="K1014" s="3"/>
      <c r="L1014" s="3"/>
      <c r="M1014" s="3"/>
      <c r="N1014" s="3"/>
      <c r="O1014" s="8"/>
      <c r="P1014" s="3"/>
      <c r="Q1014" s="3"/>
      <c r="R1014" s="3"/>
      <c r="S1014" s="3"/>
      <c r="T1014" s="3"/>
      <c r="U1014" s="3"/>
      <c r="V1014" s="8"/>
      <c r="W1014" s="3"/>
      <c r="X1014" s="3"/>
      <c r="Y1014" s="3"/>
      <c r="Z1014" s="4"/>
      <c r="AA1014" s="5"/>
      <c r="AB1014" s="3"/>
      <c r="AC1014" s="3"/>
      <c r="AD1014" s="3"/>
      <c r="AE1014" s="3"/>
      <c r="AF1014" s="3"/>
      <c r="AG1014" s="3"/>
      <c r="AH1014" s="3"/>
    </row>
    <row r="1015" spans="1:34" x14ac:dyDescent="0.3">
      <c r="A1015" s="11"/>
      <c r="B1015" s="12"/>
      <c r="C1015" s="12"/>
      <c r="D1015" s="13"/>
      <c r="E1015" s="6"/>
      <c r="F1015" s="3"/>
      <c r="G1015" s="3"/>
      <c r="H1015" s="3"/>
      <c r="I1015" s="3"/>
      <c r="J1015" s="3"/>
      <c r="K1015" s="3"/>
      <c r="L1015" s="3"/>
      <c r="M1015" s="3"/>
      <c r="N1015" s="3"/>
      <c r="O1015" s="8"/>
      <c r="P1015" s="3"/>
      <c r="Q1015" s="3"/>
      <c r="R1015" s="3"/>
      <c r="S1015" s="3"/>
      <c r="T1015" s="3"/>
      <c r="U1015" s="3"/>
      <c r="V1015" s="8"/>
      <c r="W1015" s="3"/>
      <c r="X1015" s="3"/>
      <c r="Y1015" s="3"/>
      <c r="Z1015" s="4"/>
      <c r="AA1015" s="5"/>
      <c r="AB1015" s="3"/>
      <c r="AC1015" s="3"/>
      <c r="AD1015" s="3"/>
      <c r="AE1015" s="3"/>
      <c r="AF1015" s="3"/>
      <c r="AG1015" s="3"/>
      <c r="AH1015" s="3"/>
    </row>
    <row r="1016" spans="1:34" x14ac:dyDescent="0.3">
      <c r="A1016" s="11"/>
      <c r="B1016" s="12"/>
      <c r="C1016" s="12"/>
      <c r="D1016" s="13"/>
      <c r="E1016" s="6"/>
      <c r="F1016" s="3"/>
      <c r="G1016" s="3"/>
      <c r="H1016" s="3"/>
      <c r="I1016" s="3"/>
      <c r="J1016" s="3"/>
      <c r="K1016" s="3"/>
      <c r="L1016" s="3"/>
      <c r="M1016" s="3"/>
      <c r="N1016" s="3"/>
      <c r="O1016" s="8"/>
      <c r="P1016" s="3"/>
      <c r="Q1016" s="3"/>
      <c r="R1016" s="3"/>
      <c r="S1016" s="3"/>
      <c r="T1016" s="3"/>
      <c r="U1016" s="3"/>
      <c r="V1016" s="8"/>
      <c r="W1016" s="3"/>
      <c r="X1016" s="3"/>
      <c r="Y1016" s="3"/>
      <c r="Z1016" s="4"/>
      <c r="AA1016" s="5"/>
      <c r="AB1016" s="3"/>
      <c r="AC1016" s="3"/>
      <c r="AD1016" s="3"/>
      <c r="AE1016" s="3"/>
      <c r="AF1016" s="3"/>
      <c r="AG1016" s="3"/>
      <c r="AH1016" s="3"/>
    </row>
    <row r="1017" spans="1:34" x14ac:dyDescent="0.3">
      <c r="A1017" s="11"/>
      <c r="B1017" s="12"/>
      <c r="C1017" s="12"/>
      <c r="D1017" s="13"/>
      <c r="E1017" s="6"/>
      <c r="F1017" s="3"/>
      <c r="G1017" s="3"/>
      <c r="H1017" s="3"/>
      <c r="I1017" s="3"/>
      <c r="J1017" s="3"/>
      <c r="K1017" s="3"/>
      <c r="L1017" s="3"/>
      <c r="M1017" s="3"/>
      <c r="N1017" s="3"/>
      <c r="O1017" s="8"/>
      <c r="P1017" s="3"/>
      <c r="Q1017" s="3"/>
      <c r="R1017" s="3"/>
      <c r="S1017" s="3"/>
      <c r="T1017" s="3"/>
      <c r="U1017" s="3"/>
      <c r="V1017" s="8"/>
      <c r="W1017" s="3"/>
      <c r="X1017" s="3"/>
      <c r="Y1017" s="3"/>
      <c r="Z1017" s="4"/>
      <c r="AA1017" s="5"/>
      <c r="AB1017" s="3"/>
      <c r="AC1017" s="3"/>
      <c r="AD1017" s="3"/>
      <c r="AE1017" s="3"/>
      <c r="AF1017" s="3"/>
      <c r="AG1017" s="3"/>
      <c r="AH1017" s="3"/>
    </row>
    <row r="1018" spans="1:34" x14ac:dyDescent="0.3">
      <c r="A1018" s="11"/>
      <c r="B1018" s="12"/>
      <c r="C1018" s="12"/>
      <c r="D1018" s="13"/>
      <c r="E1018" s="6"/>
      <c r="F1018" s="3"/>
      <c r="G1018" s="3"/>
      <c r="H1018" s="3"/>
      <c r="I1018" s="3"/>
      <c r="J1018" s="3"/>
      <c r="K1018" s="3"/>
      <c r="L1018" s="3"/>
      <c r="M1018" s="3"/>
      <c r="N1018" s="3"/>
      <c r="O1018" s="8"/>
      <c r="P1018" s="3"/>
      <c r="Q1018" s="3"/>
      <c r="R1018" s="3"/>
      <c r="S1018" s="3"/>
      <c r="T1018" s="3"/>
      <c r="U1018" s="3"/>
      <c r="V1018" s="8"/>
      <c r="W1018" s="3"/>
      <c r="X1018" s="3"/>
      <c r="Y1018" s="3"/>
      <c r="Z1018" s="4"/>
      <c r="AA1018" s="5"/>
      <c r="AB1018" s="3"/>
      <c r="AC1018" s="3"/>
      <c r="AD1018" s="3"/>
      <c r="AE1018" s="3"/>
      <c r="AF1018" s="3"/>
      <c r="AG1018" s="3"/>
      <c r="AH1018" s="3"/>
    </row>
    <row r="1019" spans="1:34" x14ac:dyDescent="0.3">
      <c r="A1019" s="11"/>
      <c r="B1019" s="12"/>
      <c r="C1019" s="12"/>
      <c r="D1019" s="13"/>
      <c r="E1019" s="6"/>
      <c r="F1019" s="3"/>
      <c r="G1019" s="3"/>
      <c r="H1019" s="3"/>
      <c r="I1019" s="3"/>
      <c r="J1019" s="3"/>
      <c r="K1019" s="3"/>
      <c r="L1019" s="3"/>
      <c r="M1019" s="3"/>
      <c r="N1019" s="3"/>
      <c r="O1019" s="8"/>
      <c r="P1019" s="3"/>
      <c r="Q1019" s="3"/>
      <c r="R1019" s="3"/>
      <c r="S1019" s="3"/>
      <c r="T1019" s="3"/>
      <c r="U1019" s="3"/>
      <c r="V1019" s="8"/>
      <c r="W1019" s="3"/>
      <c r="X1019" s="3"/>
      <c r="Y1019" s="3"/>
      <c r="Z1019" s="4"/>
      <c r="AA1019" s="5"/>
      <c r="AB1019" s="3"/>
      <c r="AC1019" s="3"/>
      <c r="AD1019" s="3"/>
      <c r="AE1019" s="3"/>
      <c r="AF1019" s="3"/>
      <c r="AG1019" s="3"/>
      <c r="AH1019" s="3"/>
    </row>
    <row r="1020" spans="1:34" x14ac:dyDescent="0.3">
      <c r="A1020" s="11"/>
      <c r="B1020" s="12"/>
      <c r="C1020" s="12"/>
      <c r="D1020" s="13"/>
      <c r="E1020" s="6"/>
      <c r="F1020" s="3"/>
      <c r="G1020" s="3"/>
      <c r="H1020" s="3"/>
      <c r="I1020" s="3"/>
      <c r="J1020" s="3"/>
      <c r="K1020" s="3"/>
      <c r="L1020" s="3"/>
      <c r="M1020" s="3"/>
      <c r="N1020" s="3"/>
      <c r="O1020" s="8"/>
      <c r="P1020" s="3"/>
      <c r="Q1020" s="3"/>
      <c r="R1020" s="3"/>
      <c r="S1020" s="3"/>
      <c r="T1020" s="3"/>
      <c r="U1020" s="3"/>
      <c r="V1020" s="8"/>
      <c r="W1020" s="3"/>
      <c r="X1020" s="3"/>
      <c r="Y1020" s="3"/>
      <c r="Z1020" s="4"/>
      <c r="AA1020" s="5"/>
      <c r="AB1020" s="3"/>
      <c r="AC1020" s="3"/>
      <c r="AD1020" s="3"/>
      <c r="AE1020" s="3"/>
      <c r="AF1020" s="3"/>
      <c r="AG1020" s="3"/>
      <c r="AH1020" s="3"/>
    </row>
    <row r="1021" spans="1:34" x14ac:dyDescent="0.3">
      <c r="A1021" s="11"/>
      <c r="B1021" s="12"/>
      <c r="C1021" s="12"/>
      <c r="D1021" s="13"/>
      <c r="E1021" s="6"/>
      <c r="F1021" s="3"/>
      <c r="G1021" s="3"/>
      <c r="H1021" s="3"/>
      <c r="I1021" s="3"/>
      <c r="J1021" s="3"/>
      <c r="K1021" s="3"/>
      <c r="L1021" s="3"/>
      <c r="M1021" s="3"/>
      <c r="N1021" s="3"/>
      <c r="O1021" s="8"/>
      <c r="P1021" s="3"/>
      <c r="Q1021" s="3"/>
      <c r="R1021" s="3"/>
      <c r="S1021" s="3"/>
      <c r="T1021" s="3"/>
      <c r="U1021" s="3"/>
      <c r="V1021" s="8"/>
      <c r="W1021" s="3"/>
      <c r="X1021" s="3"/>
      <c r="Y1021" s="3"/>
      <c r="Z1021" s="4"/>
      <c r="AA1021" s="5"/>
      <c r="AB1021" s="3"/>
      <c r="AC1021" s="3"/>
      <c r="AD1021" s="3"/>
      <c r="AE1021" s="3"/>
      <c r="AF1021" s="3"/>
      <c r="AG1021" s="3"/>
      <c r="AH1021" s="3"/>
    </row>
    <row r="1022" spans="1:34" x14ac:dyDescent="0.3">
      <c r="A1022" s="11"/>
      <c r="B1022" s="12"/>
      <c r="C1022" s="12"/>
      <c r="D1022" s="13"/>
      <c r="E1022" s="6"/>
      <c r="F1022" s="3"/>
      <c r="G1022" s="3"/>
      <c r="H1022" s="3"/>
      <c r="I1022" s="3"/>
      <c r="J1022" s="3"/>
      <c r="K1022" s="3"/>
      <c r="L1022" s="3"/>
      <c r="M1022" s="3"/>
      <c r="N1022" s="3"/>
      <c r="O1022" s="8"/>
      <c r="P1022" s="3"/>
      <c r="Q1022" s="3"/>
      <c r="R1022" s="3"/>
      <c r="S1022" s="3"/>
      <c r="T1022" s="3"/>
      <c r="U1022" s="3"/>
      <c r="V1022" s="8"/>
      <c r="W1022" s="3"/>
      <c r="X1022" s="3"/>
      <c r="Y1022" s="3"/>
      <c r="Z1022" s="4"/>
      <c r="AA1022" s="5"/>
      <c r="AB1022" s="3"/>
      <c r="AC1022" s="3"/>
      <c r="AD1022" s="3"/>
      <c r="AE1022" s="3"/>
      <c r="AF1022" s="3"/>
      <c r="AG1022" s="3"/>
      <c r="AH1022" s="3"/>
    </row>
    <row r="1023" spans="1:34" x14ac:dyDescent="0.3">
      <c r="A1023" s="11"/>
      <c r="B1023" s="12"/>
      <c r="C1023" s="12"/>
      <c r="D1023" s="13"/>
      <c r="E1023" s="6"/>
      <c r="F1023" s="3"/>
      <c r="G1023" s="3"/>
      <c r="H1023" s="3"/>
      <c r="I1023" s="3"/>
      <c r="J1023" s="3"/>
      <c r="K1023" s="3"/>
      <c r="L1023" s="3"/>
      <c r="M1023" s="3"/>
      <c r="N1023" s="3"/>
      <c r="O1023" s="8"/>
      <c r="P1023" s="3"/>
      <c r="Q1023" s="3"/>
      <c r="R1023" s="3"/>
      <c r="S1023" s="3"/>
      <c r="T1023" s="3"/>
      <c r="U1023" s="3"/>
      <c r="V1023" s="8"/>
      <c r="W1023" s="3"/>
      <c r="X1023" s="3"/>
      <c r="Y1023" s="3"/>
      <c r="Z1023" s="4"/>
      <c r="AA1023" s="5"/>
      <c r="AB1023" s="3"/>
      <c r="AC1023" s="3"/>
      <c r="AD1023" s="3"/>
      <c r="AE1023" s="3"/>
      <c r="AF1023" s="3"/>
      <c r="AG1023" s="3"/>
      <c r="AH1023" s="3"/>
    </row>
    <row r="1024" spans="1:34" x14ac:dyDescent="0.3">
      <c r="A1024" s="11"/>
      <c r="B1024" s="12"/>
      <c r="C1024" s="12"/>
      <c r="D1024" s="13"/>
      <c r="E1024" s="6"/>
      <c r="F1024" s="3"/>
      <c r="G1024" s="3"/>
      <c r="H1024" s="3"/>
      <c r="I1024" s="3"/>
      <c r="J1024" s="3"/>
      <c r="K1024" s="3"/>
      <c r="L1024" s="3"/>
      <c r="M1024" s="3"/>
      <c r="N1024" s="3"/>
      <c r="O1024" s="8"/>
      <c r="P1024" s="3"/>
      <c r="Q1024" s="3"/>
      <c r="R1024" s="3"/>
      <c r="S1024" s="3"/>
      <c r="T1024" s="3"/>
      <c r="U1024" s="3"/>
      <c r="V1024" s="8"/>
      <c r="W1024" s="3"/>
      <c r="X1024" s="3"/>
      <c r="Y1024" s="3"/>
      <c r="Z1024" s="4"/>
      <c r="AA1024" s="5"/>
      <c r="AB1024" s="3"/>
      <c r="AC1024" s="3"/>
      <c r="AD1024" s="3"/>
      <c r="AE1024" s="3"/>
      <c r="AF1024" s="3"/>
      <c r="AG1024" s="3"/>
      <c r="AH1024" s="3"/>
    </row>
    <row r="1025" spans="1:34" x14ac:dyDescent="0.3">
      <c r="A1025" s="11"/>
      <c r="B1025" s="12"/>
      <c r="C1025" s="12"/>
      <c r="D1025" s="13"/>
      <c r="E1025" s="6"/>
      <c r="F1025" s="3"/>
      <c r="G1025" s="3"/>
      <c r="H1025" s="3"/>
      <c r="I1025" s="3"/>
      <c r="J1025" s="3"/>
      <c r="K1025" s="3"/>
      <c r="L1025" s="3"/>
      <c r="M1025" s="3"/>
      <c r="N1025" s="3"/>
      <c r="O1025" s="8"/>
      <c r="P1025" s="3"/>
      <c r="Q1025" s="3"/>
      <c r="R1025" s="3"/>
      <c r="S1025" s="3"/>
      <c r="T1025" s="3"/>
      <c r="U1025" s="3"/>
      <c r="V1025" s="8"/>
      <c r="W1025" s="3"/>
      <c r="X1025" s="3"/>
      <c r="Y1025" s="3"/>
      <c r="Z1025" s="4"/>
      <c r="AA1025" s="5"/>
      <c r="AB1025" s="3"/>
      <c r="AC1025" s="3"/>
      <c r="AD1025" s="3"/>
      <c r="AE1025" s="3"/>
      <c r="AF1025" s="3"/>
      <c r="AG1025" s="3"/>
      <c r="AH1025" s="3"/>
    </row>
    <row r="1026" spans="1:34" x14ac:dyDescent="0.3">
      <c r="A1026" s="11"/>
      <c r="B1026" s="12"/>
      <c r="C1026" s="12"/>
      <c r="D1026" s="13"/>
      <c r="E1026" s="6"/>
      <c r="F1026" s="3"/>
      <c r="G1026" s="3"/>
      <c r="H1026" s="3"/>
      <c r="I1026" s="3"/>
      <c r="J1026" s="3"/>
      <c r="K1026" s="3"/>
      <c r="L1026" s="3"/>
      <c r="M1026" s="3"/>
      <c r="N1026" s="3"/>
      <c r="O1026" s="8"/>
      <c r="P1026" s="3"/>
      <c r="Q1026" s="3"/>
      <c r="R1026" s="3"/>
      <c r="S1026" s="3"/>
      <c r="T1026" s="3"/>
      <c r="U1026" s="3"/>
      <c r="V1026" s="8"/>
      <c r="W1026" s="3"/>
      <c r="X1026" s="3"/>
      <c r="Y1026" s="3"/>
      <c r="Z1026" s="4"/>
      <c r="AA1026" s="5"/>
      <c r="AB1026" s="3"/>
      <c r="AC1026" s="3"/>
      <c r="AD1026" s="3"/>
      <c r="AE1026" s="3"/>
      <c r="AF1026" s="3"/>
      <c r="AG1026" s="3"/>
      <c r="AH1026" s="3"/>
    </row>
    <row r="1027" spans="1:34" x14ac:dyDescent="0.3">
      <c r="A1027" s="11"/>
      <c r="B1027" s="12"/>
      <c r="C1027" s="12"/>
      <c r="D1027" s="13"/>
      <c r="E1027" s="6"/>
      <c r="F1027" s="3"/>
      <c r="G1027" s="3"/>
      <c r="H1027" s="3"/>
      <c r="I1027" s="3"/>
      <c r="J1027" s="3"/>
      <c r="K1027" s="3"/>
      <c r="L1027" s="3"/>
      <c r="M1027" s="3"/>
      <c r="N1027" s="3"/>
      <c r="O1027" s="8"/>
      <c r="P1027" s="3"/>
      <c r="Q1027" s="3"/>
      <c r="R1027" s="3"/>
      <c r="S1027" s="3"/>
      <c r="T1027" s="3"/>
      <c r="U1027" s="3"/>
      <c r="V1027" s="8"/>
      <c r="W1027" s="3"/>
      <c r="X1027" s="3"/>
      <c r="Y1027" s="3"/>
      <c r="Z1027" s="4"/>
      <c r="AA1027" s="5"/>
      <c r="AB1027" s="3"/>
      <c r="AC1027" s="3"/>
      <c r="AD1027" s="3"/>
      <c r="AE1027" s="3"/>
      <c r="AF1027" s="3"/>
      <c r="AG1027" s="3"/>
      <c r="AH1027" s="3"/>
    </row>
    <row r="1028" spans="1:34" x14ac:dyDescent="0.3">
      <c r="A1028" s="11"/>
      <c r="B1028" s="12"/>
      <c r="C1028" s="12"/>
      <c r="D1028" s="13"/>
      <c r="E1028" s="6"/>
      <c r="F1028" s="3"/>
      <c r="G1028" s="3"/>
      <c r="H1028" s="3"/>
      <c r="I1028" s="3"/>
      <c r="J1028" s="3"/>
      <c r="K1028" s="3"/>
      <c r="L1028" s="3"/>
      <c r="M1028" s="3"/>
      <c r="N1028" s="3"/>
      <c r="O1028" s="8"/>
      <c r="P1028" s="3"/>
      <c r="Q1028" s="3"/>
      <c r="R1028" s="3"/>
      <c r="S1028" s="3"/>
      <c r="T1028" s="3"/>
      <c r="U1028" s="3"/>
      <c r="V1028" s="8"/>
      <c r="W1028" s="3"/>
      <c r="X1028" s="3"/>
      <c r="Y1028" s="3"/>
      <c r="Z1028" s="4"/>
      <c r="AA1028" s="5"/>
      <c r="AB1028" s="3"/>
      <c r="AC1028" s="3"/>
      <c r="AD1028" s="3"/>
      <c r="AE1028" s="3"/>
      <c r="AF1028" s="3"/>
      <c r="AG1028" s="3"/>
      <c r="AH1028" s="3"/>
    </row>
    <row r="1029" spans="1:34" x14ac:dyDescent="0.3">
      <c r="A1029" s="11"/>
      <c r="B1029" s="12"/>
      <c r="C1029" s="12"/>
      <c r="D1029" s="13"/>
      <c r="E1029" s="6"/>
      <c r="F1029" s="3"/>
      <c r="G1029" s="3"/>
      <c r="H1029" s="3"/>
      <c r="I1029" s="3"/>
      <c r="J1029" s="3"/>
      <c r="K1029" s="3"/>
      <c r="L1029" s="3"/>
      <c r="M1029" s="3"/>
      <c r="N1029" s="3"/>
      <c r="O1029" s="8"/>
      <c r="P1029" s="3"/>
      <c r="Q1029" s="3"/>
      <c r="R1029" s="3"/>
      <c r="S1029" s="3"/>
      <c r="T1029" s="3"/>
      <c r="U1029" s="3"/>
      <c r="V1029" s="8"/>
      <c r="W1029" s="3"/>
      <c r="X1029" s="3"/>
      <c r="Y1029" s="3"/>
      <c r="Z1029" s="4"/>
      <c r="AA1029" s="5"/>
      <c r="AB1029" s="3"/>
      <c r="AC1029" s="3"/>
      <c r="AD1029" s="3"/>
      <c r="AE1029" s="3"/>
      <c r="AF1029" s="3"/>
      <c r="AG1029" s="3"/>
      <c r="AH1029" s="3"/>
    </row>
    <row r="1030" spans="1:34" x14ac:dyDescent="0.3">
      <c r="A1030" s="11"/>
      <c r="B1030" s="12"/>
      <c r="C1030" s="12"/>
      <c r="D1030" s="13"/>
      <c r="E1030" s="6"/>
      <c r="F1030" s="3"/>
      <c r="G1030" s="3"/>
      <c r="H1030" s="3"/>
      <c r="I1030" s="3"/>
      <c r="J1030" s="3"/>
      <c r="K1030" s="3"/>
      <c r="L1030" s="3"/>
      <c r="M1030" s="3"/>
      <c r="N1030" s="3"/>
      <c r="O1030" s="8"/>
      <c r="P1030" s="3"/>
      <c r="Q1030" s="3"/>
      <c r="R1030" s="3"/>
      <c r="S1030" s="3"/>
      <c r="T1030" s="3"/>
      <c r="U1030" s="3"/>
      <c r="V1030" s="8"/>
      <c r="W1030" s="3"/>
      <c r="X1030" s="3"/>
      <c r="Y1030" s="3"/>
      <c r="Z1030" s="4"/>
      <c r="AA1030" s="5"/>
      <c r="AB1030" s="3"/>
      <c r="AC1030" s="3"/>
      <c r="AD1030" s="3"/>
      <c r="AE1030" s="3"/>
      <c r="AF1030" s="3"/>
      <c r="AG1030" s="3"/>
      <c r="AH1030" s="3"/>
    </row>
    <row r="1031" spans="1:34" x14ac:dyDescent="0.3">
      <c r="A1031" s="11"/>
      <c r="B1031" s="12"/>
      <c r="C1031" s="12"/>
      <c r="D1031" s="13"/>
      <c r="E1031" s="6"/>
      <c r="F1031" s="3"/>
      <c r="G1031" s="3"/>
      <c r="H1031" s="3"/>
      <c r="I1031" s="3"/>
      <c r="J1031" s="3"/>
      <c r="K1031" s="3"/>
      <c r="L1031" s="3"/>
      <c r="M1031" s="3"/>
      <c r="N1031" s="3"/>
      <c r="O1031" s="8"/>
      <c r="P1031" s="3"/>
      <c r="Q1031" s="3"/>
      <c r="R1031" s="3"/>
      <c r="S1031" s="3"/>
      <c r="T1031" s="3"/>
      <c r="U1031" s="3"/>
      <c r="V1031" s="8"/>
      <c r="W1031" s="3"/>
      <c r="X1031" s="3"/>
      <c r="Y1031" s="3"/>
      <c r="Z1031" s="4"/>
      <c r="AA1031" s="5"/>
      <c r="AB1031" s="3"/>
      <c r="AC1031" s="3"/>
      <c r="AD1031" s="3"/>
      <c r="AE1031" s="3"/>
      <c r="AF1031" s="3"/>
      <c r="AG1031" s="3"/>
      <c r="AH1031" s="3"/>
    </row>
    <row r="1032" spans="1:34" x14ac:dyDescent="0.3">
      <c r="A1032" s="11"/>
      <c r="B1032" s="12"/>
      <c r="C1032" s="12"/>
      <c r="D1032" s="13"/>
      <c r="E1032" s="6"/>
      <c r="F1032" s="3"/>
      <c r="G1032" s="3"/>
      <c r="H1032" s="3"/>
      <c r="I1032" s="3"/>
      <c r="J1032" s="3"/>
      <c r="K1032" s="3"/>
      <c r="L1032" s="3"/>
      <c r="M1032" s="3"/>
      <c r="N1032" s="3"/>
      <c r="O1032" s="8"/>
      <c r="P1032" s="3"/>
      <c r="Q1032" s="3"/>
      <c r="R1032" s="3"/>
      <c r="S1032" s="3"/>
      <c r="T1032" s="3"/>
      <c r="U1032" s="3"/>
      <c r="V1032" s="8"/>
      <c r="W1032" s="3"/>
      <c r="X1032" s="3"/>
      <c r="Y1032" s="3"/>
      <c r="Z1032" s="4"/>
      <c r="AA1032" s="5"/>
      <c r="AB1032" s="3"/>
      <c r="AC1032" s="3"/>
      <c r="AD1032" s="3"/>
      <c r="AE1032" s="3"/>
      <c r="AF1032" s="3"/>
      <c r="AG1032" s="3"/>
      <c r="AH1032" s="3"/>
    </row>
    <row r="1033" spans="1:34" x14ac:dyDescent="0.3">
      <c r="A1033" s="11"/>
      <c r="B1033" s="12"/>
      <c r="C1033" s="12"/>
      <c r="D1033" s="13"/>
      <c r="E1033" s="6"/>
      <c r="F1033" s="3"/>
      <c r="G1033" s="3"/>
      <c r="H1033" s="3"/>
      <c r="I1033" s="3"/>
      <c r="J1033" s="3"/>
      <c r="K1033" s="3"/>
      <c r="L1033" s="3"/>
      <c r="M1033" s="3"/>
      <c r="N1033" s="3"/>
      <c r="O1033" s="8"/>
      <c r="P1033" s="3"/>
      <c r="Q1033" s="3"/>
      <c r="R1033" s="3"/>
      <c r="S1033" s="3"/>
      <c r="T1033" s="3"/>
      <c r="U1033" s="3"/>
      <c r="V1033" s="8"/>
      <c r="W1033" s="3"/>
      <c r="X1033" s="3"/>
      <c r="Y1033" s="3"/>
      <c r="Z1033" s="4"/>
      <c r="AA1033" s="5"/>
      <c r="AB1033" s="3"/>
      <c r="AC1033" s="3"/>
      <c r="AD1033" s="3"/>
      <c r="AE1033" s="3"/>
      <c r="AF1033" s="3"/>
      <c r="AG1033" s="3"/>
      <c r="AH1033" s="3"/>
    </row>
    <row r="1034" spans="1:34" x14ac:dyDescent="0.3">
      <c r="A1034" s="11"/>
      <c r="B1034" s="12"/>
      <c r="C1034" s="12"/>
      <c r="D1034" s="13"/>
      <c r="E1034" s="6"/>
      <c r="F1034" s="3"/>
      <c r="G1034" s="3"/>
      <c r="H1034" s="3"/>
      <c r="I1034" s="3"/>
      <c r="J1034" s="3"/>
      <c r="K1034" s="3"/>
      <c r="L1034" s="3"/>
      <c r="M1034" s="3"/>
      <c r="N1034" s="3"/>
      <c r="O1034" s="8"/>
      <c r="P1034" s="3"/>
      <c r="Q1034" s="3"/>
      <c r="R1034" s="3"/>
      <c r="S1034" s="3"/>
      <c r="T1034" s="3"/>
      <c r="U1034" s="3"/>
      <c r="V1034" s="8"/>
      <c r="W1034" s="3"/>
      <c r="X1034" s="3"/>
      <c r="Y1034" s="3"/>
      <c r="Z1034" s="4"/>
      <c r="AA1034" s="5"/>
      <c r="AB1034" s="3"/>
      <c r="AC1034" s="3"/>
      <c r="AD1034" s="3"/>
      <c r="AE1034" s="3"/>
      <c r="AF1034" s="3"/>
      <c r="AG1034" s="3"/>
      <c r="AH1034" s="3"/>
    </row>
    <row r="1035" spans="1:34" x14ac:dyDescent="0.3">
      <c r="A1035" s="11"/>
      <c r="B1035" s="12"/>
      <c r="C1035" s="12"/>
      <c r="D1035" s="13"/>
      <c r="E1035" s="6"/>
      <c r="F1035" s="3"/>
      <c r="G1035" s="3"/>
      <c r="H1035" s="3"/>
      <c r="I1035" s="3"/>
      <c r="J1035" s="3"/>
      <c r="K1035" s="3"/>
      <c r="L1035" s="3"/>
      <c r="M1035" s="3"/>
      <c r="N1035" s="3"/>
      <c r="O1035" s="8"/>
      <c r="P1035" s="3"/>
      <c r="Q1035" s="3"/>
      <c r="R1035" s="3"/>
      <c r="S1035" s="3"/>
      <c r="T1035" s="3"/>
      <c r="U1035" s="3"/>
      <c r="V1035" s="8"/>
      <c r="W1035" s="3"/>
      <c r="X1035" s="3"/>
      <c r="Y1035" s="3"/>
      <c r="Z1035" s="4"/>
      <c r="AA1035" s="5"/>
      <c r="AB1035" s="3"/>
      <c r="AC1035" s="3"/>
      <c r="AD1035" s="3"/>
      <c r="AE1035" s="3"/>
      <c r="AF1035" s="3"/>
      <c r="AG1035" s="3"/>
      <c r="AH1035" s="3"/>
    </row>
    <row r="1036" spans="1:34" x14ac:dyDescent="0.3">
      <c r="A1036" s="11"/>
      <c r="B1036" s="12"/>
      <c r="C1036" s="12"/>
      <c r="D1036" s="13"/>
      <c r="E1036" s="6"/>
      <c r="F1036" s="3"/>
      <c r="G1036" s="3"/>
      <c r="H1036" s="3"/>
      <c r="I1036" s="3"/>
      <c r="J1036" s="3"/>
      <c r="K1036" s="3"/>
      <c r="L1036" s="3"/>
      <c r="M1036" s="3"/>
      <c r="N1036" s="3"/>
      <c r="O1036" s="8"/>
      <c r="P1036" s="3"/>
      <c r="Q1036" s="3"/>
      <c r="R1036" s="3"/>
      <c r="S1036" s="3"/>
      <c r="T1036" s="3"/>
      <c r="U1036" s="3"/>
      <c r="V1036" s="8"/>
      <c r="W1036" s="3"/>
      <c r="X1036" s="3"/>
      <c r="Y1036" s="3"/>
      <c r="Z1036" s="4"/>
      <c r="AA1036" s="5"/>
      <c r="AB1036" s="3"/>
      <c r="AC1036" s="3"/>
      <c r="AD1036" s="3"/>
      <c r="AE1036" s="3"/>
      <c r="AF1036" s="3"/>
      <c r="AG1036" s="3"/>
      <c r="AH1036" s="3"/>
    </row>
    <row r="1037" spans="1:34" x14ac:dyDescent="0.3">
      <c r="A1037" s="11"/>
      <c r="B1037" s="12"/>
      <c r="C1037" s="12"/>
      <c r="D1037" s="13"/>
      <c r="E1037" s="6"/>
      <c r="F1037" s="3"/>
      <c r="G1037" s="3"/>
      <c r="H1037" s="3"/>
      <c r="I1037" s="3"/>
      <c r="J1037" s="3"/>
      <c r="K1037" s="3"/>
      <c r="L1037" s="3"/>
      <c r="M1037" s="3"/>
      <c r="N1037" s="3"/>
      <c r="O1037" s="8"/>
      <c r="P1037" s="3"/>
      <c r="Q1037" s="3"/>
      <c r="R1037" s="3"/>
      <c r="S1037" s="3"/>
      <c r="T1037" s="3"/>
      <c r="U1037" s="3"/>
      <c r="V1037" s="8"/>
      <c r="W1037" s="3"/>
      <c r="X1037" s="3"/>
      <c r="Y1037" s="3"/>
      <c r="Z1037" s="4"/>
      <c r="AA1037" s="5"/>
      <c r="AB1037" s="3"/>
      <c r="AC1037" s="3"/>
      <c r="AD1037" s="3"/>
      <c r="AE1037" s="3"/>
      <c r="AF1037" s="3"/>
      <c r="AG1037" s="3"/>
      <c r="AH1037" s="3"/>
    </row>
    <row r="1038" spans="1:34" x14ac:dyDescent="0.3">
      <c r="A1038" s="11"/>
      <c r="B1038" s="12"/>
      <c r="C1038" s="12"/>
      <c r="D1038" s="13"/>
      <c r="E1038" s="6"/>
      <c r="F1038" s="3"/>
      <c r="G1038" s="3"/>
      <c r="H1038" s="3"/>
      <c r="I1038" s="3"/>
      <c r="J1038" s="3"/>
      <c r="K1038" s="3"/>
      <c r="L1038" s="3"/>
      <c r="M1038" s="3"/>
      <c r="N1038" s="3"/>
      <c r="O1038" s="8"/>
      <c r="P1038" s="3"/>
      <c r="Q1038" s="3"/>
      <c r="R1038" s="3"/>
      <c r="S1038" s="3"/>
      <c r="T1038" s="3"/>
      <c r="U1038" s="3"/>
      <c r="V1038" s="8"/>
      <c r="W1038" s="3"/>
      <c r="X1038" s="3"/>
      <c r="Y1038" s="3"/>
      <c r="Z1038" s="4"/>
      <c r="AA1038" s="5"/>
      <c r="AB1038" s="3"/>
      <c r="AC1038" s="3"/>
      <c r="AD1038" s="3"/>
      <c r="AE1038" s="3"/>
      <c r="AF1038" s="3"/>
      <c r="AG1038" s="3"/>
      <c r="AH1038" s="3"/>
    </row>
    <row r="1039" spans="1:34" x14ac:dyDescent="0.3">
      <c r="A1039" s="11"/>
      <c r="B1039" s="12"/>
      <c r="C1039" s="12"/>
      <c r="D1039" s="13"/>
      <c r="E1039" s="6"/>
      <c r="F1039" s="3"/>
      <c r="G1039" s="3"/>
      <c r="H1039" s="3"/>
      <c r="I1039" s="3"/>
      <c r="J1039" s="3"/>
      <c r="K1039" s="3"/>
      <c r="L1039" s="3"/>
      <c r="M1039" s="3"/>
      <c r="N1039" s="3"/>
      <c r="O1039" s="8"/>
      <c r="P1039" s="3"/>
      <c r="Q1039" s="3"/>
      <c r="R1039" s="3"/>
      <c r="S1039" s="3"/>
      <c r="T1039" s="3"/>
      <c r="U1039" s="3"/>
      <c r="V1039" s="8"/>
      <c r="W1039" s="3"/>
      <c r="X1039" s="3"/>
      <c r="Y1039" s="3"/>
      <c r="Z1039" s="4"/>
      <c r="AA1039" s="5"/>
      <c r="AB1039" s="3"/>
      <c r="AC1039" s="3"/>
      <c r="AD1039" s="3"/>
      <c r="AE1039" s="3"/>
      <c r="AF1039" s="3"/>
      <c r="AG1039" s="3"/>
      <c r="AH1039" s="3"/>
    </row>
    <row r="1040" spans="1:34" x14ac:dyDescent="0.3">
      <c r="A1040" s="11"/>
      <c r="B1040" s="12"/>
      <c r="C1040" s="12"/>
      <c r="D1040" s="13"/>
      <c r="E1040" s="6"/>
      <c r="F1040" s="3"/>
      <c r="G1040" s="3"/>
      <c r="H1040" s="3"/>
      <c r="I1040" s="3"/>
      <c r="J1040" s="3"/>
      <c r="K1040" s="3"/>
      <c r="L1040" s="3"/>
      <c r="M1040" s="3"/>
      <c r="N1040" s="3"/>
      <c r="O1040" s="8"/>
      <c r="P1040" s="3"/>
      <c r="Q1040" s="3"/>
      <c r="R1040" s="3"/>
      <c r="S1040" s="3"/>
      <c r="T1040" s="3"/>
      <c r="U1040" s="3"/>
      <c r="V1040" s="8"/>
      <c r="W1040" s="3"/>
      <c r="X1040" s="3"/>
      <c r="Y1040" s="3"/>
      <c r="Z1040" s="4"/>
      <c r="AA1040" s="5"/>
      <c r="AB1040" s="3"/>
      <c r="AC1040" s="3"/>
      <c r="AD1040" s="3"/>
      <c r="AE1040" s="3"/>
      <c r="AF1040" s="3"/>
      <c r="AG1040" s="3"/>
      <c r="AH1040" s="3"/>
    </row>
    <row r="1041" spans="1:34" x14ac:dyDescent="0.3">
      <c r="A1041" s="11"/>
      <c r="B1041" s="12"/>
      <c r="C1041" s="12"/>
      <c r="D1041" s="13"/>
      <c r="E1041" s="6"/>
      <c r="F1041" s="3"/>
      <c r="G1041" s="3"/>
      <c r="H1041" s="3"/>
      <c r="I1041" s="3"/>
      <c r="J1041" s="3"/>
      <c r="K1041" s="3"/>
      <c r="L1041" s="3"/>
      <c r="M1041" s="3"/>
      <c r="N1041" s="3"/>
      <c r="O1041" s="8"/>
      <c r="P1041" s="3"/>
      <c r="Q1041" s="3"/>
      <c r="R1041" s="3"/>
      <c r="S1041" s="3"/>
      <c r="T1041" s="3"/>
      <c r="U1041" s="3"/>
      <c r="V1041" s="8"/>
      <c r="W1041" s="3"/>
      <c r="X1041" s="3"/>
      <c r="Y1041" s="3"/>
      <c r="Z1041" s="4"/>
      <c r="AA1041" s="5"/>
      <c r="AB1041" s="3"/>
      <c r="AC1041" s="3"/>
      <c r="AD1041" s="3"/>
      <c r="AE1041" s="3"/>
      <c r="AF1041" s="3"/>
      <c r="AG1041" s="3"/>
      <c r="AH1041" s="3"/>
    </row>
    <row r="1042" spans="1:34" x14ac:dyDescent="0.3">
      <c r="A1042" s="11"/>
      <c r="B1042" s="12"/>
      <c r="C1042" s="12"/>
      <c r="D1042" s="13"/>
      <c r="E1042" s="6"/>
      <c r="F1042" s="3"/>
      <c r="G1042" s="3"/>
      <c r="H1042" s="3"/>
      <c r="I1042" s="3"/>
      <c r="J1042" s="3"/>
      <c r="K1042" s="3"/>
      <c r="L1042" s="3"/>
      <c r="M1042" s="3"/>
      <c r="N1042" s="3"/>
      <c r="O1042" s="8"/>
      <c r="P1042" s="3"/>
      <c r="Q1042" s="3"/>
      <c r="R1042" s="3"/>
      <c r="S1042" s="3"/>
      <c r="T1042" s="3"/>
      <c r="U1042" s="3"/>
      <c r="V1042" s="8"/>
      <c r="W1042" s="3"/>
      <c r="X1042" s="3"/>
      <c r="Y1042" s="3"/>
      <c r="Z1042" s="4"/>
      <c r="AA1042" s="5"/>
      <c r="AB1042" s="3"/>
      <c r="AC1042" s="3"/>
      <c r="AD1042" s="3"/>
      <c r="AE1042" s="3"/>
      <c r="AF1042" s="3"/>
      <c r="AG1042" s="3"/>
      <c r="AH1042" s="3"/>
    </row>
    <row r="1043" spans="1:34" x14ac:dyDescent="0.3">
      <c r="A1043" s="11"/>
      <c r="B1043" s="12"/>
      <c r="C1043" s="12"/>
      <c r="D1043" s="13"/>
      <c r="E1043" s="6"/>
      <c r="F1043" s="3"/>
      <c r="G1043" s="3"/>
      <c r="H1043" s="3"/>
      <c r="I1043" s="3"/>
      <c r="J1043" s="3"/>
      <c r="K1043" s="3"/>
      <c r="L1043" s="3"/>
      <c r="M1043" s="3"/>
      <c r="N1043" s="3"/>
      <c r="O1043" s="8"/>
      <c r="P1043" s="3"/>
      <c r="Q1043" s="3"/>
      <c r="R1043" s="3"/>
      <c r="S1043" s="3"/>
      <c r="T1043" s="3"/>
      <c r="U1043" s="3"/>
      <c r="V1043" s="8"/>
      <c r="W1043" s="3"/>
      <c r="X1043" s="3"/>
      <c r="Y1043" s="3"/>
      <c r="Z1043" s="4"/>
      <c r="AA1043" s="5"/>
      <c r="AB1043" s="3"/>
      <c r="AC1043" s="3"/>
      <c r="AD1043" s="3"/>
      <c r="AE1043" s="3"/>
      <c r="AF1043" s="3"/>
      <c r="AG1043" s="3"/>
      <c r="AH1043" s="3"/>
    </row>
    <row r="1044" spans="1:34" x14ac:dyDescent="0.3">
      <c r="A1044" s="11"/>
      <c r="B1044" s="12"/>
      <c r="C1044" s="12"/>
      <c r="D1044" s="13"/>
      <c r="E1044" s="6"/>
      <c r="F1044" s="3"/>
      <c r="G1044" s="3"/>
      <c r="H1044" s="3"/>
      <c r="I1044" s="3"/>
      <c r="J1044" s="3"/>
      <c r="K1044" s="3"/>
      <c r="L1044" s="3"/>
      <c r="M1044" s="3"/>
      <c r="N1044" s="3"/>
      <c r="O1044" s="8"/>
      <c r="P1044" s="3"/>
      <c r="Q1044" s="3"/>
      <c r="R1044" s="3"/>
      <c r="S1044" s="3"/>
      <c r="T1044" s="3"/>
      <c r="U1044" s="3"/>
      <c r="V1044" s="8"/>
      <c r="W1044" s="3"/>
      <c r="X1044" s="3"/>
      <c r="Y1044" s="3"/>
      <c r="Z1044" s="4"/>
      <c r="AA1044" s="5"/>
      <c r="AB1044" s="3"/>
      <c r="AC1044" s="3"/>
      <c r="AD1044" s="3"/>
      <c r="AE1044" s="3"/>
      <c r="AF1044" s="3"/>
      <c r="AG1044" s="3"/>
      <c r="AH1044" s="3"/>
    </row>
    <row r="1045" spans="1:34" x14ac:dyDescent="0.3">
      <c r="A1045" s="11"/>
      <c r="B1045" s="12"/>
      <c r="C1045" s="12"/>
      <c r="D1045" s="13"/>
      <c r="E1045" s="6"/>
      <c r="F1045" s="3"/>
      <c r="G1045" s="3"/>
      <c r="H1045" s="3"/>
      <c r="I1045" s="3"/>
      <c r="J1045" s="3"/>
      <c r="K1045" s="3"/>
      <c r="L1045" s="3"/>
      <c r="M1045" s="3"/>
      <c r="N1045" s="3"/>
      <c r="O1045" s="8"/>
      <c r="P1045" s="3"/>
      <c r="Q1045" s="3"/>
      <c r="R1045" s="3"/>
      <c r="S1045" s="3"/>
      <c r="T1045" s="3"/>
      <c r="U1045" s="3"/>
      <c r="V1045" s="8"/>
      <c r="W1045" s="3"/>
      <c r="X1045" s="3"/>
      <c r="Y1045" s="3"/>
      <c r="Z1045" s="4"/>
      <c r="AA1045" s="5"/>
      <c r="AB1045" s="3"/>
      <c r="AC1045" s="3"/>
      <c r="AD1045" s="3"/>
      <c r="AE1045" s="3"/>
      <c r="AF1045" s="3"/>
      <c r="AG1045" s="3"/>
      <c r="AH1045" s="3"/>
    </row>
    <row r="1046" spans="1:34" x14ac:dyDescent="0.3">
      <c r="A1046" s="11"/>
      <c r="B1046" s="12"/>
      <c r="C1046" s="12"/>
      <c r="D1046" s="13"/>
      <c r="E1046" s="6"/>
      <c r="F1046" s="3"/>
      <c r="G1046" s="3"/>
      <c r="H1046" s="3"/>
      <c r="I1046" s="3"/>
      <c r="J1046" s="3"/>
      <c r="K1046" s="3"/>
      <c r="L1046" s="3"/>
      <c r="M1046" s="3"/>
      <c r="N1046" s="3"/>
      <c r="O1046" s="8"/>
      <c r="P1046" s="3"/>
      <c r="Q1046" s="3"/>
      <c r="R1046" s="3"/>
      <c r="S1046" s="3"/>
      <c r="T1046" s="3"/>
      <c r="U1046" s="3"/>
      <c r="V1046" s="8"/>
      <c r="W1046" s="3"/>
      <c r="X1046" s="3"/>
      <c r="Y1046" s="3"/>
      <c r="Z1046" s="4"/>
      <c r="AA1046" s="5"/>
      <c r="AB1046" s="3"/>
      <c r="AC1046" s="3"/>
      <c r="AD1046" s="3"/>
      <c r="AE1046" s="3"/>
      <c r="AF1046" s="3"/>
      <c r="AG1046" s="3"/>
      <c r="AH1046" s="3"/>
    </row>
    <row r="1047" spans="1:34" x14ac:dyDescent="0.3">
      <c r="A1047" s="11"/>
      <c r="B1047" s="12"/>
      <c r="C1047" s="12"/>
      <c r="D1047" s="13"/>
      <c r="E1047" s="6"/>
      <c r="F1047" s="3"/>
      <c r="G1047" s="3"/>
      <c r="H1047" s="3"/>
      <c r="I1047" s="3"/>
      <c r="J1047" s="3"/>
      <c r="K1047" s="3"/>
      <c r="L1047" s="3"/>
      <c r="M1047" s="3"/>
      <c r="N1047" s="3"/>
      <c r="O1047" s="8"/>
      <c r="P1047" s="3"/>
      <c r="Q1047" s="3"/>
      <c r="R1047" s="3"/>
      <c r="S1047" s="3"/>
      <c r="T1047" s="3"/>
      <c r="U1047" s="3"/>
      <c r="V1047" s="8"/>
      <c r="W1047" s="3"/>
      <c r="X1047" s="3"/>
      <c r="Y1047" s="3"/>
      <c r="Z1047" s="4"/>
      <c r="AA1047" s="5"/>
      <c r="AB1047" s="3"/>
      <c r="AC1047" s="3"/>
      <c r="AD1047" s="3"/>
      <c r="AE1047" s="3"/>
      <c r="AF1047" s="3"/>
      <c r="AG1047" s="3"/>
      <c r="AH1047" s="3"/>
    </row>
    <row r="1048" spans="1:34" x14ac:dyDescent="0.3">
      <c r="A1048" s="11"/>
      <c r="B1048" s="12"/>
      <c r="C1048" s="12"/>
      <c r="D1048" s="13"/>
      <c r="E1048" s="6"/>
      <c r="F1048" s="3"/>
      <c r="G1048" s="3"/>
      <c r="H1048" s="3"/>
      <c r="I1048" s="3"/>
      <c r="J1048" s="3"/>
      <c r="K1048" s="3"/>
      <c r="L1048" s="3"/>
      <c r="M1048" s="3"/>
      <c r="N1048" s="3"/>
      <c r="O1048" s="8"/>
      <c r="P1048" s="3"/>
      <c r="Q1048" s="3"/>
      <c r="R1048" s="3"/>
      <c r="S1048" s="3"/>
      <c r="T1048" s="3"/>
      <c r="U1048" s="3"/>
      <c r="V1048" s="8"/>
      <c r="W1048" s="3"/>
      <c r="X1048" s="3"/>
      <c r="Y1048" s="3"/>
      <c r="Z1048" s="4"/>
      <c r="AA1048" s="5"/>
      <c r="AB1048" s="3"/>
      <c r="AC1048" s="3"/>
      <c r="AD1048" s="3"/>
      <c r="AE1048" s="3"/>
      <c r="AF1048" s="3"/>
      <c r="AG1048" s="3"/>
      <c r="AH1048" s="3"/>
    </row>
    <row r="1049" spans="1:34" x14ac:dyDescent="0.3">
      <c r="A1049" s="11"/>
      <c r="B1049" s="12"/>
      <c r="C1049" s="12"/>
      <c r="D1049" s="13"/>
      <c r="E1049" s="6"/>
      <c r="F1049" s="3"/>
      <c r="G1049" s="3"/>
      <c r="H1049" s="3"/>
      <c r="I1049" s="3"/>
      <c r="J1049" s="3"/>
      <c r="K1049" s="3"/>
      <c r="L1049" s="3"/>
      <c r="M1049" s="3"/>
      <c r="N1049" s="3"/>
      <c r="O1049" s="8"/>
      <c r="P1049" s="3"/>
      <c r="Q1049" s="3"/>
      <c r="R1049" s="3"/>
      <c r="S1049" s="3"/>
      <c r="T1049" s="3"/>
      <c r="U1049" s="3"/>
      <c r="V1049" s="8"/>
      <c r="W1049" s="3"/>
      <c r="X1049" s="3"/>
      <c r="Y1049" s="3"/>
      <c r="Z1049" s="4"/>
      <c r="AA1049" s="5"/>
      <c r="AB1049" s="3"/>
      <c r="AC1049" s="3"/>
      <c r="AD1049" s="3"/>
      <c r="AE1049" s="3"/>
      <c r="AF1049" s="3"/>
      <c r="AG1049" s="3"/>
      <c r="AH1049" s="3"/>
    </row>
    <row r="1050" spans="1:34" x14ac:dyDescent="0.3">
      <c r="A1050" s="11"/>
      <c r="B1050" s="12"/>
      <c r="C1050" s="12"/>
      <c r="D1050" s="13"/>
      <c r="E1050" s="6"/>
      <c r="F1050" s="3"/>
      <c r="G1050" s="3"/>
      <c r="H1050" s="3"/>
      <c r="I1050" s="3"/>
      <c r="J1050" s="3"/>
      <c r="K1050" s="3"/>
      <c r="L1050" s="3"/>
      <c r="M1050" s="3"/>
      <c r="N1050" s="3"/>
      <c r="O1050" s="8"/>
      <c r="P1050" s="3"/>
      <c r="Q1050" s="3"/>
      <c r="R1050" s="3"/>
      <c r="S1050" s="3"/>
      <c r="T1050" s="3"/>
      <c r="U1050" s="3"/>
      <c r="V1050" s="8"/>
      <c r="W1050" s="3"/>
      <c r="X1050" s="3"/>
      <c r="Y1050" s="3"/>
      <c r="Z1050" s="4"/>
      <c r="AA1050" s="5"/>
      <c r="AB1050" s="3"/>
      <c r="AC1050" s="3"/>
      <c r="AD1050" s="3"/>
      <c r="AE1050" s="3"/>
      <c r="AF1050" s="3"/>
      <c r="AG1050" s="3"/>
      <c r="AH1050" s="3"/>
    </row>
    <row r="1051" spans="1:34" x14ac:dyDescent="0.3">
      <c r="A1051" s="11"/>
      <c r="B1051" s="12"/>
      <c r="C1051" s="12"/>
      <c r="D1051" s="13"/>
      <c r="E1051" s="6"/>
      <c r="F1051" s="3"/>
      <c r="G1051" s="3"/>
      <c r="H1051" s="3"/>
      <c r="I1051" s="3"/>
      <c r="J1051" s="3"/>
      <c r="K1051" s="3"/>
      <c r="L1051" s="3"/>
      <c r="M1051" s="3"/>
      <c r="N1051" s="3"/>
      <c r="O1051" s="8"/>
      <c r="P1051" s="3"/>
      <c r="Q1051" s="3"/>
      <c r="R1051" s="3"/>
      <c r="S1051" s="3"/>
      <c r="T1051" s="3"/>
      <c r="U1051" s="3"/>
      <c r="V1051" s="8"/>
      <c r="W1051" s="3"/>
      <c r="X1051" s="3"/>
      <c r="Y1051" s="3"/>
      <c r="Z1051" s="4"/>
      <c r="AA1051" s="5"/>
      <c r="AB1051" s="3"/>
      <c r="AC1051" s="3"/>
      <c r="AD1051" s="3"/>
      <c r="AE1051" s="3"/>
      <c r="AF1051" s="3"/>
      <c r="AG1051" s="3"/>
      <c r="AH1051" s="3"/>
    </row>
    <row r="1052" spans="1:34" x14ac:dyDescent="0.3">
      <c r="A1052" s="11"/>
      <c r="B1052" s="12"/>
      <c r="C1052" s="12"/>
      <c r="D1052" s="13"/>
      <c r="E1052" s="6"/>
      <c r="F1052" s="3"/>
      <c r="G1052" s="3"/>
      <c r="H1052" s="3"/>
      <c r="I1052" s="3"/>
      <c r="J1052" s="3"/>
      <c r="K1052" s="3"/>
      <c r="L1052" s="3"/>
      <c r="M1052" s="3"/>
      <c r="N1052" s="3"/>
      <c r="O1052" s="8"/>
      <c r="P1052" s="3"/>
      <c r="Q1052" s="3"/>
      <c r="R1052" s="3"/>
      <c r="S1052" s="3"/>
      <c r="T1052" s="3"/>
      <c r="U1052" s="3"/>
      <c r="V1052" s="8"/>
      <c r="W1052" s="3"/>
      <c r="X1052" s="3"/>
      <c r="Y1052" s="3"/>
      <c r="Z1052" s="4"/>
      <c r="AA1052" s="5"/>
      <c r="AB1052" s="3"/>
      <c r="AC1052" s="3"/>
      <c r="AD1052" s="3"/>
      <c r="AE1052" s="3"/>
      <c r="AF1052" s="3"/>
      <c r="AG1052" s="3"/>
      <c r="AH1052" s="3"/>
    </row>
    <row r="1053" spans="1:34" x14ac:dyDescent="0.3">
      <c r="A1053" s="11"/>
      <c r="B1053" s="12"/>
      <c r="C1053" s="12"/>
      <c r="D1053" s="13"/>
      <c r="E1053" s="6"/>
      <c r="F1053" s="3"/>
      <c r="G1053" s="3"/>
      <c r="H1053" s="3"/>
      <c r="I1053" s="3"/>
      <c r="J1053" s="3"/>
      <c r="K1053" s="3"/>
      <c r="L1053" s="3"/>
      <c r="M1053" s="3"/>
      <c r="N1053" s="3"/>
      <c r="O1053" s="8"/>
      <c r="P1053" s="3"/>
      <c r="Q1053" s="3"/>
      <c r="R1053" s="3"/>
      <c r="S1053" s="3"/>
      <c r="T1053" s="3"/>
      <c r="U1053" s="3"/>
      <c r="V1053" s="8"/>
      <c r="W1053" s="3"/>
      <c r="X1053" s="3"/>
      <c r="Y1053" s="3"/>
      <c r="Z1053" s="4"/>
      <c r="AA1053" s="5"/>
      <c r="AB1053" s="3"/>
      <c r="AC1053" s="3"/>
      <c r="AD1053" s="3"/>
      <c r="AE1053" s="3"/>
      <c r="AF1053" s="3"/>
      <c r="AG1053" s="3"/>
      <c r="AH1053" s="3"/>
    </row>
    <row r="1054" spans="1:34" x14ac:dyDescent="0.3">
      <c r="A1054" s="11"/>
      <c r="B1054" s="12"/>
      <c r="C1054" s="12"/>
      <c r="D1054" s="13"/>
      <c r="E1054" s="6"/>
      <c r="F1054" s="3"/>
      <c r="G1054" s="3"/>
      <c r="H1054" s="3"/>
      <c r="I1054" s="3"/>
      <c r="J1054" s="3"/>
      <c r="K1054" s="3"/>
      <c r="L1054" s="3"/>
      <c r="M1054" s="3"/>
      <c r="N1054" s="3"/>
      <c r="O1054" s="8"/>
      <c r="P1054" s="3"/>
      <c r="Q1054" s="3"/>
      <c r="R1054" s="3"/>
      <c r="S1054" s="3"/>
      <c r="T1054" s="3"/>
      <c r="U1054" s="3"/>
      <c r="V1054" s="8"/>
      <c r="W1054" s="3"/>
      <c r="X1054" s="3"/>
      <c r="Y1054" s="3"/>
      <c r="Z1054" s="4"/>
      <c r="AA1054" s="5"/>
      <c r="AB1054" s="3"/>
      <c r="AC1054" s="3"/>
      <c r="AD1054" s="3"/>
      <c r="AE1054" s="3"/>
      <c r="AF1054" s="3"/>
      <c r="AG1054" s="3"/>
      <c r="AH1054" s="3"/>
    </row>
    <row r="1055" spans="1:34" x14ac:dyDescent="0.3">
      <c r="A1055" s="11"/>
      <c r="B1055" s="12"/>
      <c r="C1055" s="12"/>
      <c r="D1055" s="13"/>
      <c r="E1055" s="6"/>
      <c r="F1055" s="3"/>
      <c r="G1055" s="3"/>
      <c r="H1055" s="3"/>
      <c r="I1055" s="3"/>
      <c r="J1055" s="3"/>
      <c r="K1055" s="3"/>
      <c r="L1055" s="3"/>
      <c r="M1055" s="3"/>
      <c r="N1055" s="3"/>
      <c r="O1055" s="8"/>
      <c r="P1055" s="3"/>
      <c r="Q1055" s="3"/>
      <c r="R1055" s="3"/>
      <c r="S1055" s="3"/>
      <c r="T1055" s="3"/>
      <c r="U1055" s="3"/>
      <c r="V1055" s="8"/>
      <c r="W1055" s="3"/>
      <c r="X1055" s="3"/>
      <c r="Y1055" s="3"/>
      <c r="Z1055" s="4"/>
      <c r="AA1055" s="5"/>
      <c r="AB1055" s="3"/>
      <c r="AC1055" s="3"/>
      <c r="AD1055" s="3"/>
      <c r="AE1055" s="3"/>
      <c r="AF1055" s="3"/>
      <c r="AG1055" s="3"/>
      <c r="AH1055" s="3"/>
    </row>
    <row r="1056" spans="1:34" x14ac:dyDescent="0.3">
      <c r="A1056" s="11"/>
      <c r="B1056" s="12"/>
      <c r="C1056" s="12"/>
      <c r="D1056" s="13"/>
      <c r="E1056" s="6"/>
      <c r="F1056" s="3"/>
      <c r="G1056" s="3"/>
      <c r="H1056" s="3"/>
      <c r="I1056" s="3"/>
      <c r="J1056" s="3"/>
      <c r="K1056" s="3"/>
      <c r="L1056" s="3"/>
      <c r="M1056" s="3"/>
      <c r="N1056" s="3"/>
      <c r="O1056" s="8"/>
      <c r="P1056" s="3"/>
      <c r="Q1056" s="3"/>
      <c r="R1056" s="3"/>
      <c r="S1056" s="3"/>
      <c r="T1056" s="3"/>
      <c r="U1056" s="3"/>
      <c r="V1056" s="8"/>
      <c r="W1056" s="3"/>
      <c r="X1056" s="3"/>
      <c r="Y1056" s="3"/>
      <c r="Z1056" s="4"/>
      <c r="AA1056" s="5"/>
      <c r="AB1056" s="3"/>
      <c r="AC1056" s="3"/>
      <c r="AD1056" s="3"/>
      <c r="AE1056" s="3"/>
      <c r="AF1056" s="3"/>
      <c r="AG1056" s="3"/>
      <c r="AH1056" s="3"/>
    </row>
    <row r="1057" spans="1:34" x14ac:dyDescent="0.3">
      <c r="A1057" s="11"/>
      <c r="B1057" s="12"/>
      <c r="C1057" s="12"/>
      <c r="D1057" s="13"/>
      <c r="E1057" s="6"/>
      <c r="F1057" s="3"/>
      <c r="G1057" s="3"/>
      <c r="H1057" s="3"/>
      <c r="I1057" s="3"/>
      <c r="J1057" s="3"/>
      <c r="K1057" s="3"/>
      <c r="L1057" s="3"/>
      <c r="M1057" s="3"/>
      <c r="N1057" s="3"/>
      <c r="O1057" s="8"/>
      <c r="P1057" s="3"/>
      <c r="Q1057" s="3"/>
      <c r="R1057" s="3"/>
      <c r="S1057" s="3"/>
      <c r="T1057" s="3"/>
      <c r="U1057" s="3"/>
      <c r="V1057" s="8"/>
      <c r="W1057" s="3"/>
      <c r="X1057" s="3"/>
      <c r="Y1057" s="3"/>
      <c r="Z1057" s="4"/>
      <c r="AA1057" s="5"/>
      <c r="AB1057" s="3"/>
      <c r="AC1057" s="3"/>
      <c r="AD1057" s="3"/>
      <c r="AE1057" s="3"/>
      <c r="AF1057" s="3"/>
      <c r="AG1057" s="3"/>
      <c r="AH1057" s="3"/>
    </row>
    <row r="1058" spans="1:34" x14ac:dyDescent="0.3">
      <c r="A1058" s="11"/>
      <c r="B1058" s="12"/>
      <c r="C1058" s="12"/>
      <c r="D1058" s="13"/>
      <c r="E1058" s="6"/>
      <c r="F1058" s="3"/>
      <c r="G1058" s="3"/>
      <c r="H1058" s="3"/>
      <c r="I1058" s="3"/>
      <c r="J1058" s="3"/>
      <c r="K1058" s="3"/>
      <c r="L1058" s="3"/>
      <c r="M1058" s="3"/>
      <c r="N1058" s="3"/>
      <c r="O1058" s="8"/>
      <c r="P1058" s="3"/>
      <c r="Q1058" s="3"/>
      <c r="R1058" s="3"/>
      <c r="S1058" s="3"/>
      <c r="T1058" s="3"/>
      <c r="U1058" s="3"/>
      <c r="V1058" s="8"/>
      <c r="W1058" s="3"/>
      <c r="X1058" s="3"/>
      <c r="Y1058" s="3"/>
      <c r="Z1058" s="4"/>
      <c r="AA1058" s="5"/>
      <c r="AB1058" s="3"/>
      <c r="AC1058" s="3"/>
      <c r="AD1058" s="3"/>
      <c r="AE1058" s="3"/>
      <c r="AF1058" s="3"/>
      <c r="AG1058" s="3"/>
      <c r="AH1058" s="3"/>
    </row>
    <row r="1059" spans="1:34" x14ac:dyDescent="0.3">
      <c r="A1059" s="11"/>
      <c r="B1059" s="12"/>
      <c r="C1059" s="12"/>
      <c r="D1059" s="13"/>
      <c r="E1059" s="6"/>
      <c r="F1059" s="3"/>
      <c r="G1059" s="3"/>
      <c r="H1059" s="3"/>
      <c r="I1059" s="3"/>
      <c r="J1059" s="3"/>
      <c r="K1059" s="3"/>
      <c r="L1059" s="3"/>
      <c r="M1059" s="3"/>
      <c r="N1059" s="3"/>
      <c r="O1059" s="8"/>
      <c r="P1059" s="3"/>
      <c r="Q1059" s="3"/>
      <c r="R1059" s="3"/>
      <c r="S1059" s="3"/>
      <c r="T1059" s="3"/>
      <c r="U1059" s="3"/>
      <c r="V1059" s="8"/>
      <c r="W1059" s="3"/>
      <c r="X1059" s="3"/>
      <c r="Y1059" s="3"/>
      <c r="Z1059" s="4"/>
      <c r="AA1059" s="5"/>
      <c r="AB1059" s="3"/>
      <c r="AC1059" s="3"/>
      <c r="AD1059" s="3"/>
      <c r="AE1059" s="3"/>
      <c r="AF1059" s="3"/>
      <c r="AG1059" s="3"/>
      <c r="AH1059" s="3"/>
    </row>
    <row r="1060" spans="1:34" x14ac:dyDescent="0.3">
      <c r="A1060" s="11"/>
      <c r="B1060" s="12"/>
      <c r="C1060" s="12"/>
      <c r="D1060" s="13"/>
      <c r="E1060" s="6"/>
      <c r="F1060" s="3"/>
      <c r="G1060" s="3"/>
      <c r="H1060" s="3"/>
      <c r="I1060" s="3"/>
      <c r="J1060" s="3"/>
      <c r="K1060" s="3"/>
      <c r="L1060" s="3"/>
      <c r="M1060" s="3"/>
      <c r="N1060" s="3"/>
      <c r="O1060" s="8"/>
      <c r="P1060" s="3"/>
      <c r="Q1060" s="3"/>
      <c r="R1060" s="3"/>
      <c r="S1060" s="3"/>
      <c r="T1060" s="3"/>
      <c r="U1060" s="3"/>
      <c r="V1060" s="8"/>
      <c r="W1060" s="3"/>
      <c r="X1060" s="3"/>
      <c r="Y1060" s="3"/>
      <c r="Z1060" s="4"/>
      <c r="AA1060" s="5"/>
      <c r="AB1060" s="3"/>
      <c r="AC1060" s="3"/>
      <c r="AD1060" s="3"/>
      <c r="AE1060" s="3"/>
      <c r="AF1060" s="3"/>
      <c r="AG1060" s="3"/>
      <c r="AH1060" s="3"/>
    </row>
    <row r="1061" spans="1:34" x14ac:dyDescent="0.3">
      <c r="A1061" s="11"/>
      <c r="B1061" s="12"/>
      <c r="C1061" s="12"/>
      <c r="D1061" s="13"/>
      <c r="E1061" s="6"/>
      <c r="F1061" s="3"/>
      <c r="G1061" s="3"/>
      <c r="H1061" s="3"/>
      <c r="I1061" s="3"/>
      <c r="J1061" s="3"/>
      <c r="K1061" s="3"/>
      <c r="L1061" s="3"/>
      <c r="M1061" s="3"/>
      <c r="N1061" s="3"/>
      <c r="O1061" s="8"/>
      <c r="P1061" s="3"/>
      <c r="Q1061" s="3"/>
      <c r="R1061" s="3"/>
      <c r="S1061" s="3"/>
      <c r="T1061" s="3"/>
      <c r="U1061" s="3"/>
      <c r="V1061" s="8"/>
      <c r="W1061" s="3"/>
      <c r="X1061" s="3"/>
      <c r="Y1061" s="3"/>
      <c r="Z1061" s="4"/>
      <c r="AA1061" s="5"/>
      <c r="AB1061" s="3"/>
      <c r="AC1061" s="3"/>
      <c r="AD1061" s="3"/>
      <c r="AE1061" s="3"/>
      <c r="AF1061" s="3"/>
      <c r="AG1061" s="3"/>
      <c r="AH1061" s="3"/>
    </row>
    <row r="1062" spans="1:34" x14ac:dyDescent="0.3">
      <c r="A1062" s="11"/>
      <c r="B1062" s="12"/>
      <c r="C1062" s="12"/>
      <c r="D1062" s="13"/>
      <c r="E1062" s="6"/>
      <c r="F1062" s="3"/>
      <c r="G1062" s="3"/>
      <c r="H1062" s="3"/>
      <c r="I1062" s="3"/>
      <c r="J1062" s="3"/>
      <c r="K1062" s="3"/>
      <c r="L1062" s="3"/>
      <c r="M1062" s="3"/>
      <c r="N1062" s="3"/>
      <c r="O1062" s="8"/>
      <c r="P1062" s="3"/>
      <c r="Q1062" s="3"/>
      <c r="R1062" s="3"/>
      <c r="S1062" s="3"/>
      <c r="T1062" s="3"/>
      <c r="U1062" s="3"/>
      <c r="V1062" s="8"/>
      <c r="W1062" s="3"/>
      <c r="X1062" s="3"/>
      <c r="Y1062" s="3"/>
      <c r="Z1062" s="4"/>
      <c r="AA1062" s="5"/>
      <c r="AB1062" s="3"/>
      <c r="AC1062" s="3"/>
      <c r="AD1062" s="3"/>
      <c r="AE1062" s="3"/>
      <c r="AF1062" s="3"/>
      <c r="AG1062" s="3"/>
      <c r="AH1062" s="3"/>
    </row>
    <row r="1063" spans="1:34" x14ac:dyDescent="0.3">
      <c r="A1063" s="11"/>
      <c r="B1063" s="12"/>
      <c r="C1063" s="12"/>
      <c r="D1063" s="13"/>
      <c r="E1063" s="6"/>
      <c r="F1063" s="3"/>
      <c r="G1063" s="3"/>
      <c r="H1063" s="3"/>
      <c r="I1063" s="3"/>
      <c r="J1063" s="3"/>
      <c r="K1063" s="3"/>
      <c r="L1063" s="3"/>
      <c r="M1063" s="3"/>
      <c r="N1063" s="3"/>
      <c r="O1063" s="8"/>
      <c r="P1063" s="3"/>
      <c r="Q1063" s="3"/>
      <c r="R1063" s="3"/>
      <c r="S1063" s="3"/>
      <c r="T1063" s="3"/>
      <c r="U1063" s="3"/>
      <c r="V1063" s="8"/>
      <c r="W1063" s="3"/>
      <c r="X1063" s="3"/>
      <c r="Y1063" s="3"/>
      <c r="Z1063" s="4"/>
      <c r="AA1063" s="5"/>
      <c r="AB1063" s="3"/>
      <c r="AC1063" s="3"/>
      <c r="AD1063" s="3"/>
      <c r="AE1063" s="3"/>
      <c r="AF1063" s="3"/>
      <c r="AG1063" s="3"/>
      <c r="AH1063" s="3"/>
    </row>
    <row r="1064" spans="1:34" x14ac:dyDescent="0.3">
      <c r="A1064" s="11"/>
      <c r="B1064" s="12"/>
      <c r="C1064" s="12"/>
      <c r="D1064" s="13"/>
      <c r="E1064" s="6"/>
      <c r="F1064" s="3"/>
      <c r="G1064" s="3"/>
      <c r="H1064" s="3"/>
      <c r="I1064" s="3"/>
      <c r="J1064" s="3"/>
      <c r="K1064" s="3"/>
      <c r="L1064" s="3"/>
      <c r="M1064" s="3"/>
      <c r="N1064" s="3"/>
      <c r="O1064" s="8"/>
      <c r="P1064" s="3"/>
      <c r="Q1064" s="3"/>
      <c r="R1064" s="3"/>
      <c r="S1064" s="3"/>
      <c r="T1064" s="3"/>
      <c r="U1064" s="3"/>
      <c r="V1064" s="8"/>
      <c r="W1064" s="3"/>
      <c r="X1064" s="3"/>
      <c r="Y1064" s="3"/>
      <c r="Z1064" s="4"/>
      <c r="AA1064" s="5"/>
      <c r="AB1064" s="3"/>
      <c r="AC1064" s="3"/>
      <c r="AD1064" s="3"/>
      <c r="AE1064" s="3"/>
      <c r="AF1064" s="3"/>
      <c r="AG1064" s="3"/>
      <c r="AH1064" s="3"/>
    </row>
    <row r="1065" spans="1:34" x14ac:dyDescent="0.3">
      <c r="A1065" s="11"/>
      <c r="B1065" s="12"/>
      <c r="C1065" s="12"/>
      <c r="D1065" s="13"/>
      <c r="E1065" s="6"/>
      <c r="F1065" s="3"/>
      <c r="G1065" s="3"/>
      <c r="H1065" s="3"/>
      <c r="I1065" s="3"/>
      <c r="J1065" s="3"/>
      <c r="K1065" s="3"/>
      <c r="L1065" s="3"/>
      <c r="M1065" s="3"/>
      <c r="N1065" s="3"/>
      <c r="O1065" s="8"/>
      <c r="P1065" s="3"/>
      <c r="Q1065" s="3"/>
      <c r="R1065" s="3"/>
      <c r="S1065" s="3"/>
      <c r="T1065" s="3"/>
      <c r="U1065" s="3"/>
      <c r="V1065" s="8"/>
      <c r="W1065" s="3"/>
      <c r="X1065" s="3"/>
      <c r="Y1065" s="3"/>
      <c r="Z1065" s="4"/>
      <c r="AA1065" s="5"/>
      <c r="AB1065" s="3"/>
      <c r="AC1065" s="3"/>
      <c r="AD1065" s="3"/>
      <c r="AE1065" s="3"/>
      <c r="AF1065" s="3"/>
      <c r="AG1065" s="3"/>
      <c r="AH1065" s="3"/>
    </row>
    <row r="1066" spans="1:34" x14ac:dyDescent="0.3">
      <c r="A1066" s="11"/>
      <c r="B1066" s="12"/>
      <c r="C1066" s="12"/>
      <c r="D1066" s="13"/>
      <c r="E1066" s="6"/>
      <c r="F1066" s="3"/>
      <c r="G1066" s="3"/>
      <c r="H1066" s="3"/>
      <c r="I1066" s="3"/>
      <c r="J1066" s="3"/>
      <c r="K1066" s="3"/>
      <c r="L1066" s="3"/>
      <c r="M1066" s="3"/>
      <c r="N1066" s="3"/>
      <c r="O1066" s="8"/>
      <c r="P1066" s="3"/>
      <c r="Q1066" s="3"/>
      <c r="R1066" s="3"/>
      <c r="S1066" s="3"/>
      <c r="T1066" s="3"/>
      <c r="U1066" s="3"/>
      <c r="V1066" s="8"/>
      <c r="W1066" s="3"/>
      <c r="X1066" s="3"/>
      <c r="Y1066" s="3"/>
      <c r="Z1066" s="4"/>
      <c r="AA1066" s="5"/>
      <c r="AB1066" s="3"/>
      <c r="AC1066" s="3"/>
      <c r="AD1066" s="3"/>
      <c r="AE1066" s="3"/>
      <c r="AF1066" s="3"/>
      <c r="AG1066" s="3"/>
      <c r="AH1066" s="3"/>
    </row>
    <row r="1067" spans="1:34" x14ac:dyDescent="0.3">
      <c r="A1067" s="11"/>
      <c r="B1067" s="12"/>
      <c r="C1067" s="12"/>
      <c r="D1067" s="13"/>
      <c r="E1067" s="6"/>
      <c r="F1067" s="3"/>
      <c r="G1067" s="3"/>
      <c r="H1067" s="3"/>
      <c r="I1067" s="3"/>
      <c r="J1067" s="3"/>
      <c r="K1067" s="3"/>
      <c r="L1067" s="3"/>
      <c r="M1067" s="3"/>
      <c r="N1067" s="3"/>
      <c r="O1067" s="8"/>
      <c r="P1067" s="3"/>
      <c r="Q1067" s="3"/>
      <c r="R1067" s="3"/>
      <c r="S1067" s="3"/>
      <c r="T1067" s="3"/>
      <c r="U1067" s="3"/>
      <c r="V1067" s="8"/>
      <c r="W1067" s="3"/>
      <c r="X1067" s="3"/>
      <c r="Y1067" s="3"/>
      <c r="Z1067" s="4"/>
      <c r="AA1067" s="5"/>
      <c r="AB1067" s="3"/>
      <c r="AC1067" s="3"/>
      <c r="AD1067" s="3"/>
      <c r="AE1067" s="3"/>
      <c r="AF1067" s="3"/>
      <c r="AG1067" s="3"/>
      <c r="AH1067" s="3"/>
    </row>
    <row r="1068" spans="1:34" x14ac:dyDescent="0.3">
      <c r="A1068" s="11"/>
      <c r="B1068" s="12"/>
      <c r="C1068" s="12"/>
      <c r="D1068" s="13"/>
      <c r="E1068" s="6"/>
      <c r="F1068" s="3"/>
      <c r="G1068" s="3"/>
      <c r="H1068" s="3"/>
      <c r="I1068" s="3"/>
      <c r="J1068" s="3"/>
      <c r="K1068" s="3"/>
      <c r="L1068" s="3"/>
      <c r="M1068" s="3"/>
      <c r="N1068" s="3"/>
      <c r="O1068" s="8"/>
      <c r="P1068" s="3"/>
      <c r="Q1068" s="3"/>
      <c r="R1068" s="3"/>
      <c r="S1068" s="3"/>
      <c r="T1068" s="3"/>
      <c r="U1068" s="3"/>
      <c r="V1068" s="8"/>
      <c r="W1068" s="3"/>
      <c r="X1068" s="3"/>
      <c r="Y1068" s="3"/>
      <c r="Z1068" s="4"/>
      <c r="AA1068" s="5"/>
      <c r="AB1068" s="3"/>
      <c r="AC1068" s="3"/>
      <c r="AD1068" s="3"/>
      <c r="AE1068" s="3"/>
      <c r="AF1068" s="3"/>
      <c r="AG1068" s="3"/>
      <c r="AH1068" s="3"/>
    </row>
    <row r="1069" spans="1:34" x14ac:dyDescent="0.3">
      <c r="A1069" s="11"/>
      <c r="B1069" s="12"/>
      <c r="C1069" s="12"/>
      <c r="D1069" s="13"/>
      <c r="E1069" s="6"/>
      <c r="F1069" s="3"/>
      <c r="G1069" s="3"/>
      <c r="H1069" s="3"/>
      <c r="I1069" s="3"/>
      <c r="J1069" s="3"/>
      <c r="K1069" s="3"/>
      <c r="L1069" s="3"/>
      <c r="M1069" s="3"/>
      <c r="N1069" s="3"/>
      <c r="O1069" s="8"/>
      <c r="P1069" s="3"/>
      <c r="Q1069" s="3"/>
      <c r="R1069" s="3"/>
      <c r="S1069" s="3"/>
      <c r="T1069" s="3"/>
      <c r="U1069" s="3"/>
      <c r="V1069" s="8"/>
      <c r="W1069" s="3"/>
      <c r="X1069" s="3"/>
      <c r="Y1069" s="3"/>
      <c r="Z1069" s="4"/>
      <c r="AA1069" s="5"/>
      <c r="AB1069" s="3"/>
      <c r="AC1069" s="3"/>
      <c r="AD1069" s="3"/>
      <c r="AE1069" s="3"/>
      <c r="AF1069" s="3"/>
      <c r="AG1069" s="3"/>
      <c r="AH1069" s="3"/>
    </row>
    <row r="1070" spans="1:34" x14ac:dyDescent="0.3">
      <c r="A1070" s="11"/>
      <c r="B1070" s="12"/>
      <c r="C1070" s="12"/>
      <c r="D1070" s="13"/>
      <c r="E1070" s="6"/>
      <c r="F1070" s="3"/>
      <c r="G1070" s="3"/>
      <c r="H1070" s="3"/>
      <c r="I1070" s="3"/>
      <c r="J1070" s="3"/>
      <c r="K1070" s="3"/>
      <c r="L1070" s="3"/>
      <c r="M1070" s="3"/>
      <c r="N1070" s="3"/>
      <c r="O1070" s="8"/>
      <c r="P1070" s="3"/>
      <c r="Q1070" s="3"/>
      <c r="R1070" s="3"/>
      <c r="S1070" s="3"/>
      <c r="T1070" s="3"/>
      <c r="U1070" s="3"/>
      <c r="V1070" s="8"/>
      <c r="W1070" s="3"/>
      <c r="X1070" s="3"/>
      <c r="Y1070" s="3"/>
      <c r="Z1070" s="4"/>
      <c r="AA1070" s="5"/>
      <c r="AB1070" s="3"/>
      <c r="AC1070" s="3"/>
      <c r="AD1070" s="3"/>
      <c r="AE1070" s="3"/>
      <c r="AF1070" s="3"/>
      <c r="AG1070" s="3"/>
      <c r="AH1070" s="3"/>
    </row>
    <row r="1071" spans="1:34" x14ac:dyDescent="0.3">
      <c r="A1071" s="11"/>
      <c r="B1071" s="12"/>
      <c r="C1071" s="12"/>
      <c r="D1071" s="13"/>
      <c r="E1071" s="6"/>
      <c r="F1071" s="3"/>
      <c r="G1071" s="3"/>
      <c r="H1071" s="3"/>
      <c r="I1071" s="3"/>
      <c r="J1071" s="3"/>
      <c r="K1071" s="3"/>
      <c r="L1071" s="3"/>
      <c r="M1071" s="3"/>
      <c r="N1071" s="3"/>
      <c r="O1071" s="8"/>
      <c r="P1071" s="3"/>
      <c r="Q1071" s="3"/>
      <c r="R1071" s="3"/>
      <c r="S1071" s="3"/>
      <c r="T1071" s="3"/>
      <c r="U1071" s="3"/>
      <c r="V1071" s="8"/>
      <c r="W1071" s="3"/>
      <c r="X1071" s="3"/>
      <c r="Y1071" s="3"/>
      <c r="Z1071" s="4"/>
      <c r="AA1071" s="5"/>
      <c r="AB1071" s="3"/>
      <c r="AC1071" s="3"/>
      <c r="AD1071" s="3"/>
      <c r="AE1071" s="3"/>
      <c r="AF1071" s="3"/>
      <c r="AG1071" s="3"/>
      <c r="AH1071" s="3"/>
    </row>
    <row r="1072" spans="1:34" x14ac:dyDescent="0.3">
      <c r="A1072" s="11"/>
      <c r="B1072" s="12"/>
      <c r="C1072" s="12"/>
      <c r="D1072" s="13"/>
      <c r="E1072" s="6"/>
      <c r="F1072" s="3"/>
      <c r="G1072" s="3"/>
      <c r="H1072" s="3"/>
      <c r="I1072" s="3"/>
      <c r="J1072" s="3"/>
      <c r="K1072" s="3"/>
      <c r="L1072" s="3"/>
      <c r="M1072" s="3"/>
      <c r="N1072" s="3"/>
      <c r="O1072" s="8"/>
      <c r="P1072" s="3"/>
      <c r="Q1072" s="3"/>
      <c r="R1072" s="3"/>
      <c r="S1072" s="3"/>
      <c r="T1072" s="3"/>
      <c r="U1072" s="3"/>
      <c r="V1072" s="8"/>
      <c r="W1072" s="3"/>
      <c r="X1072" s="3"/>
      <c r="Y1072" s="3"/>
      <c r="Z1072" s="4"/>
      <c r="AA1072" s="5"/>
      <c r="AB1072" s="3"/>
      <c r="AC1072" s="3"/>
      <c r="AD1072" s="3"/>
      <c r="AE1072" s="3"/>
      <c r="AF1072" s="3"/>
      <c r="AG1072" s="3"/>
      <c r="AH1072" s="3"/>
    </row>
    <row r="1073" spans="1:34" x14ac:dyDescent="0.3">
      <c r="A1073" s="11"/>
      <c r="B1073" s="12"/>
      <c r="C1073" s="12"/>
      <c r="D1073" s="13"/>
      <c r="E1073" s="6"/>
      <c r="F1073" s="3"/>
      <c r="G1073" s="3"/>
      <c r="H1073" s="3"/>
      <c r="I1073" s="3"/>
      <c r="J1073" s="3"/>
      <c r="K1073" s="3"/>
      <c r="L1073" s="3"/>
      <c r="M1073" s="3"/>
      <c r="N1073" s="3"/>
      <c r="O1073" s="8"/>
      <c r="P1073" s="3"/>
      <c r="Q1073" s="3"/>
      <c r="R1073" s="3"/>
      <c r="S1073" s="3"/>
      <c r="T1073" s="3"/>
      <c r="U1073" s="3"/>
      <c r="V1073" s="8"/>
      <c r="W1073" s="3"/>
      <c r="X1073" s="3"/>
      <c r="Y1073" s="3"/>
      <c r="Z1073" s="4"/>
      <c r="AA1073" s="5"/>
      <c r="AB1073" s="3"/>
      <c r="AC1073" s="3"/>
      <c r="AD1073" s="3"/>
      <c r="AE1073" s="3"/>
      <c r="AF1073" s="3"/>
      <c r="AG1073" s="3"/>
      <c r="AH1073" s="3"/>
    </row>
    <row r="1074" spans="1:34" x14ac:dyDescent="0.3">
      <c r="A1074" s="11"/>
      <c r="B1074" s="12"/>
      <c r="C1074" s="12"/>
      <c r="D1074" s="13"/>
      <c r="E1074" s="6"/>
      <c r="F1074" s="3"/>
      <c r="G1074" s="3"/>
      <c r="H1074" s="3"/>
      <c r="I1074" s="3"/>
      <c r="J1074" s="3"/>
      <c r="K1074" s="3"/>
      <c r="L1074" s="3"/>
      <c r="M1074" s="3"/>
      <c r="N1074" s="3"/>
      <c r="O1074" s="8"/>
      <c r="P1074" s="3"/>
      <c r="Q1074" s="3"/>
      <c r="R1074" s="3"/>
      <c r="S1074" s="3"/>
      <c r="T1074" s="3"/>
      <c r="U1074" s="3"/>
      <c r="V1074" s="8"/>
      <c r="W1074" s="3"/>
      <c r="X1074" s="3"/>
      <c r="Y1074" s="3"/>
      <c r="Z1074" s="4"/>
      <c r="AA1074" s="5"/>
      <c r="AB1074" s="3"/>
      <c r="AC1074" s="3"/>
      <c r="AD1074" s="3"/>
      <c r="AE1074" s="3"/>
      <c r="AF1074" s="3"/>
      <c r="AG1074" s="3"/>
      <c r="AH1074" s="3"/>
    </row>
    <row r="1075" spans="1:34" x14ac:dyDescent="0.3">
      <c r="A1075" s="11"/>
      <c r="B1075" s="12"/>
      <c r="C1075" s="12"/>
      <c r="D1075" s="13"/>
      <c r="E1075" s="6"/>
      <c r="F1075" s="3"/>
      <c r="G1075" s="3"/>
      <c r="H1075" s="3"/>
      <c r="I1075" s="3"/>
      <c r="J1075" s="3"/>
      <c r="K1075" s="3"/>
      <c r="L1075" s="3"/>
      <c r="M1075" s="3"/>
      <c r="N1075" s="3"/>
      <c r="O1075" s="8"/>
      <c r="P1075" s="3"/>
      <c r="Q1075" s="3"/>
      <c r="R1075" s="3"/>
      <c r="S1075" s="3"/>
      <c r="T1075" s="3"/>
      <c r="U1075" s="3"/>
      <c r="V1075" s="8"/>
      <c r="W1075" s="3"/>
      <c r="X1075" s="3"/>
      <c r="Y1075" s="3"/>
      <c r="Z1075" s="4"/>
      <c r="AA1075" s="5"/>
      <c r="AB1075" s="3"/>
      <c r="AC1075" s="3"/>
      <c r="AD1075" s="3"/>
      <c r="AE1075" s="3"/>
      <c r="AF1075" s="3"/>
      <c r="AG1075" s="3"/>
      <c r="AH1075" s="3"/>
    </row>
    <row r="1076" spans="1:34" x14ac:dyDescent="0.3">
      <c r="A1076" s="11"/>
      <c r="B1076" s="12"/>
      <c r="C1076" s="12"/>
      <c r="D1076" s="13"/>
      <c r="E1076" s="6"/>
      <c r="F1076" s="3"/>
      <c r="G1076" s="3"/>
      <c r="H1076" s="3"/>
      <c r="I1076" s="3"/>
      <c r="J1076" s="3"/>
      <c r="K1076" s="3"/>
      <c r="L1076" s="3"/>
      <c r="M1076" s="3"/>
      <c r="N1076" s="3"/>
      <c r="O1076" s="8"/>
      <c r="P1076" s="3"/>
      <c r="Q1076" s="3"/>
      <c r="R1076" s="3"/>
      <c r="S1076" s="3"/>
      <c r="T1076" s="3"/>
      <c r="U1076" s="3"/>
      <c r="V1076" s="8"/>
      <c r="W1076" s="3"/>
      <c r="X1076" s="3"/>
      <c r="Y1076" s="3"/>
      <c r="Z1076" s="4"/>
      <c r="AA1076" s="5"/>
      <c r="AB1076" s="3"/>
      <c r="AC1076" s="3"/>
      <c r="AD1076" s="3"/>
      <c r="AE1076" s="3"/>
      <c r="AF1076" s="3"/>
      <c r="AG1076" s="3"/>
      <c r="AH1076" s="3"/>
    </row>
    <row r="1077" spans="1:34" x14ac:dyDescent="0.3">
      <c r="A1077" s="11"/>
      <c r="B1077" s="12"/>
      <c r="C1077" s="12"/>
      <c r="D1077" s="13"/>
      <c r="E1077" s="6"/>
      <c r="F1077" s="3"/>
      <c r="G1077" s="3"/>
      <c r="H1077" s="3"/>
      <c r="I1077" s="3"/>
      <c r="J1077" s="3"/>
      <c r="K1077" s="3"/>
      <c r="L1077" s="3"/>
      <c r="M1077" s="3"/>
      <c r="N1077" s="3"/>
      <c r="O1077" s="8"/>
      <c r="P1077" s="3"/>
      <c r="Q1077" s="3"/>
      <c r="R1077" s="3"/>
      <c r="S1077" s="3"/>
      <c r="T1077" s="3"/>
      <c r="U1077" s="3"/>
      <c r="V1077" s="8"/>
      <c r="W1077" s="3"/>
      <c r="X1077" s="3"/>
      <c r="Y1077" s="3"/>
      <c r="Z1077" s="4"/>
      <c r="AA1077" s="5"/>
      <c r="AB1077" s="3"/>
      <c r="AC1077" s="3"/>
      <c r="AD1077" s="3"/>
      <c r="AE1077" s="3"/>
      <c r="AF1077" s="3"/>
      <c r="AG1077" s="3"/>
      <c r="AH1077" s="3"/>
    </row>
    <row r="1078" spans="1:34" x14ac:dyDescent="0.3">
      <c r="A1078" s="11"/>
      <c r="B1078" s="12"/>
      <c r="C1078" s="12"/>
      <c r="D1078" s="13"/>
      <c r="E1078" s="6"/>
      <c r="F1078" s="3"/>
      <c r="G1078" s="3"/>
      <c r="H1078" s="3"/>
      <c r="I1078" s="3"/>
      <c r="J1078" s="3"/>
      <c r="K1078" s="3"/>
      <c r="L1078" s="3"/>
      <c r="M1078" s="3"/>
      <c r="N1078" s="3"/>
      <c r="O1078" s="8"/>
      <c r="P1078" s="3"/>
      <c r="Q1078" s="3"/>
      <c r="R1078" s="3"/>
      <c r="S1078" s="3"/>
      <c r="T1078" s="3"/>
      <c r="U1078" s="3"/>
      <c r="V1078" s="8"/>
      <c r="W1078" s="3"/>
      <c r="X1078" s="3"/>
      <c r="Y1078" s="3"/>
      <c r="Z1078" s="4"/>
      <c r="AA1078" s="5"/>
      <c r="AB1078" s="3"/>
      <c r="AC1078" s="3"/>
      <c r="AD1078" s="3"/>
      <c r="AE1078" s="3"/>
      <c r="AF1078" s="3"/>
      <c r="AG1078" s="3"/>
      <c r="AH1078" s="3"/>
    </row>
    <row r="1079" spans="1:34" x14ac:dyDescent="0.3">
      <c r="A1079" s="11"/>
      <c r="B1079" s="12"/>
      <c r="C1079" s="12"/>
      <c r="D1079" s="13"/>
      <c r="E1079" s="6"/>
      <c r="F1079" s="3"/>
      <c r="G1079" s="3"/>
      <c r="H1079" s="3"/>
      <c r="I1079" s="3"/>
      <c r="J1079" s="3"/>
      <c r="K1079" s="3"/>
      <c r="L1079" s="3"/>
      <c r="M1079" s="3"/>
      <c r="N1079" s="3"/>
      <c r="O1079" s="8"/>
      <c r="P1079" s="3"/>
      <c r="Q1079" s="3"/>
      <c r="R1079" s="3"/>
      <c r="S1079" s="3"/>
      <c r="T1079" s="3"/>
      <c r="U1079" s="3"/>
      <c r="V1079" s="8"/>
      <c r="W1079" s="3"/>
      <c r="X1079" s="3"/>
      <c r="Y1079" s="3"/>
      <c r="Z1079" s="4"/>
      <c r="AA1079" s="5"/>
      <c r="AB1079" s="3"/>
      <c r="AC1079" s="3"/>
      <c r="AD1079" s="3"/>
      <c r="AE1079" s="3"/>
      <c r="AF1079" s="3"/>
      <c r="AG1079" s="3"/>
      <c r="AH1079" s="3"/>
    </row>
    <row r="1080" spans="1:34" x14ac:dyDescent="0.3">
      <c r="A1080" s="11"/>
      <c r="B1080" s="12"/>
      <c r="C1080" s="12"/>
      <c r="D1080" s="13"/>
      <c r="E1080" s="6"/>
      <c r="F1080" s="3"/>
      <c r="G1080" s="3"/>
      <c r="H1080" s="3"/>
      <c r="I1080" s="3"/>
      <c r="J1080" s="3"/>
      <c r="K1080" s="3"/>
      <c r="L1080" s="3"/>
      <c r="M1080" s="3"/>
      <c r="N1080" s="3"/>
      <c r="O1080" s="8"/>
      <c r="P1080" s="3"/>
      <c r="Q1080" s="3"/>
      <c r="R1080" s="3"/>
      <c r="S1080" s="3"/>
      <c r="T1080" s="3"/>
      <c r="U1080" s="3"/>
      <c r="V1080" s="8"/>
      <c r="W1080" s="3"/>
      <c r="X1080" s="3"/>
      <c r="Y1080" s="3"/>
      <c r="Z1080" s="4"/>
      <c r="AA1080" s="5"/>
      <c r="AB1080" s="3"/>
      <c r="AC1080" s="3"/>
      <c r="AD1080" s="3"/>
      <c r="AE1080" s="3"/>
      <c r="AF1080" s="3"/>
      <c r="AG1080" s="3"/>
      <c r="AH1080" s="3"/>
    </row>
    <row r="1081" spans="1:34" x14ac:dyDescent="0.3">
      <c r="A1081" s="11"/>
      <c r="B1081" s="12"/>
      <c r="C1081" s="12"/>
      <c r="D1081" s="13"/>
      <c r="E1081" s="6"/>
      <c r="F1081" s="3"/>
      <c r="G1081" s="3"/>
      <c r="H1081" s="3"/>
      <c r="I1081" s="3"/>
      <c r="J1081" s="3"/>
      <c r="K1081" s="3"/>
      <c r="L1081" s="3"/>
      <c r="M1081" s="3"/>
      <c r="N1081" s="3"/>
      <c r="O1081" s="8"/>
      <c r="P1081" s="3"/>
      <c r="Q1081" s="3"/>
      <c r="R1081" s="3"/>
      <c r="S1081" s="3"/>
      <c r="T1081" s="3"/>
      <c r="U1081" s="3"/>
      <c r="V1081" s="8"/>
      <c r="W1081" s="3"/>
      <c r="X1081" s="3"/>
      <c r="Y1081" s="3"/>
      <c r="Z1081" s="4"/>
      <c r="AA1081" s="5"/>
      <c r="AB1081" s="3"/>
      <c r="AC1081" s="3"/>
      <c r="AD1081" s="3"/>
      <c r="AE1081" s="3"/>
      <c r="AF1081" s="3"/>
      <c r="AG1081" s="3"/>
      <c r="AH1081" s="3"/>
    </row>
    <row r="1082" spans="1:34" x14ac:dyDescent="0.3">
      <c r="A1082" s="11"/>
      <c r="B1082" s="12"/>
      <c r="C1082" s="12"/>
      <c r="D1082" s="13"/>
      <c r="E1082" s="6"/>
      <c r="F1082" s="3"/>
      <c r="G1082" s="3"/>
      <c r="H1082" s="3"/>
      <c r="I1082" s="3"/>
      <c r="J1082" s="3"/>
      <c r="K1082" s="3"/>
      <c r="L1082" s="3"/>
      <c r="M1082" s="3"/>
      <c r="N1082" s="3"/>
      <c r="O1082" s="8"/>
      <c r="P1082" s="3"/>
      <c r="Q1082" s="3"/>
      <c r="R1082" s="3"/>
      <c r="S1082" s="3"/>
      <c r="T1082" s="3"/>
      <c r="U1082" s="3"/>
      <c r="V1082" s="8"/>
      <c r="W1082" s="3"/>
      <c r="X1082" s="3"/>
      <c r="Y1082" s="3"/>
      <c r="Z1082" s="4"/>
      <c r="AA1082" s="5"/>
      <c r="AB1082" s="3"/>
      <c r="AC1082" s="3"/>
      <c r="AD1082" s="3"/>
      <c r="AE1082" s="3"/>
      <c r="AF1082" s="3"/>
      <c r="AG1082" s="3"/>
      <c r="AH1082" s="3"/>
    </row>
    <row r="1083" spans="1:34" x14ac:dyDescent="0.3">
      <c r="A1083" s="11"/>
      <c r="B1083" s="12"/>
      <c r="C1083" s="12"/>
      <c r="D1083" s="13"/>
      <c r="E1083" s="6"/>
      <c r="F1083" s="3"/>
      <c r="G1083" s="3"/>
      <c r="H1083" s="3"/>
      <c r="I1083" s="3"/>
      <c r="J1083" s="3"/>
      <c r="K1083" s="3"/>
      <c r="L1083" s="3"/>
      <c r="M1083" s="3"/>
      <c r="N1083" s="3"/>
      <c r="O1083" s="8"/>
      <c r="P1083" s="3"/>
      <c r="Q1083" s="3"/>
      <c r="R1083" s="3"/>
      <c r="S1083" s="3"/>
      <c r="T1083" s="3"/>
      <c r="U1083" s="3"/>
      <c r="V1083" s="8"/>
      <c r="W1083" s="3"/>
      <c r="X1083" s="3"/>
      <c r="Y1083" s="3"/>
      <c r="Z1083" s="4"/>
      <c r="AA1083" s="5"/>
      <c r="AB1083" s="3"/>
      <c r="AC1083" s="3"/>
      <c r="AD1083" s="3"/>
      <c r="AE1083" s="3"/>
      <c r="AF1083" s="3"/>
      <c r="AG1083" s="3"/>
      <c r="AH1083" s="3"/>
    </row>
    <row r="1084" spans="1:34" x14ac:dyDescent="0.3">
      <c r="A1084" s="11"/>
      <c r="B1084" s="12"/>
      <c r="C1084" s="12"/>
      <c r="D1084" s="13"/>
      <c r="E1084" s="6"/>
      <c r="F1084" s="3"/>
      <c r="G1084" s="3"/>
      <c r="H1084" s="3"/>
      <c r="I1084" s="3"/>
      <c r="J1084" s="3"/>
      <c r="K1084" s="3"/>
      <c r="L1084" s="3"/>
      <c r="M1084" s="3"/>
      <c r="N1084" s="3"/>
      <c r="O1084" s="8"/>
      <c r="P1084" s="3"/>
      <c r="Q1084" s="3"/>
      <c r="R1084" s="3"/>
      <c r="S1084" s="3"/>
      <c r="T1084" s="3"/>
      <c r="U1084" s="3"/>
      <c r="V1084" s="8"/>
      <c r="W1084" s="3"/>
      <c r="X1084" s="3"/>
      <c r="Y1084" s="3"/>
      <c r="Z1084" s="4"/>
      <c r="AA1084" s="5"/>
      <c r="AB1084" s="3"/>
      <c r="AC1084" s="3"/>
      <c r="AD1084" s="3"/>
      <c r="AE1084" s="3"/>
      <c r="AF1084" s="3"/>
      <c r="AG1084" s="3"/>
      <c r="AH1084" s="3"/>
    </row>
    <row r="1085" spans="1:34" x14ac:dyDescent="0.3">
      <c r="A1085" s="11"/>
      <c r="B1085" s="12"/>
      <c r="C1085" s="12"/>
      <c r="D1085" s="13"/>
      <c r="E1085" s="6"/>
      <c r="F1085" s="3"/>
      <c r="G1085" s="3"/>
      <c r="H1085" s="3"/>
      <c r="I1085" s="3"/>
      <c r="J1085" s="3"/>
      <c r="K1085" s="3"/>
      <c r="L1085" s="3"/>
      <c r="M1085" s="3"/>
      <c r="N1085" s="3"/>
      <c r="O1085" s="8"/>
      <c r="P1085" s="3"/>
      <c r="Q1085" s="3"/>
      <c r="R1085" s="3"/>
      <c r="S1085" s="3"/>
      <c r="T1085" s="3"/>
      <c r="U1085" s="3"/>
      <c r="V1085" s="8"/>
      <c r="W1085" s="3"/>
      <c r="X1085" s="3"/>
      <c r="Y1085" s="3"/>
      <c r="Z1085" s="4"/>
      <c r="AA1085" s="5"/>
      <c r="AB1085" s="3"/>
      <c r="AC1085" s="3"/>
      <c r="AD1085" s="3"/>
      <c r="AE1085" s="3"/>
      <c r="AF1085" s="3"/>
      <c r="AG1085" s="3"/>
      <c r="AH1085" s="3"/>
    </row>
    <row r="1086" spans="1:34" x14ac:dyDescent="0.3">
      <c r="A1086" s="11"/>
      <c r="B1086" s="12"/>
      <c r="C1086" s="12"/>
      <c r="D1086" s="13"/>
      <c r="E1086" s="6"/>
      <c r="F1086" s="3"/>
      <c r="G1086" s="3"/>
      <c r="H1086" s="3"/>
      <c r="I1086" s="3"/>
      <c r="J1086" s="3"/>
      <c r="K1086" s="3"/>
      <c r="L1086" s="3"/>
      <c r="M1086" s="3"/>
      <c r="N1086" s="3"/>
      <c r="O1086" s="8"/>
      <c r="P1086" s="3"/>
      <c r="Q1086" s="3"/>
      <c r="R1086" s="3"/>
      <c r="S1086" s="3"/>
      <c r="T1086" s="3"/>
      <c r="U1086" s="3"/>
      <c r="V1086" s="8"/>
      <c r="W1086" s="3"/>
      <c r="X1086" s="3"/>
      <c r="Y1086" s="3"/>
      <c r="Z1086" s="4"/>
      <c r="AA1086" s="5"/>
      <c r="AB1086" s="3"/>
      <c r="AC1086" s="3"/>
      <c r="AD1086" s="3"/>
      <c r="AE1086" s="3"/>
      <c r="AF1086" s="3"/>
      <c r="AG1086" s="3"/>
      <c r="AH1086" s="3"/>
    </row>
    <row r="1087" spans="1:34" x14ac:dyDescent="0.3">
      <c r="A1087" s="11"/>
      <c r="B1087" s="12"/>
      <c r="C1087" s="12"/>
      <c r="D1087" s="13"/>
      <c r="E1087" s="6"/>
      <c r="F1087" s="3"/>
      <c r="G1087" s="3"/>
      <c r="H1087" s="3"/>
      <c r="I1087" s="3"/>
      <c r="J1087" s="3"/>
      <c r="K1087" s="3"/>
      <c r="L1087" s="3"/>
      <c r="M1087" s="3"/>
      <c r="N1087" s="3"/>
      <c r="O1087" s="8"/>
      <c r="P1087" s="3"/>
      <c r="Q1087" s="3"/>
      <c r="R1087" s="3"/>
      <c r="S1087" s="3"/>
      <c r="T1087" s="3"/>
      <c r="U1087" s="3"/>
      <c r="V1087" s="8"/>
      <c r="W1087" s="3"/>
      <c r="X1087" s="3"/>
      <c r="Y1087" s="3"/>
      <c r="Z1087" s="4"/>
      <c r="AA1087" s="5"/>
      <c r="AB1087" s="3"/>
      <c r="AC1087" s="3"/>
      <c r="AD1087" s="3"/>
      <c r="AE1087" s="3"/>
      <c r="AF1087" s="3"/>
      <c r="AG1087" s="3"/>
      <c r="AH1087" s="3"/>
    </row>
    <row r="1088" spans="1:34" x14ac:dyDescent="0.3">
      <c r="A1088" s="11"/>
      <c r="B1088" s="12"/>
      <c r="C1088" s="12"/>
      <c r="D1088" s="13"/>
      <c r="E1088" s="6"/>
      <c r="F1088" s="3"/>
      <c r="G1088" s="3"/>
      <c r="H1088" s="3"/>
      <c r="I1088" s="3"/>
      <c r="J1088" s="3"/>
      <c r="K1088" s="3"/>
      <c r="L1088" s="3"/>
      <c r="M1088" s="3"/>
      <c r="N1088" s="3"/>
      <c r="O1088" s="8"/>
      <c r="P1088" s="3"/>
      <c r="Q1088" s="3"/>
      <c r="R1088" s="3"/>
      <c r="S1088" s="3"/>
      <c r="T1088" s="3"/>
      <c r="U1088" s="3"/>
      <c r="V1088" s="8"/>
      <c r="W1088" s="3"/>
      <c r="X1088" s="3"/>
      <c r="Y1088" s="3"/>
      <c r="Z1088" s="4"/>
      <c r="AA1088" s="5"/>
      <c r="AB1088" s="3"/>
      <c r="AC1088" s="3"/>
      <c r="AD1088" s="3"/>
      <c r="AE1088" s="3"/>
      <c r="AF1088" s="3"/>
      <c r="AG1088" s="3"/>
      <c r="AH1088" s="3"/>
    </row>
    <row r="1089" spans="1:34" x14ac:dyDescent="0.3">
      <c r="A1089" s="11"/>
      <c r="B1089" s="12"/>
      <c r="C1089" s="12"/>
      <c r="D1089" s="13"/>
      <c r="E1089" s="6"/>
      <c r="F1089" s="3"/>
      <c r="G1089" s="3"/>
      <c r="H1089" s="3"/>
      <c r="I1089" s="3"/>
      <c r="J1089" s="3"/>
      <c r="K1089" s="3"/>
      <c r="L1089" s="3"/>
      <c r="M1089" s="3"/>
      <c r="N1089" s="3"/>
      <c r="O1089" s="8"/>
      <c r="P1089" s="3"/>
      <c r="Q1089" s="3"/>
      <c r="R1089" s="3"/>
      <c r="S1089" s="3"/>
      <c r="T1089" s="3"/>
      <c r="U1089" s="3"/>
      <c r="V1089" s="8"/>
      <c r="W1089" s="3"/>
      <c r="X1089" s="3"/>
      <c r="Y1089" s="3"/>
      <c r="Z1089" s="4"/>
      <c r="AA1089" s="5"/>
      <c r="AB1089" s="3"/>
      <c r="AC1089" s="3"/>
      <c r="AD1089" s="3"/>
      <c r="AE1089" s="3"/>
      <c r="AF1089" s="3"/>
      <c r="AG1089" s="3"/>
      <c r="AH1089" s="3"/>
    </row>
    <row r="1090" spans="1:34" x14ac:dyDescent="0.3">
      <c r="A1090" s="11"/>
      <c r="B1090" s="12"/>
      <c r="C1090" s="12"/>
      <c r="D1090" s="13"/>
      <c r="E1090" s="6"/>
      <c r="F1090" s="3"/>
      <c r="G1090" s="3"/>
      <c r="H1090" s="3"/>
      <c r="I1090" s="3"/>
      <c r="J1090" s="3"/>
      <c r="K1090" s="3"/>
      <c r="L1090" s="3"/>
      <c r="M1090" s="3"/>
      <c r="N1090" s="3"/>
      <c r="O1090" s="8"/>
      <c r="P1090" s="3"/>
      <c r="Q1090" s="3"/>
      <c r="R1090" s="3"/>
      <c r="S1090" s="3"/>
      <c r="T1090" s="3"/>
      <c r="U1090" s="3"/>
      <c r="V1090" s="8"/>
      <c r="W1090" s="3"/>
      <c r="X1090" s="3"/>
      <c r="Y1090" s="3"/>
      <c r="Z1090" s="4"/>
      <c r="AA1090" s="5"/>
      <c r="AB1090" s="3"/>
      <c r="AC1090" s="3"/>
      <c r="AD1090" s="3"/>
      <c r="AE1090" s="3"/>
      <c r="AF1090" s="3"/>
      <c r="AG1090" s="3"/>
      <c r="AH1090" s="3"/>
    </row>
    <row r="1091" spans="1:34" x14ac:dyDescent="0.3">
      <c r="A1091" s="11"/>
      <c r="B1091" s="12"/>
      <c r="C1091" s="12"/>
      <c r="D1091" s="13"/>
      <c r="E1091" s="6"/>
      <c r="F1091" s="3"/>
      <c r="G1091" s="3"/>
      <c r="H1091" s="3"/>
      <c r="I1091" s="3"/>
      <c r="J1091" s="3"/>
      <c r="K1091" s="3"/>
      <c r="L1091" s="3"/>
      <c r="M1091" s="3"/>
      <c r="N1091" s="3"/>
      <c r="O1091" s="8"/>
      <c r="P1091" s="3"/>
      <c r="Q1091" s="3"/>
      <c r="R1091" s="3"/>
      <c r="S1091" s="3"/>
      <c r="T1091" s="3"/>
      <c r="U1091" s="3"/>
      <c r="V1091" s="8"/>
      <c r="W1091" s="3"/>
      <c r="X1091" s="3"/>
      <c r="Y1091" s="3"/>
      <c r="Z1091" s="4"/>
      <c r="AA1091" s="5"/>
      <c r="AB1091" s="3"/>
      <c r="AC1091" s="3"/>
      <c r="AD1091" s="3"/>
      <c r="AE1091" s="3"/>
      <c r="AF1091" s="3"/>
      <c r="AG1091" s="3"/>
      <c r="AH1091" s="3"/>
    </row>
    <row r="1092" spans="1:34" x14ac:dyDescent="0.3">
      <c r="A1092" s="11"/>
      <c r="B1092" s="12"/>
      <c r="C1092" s="12"/>
      <c r="D1092" s="13"/>
      <c r="E1092" s="6"/>
      <c r="F1092" s="3"/>
      <c r="G1092" s="3"/>
      <c r="H1092" s="3"/>
      <c r="I1092" s="3"/>
      <c r="J1092" s="3"/>
      <c r="K1092" s="3"/>
      <c r="L1092" s="3"/>
      <c r="M1092" s="3"/>
      <c r="N1092" s="3"/>
      <c r="O1092" s="8"/>
      <c r="P1092" s="3"/>
      <c r="Q1092" s="3"/>
      <c r="R1092" s="3"/>
      <c r="S1092" s="3"/>
      <c r="T1092" s="3"/>
      <c r="U1092" s="3"/>
      <c r="V1092" s="8"/>
      <c r="W1092" s="3"/>
      <c r="X1092" s="3"/>
      <c r="Y1092" s="3"/>
      <c r="Z1092" s="4"/>
      <c r="AA1092" s="5"/>
      <c r="AB1092" s="3"/>
      <c r="AC1092" s="3"/>
      <c r="AD1092" s="3"/>
      <c r="AE1092" s="3"/>
      <c r="AF1092" s="3"/>
      <c r="AG1092" s="3"/>
      <c r="AH1092" s="3"/>
    </row>
    <row r="1093" spans="1:34" x14ac:dyDescent="0.3">
      <c r="A1093" s="11"/>
      <c r="B1093" s="12"/>
      <c r="C1093" s="12"/>
      <c r="D1093" s="13"/>
      <c r="E1093" s="6"/>
      <c r="F1093" s="3"/>
      <c r="G1093" s="3"/>
      <c r="H1093" s="3"/>
      <c r="I1093" s="3"/>
      <c r="J1093" s="3"/>
      <c r="K1093" s="3"/>
      <c r="L1093" s="3"/>
      <c r="M1093" s="3"/>
      <c r="N1093" s="3"/>
      <c r="O1093" s="8"/>
      <c r="P1093" s="3"/>
      <c r="Q1093" s="3"/>
      <c r="R1093" s="3"/>
      <c r="S1093" s="3"/>
      <c r="T1093" s="3"/>
      <c r="U1093" s="3"/>
      <c r="V1093" s="8"/>
      <c r="W1093" s="3"/>
      <c r="X1093" s="3"/>
      <c r="Y1093" s="3"/>
      <c r="Z1093" s="4"/>
      <c r="AA1093" s="5"/>
      <c r="AB1093" s="3"/>
      <c r="AC1093" s="3"/>
      <c r="AD1093" s="3"/>
      <c r="AE1093" s="3"/>
      <c r="AF1093" s="3"/>
      <c r="AG1093" s="3"/>
      <c r="AH1093" s="3"/>
    </row>
    <row r="1094" spans="1:34" x14ac:dyDescent="0.3">
      <c r="A1094" s="11"/>
      <c r="B1094" s="12"/>
      <c r="C1094" s="12"/>
      <c r="D1094" s="13"/>
      <c r="E1094" s="6"/>
      <c r="F1094" s="3"/>
      <c r="G1094" s="3"/>
      <c r="H1094" s="3"/>
      <c r="I1094" s="3"/>
      <c r="J1094" s="3"/>
      <c r="K1094" s="3"/>
      <c r="L1094" s="3"/>
      <c r="M1094" s="3"/>
      <c r="N1094" s="3"/>
      <c r="O1094" s="8"/>
      <c r="P1094" s="3"/>
      <c r="Q1094" s="3"/>
      <c r="R1094" s="3"/>
      <c r="S1094" s="3"/>
      <c r="T1094" s="3"/>
      <c r="U1094" s="3"/>
      <c r="V1094" s="8"/>
      <c r="W1094" s="3"/>
      <c r="X1094" s="3"/>
      <c r="Y1094" s="3"/>
      <c r="Z1094" s="4"/>
      <c r="AA1094" s="5"/>
      <c r="AB1094" s="3"/>
      <c r="AC1094" s="3"/>
      <c r="AD1094" s="3"/>
      <c r="AE1094" s="3"/>
      <c r="AF1094" s="3"/>
      <c r="AG1094" s="3"/>
      <c r="AH1094" s="3"/>
    </row>
    <row r="1095" spans="1:34" x14ac:dyDescent="0.3">
      <c r="A1095" s="11"/>
      <c r="B1095" s="12"/>
      <c r="C1095" s="12"/>
      <c r="D1095" s="13"/>
      <c r="E1095" s="6"/>
      <c r="F1095" s="3"/>
      <c r="G1095" s="3"/>
      <c r="H1095" s="3"/>
      <c r="I1095" s="3"/>
      <c r="J1095" s="3"/>
      <c r="K1095" s="3"/>
      <c r="L1095" s="3"/>
      <c r="M1095" s="3"/>
      <c r="N1095" s="3"/>
      <c r="O1095" s="8"/>
      <c r="P1095" s="3"/>
      <c r="Q1095" s="3"/>
      <c r="R1095" s="3"/>
      <c r="S1095" s="3"/>
      <c r="T1095" s="3"/>
      <c r="U1095" s="3"/>
      <c r="V1095" s="8"/>
      <c r="W1095" s="3"/>
      <c r="X1095" s="3"/>
      <c r="Y1095" s="3"/>
      <c r="Z1095" s="4"/>
      <c r="AA1095" s="5"/>
      <c r="AB1095" s="3"/>
      <c r="AC1095" s="3"/>
      <c r="AD1095" s="3"/>
      <c r="AE1095" s="3"/>
      <c r="AF1095" s="3"/>
      <c r="AG1095" s="3"/>
      <c r="AH1095" s="3"/>
    </row>
    <row r="1096" spans="1:34" x14ac:dyDescent="0.3">
      <c r="A1096" s="11"/>
      <c r="B1096" s="12"/>
      <c r="C1096" s="12"/>
      <c r="D1096" s="13"/>
      <c r="E1096" s="6"/>
      <c r="F1096" s="3"/>
      <c r="G1096" s="3"/>
      <c r="H1096" s="3"/>
      <c r="I1096" s="3"/>
      <c r="J1096" s="3"/>
      <c r="K1096" s="3"/>
      <c r="L1096" s="3"/>
      <c r="M1096" s="3"/>
      <c r="N1096" s="3"/>
      <c r="O1096" s="8"/>
      <c r="P1096" s="3"/>
      <c r="Q1096" s="3"/>
      <c r="R1096" s="3"/>
      <c r="S1096" s="3"/>
      <c r="T1096" s="3"/>
      <c r="U1096" s="3"/>
      <c r="V1096" s="8"/>
      <c r="W1096" s="3"/>
      <c r="X1096" s="3"/>
      <c r="Y1096" s="3"/>
      <c r="Z1096" s="4"/>
      <c r="AA1096" s="5"/>
      <c r="AB1096" s="3"/>
      <c r="AC1096" s="3"/>
      <c r="AD1096" s="3"/>
      <c r="AE1096" s="3"/>
      <c r="AF1096" s="3"/>
      <c r="AG1096" s="3"/>
      <c r="AH1096" s="3"/>
    </row>
    <row r="1097" spans="1:34" x14ac:dyDescent="0.3">
      <c r="A1097" s="11"/>
      <c r="B1097" s="12"/>
      <c r="C1097" s="12"/>
      <c r="D1097" s="13"/>
      <c r="E1097" s="6"/>
      <c r="F1097" s="3"/>
      <c r="G1097" s="3"/>
      <c r="H1097" s="3"/>
      <c r="I1097" s="3"/>
      <c r="J1097" s="3"/>
      <c r="K1097" s="3"/>
      <c r="L1097" s="3"/>
      <c r="M1097" s="3"/>
      <c r="N1097" s="3"/>
      <c r="O1097" s="8"/>
      <c r="P1097" s="3"/>
      <c r="Q1097" s="3"/>
      <c r="R1097" s="3"/>
      <c r="S1097" s="3"/>
      <c r="T1097" s="3"/>
      <c r="U1097" s="3"/>
      <c r="V1097" s="8"/>
      <c r="W1097" s="3"/>
      <c r="X1097" s="3"/>
      <c r="Y1097" s="3"/>
      <c r="Z1097" s="4"/>
      <c r="AA1097" s="5"/>
      <c r="AB1097" s="3"/>
      <c r="AC1097" s="3"/>
      <c r="AD1097" s="3"/>
      <c r="AE1097" s="3"/>
      <c r="AF1097" s="3"/>
      <c r="AG1097" s="3"/>
      <c r="AH1097" s="3"/>
    </row>
    <row r="1098" spans="1:34" x14ac:dyDescent="0.3">
      <c r="A1098" s="11"/>
      <c r="B1098" s="12"/>
      <c r="C1098" s="12"/>
      <c r="D1098" s="13"/>
      <c r="E1098" s="6"/>
      <c r="F1098" s="3"/>
      <c r="G1098" s="3"/>
      <c r="H1098" s="3"/>
      <c r="I1098" s="3"/>
      <c r="J1098" s="3"/>
      <c r="K1098" s="3"/>
      <c r="L1098" s="3"/>
      <c r="M1098" s="3"/>
      <c r="N1098" s="3"/>
      <c r="O1098" s="8"/>
      <c r="P1098" s="3"/>
      <c r="Q1098" s="3"/>
      <c r="R1098" s="3"/>
      <c r="S1098" s="3"/>
      <c r="T1098" s="3"/>
      <c r="U1098" s="3"/>
      <c r="V1098" s="8"/>
      <c r="W1098" s="3"/>
      <c r="X1098" s="3"/>
      <c r="Y1098" s="3"/>
      <c r="Z1098" s="4"/>
      <c r="AA1098" s="5"/>
      <c r="AB1098" s="3"/>
      <c r="AC1098" s="3"/>
      <c r="AD1098" s="3"/>
      <c r="AE1098" s="3"/>
      <c r="AF1098" s="3"/>
      <c r="AG1098" s="3"/>
      <c r="AH1098" s="3"/>
    </row>
    <row r="1099" spans="1:34" x14ac:dyDescent="0.3">
      <c r="A1099" s="11"/>
      <c r="B1099" s="12"/>
      <c r="C1099" s="12"/>
      <c r="D1099" s="13"/>
      <c r="E1099" s="6"/>
      <c r="F1099" s="3"/>
      <c r="G1099" s="3"/>
      <c r="H1099" s="3"/>
      <c r="I1099" s="3"/>
      <c r="J1099" s="3"/>
      <c r="K1099" s="3"/>
      <c r="L1099" s="3"/>
      <c r="M1099" s="3"/>
      <c r="N1099" s="3"/>
      <c r="O1099" s="8"/>
      <c r="P1099" s="3"/>
      <c r="Q1099" s="3"/>
      <c r="R1099" s="3"/>
      <c r="S1099" s="3"/>
      <c r="T1099" s="3"/>
      <c r="U1099" s="3"/>
      <c r="V1099" s="8"/>
      <c r="W1099" s="3"/>
      <c r="X1099" s="3"/>
      <c r="Y1099" s="3"/>
      <c r="Z1099" s="4"/>
      <c r="AA1099" s="5"/>
      <c r="AB1099" s="3"/>
      <c r="AC1099" s="3"/>
      <c r="AD1099" s="3"/>
      <c r="AE1099" s="3"/>
      <c r="AF1099" s="3"/>
      <c r="AG1099" s="3"/>
      <c r="AH1099" s="3"/>
    </row>
    <row r="1100" spans="1:34" x14ac:dyDescent="0.3">
      <c r="A1100" s="11"/>
      <c r="B1100" s="12"/>
      <c r="C1100" s="12"/>
      <c r="D1100" s="13"/>
      <c r="E1100" s="6"/>
      <c r="F1100" s="3"/>
      <c r="G1100" s="3"/>
      <c r="H1100" s="3"/>
      <c r="I1100" s="3"/>
      <c r="J1100" s="3"/>
      <c r="K1100" s="3"/>
      <c r="L1100" s="3"/>
      <c r="M1100" s="3"/>
      <c r="N1100" s="3"/>
      <c r="O1100" s="8"/>
      <c r="P1100" s="3"/>
      <c r="Q1100" s="3"/>
      <c r="R1100" s="3"/>
      <c r="S1100" s="3"/>
      <c r="T1100" s="3"/>
      <c r="U1100" s="3"/>
      <c r="V1100" s="8"/>
      <c r="W1100" s="3"/>
      <c r="X1100" s="3"/>
      <c r="Y1100" s="3"/>
      <c r="Z1100" s="4"/>
      <c r="AA1100" s="5"/>
      <c r="AB1100" s="3"/>
      <c r="AC1100" s="3"/>
      <c r="AD1100" s="3"/>
      <c r="AE1100" s="3"/>
      <c r="AF1100" s="3"/>
      <c r="AG1100" s="3"/>
      <c r="AH1100" s="3"/>
    </row>
    <row r="1101" spans="1:34" x14ac:dyDescent="0.3">
      <c r="A1101" s="11"/>
      <c r="B1101" s="12"/>
      <c r="C1101" s="12"/>
      <c r="D1101" s="13"/>
      <c r="E1101" s="6"/>
      <c r="F1101" s="3"/>
      <c r="G1101" s="3"/>
      <c r="H1101" s="3"/>
      <c r="I1101" s="3"/>
      <c r="J1101" s="3"/>
      <c r="K1101" s="3"/>
      <c r="L1101" s="3"/>
      <c r="M1101" s="3"/>
      <c r="N1101" s="3"/>
      <c r="O1101" s="8"/>
      <c r="P1101" s="3"/>
      <c r="Q1101" s="3"/>
      <c r="R1101" s="3"/>
      <c r="S1101" s="3"/>
      <c r="T1101" s="3"/>
      <c r="U1101" s="3"/>
      <c r="V1101" s="8"/>
      <c r="W1101" s="3"/>
      <c r="X1101" s="3"/>
      <c r="Y1101" s="3"/>
      <c r="Z1101" s="4"/>
      <c r="AA1101" s="5"/>
      <c r="AB1101" s="3"/>
      <c r="AC1101" s="3"/>
      <c r="AD1101" s="3"/>
      <c r="AE1101" s="3"/>
      <c r="AF1101" s="3"/>
      <c r="AG1101" s="3"/>
      <c r="AH1101" s="3"/>
    </row>
    <row r="1102" spans="1:34" x14ac:dyDescent="0.3">
      <c r="A1102" s="11"/>
      <c r="B1102" s="12"/>
      <c r="C1102" s="12"/>
      <c r="D1102" s="13"/>
      <c r="E1102" s="6"/>
      <c r="F1102" s="3"/>
      <c r="G1102" s="3"/>
      <c r="H1102" s="3"/>
      <c r="I1102" s="3"/>
      <c r="J1102" s="3"/>
      <c r="K1102" s="3"/>
      <c r="L1102" s="3"/>
      <c r="M1102" s="3"/>
      <c r="N1102" s="3"/>
      <c r="O1102" s="8"/>
      <c r="P1102" s="3"/>
      <c r="Q1102" s="3"/>
      <c r="R1102" s="3"/>
      <c r="S1102" s="3"/>
      <c r="T1102" s="3"/>
      <c r="U1102" s="3"/>
      <c r="V1102" s="8"/>
      <c r="W1102" s="3"/>
      <c r="X1102" s="3"/>
      <c r="Y1102" s="3"/>
      <c r="Z1102" s="4"/>
      <c r="AA1102" s="5"/>
      <c r="AB1102" s="3"/>
      <c r="AC1102" s="3"/>
      <c r="AD1102" s="3"/>
      <c r="AE1102" s="3"/>
      <c r="AF1102" s="3"/>
      <c r="AG1102" s="3"/>
      <c r="AH1102" s="3"/>
    </row>
    <row r="1103" spans="1:34" x14ac:dyDescent="0.3">
      <c r="A1103" s="11"/>
      <c r="B1103" s="12"/>
      <c r="C1103" s="12"/>
      <c r="D1103" s="13"/>
      <c r="E1103" s="6"/>
      <c r="F1103" s="3"/>
      <c r="G1103" s="3"/>
      <c r="H1103" s="3"/>
      <c r="I1103" s="3"/>
      <c r="J1103" s="3"/>
      <c r="K1103" s="3"/>
      <c r="L1103" s="3"/>
      <c r="M1103" s="3"/>
      <c r="N1103" s="3"/>
      <c r="O1103" s="8"/>
      <c r="P1103" s="3"/>
      <c r="Q1103" s="3"/>
      <c r="R1103" s="3"/>
      <c r="S1103" s="3"/>
      <c r="T1103" s="3"/>
      <c r="U1103" s="3"/>
      <c r="V1103" s="8"/>
      <c r="W1103" s="3"/>
      <c r="X1103" s="3"/>
      <c r="Y1103" s="3"/>
      <c r="Z1103" s="4"/>
      <c r="AA1103" s="5"/>
      <c r="AB1103" s="3"/>
      <c r="AC1103" s="3"/>
      <c r="AD1103" s="3"/>
      <c r="AE1103" s="3"/>
      <c r="AF1103" s="3"/>
      <c r="AG1103" s="3"/>
      <c r="AH1103" s="3"/>
    </row>
    <row r="1104" spans="1:34" x14ac:dyDescent="0.3">
      <c r="A1104" s="11"/>
      <c r="B1104" s="12"/>
      <c r="C1104" s="12"/>
      <c r="D1104" s="13"/>
      <c r="E1104" s="6"/>
      <c r="F1104" s="3"/>
      <c r="G1104" s="3"/>
      <c r="H1104" s="3"/>
      <c r="I1104" s="3"/>
      <c r="J1104" s="3"/>
      <c r="K1104" s="3"/>
      <c r="L1104" s="3"/>
      <c r="M1104" s="3"/>
      <c r="N1104" s="3"/>
      <c r="O1104" s="8"/>
      <c r="P1104" s="3"/>
      <c r="Q1104" s="3"/>
      <c r="R1104" s="3"/>
      <c r="S1104" s="3"/>
      <c r="T1104" s="3"/>
      <c r="U1104" s="3"/>
      <c r="V1104" s="8"/>
      <c r="W1104" s="3"/>
      <c r="X1104" s="3"/>
      <c r="Y1104" s="3"/>
      <c r="Z1104" s="4"/>
      <c r="AA1104" s="5"/>
      <c r="AB1104" s="3"/>
      <c r="AC1104" s="3"/>
      <c r="AD1104" s="3"/>
      <c r="AE1104" s="3"/>
      <c r="AF1104" s="3"/>
      <c r="AG1104" s="3"/>
      <c r="AH1104" s="3"/>
    </row>
    <row r="1105" spans="1:34" x14ac:dyDescent="0.3">
      <c r="A1105" s="11"/>
      <c r="B1105" s="12"/>
      <c r="C1105" s="12"/>
      <c r="D1105" s="13"/>
      <c r="E1105" s="6"/>
      <c r="F1105" s="3"/>
      <c r="G1105" s="3"/>
      <c r="H1105" s="3"/>
      <c r="I1105" s="3"/>
      <c r="J1105" s="3"/>
      <c r="K1105" s="3"/>
      <c r="L1105" s="3"/>
      <c r="M1105" s="3"/>
      <c r="N1105" s="3"/>
      <c r="O1105" s="8"/>
      <c r="P1105" s="3"/>
      <c r="Q1105" s="3"/>
      <c r="R1105" s="3"/>
      <c r="S1105" s="3"/>
      <c r="T1105" s="3"/>
      <c r="U1105" s="3"/>
      <c r="V1105" s="8"/>
      <c r="W1105" s="3"/>
      <c r="X1105" s="3"/>
      <c r="Y1105" s="3"/>
      <c r="Z1105" s="4"/>
      <c r="AA1105" s="5"/>
      <c r="AB1105" s="3"/>
      <c r="AC1105" s="3"/>
      <c r="AD1105" s="3"/>
      <c r="AE1105" s="3"/>
      <c r="AF1105" s="3"/>
      <c r="AG1105" s="3"/>
      <c r="AH1105" s="3"/>
    </row>
    <row r="1106" spans="1:34" x14ac:dyDescent="0.3">
      <c r="A1106" s="11"/>
      <c r="B1106" s="12"/>
      <c r="C1106" s="12"/>
      <c r="D1106" s="13"/>
      <c r="E1106" s="6"/>
      <c r="F1106" s="3"/>
      <c r="G1106" s="3"/>
      <c r="H1106" s="3"/>
      <c r="I1106" s="3"/>
      <c r="J1106" s="3"/>
      <c r="K1106" s="3"/>
      <c r="L1106" s="3"/>
      <c r="M1106" s="3"/>
      <c r="N1106" s="3"/>
      <c r="O1106" s="8"/>
      <c r="P1106" s="3"/>
      <c r="Q1106" s="3"/>
      <c r="R1106" s="3"/>
      <c r="S1106" s="3"/>
      <c r="T1106" s="3"/>
      <c r="U1106" s="3"/>
      <c r="V1106" s="8"/>
      <c r="W1106" s="3"/>
      <c r="X1106" s="3"/>
      <c r="Y1106" s="3"/>
      <c r="Z1106" s="4"/>
      <c r="AA1106" s="5"/>
      <c r="AB1106" s="3"/>
      <c r="AC1106" s="3"/>
      <c r="AD1106" s="3"/>
      <c r="AE1106" s="3"/>
      <c r="AF1106" s="3"/>
      <c r="AG1106" s="3"/>
      <c r="AH1106" s="3"/>
    </row>
    <row r="1107" spans="1:34" x14ac:dyDescent="0.3">
      <c r="A1107" s="11"/>
      <c r="B1107" s="12"/>
      <c r="C1107" s="12"/>
      <c r="D1107" s="13"/>
      <c r="E1107" s="6"/>
      <c r="F1107" s="3"/>
      <c r="G1107" s="3"/>
      <c r="H1107" s="3"/>
      <c r="I1107" s="3"/>
      <c r="J1107" s="3"/>
      <c r="K1107" s="3"/>
      <c r="L1107" s="3"/>
      <c r="M1107" s="3"/>
      <c r="N1107" s="3"/>
      <c r="O1107" s="8"/>
      <c r="P1107" s="3"/>
      <c r="Q1107" s="3"/>
      <c r="R1107" s="3"/>
      <c r="S1107" s="3"/>
      <c r="T1107" s="3"/>
      <c r="U1107" s="3"/>
      <c r="V1107" s="8"/>
      <c r="W1107" s="3"/>
      <c r="X1107" s="3"/>
      <c r="Y1107" s="3"/>
      <c r="Z1107" s="4"/>
      <c r="AA1107" s="5"/>
      <c r="AB1107" s="3"/>
      <c r="AC1107" s="3"/>
      <c r="AD1107" s="3"/>
      <c r="AE1107" s="3"/>
      <c r="AF1107" s="3"/>
      <c r="AG1107" s="3"/>
      <c r="AH1107" s="3"/>
    </row>
    <row r="1108" spans="1:34" x14ac:dyDescent="0.3">
      <c r="A1108" s="11"/>
      <c r="B1108" s="12"/>
      <c r="C1108" s="12"/>
      <c r="D1108" s="13"/>
      <c r="E1108" s="6"/>
      <c r="F1108" s="3"/>
      <c r="G1108" s="3"/>
      <c r="H1108" s="3"/>
      <c r="I1108" s="3"/>
      <c r="J1108" s="3"/>
      <c r="K1108" s="3"/>
      <c r="L1108" s="3"/>
      <c r="M1108" s="3"/>
      <c r="N1108" s="3"/>
      <c r="O1108" s="8"/>
      <c r="P1108" s="3"/>
      <c r="Q1108" s="3"/>
      <c r="R1108" s="3"/>
      <c r="S1108" s="3"/>
      <c r="T1108" s="3"/>
      <c r="U1108" s="3"/>
      <c r="V1108" s="8"/>
      <c r="W1108" s="3"/>
      <c r="X1108" s="3"/>
      <c r="Y1108" s="3"/>
      <c r="Z1108" s="4"/>
      <c r="AA1108" s="5"/>
      <c r="AB1108" s="3"/>
      <c r="AC1108" s="3"/>
      <c r="AD1108" s="3"/>
      <c r="AE1108" s="3"/>
      <c r="AF1108" s="3"/>
      <c r="AG1108" s="3"/>
      <c r="AH1108" s="3"/>
    </row>
    <row r="1109" spans="1:34" x14ac:dyDescent="0.3">
      <c r="A1109" s="11"/>
      <c r="B1109" s="12"/>
      <c r="C1109" s="12"/>
      <c r="D1109" s="13"/>
      <c r="E1109" s="6"/>
      <c r="F1109" s="3"/>
      <c r="G1109" s="3"/>
      <c r="H1109" s="3"/>
      <c r="I1109" s="3"/>
      <c r="J1109" s="3"/>
      <c r="K1109" s="3"/>
      <c r="L1109" s="3"/>
      <c r="M1109" s="3"/>
      <c r="N1109" s="3"/>
      <c r="O1109" s="8"/>
      <c r="P1109" s="3"/>
      <c r="Q1109" s="3"/>
      <c r="R1109" s="3"/>
      <c r="S1109" s="3"/>
      <c r="T1109" s="3"/>
      <c r="U1109" s="3"/>
      <c r="V1109" s="8"/>
      <c r="W1109" s="3"/>
      <c r="X1109" s="3"/>
      <c r="Y1109" s="3"/>
      <c r="Z1109" s="4"/>
      <c r="AA1109" s="5"/>
      <c r="AB1109" s="3"/>
      <c r="AC1109" s="3"/>
      <c r="AD1109" s="3"/>
      <c r="AE1109" s="3"/>
      <c r="AF1109" s="3"/>
      <c r="AG1109" s="3"/>
      <c r="AH1109" s="3"/>
    </row>
    <row r="1110" spans="1:34" x14ac:dyDescent="0.3">
      <c r="A1110" s="11"/>
      <c r="B1110" s="12"/>
      <c r="C1110" s="12"/>
      <c r="D1110" s="13"/>
      <c r="E1110" s="6"/>
      <c r="F1110" s="3"/>
      <c r="G1110" s="3"/>
      <c r="H1110" s="3"/>
      <c r="I1110" s="3"/>
      <c r="J1110" s="3"/>
      <c r="K1110" s="3"/>
      <c r="L1110" s="3"/>
      <c r="M1110" s="3"/>
      <c r="N1110" s="3"/>
      <c r="O1110" s="8"/>
      <c r="P1110" s="3"/>
      <c r="Q1110" s="3"/>
      <c r="R1110" s="3"/>
      <c r="S1110" s="3"/>
      <c r="T1110" s="3"/>
      <c r="U1110" s="3"/>
      <c r="V1110" s="8"/>
      <c r="W1110" s="3"/>
      <c r="X1110" s="3"/>
      <c r="Y1110" s="3"/>
      <c r="Z1110" s="4"/>
      <c r="AA1110" s="5"/>
      <c r="AB1110" s="3"/>
      <c r="AC1110" s="3"/>
      <c r="AD1110" s="3"/>
      <c r="AE1110" s="3"/>
      <c r="AF1110" s="3"/>
      <c r="AG1110" s="3"/>
      <c r="AH1110" s="3"/>
    </row>
    <row r="1111" spans="1:34" x14ac:dyDescent="0.3">
      <c r="A1111" s="11"/>
      <c r="B1111" s="12"/>
      <c r="C1111" s="12"/>
      <c r="D1111" s="13"/>
      <c r="E1111" s="6"/>
      <c r="F1111" s="3"/>
      <c r="G1111" s="3"/>
      <c r="H1111" s="3"/>
      <c r="I1111" s="3"/>
      <c r="J1111" s="3"/>
      <c r="K1111" s="3"/>
      <c r="L1111" s="3"/>
      <c r="M1111" s="3"/>
      <c r="N1111" s="3"/>
      <c r="O1111" s="8"/>
      <c r="P1111" s="3"/>
      <c r="Q1111" s="3"/>
      <c r="R1111" s="3"/>
      <c r="S1111" s="3"/>
      <c r="T1111" s="3"/>
      <c r="U1111" s="3"/>
      <c r="V1111" s="8"/>
      <c r="W1111" s="3"/>
      <c r="X1111" s="3"/>
      <c r="Y1111" s="3"/>
      <c r="Z1111" s="4"/>
      <c r="AA1111" s="5"/>
      <c r="AB1111" s="3"/>
      <c r="AC1111" s="3"/>
      <c r="AD1111" s="3"/>
      <c r="AE1111" s="3"/>
      <c r="AF1111" s="3"/>
      <c r="AG1111" s="3"/>
      <c r="AH1111" s="3"/>
    </row>
    <row r="1112" spans="1:34" x14ac:dyDescent="0.3">
      <c r="A1112" s="11"/>
      <c r="B1112" s="12"/>
      <c r="C1112" s="12"/>
      <c r="D1112" s="13"/>
      <c r="E1112" s="6"/>
      <c r="F1112" s="3"/>
      <c r="G1112" s="3"/>
      <c r="H1112" s="3"/>
      <c r="I1112" s="3"/>
      <c r="J1112" s="3"/>
      <c r="K1112" s="3"/>
      <c r="L1112" s="3"/>
      <c r="M1112" s="3"/>
      <c r="N1112" s="3"/>
      <c r="O1112" s="8"/>
      <c r="P1112" s="3"/>
      <c r="Q1112" s="3"/>
      <c r="R1112" s="3"/>
      <c r="S1112" s="3"/>
      <c r="T1112" s="3"/>
      <c r="U1112" s="3"/>
      <c r="V1112" s="8"/>
      <c r="W1112" s="3"/>
      <c r="X1112" s="3"/>
      <c r="Y1112" s="3"/>
      <c r="Z1112" s="4"/>
      <c r="AA1112" s="5"/>
      <c r="AB1112" s="3"/>
      <c r="AC1112" s="3"/>
      <c r="AD1112" s="3"/>
      <c r="AE1112" s="3"/>
      <c r="AF1112" s="3"/>
      <c r="AG1112" s="3"/>
      <c r="AH1112" s="3"/>
    </row>
    <row r="1113" spans="1:34" x14ac:dyDescent="0.3">
      <c r="A1113" s="11"/>
      <c r="B1113" s="12"/>
      <c r="C1113" s="12"/>
      <c r="D1113" s="13"/>
      <c r="E1113" s="6"/>
      <c r="F1113" s="3"/>
      <c r="G1113" s="3"/>
      <c r="H1113" s="3"/>
      <c r="I1113" s="3"/>
      <c r="J1113" s="3"/>
      <c r="K1113" s="3"/>
      <c r="L1113" s="3"/>
      <c r="M1113" s="3"/>
      <c r="N1113" s="3"/>
      <c r="O1113" s="8"/>
      <c r="P1113" s="3"/>
      <c r="Q1113" s="3"/>
      <c r="R1113" s="3"/>
      <c r="S1113" s="3"/>
      <c r="T1113" s="3"/>
      <c r="U1113" s="3"/>
      <c r="V1113" s="8"/>
      <c r="W1113" s="3"/>
      <c r="X1113" s="3"/>
      <c r="Y1113" s="3"/>
      <c r="Z1113" s="4"/>
      <c r="AA1113" s="5"/>
      <c r="AB1113" s="3"/>
      <c r="AC1113" s="3"/>
      <c r="AD1113" s="3"/>
      <c r="AE1113" s="3"/>
      <c r="AF1113" s="3"/>
      <c r="AG1113" s="3"/>
      <c r="AH1113" s="3"/>
    </row>
    <row r="1114" spans="1:34" x14ac:dyDescent="0.3">
      <c r="A1114" s="11"/>
      <c r="B1114" s="12"/>
      <c r="C1114" s="12"/>
      <c r="D1114" s="13"/>
      <c r="E1114" s="6"/>
      <c r="F1114" s="3"/>
      <c r="G1114" s="3"/>
      <c r="H1114" s="3"/>
      <c r="I1114" s="3"/>
      <c r="J1114" s="3"/>
      <c r="K1114" s="3"/>
      <c r="L1114" s="3"/>
      <c r="M1114" s="3"/>
      <c r="N1114" s="3"/>
      <c r="O1114" s="8"/>
      <c r="P1114" s="3"/>
      <c r="Q1114" s="3"/>
      <c r="R1114" s="3"/>
      <c r="S1114" s="3"/>
      <c r="T1114" s="3"/>
      <c r="U1114" s="3"/>
      <c r="V1114" s="8"/>
      <c r="W1114" s="3"/>
      <c r="X1114" s="3"/>
      <c r="Y1114" s="3"/>
      <c r="Z1114" s="4"/>
      <c r="AA1114" s="5"/>
      <c r="AB1114" s="3"/>
      <c r="AC1114" s="3"/>
      <c r="AD1114" s="3"/>
      <c r="AE1114" s="3"/>
      <c r="AF1114" s="3"/>
      <c r="AG1114" s="3"/>
      <c r="AH1114" s="3"/>
    </row>
    <row r="1115" spans="1:34" x14ac:dyDescent="0.3">
      <c r="A1115" s="11"/>
      <c r="B1115" s="12"/>
      <c r="C1115" s="12"/>
      <c r="D1115" s="13"/>
      <c r="E1115" s="6"/>
      <c r="F1115" s="3"/>
      <c r="G1115" s="3"/>
      <c r="H1115" s="3"/>
      <c r="I1115" s="3"/>
      <c r="J1115" s="3"/>
      <c r="K1115" s="3"/>
      <c r="L1115" s="3"/>
      <c r="M1115" s="3"/>
      <c r="N1115" s="3"/>
      <c r="O1115" s="8"/>
      <c r="P1115" s="3"/>
      <c r="Q1115" s="3"/>
      <c r="R1115" s="3"/>
      <c r="S1115" s="3"/>
      <c r="T1115" s="3"/>
      <c r="U1115" s="3"/>
      <c r="V1115" s="8"/>
      <c r="W1115" s="3"/>
      <c r="X1115" s="3"/>
      <c r="Y1115" s="3"/>
      <c r="Z1115" s="4"/>
      <c r="AA1115" s="5"/>
      <c r="AB1115" s="3"/>
      <c r="AC1115" s="3"/>
      <c r="AD1115" s="3"/>
      <c r="AE1115" s="3"/>
      <c r="AF1115" s="3"/>
      <c r="AG1115" s="3"/>
      <c r="AH1115" s="3"/>
    </row>
    <row r="1116" spans="1:34" x14ac:dyDescent="0.3">
      <c r="A1116" s="11"/>
      <c r="B1116" s="12"/>
      <c r="C1116" s="12"/>
      <c r="D1116" s="13"/>
      <c r="E1116" s="6"/>
      <c r="F1116" s="3"/>
      <c r="G1116" s="3"/>
      <c r="H1116" s="3"/>
      <c r="I1116" s="3"/>
      <c r="J1116" s="3"/>
      <c r="K1116" s="3"/>
      <c r="L1116" s="3"/>
      <c r="M1116" s="3"/>
      <c r="N1116" s="3"/>
      <c r="O1116" s="8"/>
      <c r="P1116" s="3"/>
      <c r="Q1116" s="3"/>
      <c r="R1116" s="3"/>
      <c r="S1116" s="3"/>
      <c r="T1116" s="3"/>
      <c r="U1116" s="3"/>
      <c r="V1116" s="8"/>
      <c r="W1116" s="3"/>
      <c r="X1116" s="3"/>
      <c r="Y1116" s="3"/>
      <c r="Z1116" s="4"/>
      <c r="AA1116" s="5"/>
      <c r="AB1116" s="3"/>
      <c r="AC1116" s="3"/>
      <c r="AD1116" s="3"/>
      <c r="AE1116" s="3"/>
      <c r="AF1116" s="3"/>
      <c r="AG1116" s="3"/>
      <c r="AH1116" s="3"/>
    </row>
    <row r="1117" spans="1:34" x14ac:dyDescent="0.3">
      <c r="A1117" s="11"/>
      <c r="B1117" s="12"/>
      <c r="C1117" s="12"/>
      <c r="D1117" s="13"/>
      <c r="E1117" s="6"/>
      <c r="F1117" s="3"/>
      <c r="G1117" s="3"/>
      <c r="H1117" s="3"/>
      <c r="I1117" s="3"/>
      <c r="J1117" s="3"/>
      <c r="K1117" s="3"/>
      <c r="L1117" s="3"/>
      <c r="M1117" s="3"/>
      <c r="N1117" s="3"/>
      <c r="O1117" s="8"/>
      <c r="P1117" s="3"/>
      <c r="Q1117" s="3"/>
      <c r="R1117" s="3"/>
      <c r="S1117" s="3"/>
      <c r="T1117" s="3"/>
      <c r="U1117" s="3"/>
      <c r="V1117" s="8"/>
      <c r="W1117" s="3"/>
      <c r="X1117" s="3"/>
      <c r="Y1117" s="3"/>
      <c r="Z1117" s="4"/>
      <c r="AA1117" s="5"/>
      <c r="AB1117" s="3"/>
      <c r="AC1117" s="3"/>
      <c r="AD1117" s="3"/>
      <c r="AE1117" s="3"/>
      <c r="AF1117" s="3"/>
      <c r="AG1117" s="3"/>
      <c r="AH1117" s="3"/>
    </row>
    <row r="1118" spans="1:34" x14ac:dyDescent="0.3">
      <c r="A1118" s="11"/>
      <c r="B1118" s="12"/>
      <c r="C1118" s="12"/>
      <c r="D1118" s="13"/>
      <c r="E1118" s="6"/>
      <c r="F1118" s="3"/>
      <c r="G1118" s="3"/>
      <c r="H1118" s="3"/>
      <c r="I1118" s="3"/>
      <c r="J1118" s="3"/>
      <c r="K1118" s="3"/>
      <c r="L1118" s="3"/>
      <c r="M1118" s="3"/>
      <c r="N1118" s="3"/>
      <c r="O1118" s="8"/>
      <c r="P1118" s="3"/>
      <c r="Q1118" s="3"/>
      <c r="R1118" s="3"/>
      <c r="S1118" s="3"/>
      <c r="T1118" s="3"/>
      <c r="U1118" s="3"/>
      <c r="V1118" s="8"/>
      <c r="W1118" s="3"/>
      <c r="X1118" s="3"/>
      <c r="Y1118" s="3"/>
      <c r="Z1118" s="4"/>
      <c r="AA1118" s="5"/>
      <c r="AB1118" s="3"/>
      <c r="AC1118" s="3"/>
      <c r="AD1118" s="3"/>
      <c r="AE1118" s="3"/>
      <c r="AF1118" s="3"/>
      <c r="AG1118" s="3"/>
      <c r="AH1118" s="3"/>
    </row>
  </sheetData>
  <sortState xmlns:xlrd2="http://schemas.microsoft.com/office/spreadsheetml/2017/richdata2" ref="A2:AH774">
    <sortCondition descending="1" ref="G2:G77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D00D-76CF-455B-82AB-7C1ED972631B}">
  <sheetPr codeName="Sheet4"/>
  <dimension ref="A1:C1"/>
  <sheetViews>
    <sheetView zoomScale="85" zoomScaleNormal="85" workbookViewId="0">
      <pane ySplit="1" topLeftCell="A2395" activePane="bottomLeft" state="frozen"/>
      <selection pane="bottomLeft" sqref="A1:C1048576"/>
    </sheetView>
  </sheetViews>
  <sheetFormatPr defaultRowHeight="14.4" x14ac:dyDescent="0.3"/>
  <cols>
    <col min="1" max="1" width="33.44140625" bestFit="1" customWidth="1"/>
    <col min="2" max="2" width="21.109375" bestFit="1" customWidth="1"/>
    <col min="3" max="3" width="29.21875" bestFit="1" customWidth="1"/>
  </cols>
  <sheetData>
    <row r="1" spans="1:3" x14ac:dyDescent="0.3">
      <c r="A1" s="9"/>
      <c r="B1" s="9"/>
      <c r="C1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BC67-4FBA-4138-82F7-8F8A9A11F0B5}">
  <sheetPr codeName="Sheet6"/>
  <dimension ref="A1:D1"/>
  <sheetViews>
    <sheetView zoomScale="85" zoomScaleNormal="85" workbookViewId="0">
      <selection sqref="A1:D1048576"/>
    </sheetView>
  </sheetViews>
  <sheetFormatPr defaultRowHeight="14.4" x14ac:dyDescent="0.3"/>
  <cols>
    <col min="1" max="1" width="36.88671875" bestFit="1" customWidth="1"/>
    <col min="2" max="2" width="56.44140625" bestFit="1" customWidth="1"/>
    <col min="3" max="3" width="16.109375" bestFit="1" customWidth="1"/>
    <col min="4" max="4" width="92.77734375" bestFit="1" customWidth="1"/>
  </cols>
  <sheetData>
    <row r="1" spans="1:4" x14ac:dyDescent="0.3">
      <c r="A1" s="10"/>
      <c r="B1" s="10"/>
      <c r="C1" s="10"/>
      <c r="D1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679A-A5C2-4E24-980C-A3DEED89AC76}">
  <sheetPr codeName="Sheet3"/>
  <dimension ref="A1"/>
  <sheetViews>
    <sheetView workbookViewId="0">
      <selection activeCell="C12" sqref="C1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moveTrackNameSuffixAndRemoveDuplicatesAndFixColumnD">
                <anchor moveWithCells="1" sizeWithCells="1">
                  <from>
                    <xdr:col>0</xdr:col>
                    <xdr:colOff>381000</xdr:colOff>
                    <xdr:row>1</xdr:row>
                    <xdr:rowOff>7620</xdr:rowOff>
                  </from>
                  <to>
                    <xdr:col>2</xdr:col>
                    <xdr:colOff>45720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9d177183-d467-4059-a04d-31bcd56c2a79}" enabled="1" method="Privileged" siteId="{c7b320cf-0acf-483e-836e-e4eb6866381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Source (2)</vt:lpstr>
      <vt:lpstr>Album</vt:lpstr>
      <vt:lpstr>Source</vt:lpstr>
      <vt:lpstr>Artists</vt:lpstr>
      <vt:lpstr>Sheet2</vt:lpstr>
      <vt:lpstr>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Castillo</dc:creator>
  <cp:lastModifiedBy>J J</cp:lastModifiedBy>
  <cp:lastPrinted>2025-02-17T17:53:26Z</cp:lastPrinted>
  <dcterms:created xsi:type="dcterms:W3CDTF">2025-02-04T05:58:37Z</dcterms:created>
  <dcterms:modified xsi:type="dcterms:W3CDTF">2025-02-17T20:47:26Z</dcterms:modified>
</cp:coreProperties>
</file>